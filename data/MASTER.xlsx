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665" documentId="13_ncr:1_{8952FF5F-C77A-4B5B-B655-62227BFE6363}" xr6:coauthVersionLast="47" xr6:coauthVersionMax="47" xr10:uidLastSave="{F394CCA2-89E8-471D-A809-D69458CC8F8B}"/>
  <bookViews>
    <workbookView xWindow="-110" yWindow="-110" windowWidth="19420" windowHeight="10300" xr2:uid="{6F075128-D8C5-4571-938A-D8C5FF991224}"/>
  </bookViews>
  <sheets>
    <sheet name="MASTER" sheetId="12" r:id="rId1"/>
    <sheet name="Hoja6" sheetId="30" r:id="rId2"/>
    <sheet name="Hoja4" sheetId="29" r:id="rId3"/>
    <sheet name="Hoja3" sheetId="28" r:id="rId4"/>
    <sheet name="INNOVACIÓN" sheetId="15" r:id="rId5"/>
    <sheet name="Hoja2" sheetId="27" r:id="rId6"/>
    <sheet name="Hoja1" sheetId="26" r:id="rId7"/>
    <sheet name="MERMA" sheetId="25" r:id="rId8"/>
    <sheet name="Hoja5" sheetId="22" r:id="rId9"/>
    <sheet name="Inactivos" sheetId="13" r:id="rId10"/>
    <sheet name="Catálogo" sheetId="14" r:id="rId11"/>
    <sheet name="Papeles" sheetId="5" state="hidden" r:id="rId12"/>
  </sheets>
  <externalReferences>
    <externalReference r:id="rId13"/>
    <externalReference r:id="rId14"/>
  </externalReferences>
  <definedNames>
    <definedName name="_xlnm._FilterDatabase" localSheetId="10" hidden="1">Catálogo!$A$1:$D$380</definedName>
    <definedName name="_xlnm._FilterDatabase" localSheetId="6" hidden="1">Hoja1!$A$1:$M$585</definedName>
    <definedName name="_xlnm._FilterDatabase" localSheetId="5" hidden="1">Hoja2!$E$1:$G$47</definedName>
    <definedName name="_xlnm._FilterDatabase" localSheetId="2" hidden="1">Hoja4!$A$1:$E$370</definedName>
    <definedName name="_xlnm._FilterDatabase" localSheetId="8" hidden="1">Hoja5!$N$1:$S$41</definedName>
    <definedName name="_xlnm._FilterDatabase" localSheetId="9" hidden="1">Inactivos!$A$1:$N$288</definedName>
    <definedName name="_xlnm._FilterDatabase" localSheetId="4" hidden="1">INNOVACIÓN!$A$1:$D$44</definedName>
    <definedName name="_xlnm._FilterDatabase" localSheetId="0" hidden="1">MASTER!$A$1:$L$589</definedName>
    <definedName name="_xlnm._FilterDatabase" localSheetId="7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9" i="12" l="1"/>
  <c r="B370" i="29" l="1"/>
  <c r="A370" i="29"/>
  <c r="B369" i="29"/>
  <c r="A369" i="29"/>
  <c r="B368" i="29"/>
  <c r="A368" i="29"/>
  <c r="B367" i="29"/>
  <c r="A367" i="29"/>
  <c r="B366" i="29"/>
  <c r="A366" i="29"/>
  <c r="B365" i="29"/>
  <c r="A365" i="29"/>
  <c r="B364" i="29"/>
  <c r="A364" i="29"/>
  <c r="B363" i="29"/>
  <c r="A363" i="29"/>
  <c r="B362" i="29"/>
  <c r="A362" i="29"/>
  <c r="B361" i="29"/>
  <c r="A361" i="29"/>
  <c r="B360" i="29"/>
  <c r="A360" i="29"/>
  <c r="B359" i="29"/>
  <c r="A359" i="29"/>
  <c r="B358" i="29"/>
  <c r="A358" i="29"/>
  <c r="B357" i="29"/>
  <c r="A357" i="29"/>
  <c r="B356" i="29"/>
  <c r="A356" i="29"/>
  <c r="B355" i="29"/>
  <c r="A355" i="29"/>
  <c r="B354" i="29"/>
  <c r="A354" i="29"/>
  <c r="B353" i="29"/>
  <c r="A353" i="29"/>
  <c r="B352" i="29"/>
  <c r="A352" i="29"/>
  <c r="B351" i="29"/>
  <c r="A351" i="29"/>
  <c r="B350" i="29"/>
  <c r="A350" i="29"/>
  <c r="B349" i="29"/>
  <c r="A349" i="29"/>
  <c r="B348" i="29"/>
  <c r="A348" i="29"/>
  <c r="B347" i="29"/>
  <c r="A347" i="29"/>
  <c r="B346" i="29"/>
  <c r="A346" i="29"/>
  <c r="B345" i="29"/>
  <c r="A345" i="29"/>
  <c r="B344" i="29"/>
  <c r="A344" i="29"/>
  <c r="B343" i="29"/>
  <c r="A343" i="29"/>
  <c r="B342" i="29"/>
  <c r="A342" i="29"/>
  <c r="B341" i="29"/>
  <c r="A341" i="29"/>
  <c r="B340" i="29"/>
  <c r="A340" i="29"/>
  <c r="B339" i="29"/>
  <c r="A339" i="29"/>
  <c r="B338" i="29"/>
  <c r="A338" i="29"/>
  <c r="B337" i="29"/>
  <c r="A337" i="29"/>
  <c r="B336" i="29"/>
  <c r="A336" i="29"/>
  <c r="B335" i="29"/>
  <c r="A335" i="29"/>
  <c r="B334" i="29"/>
  <c r="A334" i="29"/>
  <c r="B333" i="29"/>
  <c r="A333" i="29"/>
  <c r="B332" i="29"/>
  <c r="A332" i="29"/>
  <c r="B331" i="29"/>
  <c r="A331" i="29"/>
  <c r="B330" i="29"/>
  <c r="A330" i="29"/>
  <c r="B329" i="29"/>
  <c r="A329" i="29"/>
  <c r="B328" i="29"/>
  <c r="A328" i="29"/>
  <c r="B327" i="29"/>
  <c r="A327" i="29"/>
  <c r="B326" i="29"/>
  <c r="A326" i="29"/>
  <c r="B325" i="29"/>
  <c r="A325" i="29"/>
  <c r="B324" i="29"/>
  <c r="A324" i="29"/>
  <c r="B323" i="29"/>
  <c r="A323" i="29"/>
  <c r="B322" i="29"/>
  <c r="A322" i="29"/>
  <c r="B321" i="29"/>
  <c r="A321" i="29"/>
  <c r="B320" i="29"/>
  <c r="A320" i="29"/>
  <c r="B319" i="29"/>
  <c r="A319" i="29"/>
  <c r="B318" i="29"/>
  <c r="A318" i="29"/>
  <c r="B317" i="29"/>
  <c r="A317" i="29"/>
  <c r="B316" i="29"/>
  <c r="A316" i="29"/>
  <c r="B315" i="29"/>
  <c r="A315" i="29"/>
  <c r="B314" i="29"/>
  <c r="A314" i="29"/>
  <c r="B313" i="29"/>
  <c r="A313" i="29"/>
  <c r="B312" i="29"/>
  <c r="A312" i="29"/>
  <c r="B311" i="29"/>
  <c r="A311" i="29"/>
  <c r="B310" i="29"/>
  <c r="A310" i="29"/>
  <c r="B309" i="29"/>
  <c r="A309" i="29"/>
  <c r="B308" i="29"/>
  <c r="A308" i="29"/>
  <c r="B307" i="29"/>
  <c r="A307" i="29"/>
  <c r="B306" i="29"/>
  <c r="A306" i="29"/>
  <c r="B305" i="29"/>
  <c r="A305" i="29"/>
  <c r="B304" i="29"/>
  <c r="A304" i="29"/>
  <c r="B303" i="29"/>
  <c r="A303" i="29"/>
  <c r="B302" i="29"/>
  <c r="A302" i="29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2" i="15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/>
  <c r="G2" i="27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/>
  <c r="J26" i="13"/>
  <c r="M26" i="13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/>
  <c r="J6" i="13"/>
  <c r="M6" i="13"/>
  <c r="J5" i="13"/>
  <c r="M5" i="13"/>
  <c r="J89" i="13"/>
  <c r="M89" i="13"/>
  <c r="J27" i="13"/>
  <c r="M27" i="13"/>
  <c r="J126" i="13"/>
  <c r="J65" i="13"/>
  <c r="M65" i="13"/>
  <c r="J153" i="13"/>
  <c r="J160" i="13"/>
  <c r="J143" i="13"/>
  <c r="J147" i="13"/>
  <c r="J131" i="13"/>
  <c r="J146" i="13"/>
  <c r="J19" i="13"/>
  <c r="M19" i="13"/>
  <c r="J21" i="13"/>
  <c r="M21" i="13"/>
  <c r="J87" i="13"/>
  <c r="M87" i="13"/>
  <c r="J125" i="13"/>
  <c r="M125" i="13"/>
  <c r="J58" i="13"/>
  <c r="M58" i="13"/>
  <c r="J49" i="13"/>
  <c r="M49" i="13"/>
  <c r="J79" i="13"/>
  <c r="M79" i="13"/>
  <c r="J92" i="13"/>
  <c r="M92" i="13"/>
  <c r="J94" i="13"/>
  <c r="M94" i="13"/>
  <c r="J77" i="13"/>
  <c r="M77" i="13"/>
  <c r="J32" i="13"/>
  <c r="M32" i="13"/>
  <c r="J80" i="13"/>
  <c r="M80" i="13"/>
  <c r="J59" i="13"/>
  <c r="M59" i="13"/>
  <c r="J100" i="13"/>
  <c r="M100" i="13"/>
  <c r="J39" i="13"/>
  <c r="M39" i="13"/>
  <c r="J86" i="13"/>
  <c r="J72" i="13"/>
  <c r="M72" i="13"/>
  <c r="J76" i="13"/>
  <c r="M76" i="13"/>
  <c r="J162" i="13"/>
  <c r="J144" i="13"/>
  <c r="M144" i="13"/>
  <c r="J133" i="13"/>
  <c r="J158" i="13"/>
  <c r="J157" i="13"/>
  <c r="M157" i="13"/>
  <c r="J124" i="13"/>
  <c r="J136" i="13"/>
  <c r="J129" i="13"/>
  <c r="J130" i="13"/>
  <c r="J159" i="13"/>
  <c r="J74" i="13"/>
  <c r="J97" i="13"/>
  <c r="J60" i="13"/>
  <c r="M60" i="13"/>
  <c r="J106" i="13"/>
  <c r="J105" i="13"/>
  <c r="M105" i="13"/>
  <c r="J63" i="13"/>
  <c r="M63" i="13"/>
  <c r="J115" i="13"/>
  <c r="J116" i="13"/>
  <c r="J123" i="13"/>
  <c r="J70" i="13"/>
  <c r="J82" i="13"/>
  <c r="J151" i="13"/>
  <c r="J78" i="13"/>
  <c r="J48" i="13"/>
  <c r="J54" i="13"/>
  <c r="M54" i="13"/>
  <c r="J51" i="13"/>
  <c r="J52" i="13"/>
  <c r="J109" i="13"/>
  <c r="M109" i="13"/>
  <c r="J84" i="13"/>
  <c r="J56" i="13"/>
  <c r="M56" i="13"/>
  <c r="J101" i="13"/>
  <c r="J67" i="13"/>
  <c r="M67" i="13"/>
  <c r="J88" i="13"/>
  <c r="J10" i="13"/>
  <c r="M10" i="13"/>
  <c r="J7" i="13"/>
  <c r="M7" i="13"/>
  <c r="J12" i="13"/>
  <c r="M12" i="13"/>
  <c r="J2" i="13"/>
  <c r="M2" i="13"/>
  <c r="J13" i="13"/>
  <c r="J34" i="13"/>
  <c r="M34" i="13"/>
  <c r="J47" i="13"/>
  <c r="J104" i="13"/>
  <c r="J57" i="13"/>
  <c r="J128" i="13"/>
  <c r="J142" i="13"/>
  <c r="J38" i="13"/>
  <c r="J8" i="13"/>
  <c r="J11" i="13"/>
  <c r="M11" i="13"/>
  <c r="J73" i="13"/>
  <c r="M73" i="13"/>
  <c r="J113" i="13"/>
  <c r="J99" i="13"/>
  <c r="J9" i="13"/>
  <c r="M9" i="13"/>
  <c r="J152" i="13"/>
  <c r="M152" i="13"/>
  <c r="J71" i="13"/>
  <c r="J91" i="13"/>
  <c r="M91" i="13"/>
  <c r="J107" i="13"/>
  <c r="M107" i="13"/>
  <c r="J46" i="13"/>
  <c r="M46" i="13"/>
  <c r="J83" i="13"/>
  <c r="M83" i="13"/>
  <c r="J23" i="13"/>
  <c r="M23" i="13"/>
  <c r="J31" i="13"/>
  <c r="M31" i="13"/>
  <c r="J96" i="13"/>
  <c r="M96" i="13"/>
  <c r="J18" i="13"/>
  <c r="M18" i="13"/>
  <c r="J135" i="13"/>
  <c r="J155" i="13"/>
  <c r="J150" i="13"/>
  <c r="J161" i="13"/>
  <c r="J132" i="13"/>
  <c r="M132" i="13"/>
  <c r="J102" i="13"/>
  <c r="J145" i="13"/>
  <c r="J112" i="13"/>
  <c r="J81" i="13"/>
  <c r="M81" i="13"/>
  <c r="J121" i="13"/>
  <c r="J120" i="13"/>
  <c r="J110" i="13"/>
  <c r="J163" i="13"/>
  <c r="M163" i="13"/>
  <c r="J134" i="13"/>
  <c r="J44" i="13"/>
  <c r="M44" i="13"/>
  <c r="J37" i="13"/>
  <c r="J141" i="13"/>
  <c r="J103" i="13"/>
  <c r="J119" i="13"/>
  <c r="J137" i="13"/>
  <c r="J127" i="13"/>
  <c r="J85" i="13"/>
  <c r="M85" i="13"/>
  <c r="J35" i="13"/>
  <c r="M35" i="13"/>
  <c r="J55" i="13"/>
  <c r="J24" i="13"/>
  <c r="M24" i="13"/>
  <c r="J64" i="13"/>
  <c r="J69" i="13"/>
  <c r="M69" i="13"/>
  <c r="J68" i="13"/>
  <c r="M68" i="13"/>
  <c r="J156" i="13"/>
  <c r="J93" i="13"/>
  <c r="J43" i="13"/>
  <c r="M43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<sst xmlns="http://schemas.openxmlformats.org/spreadsheetml/2006/main" count="11831" uniqueCount="701">
  <si>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</si>
  <si>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</si>
  <si>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</si>
  <si>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</si>
  <si>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</si>
  <si>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</si>
  <si>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</si>
  <si>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</si>
  <si>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</si>
  <si>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</si>
  <si>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</si>
  <si>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</si>
  <si>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</si>
  <si>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</si>
  <si>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</si>
  <si>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</si>
  <si>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</si>
  <si>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</si>
  <si>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</si>
  <si>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</si>
  <si>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</si>
  <si>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</si>
  <si>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</si>
  <si>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</si>
  <si>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</si>
  <si>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</si>
  <si>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</si>
  <si>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</si>
  <si>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</si>
  <si>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</si>
  <si>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</si>
  <si>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</si>
  <si>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</si>
  <si>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</si>
  <si>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</si>
  <si>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</si>
  <si>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</si>
  <si>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</si>
  <si>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</si>
  <si>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</si>
  <si>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</si>
  <si>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</si>
  <si>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</si>
  <si>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</si>
  <si>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</si>
  <si>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</si>
  <si>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</si>
  <si>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</si>
  <si>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</si>
  <si>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</si>
  <si>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</si>
  <si>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</si>
  <si>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</si>
  <si>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</si>
  <si>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</si>
  <si>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</si>
  <si>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</si>
  <si>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</si>
  <si>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</si>
  <si>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</si>
  <si>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</si>
  <si>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</si>
  <si>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</si>
  <si>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</si>
  <si>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</si>
  <si>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</si>
  <si>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</si>
  <si>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</si>
  <si>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</si>
  <si>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</si>
  <si>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</si>
  <si>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</si>
  <si>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</si>
  <si>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</si>
  <si>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</si>
  <si>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</si>
  <si>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</si>
  <si>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</si>
  <si>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</si>
  <si>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</si>
  <si>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</si>
  <si>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</si>
  <si>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</si>
  <si>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</si>
  <si>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</si>
  <si>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</si>
  <si>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</si>
  <si>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</si>
  <si>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</si>
  <si>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</si>
  <si>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</si>
  <si>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</si>
  <si>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</si>
  <si>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</si>
  <si>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</si>
  <si>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</si>
  <si>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</si>
  <si>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</si>
  <si>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</si>
  <si>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</si>
  <si>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</si>
  <si>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</si>
  <si>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</si>
  <si>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</si>
  <si>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</si>
  <si>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</si>
  <si>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</si>
  <si>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</si>
  <si>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</si>
  <si>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</si>
  <si>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</si>
  <si>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</si>
  <si>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</si>
  <si>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</si>
  <si>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</si>
  <si>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</si>
  <si>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</si>
  <si>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</si>
  <si>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</si>
  <si>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</si>
  <si>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</si>
  <si>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</si>
  <si>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</si>
  <si>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</si>
  <si>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</si>
  <si>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</si>
  <si>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</si>
  <si>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</si>
  <si>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</si>
  <si>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</si>
  <si>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</si>
  <si>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</si>
  <si>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</si>
  <si>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</si>
  <si>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</si>
  <si>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</si>
  <si>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</si>
  <si>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</si>
  <si>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</si>
  <si>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</si>
  <si>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</si>
  <si>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</si>
  <si>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</si>
  <si>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</si>
  <si>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</si>
  <si>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</si>
  <si>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</si>
  <si>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</si>
  <si>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</si>
  <si>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</si>
  <si>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</si>
  <si>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</si>
  <si>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</si>
  <si>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</si>
  <si>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</si>
  <si>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</si>
  <si>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</si>
  <si>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</si>
  <si>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</si>
  <si>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</si>
  <si>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</si>
  <si>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</si>
  <si>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</si>
  <si>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</si>
  <si>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</si>
  <si>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</si>
  <si>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</si>
  <si>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</si>
  <si>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</si>
  <si>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</si>
  <si>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</si>
  <si>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</si>
  <si>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</si>
  <si>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</si>
  <si>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</si>
  <si>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</si>
  <si>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</si>
  <si>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</si>
  <si>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</si>
  <si>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</si>
  <si>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</si>
  <si>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</si>
  <si>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</si>
  <si>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</si>
  <si>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</si>
  <si>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</si>
  <si>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</si>
  <si>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</si>
  <si>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</si>
  <si>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</si>
  <si>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</si>
  <si>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</si>
  <si>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</si>
  <si>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</si>
  <si>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</si>
  <si>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</si>
  <si>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</si>
  <si>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</si>
  <si>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</si>
  <si>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</si>
  <si>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</si>
  <si>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</si>
  <si>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</si>
  <si>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</si>
  <si>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</si>
  <si>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</si>
  <si>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</si>
  <si>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</si>
  <si>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</si>
  <si>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</si>
  <si>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</si>
  <si>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</si>
  <si>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</si>
  <si>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</si>
  <si>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</si>
  <si>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</si>
  <si>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</si>
  <si>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</si>
  <si>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</si>
  <si>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</si>
  <si>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</si>
  <si>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</si>
  <si>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</si>
  <si>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</si>
  <si>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</si>
  <si>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</si>
  <si>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</si>
  <si>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</si>
  <si>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</si>
  <si>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</si>
  <si>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</si>
  <si>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</si>
  <si>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</si>
  <si>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</si>
  <si>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</si>
  <si>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</si>
  <si>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</si>
  <si>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</si>
  <si>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</si>
  <si>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</si>
  <si>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</si>
  <si>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</si>
  <si>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</si>
  <si>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</si>
  <si>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</si>
  <si>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</si>
  <si>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</si>
  <si>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</si>
  <si>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</si>
  <si>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</si>
  <si>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</si>
  <si>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</si>
  <si>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</si>
  <si>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</si>
  <si>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</si>
  <si>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</si>
  <si>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</si>
  <si>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</si>
  <si>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</si>
  <si>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</si>
  <si>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</si>
  <si>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</si>
  <si>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</si>
  <si>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</si>
  <si>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</si>
  <si>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</si>
  <si>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</si>
  <si>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</si>
  <si>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</si>
  <si>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</si>
  <si>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</si>
  <si>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</si>
  <si>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</si>
  <si>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</si>
  <si>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</si>
  <si>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</si>
  <si>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</si>
  <si>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</si>
  <si>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</si>
  <si>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</si>
  <si>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</si>
  <si>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</si>
  <si>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</si>
  <si>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</si>
  <si>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</si>
  <si>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</si>
  <si>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</si>
  <si>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</si>
  <si>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</si>
  <si>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</si>
  <si>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</si>
  <si>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</si>
  <si>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</si>
  <si>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</si>
  <si>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</si>
  <si>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</si>
  <si>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</si>
  <si>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</si>
  <si>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</si>
  <si>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</si>
  <si>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</si>
  <si>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</si>
  <si>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</si>
  <si>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</si>
  <si>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</si>
  <si>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</si>
  <si>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</si>
  <si>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</si>
  <si>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</si>
  <si>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</si>
  <si>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</si>
  <si>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</si>
  <si>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</si>
  <si>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</si>
  <si>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</si>
  <si>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</si>
  <si>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</si>
  <si>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</si>
  <si>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</si>
  <si>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</si>
  <si>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</si>
  <si>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</si>
  <si>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</si>
  <si>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</si>
  <si>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</si>
  <si>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</si>
  <si>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</si>
  <si>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</si>
  <si>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</si>
  <si>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</si>
  <si>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</si>
  <si>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</si>
  <si>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</si>
  <si>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</si>
  <si>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</si>
  <si>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</si>
  <si>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</si>
  <si>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</si>
  <si>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</si>
  <si>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</si>
  <si>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</si>
  <si>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</si>
  <si>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</si>
  <si>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</si>
  <si>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</si>
  <si>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</si>
  <si>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</si>
  <si>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</si>
  <si>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</si>
  <si>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</si>
  <si>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</si>
  <si>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</si>
  <si>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</si>
  <si>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</si>
  <si>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</si>
  <si>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</si>
  <si>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</si>
  <si>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</si>
  <si>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</si>
  <si>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</si>
  <si>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</si>
  <si>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</si>
  <si>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</si>
  <si>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</si>
  <si>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</si>
  <si>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</si>
  <si>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</si>
  <si>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</si>
  <si>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</si>
  <si>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</si>
  <si>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</si>
  <si>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</si>
  <si>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</si>
  <si>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</si>
  <si>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</si>
  <si>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</si>
  <si>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</si>
  <si>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</si>
  <si>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</si>
  <si>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</si>
  <si>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</si>
  <si>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</si>
  <si>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</si>
  <si>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</si>
  <si>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</si>
  <si>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</si>
  <si>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</si>
  <si>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</si>
  <si>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</si>
  <si>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</si>
  <si>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</si>
  <si>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</si>
  <si>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</si>
  <si>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</si>
  <si>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</si>
  <si>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</si>
  <si>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</si>
  <si>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</si>
  <si>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</si>
  <si>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</si>
  <si>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</si>
  <si>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</si>
  <si>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</si>
  <si>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</si>
  <si>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</si>
  <si>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</si>
  <si>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</si>
  <si>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</si>
  <si>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</si>
  <si>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</si>
  <si>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</si>
  <si>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</si>
  <si>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</si>
  <si>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</si>
  <si>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</si>
  <si>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</si>
  <si>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</si>
  <si>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</si>
  <si>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</si>
  <si>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</si>
  <si>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</si>
  <si>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</si>
  <si>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</si>
  <si>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</si>
  <si>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</si>
  <si>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</si>
  <si>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</si>
  <si>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</si>
  <si>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</si>
  <si>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</si>
  <si>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</si>
  <si>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</si>
  <si>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</si>
  <si>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</si>
  <si>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</si>
  <si>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</si>
  <si>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</si>
  <si>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</si>
  <si>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</si>
  <si>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</si>
  <si>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</si>
  <si>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</si>
  <si>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</si>
  <si>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</si>
  <si>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</si>
  <si>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</si>
  <si>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</si>
  <si>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</si>
  <si>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</si>
  <si>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</si>
  <si>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</si>
  <si>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</si>
  <si>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</si>
  <si>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</si>
  <si>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</si>
  <si>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</si>
  <si>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</si>
  <si>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</si>
  <si>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</si>
  <si>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</si>
  <si>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</si>
  <si>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</si>
  <si>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</si>
  <si>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</si>
  <si>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</si>
  <si>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</si>
  <si>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</si>
  <si>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</si>
  <si>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</si>
  <si>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</si>
  <si>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</si>
  <si>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</si>
  <si>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</si>
  <si>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</si>
  <si>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</si>
  <si>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</si>
  <si>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</si>
  <si>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</si>
  <si>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</si>
  <si>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</si>
  <si>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</si>
  <si>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</si>
  <si>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</si>
  <si>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</si>
  <si>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</si>
  <si>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</si>
  <si>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</si>
  <si>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</si>
  <si>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</si>
  <si>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</si>
  <si>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</si>
  <si>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</si>
  <si>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</si>
  <si>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</si>
  <si>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</si>
  <si>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</si>
  <si>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</si>
  <si>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</si>
  <si>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</si>
  <si>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</si>
  <si>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</si>
  <si>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</si>
  <si>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</si>
  <si>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</si>
  <si>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</si>
  <si>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</si>
  <si>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</si>
  <si>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</si>
  <si>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</si>
  <si>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</si>
  <si>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</si>
  <si>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</si>
  <si>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</si>
  <si>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</si>
  <si>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</si>
  <si>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</si>
  <si>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</si>
  <si>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</si>
  <si>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</si>
  <si>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</si>
  <si>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</si>
  <si>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</si>
  <si>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</si>
  <si>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</si>
  <si>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</si>
  <si>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</si>
  <si>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</si>
  <si>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</si>
  <si>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</si>
  <si>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</si>
  <si>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</si>
  <si>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</si>
  <si>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</si>
  <si>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</si>
  <si>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</si>
  <si>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</si>
  <si>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</si>
  <si>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</si>
  <si>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</si>
  <si>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</si>
  <si>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</si>
  <si>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</si>
  <si>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</si>
  <si>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</si>
  <si>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</si>
  <si>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</si>
  <si>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</si>
  <si>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</si>
  <si>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</si>
  <si>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</si>
  <si>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</si>
  <si>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</si>
  <si>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</si>
  <si>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</si>
  <si>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</si>
  <si>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</si>
  <si>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</si>
  <si>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</si>
  <si>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</si>
  <si>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</si>
  <si>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</si>
  <si>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</si>
  <si>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</si>
  <si>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</si>
  <si>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</si>
  <si>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</si>
  <si>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</si>
  <si>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</si>
  <si>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</si>
  <si>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</si>
  <si>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</si>
  <si>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</si>
  <si>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</si>
  <si>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</si>
  <si>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</si>
  <si>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</si>
  <si>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</si>
  <si>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</si>
  <si>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</si>
  <si>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</si>
  <si>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</si>
  <si>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</si>
  <si>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</si>
  <si>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</si>
  <si>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</si>
  <si>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</si>
  <si>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</si>
  <si>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</si>
  <si>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</si>
  <si>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</si>
  <si>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</si>
  <si>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</si>
  <si>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</si>
  <si>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</si>
  <si>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</si>
  <si>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</si>
  <si>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</si>
  <si>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</si>
  <si>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</si>
  <si>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</si>
  <si>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</si>
  <si>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</si>
  <si>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</si>
  <si>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</si>
  <si>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</si>
  <si>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</si>
  <si>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</si>
  <si>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</si>
  <si>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</si>
  <si>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</si>
  <si>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</si>
  <si>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</si>
  <si>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</si>
  <si>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</si>
  <si>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</si>
  <si>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</si>
  <si>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</si>
  <si>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</si>
  <si>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</si>
  <si>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</si>
  <si>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</si>
  <si>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</si>
  <si>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</si>
  <si>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</si>
  <si>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</si>
  <si>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</si>
  <si>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</si>
  <si>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</si>
  <si>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</si>
  <si>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</si>
  <si>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</si>
  <si>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</si>
  <si>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</si>
  <si>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</si>
  <si>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</si>
  <si>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</si>
  <si>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</si>
  <si>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</si>
  <si>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</si>
  <si>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</si>
  <si>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</si>
  <si>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</si>
  <si>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</si>
  <si>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</si>
  <si>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</si>
  <si>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</si>
  <si>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</si>
  <si>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</si>
  <si>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</si>
  <si>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</si>
  <si>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</si>
  <si>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</si>
  <si>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</si>
  <si>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</si>
  <si>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</si>
  <si>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</si>
  <si>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</si>
  <si>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</si>
  <si>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</si>
  <si>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</si>
  <si>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</si>
  <si>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</si>
  <si>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</si>
  <si>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</si>
  <si>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</si>
  <si>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</si>
  <si>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</si>
  <si>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</si>
  <si>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</si>
  <si>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</si>
  <si>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</si>
  <si>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</si>
  <si>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CAMEL NATURAL FLAVOR 20</t>
  </si>
  <si>
    <t>Contenido</t>
  </si>
  <si>
    <t>Extra bajo</t>
  </si>
  <si>
    <t>Bajo</t>
  </si>
  <si>
    <t>Medio</t>
  </si>
  <si>
    <t>Alto</t>
  </si>
  <si>
    <t>Nivel  Nic</t>
  </si>
  <si>
    <t>WINSTON OASIS FRES 27.4 G</t>
  </si>
  <si>
    <t>VELO SPICY PAPAYA 8MG 15 PZ</t>
  </si>
  <si>
    <t>PALL MALL OSAKA 14 PZ</t>
  </si>
  <si>
    <t>MARLBORO RED 18'S CAJETILLA PZ</t>
  </si>
  <si>
    <t>MARLBORO GOLD 18'S CAJETILLA PZ</t>
  </si>
  <si>
    <t>PALL MALL CHICAGO 20 PZ</t>
  </si>
  <si>
    <t>PALL MALL CHICAGO 14 PZ</t>
  </si>
  <si>
    <t>Plazas o Tiendas que Aplica</t>
  </si>
  <si>
    <t>Reynosa</t>
  </si>
  <si>
    <t>Matamoros</t>
  </si>
  <si>
    <t>Jalisco</t>
  </si>
  <si>
    <t>Saltillo</t>
  </si>
  <si>
    <t>Torreón</t>
  </si>
  <si>
    <t>Nuevo León</t>
  </si>
  <si>
    <t>Tijuana</t>
  </si>
  <si>
    <t>Ensenada</t>
  </si>
  <si>
    <t>Mexicali</t>
  </si>
  <si>
    <t>Hermosillo</t>
  </si>
  <si>
    <t>Puebla</t>
  </si>
  <si>
    <t>Morelos</t>
  </si>
  <si>
    <t>Quintana Roo</t>
  </si>
  <si>
    <t>TOKIO MIDNIGHT PALL MALL 20PZ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</si>
</sst>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50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" fillId="6" borderId="0" xfId="0" applyFont="1" applyFill="1"/>
    <xf numFmtId="0" fontId="2" fillId="5" borderId="1" xfId="1" applyFont="1" applyFill="1" applyBorder="1"/>
    <xf numFmtId="0" fontId="0" fillId="0" borderId="1" xfId="0" applyBorder="1"/>
    <xf numFmtId="1" fontId="5" fillId="0" borderId="1" xfId="0" applyNumberFormat="1" applyFont="1" applyBorder="1"/>
    <xf numFmtId="0" fontId="5" fillId="0" borderId="1" xfId="0" applyFont="1" applyBorder="1"/>
    <xf numFmtId="1" fontId="1" fillId="4" borderId="0" xfId="1" applyNumberFormat="1" applyFill="1"/>
    <xf numFmtId="0" fontId="5" fillId="6" borderId="0" xfId="0" applyFont="1" applyFill="1" applyAlignment="1">
      <alignment vertical="center"/>
    </xf>
    <xf numFmtId="1" fontId="5" fillId="6" borderId="0" xfId="0" applyNumberFormat="1" applyFont="1" applyFill="1" applyAlignment="1">
      <alignment vertical="center"/>
    </xf>
    <xf numFmtId="0" fontId="42" fillId="38" borderId="11" xfId="0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0" fontId="9" fillId="0" borderId="0" xfId="0" applyFont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20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9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7eleven-my.sharepoint.com/personal/emilio_rodarte_7-eleven_com_mx/Documents/Cigarros%202026/Inv/Articulos%20descontinuados%20(2).xlsx" TargetMode="External"/><Relationship Id="rId1" Type="http://schemas.openxmlformats.org/officeDocument/2006/relationships/externalLinkPath" Target="Articulos%20descontinuados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os y plazas"/>
      <sheetName val="PLAZA"/>
      <sheetName val="master"/>
    </sheetNames>
    <sheetDataSet>
      <sheetData sheetId="0" refreshError="1"/>
      <sheetData sheetId="1" refreshError="1"/>
      <sheetData sheetId="2">
        <row r="1">
          <cell r="A1" t="str">
            <v>ARTICULO</v>
          </cell>
          <cell r="B1" t="str">
            <v>UPC</v>
          </cell>
          <cell r="C1" t="str">
            <v>DESCRIPCIÓN</v>
          </cell>
        </row>
        <row r="2">
          <cell r="A2">
            <v>100024998</v>
          </cell>
          <cell r="B2">
            <v>7311250046988</v>
          </cell>
          <cell r="C2" t="str">
            <v>ZYN SPEARMINT 6MG STRONG CAJETILLA PZ</v>
          </cell>
        </row>
        <row r="3">
          <cell r="A3">
            <v>100024997</v>
          </cell>
          <cell r="B3">
            <v>7311250046971</v>
          </cell>
          <cell r="C3" t="str">
            <v>ZYN SPEARMINT 3MG MEDIUM CAJETILLA PZ</v>
          </cell>
        </row>
        <row r="4">
          <cell r="A4">
            <v>100025304</v>
          </cell>
          <cell r="B4">
            <v>7311250048388</v>
          </cell>
          <cell r="C4" t="str">
            <v>ZYN SPEARMINIT 1.5MG LOW CAJETILLA PZ</v>
          </cell>
        </row>
        <row r="5">
          <cell r="A5">
            <v>100026067</v>
          </cell>
          <cell r="B5">
            <v>7311250035579</v>
          </cell>
          <cell r="C5" t="str">
            <v>ZYN PEACH 6MG STRONG LATA PZ</v>
          </cell>
        </row>
        <row r="6">
          <cell r="A6">
            <v>100026065</v>
          </cell>
          <cell r="B6">
            <v>7311250035593</v>
          </cell>
          <cell r="C6" t="str">
            <v>ZYN PEACH 3MG MEDIUM LATA PZ</v>
          </cell>
        </row>
        <row r="7">
          <cell r="A7">
            <v>100024400</v>
          </cell>
          <cell r="B7">
            <v>7311250044441</v>
          </cell>
          <cell r="C7" t="str">
            <v>ZYN ESPRESSINO MINI STRONG UNIDAD PZ</v>
          </cell>
        </row>
        <row r="8">
          <cell r="A8">
            <v>100024295</v>
          </cell>
          <cell r="B8">
            <v>7311250044434</v>
          </cell>
          <cell r="C8" t="str">
            <v>ZYN ESPRESSINO MINI MEDIUM CAJETILLA PZ</v>
          </cell>
        </row>
        <row r="9">
          <cell r="A9">
            <v>100024399</v>
          </cell>
          <cell r="B9">
            <v>7311250044403</v>
          </cell>
          <cell r="C9" t="str">
            <v>ZYN COOL MINT MINI STRONG UNIDAD PZ</v>
          </cell>
        </row>
        <row r="10">
          <cell r="A10">
            <v>100024294</v>
          </cell>
          <cell r="B10">
            <v>7311250044397</v>
          </cell>
          <cell r="C10" t="str">
            <v>ZYN COOL MINT MINI MEDIUM CAJETILLA PZ</v>
          </cell>
        </row>
        <row r="11">
          <cell r="A11">
            <v>100026064</v>
          </cell>
          <cell r="B11">
            <v>7311250035562</v>
          </cell>
          <cell r="C11" t="str">
            <v>ZYN COOL MINT 1.5MG LOW LATA PZ</v>
          </cell>
        </row>
        <row r="12">
          <cell r="A12">
            <v>100024398</v>
          </cell>
          <cell r="B12">
            <v>7311250044427</v>
          </cell>
          <cell r="C12" t="str">
            <v>ZYN CITRUS MINI STRONG UNIDAD PZ</v>
          </cell>
        </row>
        <row r="13">
          <cell r="A13">
            <v>100024293</v>
          </cell>
          <cell r="B13">
            <v>7311250044410</v>
          </cell>
          <cell r="C13" t="str">
            <v>ZYN CITRUS MINI MEDIUM CAJETILLA PZ</v>
          </cell>
        </row>
        <row r="14">
          <cell r="A14">
            <v>100024397</v>
          </cell>
          <cell r="B14">
            <v>7311250044380</v>
          </cell>
          <cell r="C14" t="str">
            <v>ZYN BLACK CHERRY MINI STRONG UNIDAD PZ</v>
          </cell>
        </row>
        <row r="15">
          <cell r="A15">
            <v>100024289</v>
          </cell>
          <cell r="B15">
            <v>7311250044373</v>
          </cell>
          <cell r="C15" t="str">
            <v>ZYN BLACK CHERRY MINI MEDIUM CAJETILLA PZ</v>
          </cell>
        </row>
        <row r="16">
          <cell r="A16">
            <v>100026062</v>
          </cell>
          <cell r="B16">
            <v>7311250035555</v>
          </cell>
          <cell r="C16" t="str">
            <v>ZYN BLACK CHERRY 1.5MG LOW LATA PZ</v>
          </cell>
        </row>
        <row r="17">
          <cell r="A17">
            <v>100022995</v>
          </cell>
          <cell r="B17">
            <v>7503023959520</v>
          </cell>
          <cell r="C17" t="str">
            <v>WINSTON WINSTON RED 25S 1 PZ</v>
          </cell>
        </row>
        <row r="18">
          <cell r="A18">
            <v>100022996</v>
          </cell>
          <cell r="B18">
            <v>7503023959513</v>
          </cell>
          <cell r="C18" t="str">
            <v>WINSTON WINSTON RED 20S 1 PZ</v>
          </cell>
        </row>
        <row r="19">
          <cell r="A19">
            <v>100025162</v>
          </cell>
          <cell r="B19">
            <v>7503023959452</v>
          </cell>
          <cell r="C19" t="str">
            <v>WINSTON WINSTON CLASSIC 25S 25 PZ</v>
          </cell>
        </row>
        <row r="20">
          <cell r="A20">
            <v>100080896</v>
          </cell>
          <cell r="B20">
            <v>40331362</v>
          </cell>
          <cell r="C20" t="str">
            <v>WINSTON CIGARR CLASSIC  14S CAJET</v>
          </cell>
        </row>
        <row r="21">
          <cell r="A21">
            <v>100080898</v>
          </cell>
          <cell r="B21">
            <v>42138051</v>
          </cell>
          <cell r="C21" t="str">
            <v>WINSTON CIGARR BLUE 20S CAJET</v>
          </cell>
        </row>
        <row r="22">
          <cell r="A22">
            <v>100025053</v>
          </cell>
          <cell r="B22">
            <v>75081942</v>
          </cell>
          <cell r="C22" t="str">
            <v>LUCKIES 20S</v>
          </cell>
        </row>
        <row r="23">
          <cell r="A23">
            <v>100024321</v>
          </cell>
          <cell r="B23">
            <v>75080679</v>
          </cell>
          <cell r="C23" t="str">
            <v>LUCKIES 25S</v>
          </cell>
        </row>
        <row r="24">
          <cell r="A24">
            <v>100012153</v>
          </cell>
          <cell r="B24">
            <v>75063504</v>
          </cell>
          <cell r="C24" t="str">
            <v>LUCKY STRIKE 20S ME TDC 1PZ</v>
          </cell>
        </row>
        <row r="25">
          <cell r="A25">
            <v>100080955</v>
          </cell>
          <cell r="B25">
            <v>75046521</v>
          </cell>
          <cell r="C25" t="str">
            <v>LUCKY STRIKE AMARILLOS 20S</v>
          </cell>
        </row>
        <row r="26">
          <cell r="A26">
            <v>100080952</v>
          </cell>
          <cell r="B26">
            <v>75046545</v>
          </cell>
          <cell r="C26" t="str">
            <v>LUCKY STRIKE AMARILLOS 25S</v>
          </cell>
        </row>
        <row r="27">
          <cell r="A27">
            <v>100004788</v>
          </cell>
          <cell r="B27">
            <v>75051785</v>
          </cell>
          <cell r="C27" t="str">
            <v>LUCKY STRIKE CLICK 4 MIX</v>
          </cell>
        </row>
        <row r="28">
          <cell r="A28">
            <v>100019550</v>
          </cell>
          <cell r="B28">
            <v>75074227</v>
          </cell>
          <cell r="C28" t="str">
            <v>LUCKY STRIKE COMET 20S 1 CAJETILLA</v>
          </cell>
        </row>
        <row r="29">
          <cell r="A29">
            <v>100012997</v>
          </cell>
          <cell r="B29">
            <v>75064716</v>
          </cell>
          <cell r="C29" t="str">
            <v>LUCKY STRIKE ENIGMA 100S 1PZ</v>
          </cell>
        </row>
        <row r="30">
          <cell r="A30">
            <v>100026068</v>
          </cell>
          <cell r="B30">
            <v>75084332</v>
          </cell>
          <cell r="C30" t="str">
            <v>LUCKY STRIKE LUCKIES STICK 20S 20 PZ</v>
          </cell>
        </row>
        <row r="31">
          <cell r="A31">
            <v>100011590</v>
          </cell>
          <cell r="B31">
            <v>7501031700028</v>
          </cell>
          <cell r="C31" t="str">
            <v>LUCKY STRIKE OR255 PPROMO 1PZ</v>
          </cell>
        </row>
        <row r="32">
          <cell r="A32">
            <v>100080975</v>
          </cell>
          <cell r="B32">
            <v>75048129</v>
          </cell>
          <cell r="C32" t="str">
            <v>LUCKY STRIKE ORIGINAL FF 20S TUBE</v>
          </cell>
        </row>
        <row r="33">
          <cell r="A33">
            <v>100020970</v>
          </cell>
          <cell r="B33">
            <v>75076405</v>
          </cell>
          <cell r="C33" t="str">
            <v>MONTANA CLASSI 14S 1 CAJETILLA</v>
          </cell>
        </row>
        <row r="34">
          <cell r="A34">
            <v>100020969</v>
          </cell>
          <cell r="B34">
            <v>75076740</v>
          </cell>
          <cell r="C34" t="str">
            <v>MONTANA CLASSI 20S 1 CAJETILLA</v>
          </cell>
        </row>
        <row r="35">
          <cell r="A35">
            <v>100013075</v>
          </cell>
          <cell r="B35">
            <v>75064747</v>
          </cell>
          <cell r="C35" t="str">
            <v>MONTANA SHOTS 15S 1PZ</v>
          </cell>
        </row>
        <row r="36">
          <cell r="A36">
            <v>100013892</v>
          </cell>
          <cell r="B36">
            <v>75064754</v>
          </cell>
          <cell r="C36" t="str">
            <v>MONTANA SHOTS 1PZ</v>
          </cell>
        </row>
        <row r="37">
          <cell r="A37">
            <v>100023317</v>
          </cell>
          <cell r="B37">
            <v>75078843</v>
          </cell>
          <cell r="C37" t="str">
            <v>MONTANA SHOTS CLASSICS 25 PZ</v>
          </cell>
        </row>
        <row r="38">
          <cell r="A38">
            <v>100016489</v>
          </cell>
          <cell r="B38">
            <v>75071301</v>
          </cell>
          <cell r="C38" t="str">
            <v>PALL MALL ALASKA DUSK 15</v>
          </cell>
        </row>
        <row r="39">
          <cell r="A39">
            <v>100016443</v>
          </cell>
          <cell r="B39">
            <v>75071295</v>
          </cell>
          <cell r="C39" t="str">
            <v>PALL MALL ALASKA DUSK 20</v>
          </cell>
        </row>
        <row r="40">
          <cell r="A40">
            <v>100026387</v>
          </cell>
          <cell r="B40">
            <v>75080501</v>
          </cell>
          <cell r="C40" t="str">
            <v>PALL MALL ARUBA 20 PZ</v>
          </cell>
        </row>
        <row r="41">
          <cell r="A41">
            <v>101000079</v>
          </cell>
          <cell r="B41">
            <v>75079017</v>
          </cell>
          <cell r="C41" t="str">
            <v>PALL MALL BORA BORA SUNBREAK 20 PZ</v>
          </cell>
        </row>
        <row r="42">
          <cell r="A42">
            <v>100025311</v>
          </cell>
          <cell r="B42">
            <v>75083656</v>
          </cell>
          <cell r="C42" t="str">
            <v>TEREA TWILIGHT PEARL 20 CAJETILLA PZ</v>
          </cell>
        </row>
        <row r="43">
          <cell r="A43">
            <v>100024244</v>
          </cell>
          <cell r="B43">
            <v>75006358</v>
          </cell>
          <cell r="C43" t="str">
            <v>TEREA SUN PEARL CAJETILLA PZ</v>
          </cell>
        </row>
        <row r="44">
          <cell r="A44">
            <v>100023686</v>
          </cell>
          <cell r="B44">
            <v>75006938</v>
          </cell>
          <cell r="C44" t="str">
            <v>TEREA SIENNA CAJETILLA PZ</v>
          </cell>
        </row>
        <row r="45">
          <cell r="A45">
            <v>100023685</v>
          </cell>
          <cell r="B45">
            <v>75007461</v>
          </cell>
          <cell r="C45" t="str">
            <v>TEREA RUSSET CAJETILLA PZ</v>
          </cell>
        </row>
        <row r="46">
          <cell r="A46">
            <v>100024999</v>
          </cell>
          <cell r="B46">
            <v>75081652</v>
          </cell>
          <cell r="C46" t="str">
            <v>TEREA PROVENCE PEARL MNT 20 CAJETILLA PZ</v>
          </cell>
        </row>
        <row r="47">
          <cell r="A47">
            <v>100025310</v>
          </cell>
          <cell r="B47">
            <v>75083649</v>
          </cell>
          <cell r="C47" t="str">
            <v>TEREA GLACIER PEARL 20 CAJETILLA PZ</v>
          </cell>
        </row>
        <row r="48">
          <cell r="A48">
            <v>100023682</v>
          </cell>
          <cell r="B48">
            <v>75006396</v>
          </cell>
          <cell r="C48" t="str">
            <v>TEREA BRONZE CAJETILLA PZ</v>
          </cell>
        </row>
        <row r="49">
          <cell r="A49">
            <v>100023681</v>
          </cell>
          <cell r="B49">
            <v>75006389</v>
          </cell>
          <cell r="C49" t="str">
            <v>TEREA BLUE CAJETILLA PZ</v>
          </cell>
        </row>
        <row r="50">
          <cell r="A50">
            <v>100024932</v>
          </cell>
          <cell r="B50">
            <v>75081362</v>
          </cell>
          <cell r="C50" t="str">
            <v>TEREA BLACK TROPICAL CAJETILLA PZ</v>
          </cell>
        </row>
        <row r="51">
          <cell r="A51">
            <v>100024246</v>
          </cell>
          <cell r="B51">
            <v>75007454</v>
          </cell>
          <cell r="C51" t="str">
            <v>TEREA BLACK PURPLE CAJETILLA PZ</v>
          </cell>
        </row>
        <row r="52">
          <cell r="A52">
            <v>100023679</v>
          </cell>
          <cell r="B52">
            <v>75032784</v>
          </cell>
          <cell r="C52" t="str">
            <v>TEREA AMBER CAJETILLA PZ</v>
          </cell>
        </row>
        <row r="53">
          <cell r="A53">
            <v>100080351</v>
          </cell>
          <cell r="B53">
            <v>7501609500241</v>
          </cell>
          <cell r="C53" t="str">
            <v>TE AMO PURO NUM 4 NATURAL PZ</v>
          </cell>
        </row>
        <row r="54">
          <cell r="A54">
            <v>100080762</v>
          </cell>
          <cell r="B54">
            <v>7501609506939</v>
          </cell>
          <cell r="C54" t="str">
            <v>TE AMO PURO MINIPERFECTO CAJET</v>
          </cell>
        </row>
        <row r="55">
          <cell r="A55">
            <v>100017182</v>
          </cell>
          <cell r="B55">
            <v>8414775013578</v>
          </cell>
          <cell r="C55" t="str">
            <v>SMOKING PAPEL ZIGZAG RED 1 PZ</v>
          </cell>
        </row>
        <row r="56">
          <cell r="A56">
            <v>100080938</v>
          </cell>
          <cell r="B56">
            <v>7503006684791</v>
          </cell>
          <cell r="C56" t="str">
            <v>PURO SANTA CRUZ PZ</v>
          </cell>
        </row>
        <row r="57">
          <cell r="A57">
            <v>100024599</v>
          </cell>
          <cell r="B57">
            <v>7501609515894</v>
          </cell>
          <cell r="C57" t="str">
            <v>PURO MATACAN ROBUSTO IND</v>
          </cell>
        </row>
        <row r="58">
          <cell r="A58">
            <v>100080942</v>
          </cell>
          <cell r="B58">
            <v>7503006684838</v>
          </cell>
          <cell r="C58" t="str">
            <v>PURO HABANA PZ</v>
          </cell>
        </row>
        <row r="59">
          <cell r="A59">
            <v>100080943</v>
          </cell>
          <cell r="B59">
            <v>7503006684852</v>
          </cell>
          <cell r="C59" t="str">
            <v>PURO HABANA PZ</v>
          </cell>
        </row>
        <row r="60">
          <cell r="A60">
            <v>100080941</v>
          </cell>
          <cell r="B60">
            <v>7503006684043</v>
          </cell>
          <cell r="C60" t="str">
            <v>PURO HABANA PZ</v>
          </cell>
        </row>
        <row r="61">
          <cell r="A61">
            <v>100080939</v>
          </cell>
          <cell r="B61">
            <v>7503006684395</v>
          </cell>
          <cell r="C61" t="str">
            <v>PURO ARTIGAS BLACK PZ</v>
          </cell>
        </row>
        <row r="62">
          <cell r="A62">
            <v>100080940</v>
          </cell>
          <cell r="B62">
            <v>7503006684807</v>
          </cell>
          <cell r="C62" t="str">
            <v>PURITO HABANA GOLD VA PZ</v>
          </cell>
        </row>
        <row r="63">
          <cell r="A63">
            <v>100016044</v>
          </cell>
          <cell r="B63">
            <v>7465603183667</v>
          </cell>
          <cell r="C63" t="str">
            <v>PRINCIPE PURO FOIL VAINILLA 1 PZ</v>
          </cell>
        </row>
        <row r="64">
          <cell r="A64">
            <v>100016043</v>
          </cell>
          <cell r="B64">
            <v>7465603183636</v>
          </cell>
          <cell r="C64" t="str">
            <v>PRINCIPE PURO FOIL NATURAL 1 PZ</v>
          </cell>
        </row>
        <row r="65">
          <cell r="A65">
            <v>100016042</v>
          </cell>
          <cell r="B65">
            <v>7465603183629</v>
          </cell>
          <cell r="C65" t="str">
            <v>PRINCIPE PURO FOIL CHOCOLATE 1 PZ</v>
          </cell>
        </row>
        <row r="66">
          <cell r="A66">
            <v>100016045</v>
          </cell>
          <cell r="B66">
            <v>7465603180529</v>
          </cell>
          <cell r="C66" t="str">
            <v>PRINCIPE PURO FOIL CEREZA 1 PZ</v>
          </cell>
        </row>
        <row r="67">
          <cell r="A67">
            <v>100017982</v>
          </cell>
          <cell r="B67">
            <v>75071776</v>
          </cell>
          <cell r="C67" t="str">
            <v>PALL MALL CLASSICS 20</v>
          </cell>
        </row>
        <row r="68">
          <cell r="A68">
            <v>100023425</v>
          </cell>
          <cell r="B68">
            <v>75079963</v>
          </cell>
          <cell r="C68" t="str">
            <v>PALL MALL CLASSICS 25 PZ</v>
          </cell>
        </row>
        <row r="69">
          <cell r="A69">
            <v>100020837</v>
          </cell>
          <cell r="B69">
            <v>75074081</v>
          </cell>
          <cell r="C69" t="str">
            <v>PALL MALL EX CLASSI 14S 1 CAJETILLA</v>
          </cell>
        </row>
        <row r="70">
          <cell r="A70">
            <v>100021658</v>
          </cell>
          <cell r="B70">
            <v>75076757</v>
          </cell>
          <cell r="C70" t="str">
            <v>PALL MALL EX GOLD C 14S 1 CAJETILLA</v>
          </cell>
        </row>
        <row r="71">
          <cell r="A71">
            <v>100021978</v>
          </cell>
          <cell r="B71">
            <v>75078638</v>
          </cell>
          <cell r="C71" t="str">
            <v>PALL MALL EX GOLD C 20S 1 CAJETILLA</v>
          </cell>
        </row>
        <row r="72">
          <cell r="A72">
            <v>100018746</v>
          </cell>
          <cell r="B72">
            <v>75073534</v>
          </cell>
          <cell r="C72" t="str">
            <v>PALL MALL EX RED 15 1 CAJETILLA</v>
          </cell>
        </row>
        <row r="73">
          <cell r="A73">
            <v>100018745</v>
          </cell>
          <cell r="B73">
            <v>75073541</v>
          </cell>
          <cell r="C73" t="str">
            <v>PALL MALL EX WHITE 15 1 CAJETILLA</v>
          </cell>
        </row>
        <row r="74">
          <cell r="A74">
            <v>100025670</v>
          </cell>
          <cell r="B74">
            <v>75083786</v>
          </cell>
          <cell r="C74" t="str">
            <v>PALL MALL GOLD SELECT 14 PZ</v>
          </cell>
        </row>
        <row r="75">
          <cell r="A75">
            <v>100025843</v>
          </cell>
          <cell r="B75">
            <v>75084165</v>
          </cell>
          <cell r="C75" t="str">
            <v>PALL MALL TOKYO ROADTRIP CAN 20 PZ</v>
          </cell>
        </row>
        <row r="76">
          <cell r="A76">
            <v>100022118</v>
          </cell>
          <cell r="B76">
            <v>75076429</v>
          </cell>
          <cell r="C76" t="str">
            <v>PALL MALL HAWAII 20S 1 CAJETILLA</v>
          </cell>
        </row>
        <row r="77">
          <cell r="A77">
            <v>100025282</v>
          </cell>
          <cell r="B77">
            <v>75082543</v>
          </cell>
          <cell r="C77" t="str">
            <v>PALL MALL HAWAII SUNLIGHT 15 PZ</v>
          </cell>
        </row>
        <row r="78">
          <cell r="A78">
            <v>100026385</v>
          </cell>
          <cell r="B78">
            <v>75080525</v>
          </cell>
          <cell r="C78" t="str">
            <v>PALL MALL HONOLULU 20 PZ</v>
          </cell>
        </row>
        <row r="79">
          <cell r="A79">
            <v>100026386</v>
          </cell>
          <cell r="B79">
            <v>75080495</v>
          </cell>
          <cell r="C79" t="str">
            <v>PALL MALL ICELAND 20 PZ</v>
          </cell>
        </row>
        <row r="80">
          <cell r="A80">
            <v>100022233</v>
          </cell>
          <cell r="B80">
            <v>75076412</v>
          </cell>
          <cell r="C80" t="str">
            <v>PALL MALL LONDON 20S 1 CAJETILLA</v>
          </cell>
        </row>
        <row r="81">
          <cell r="A81">
            <v>100012746</v>
          </cell>
          <cell r="B81">
            <v>75064648</v>
          </cell>
          <cell r="C81" t="str">
            <v>PALL MALL MYKONOS NIGHTFALL 20</v>
          </cell>
        </row>
        <row r="82">
          <cell r="A82">
            <v>100014187</v>
          </cell>
          <cell r="B82">
            <v>75068363</v>
          </cell>
          <cell r="C82" t="str">
            <v>PALL MALL NEW YORK 20</v>
          </cell>
        </row>
        <row r="83">
          <cell r="A83">
            <v>100026388</v>
          </cell>
          <cell r="B83">
            <v>75080518</v>
          </cell>
          <cell r="C83" t="str">
            <v>PALL MALL OSAKA 20 PZ</v>
          </cell>
        </row>
        <row r="84">
          <cell r="A84">
            <v>100025673</v>
          </cell>
          <cell r="B84">
            <v>75083779</v>
          </cell>
          <cell r="C84" t="str">
            <v>PALL MALL PALL MALL GOLD SELECT 20 PZ</v>
          </cell>
        </row>
        <row r="85">
          <cell r="A85">
            <v>100025677</v>
          </cell>
          <cell r="B85">
            <v>75083793</v>
          </cell>
          <cell r="C85" t="str">
            <v>PALL MALL PALL MALL RED SELECT 25 PZ</v>
          </cell>
        </row>
        <row r="86">
          <cell r="A86">
            <v>100025672</v>
          </cell>
          <cell r="B86">
            <v>75083762</v>
          </cell>
          <cell r="C86" t="str">
            <v>PALL MALL PALL MALL SELECT 14 PZ</v>
          </cell>
        </row>
        <row r="87">
          <cell r="A87">
            <v>100025675</v>
          </cell>
          <cell r="B87">
            <v>75083755</v>
          </cell>
          <cell r="C87" t="str">
            <v>PALL MALL PALL MALL SELECT 20 PZ</v>
          </cell>
        </row>
        <row r="88">
          <cell r="A88">
            <v>100025844</v>
          </cell>
          <cell r="B88">
            <v>75084172</v>
          </cell>
          <cell r="C88" t="str">
            <v>PALL MALL MYKONOS ROADTRIP CAN 20 PZ</v>
          </cell>
        </row>
        <row r="89">
          <cell r="A89">
            <v>100025850</v>
          </cell>
          <cell r="B89">
            <v>75083632</v>
          </cell>
          <cell r="C89" t="str">
            <v>PALL MALL PM MANILA DAYLIGHT 20 PZ</v>
          </cell>
        </row>
        <row r="90">
          <cell r="A90">
            <v>100025847</v>
          </cell>
          <cell r="B90">
            <v>75084141</v>
          </cell>
          <cell r="C90" t="str">
            <v>PALL MALL MIAMI ROADTRIP CAN 20 PZ</v>
          </cell>
        </row>
        <row r="91">
          <cell r="A91">
            <v>100025848</v>
          </cell>
          <cell r="B91">
            <v>75084486</v>
          </cell>
          <cell r="C91" t="str">
            <v>PALL MALL MANILA ROADTRIP CAN 20 PZ</v>
          </cell>
        </row>
        <row r="92">
          <cell r="A92">
            <v>100013077</v>
          </cell>
          <cell r="B92">
            <v>75064761</v>
          </cell>
          <cell r="C92" t="str">
            <v>PALL MALL RED 15 1PZ</v>
          </cell>
        </row>
        <row r="93">
          <cell r="A93">
            <v>100016413</v>
          </cell>
          <cell r="B93">
            <v>75071455</v>
          </cell>
          <cell r="C93" t="str">
            <v>PALL MALL RED 20</v>
          </cell>
        </row>
        <row r="94">
          <cell r="A94">
            <v>100025845</v>
          </cell>
          <cell r="B94">
            <v>75084127</v>
          </cell>
          <cell r="C94" t="str">
            <v>PALL MALL HAWAII ROADTRIP CAN 20 PZ</v>
          </cell>
        </row>
        <row r="95">
          <cell r="A95">
            <v>100013891</v>
          </cell>
          <cell r="B95">
            <v>75064778</v>
          </cell>
          <cell r="C95" t="str">
            <v>PALL MALL RED 25 1PZ</v>
          </cell>
        </row>
        <row r="96">
          <cell r="A96">
            <v>100080802</v>
          </cell>
          <cell r="B96">
            <v>75027766</v>
          </cell>
          <cell r="C96" t="str">
            <v>PALL MALL RED AND CLICK 20</v>
          </cell>
        </row>
        <row r="97">
          <cell r="A97">
            <v>100010093</v>
          </cell>
          <cell r="B97">
            <v>75061777</v>
          </cell>
          <cell r="C97" t="str">
            <v>PALL MALL TOKIO MIDNIGHT 15S</v>
          </cell>
        </row>
        <row r="98">
          <cell r="A98">
            <v>100005585</v>
          </cell>
          <cell r="B98">
            <v>75052836</v>
          </cell>
          <cell r="C98" t="str">
            <v>PALL MALL TOKYO MIDNIGHT 20</v>
          </cell>
        </row>
        <row r="99">
          <cell r="A99">
            <v>100013078</v>
          </cell>
          <cell r="B99">
            <v>75064785</v>
          </cell>
          <cell r="C99" t="str">
            <v>PALL MALL WHITE 15 1PZ</v>
          </cell>
        </row>
        <row r="100">
          <cell r="A100">
            <v>100016412</v>
          </cell>
          <cell r="B100">
            <v>75071479</v>
          </cell>
          <cell r="C100" t="str">
            <v>PALL MALL WHITE 20</v>
          </cell>
        </row>
        <row r="101">
          <cell r="A101">
            <v>100080644</v>
          </cell>
          <cell r="B101">
            <v>8346917</v>
          </cell>
          <cell r="C101" t="str">
            <v>PALL MALL WHITE AND CLICK 20</v>
          </cell>
        </row>
        <row r="102">
          <cell r="A102">
            <v>100019234</v>
          </cell>
          <cell r="B102">
            <v>75074975</v>
          </cell>
          <cell r="C102" t="str">
            <v>PALL MALL XL ALASKA 15S 1 CAJETILLA</v>
          </cell>
        </row>
        <row r="103">
          <cell r="A103">
            <v>100024596</v>
          </cell>
          <cell r="B103">
            <v>75081058</v>
          </cell>
          <cell r="C103" t="str">
            <v>PALL MALL XL MIAMI PARADISE 20S 20 PZ</v>
          </cell>
        </row>
        <row r="104">
          <cell r="A104">
            <v>100019233</v>
          </cell>
          <cell r="B104">
            <v>75074999</v>
          </cell>
          <cell r="C104" t="str">
            <v>PALL MALL XL MYKONO 15S 1 CAJETILLA</v>
          </cell>
        </row>
        <row r="105">
          <cell r="A105">
            <v>100025846</v>
          </cell>
          <cell r="B105">
            <v>75084134</v>
          </cell>
          <cell r="C105" t="str">
            <v>PALL MALL BORA BORA ROADTRIP CAN 20 PZ</v>
          </cell>
        </row>
        <row r="106">
          <cell r="A106">
            <v>100025842</v>
          </cell>
          <cell r="B106">
            <v>75084189</v>
          </cell>
          <cell r="C106" t="str">
            <v>PALL MALL ALASKA ROADTRIP CAN 20 PZ</v>
          </cell>
        </row>
        <row r="107">
          <cell r="A107">
            <v>100020838</v>
          </cell>
          <cell r="B107">
            <v>75074944</v>
          </cell>
          <cell r="C107" t="str">
            <v>PALL MALL XL RÍO SU 20S 1 CAJETILLA</v>
          </cell>
        </row>
        <row r="108">
          <cell r="A108">
            <v>100019230</v>
          </cell>
          <cell r="B108">
            <v>75074982</v>
          </cell>
          <cell r="C108" t="str">
            <v>PALL MALL XL TOKYO 15S 1 CAJETILLA</v>
          </cell>
        </row>
        <row r="109">
          <cell r="A109">
            <v>100025893</v>
          </cell>
          <cell r="B109">
            <v>7503039738447</v>
          </cell>
          <cell r="C109" t="str">
            <v>VELO CHERRY ICE 6 MG 15 PZ</v>
          </cell>
        </row>
        <row r="110">
          <cell r="A110">
            <v>100026306</v>
          </cell>
          <cell r="B110">
            <v>7503039738584</v>
          </cell>
          <cell r="C110" t="str">
            <v>VELO CHERRY ICE 6 MG TC COLOR 15 PZ</v>
          </cell>
        </row>
        <row r="111">
          <cell r="A111">
            <v>100024419</v>
          </cell>
          <cell r="B111">
            <v>7702303622080</v>
          </cell>
          <cell r="C111" t="str">
            <v>VELO GREEN SPEARMINT 4 MG 15 PZ</v>
          </cell>
        </row>
        <row r="112">
          <cell r="A112">
            <v>100026071</v>
          </cell>
          <cell r="B112">
            <v>7503039738508</v>
          </cell>
          <cell r="C112" t="str">
            <v>VELO GREEN SPEARMINT 4 MG TC BK 15 PZ</v>
          </cell>
        </row>
        <row r="113">
          <cell r="A113">
            <v>100024420</v>
          </cell>
          <cell r="B113">
            <v>7702303121477</v>
          </cell>
          <cell r="C113" t="str">
            <v>VELO GREEN SPEARMINT 6 MG 15 PZ</v>
          </cell>
        </row>
        <row r="114">
          <cell r="A114">
            <v>100016248</v>
          </cell>
          <cell r="B114">
            <v>25900000400</v>
          </cell>
          <cell r="C114" t="str">
            <v>MINITIP CIGARR VAINILLA 1 PZ</v>
          </cell>
        </row>
        <row r="115">
          <cell r="A115">
            <v>100009364</v>
          </cell>
          <cell r="B115">
            <v>7503023648011</v>
          </cell>
          <cell r="C115" t="str">
            <v>MAZATAN PURO TORO PZ</v>
          </cell>
        </row>
        <row r="116">
          <cell r="A116">
            <v>100009359</v>
          </cell>
          <cell r="B116">
            <v>7503023648042</v>
          </cell>
          <cell r="C116" t="str">
            <v>MAZATAN PURO PETTITE PANATELA PZ</v>
          </cell>
        </row>
        <row r="117">
          <cell r="A117">
            <v>100080381</v>
          </cell>
          <cell r="B117">
            <v>7501609501804</v>
          </cell>
          <cell r="C117" t="str">
            <v>MATACAN PURO NO.7 CAJET</v>
          </cell>
        </row>
        <row r="118">
          <cell r="A118">
            <v>100020133</v>
          </cell>
          <cell r="B118">
            <v>75075217</v>
          </cell>
          <cell r="C118" t="str">
            <v>MARLBORO VISTA SUMMER FUSIO 1 CAJETILLA</v>
          </cell>
        </row>
        <row r="119">
          <cell r="A119">
            <v>100018656</v>
          </cell>
          <cell r="B119">
            <v>75001360</v>
          </cell>
          <cell r="C119" t="str">
            <v>MARLBORO VISTA GARDEN 20 1 CAJETILLA</v>
          </cell>
        </row>
        <row r="120">
          <cell r="A120">
            <v>100018872</v>
          </cell>
          <cell r="B120">
            <v>75001384</v>
          </cell>
          <cell r="C120" t="str">
            <v>MARLBORO VISTA ARTIC 20 1 CAJETILLA</v>
          </cell>
        </row>
        <row r="121">
          <cell r="A121">
            <v>100021790</v>
          </cell>
          <cell r="B121">
            <v>75019006</v>
          </cell>
          <cell r="C121" t="str">
            <v>MARLBORO VISTA  CARIBBEAN 1 CAJETILLA</v>
          </cell>
        </row>
        <row r="122">
          <cell r="A122">
            <v>100014868</v>
          </cell>
          <cell r="B122">
            <v>75068769</v>
          </cell>
          <cell r="C122" t="str">
            <v>MARLBORO VELVET 100 BOX 20 1 CAJETILLA</v>
          </cell>
        </row>
        <row r="123">
          <cell r="A123">
            <v>100025332</v>
          </cell>
          <cell r="B123">
            <v>75032807</v>
          </cell>
          <cell r="C123" t="str">
            <v>MARLBORO URBAN SHUFFLE 100 BOX 20 CAJETILLA PZ</v>
          </cell>
        </row>
        <row r="124">
          <cell r="A124">
            <v>100013110</v>
          </cell>
          <cell r="B124">
            <v>75065515</v>
          </cell>
          <cell r="C124" t="str">
            <v>MARLBORO RUBY 14 1CAJETILLA</v>
          </cell>
        </row>
        <row r="125">
          <cell r="A125">
            <v>100014711</v>
          </cell>
          <cell r="B125">
            <v>75068783</v>
          </cell>
          <cell r="C125" t="str">
            <v>MARLBORO RUBY 100 BOX 20 1CAJE</v>
          </cell>
        </row>
        <row r="126">
          <cell r="A126">
            <v>100014569</v>
          </cell>
          <cell r="B126">
            <v>75068813</v>
          </cell>
          <cell r="C126" t="str">
            <v>MARLBORO RED 100 CAPS 14 1CAJE</v>
          </cell>
        </row>
        <row r="127">
          <cell r="A127">
            <v>100024881</v>
          </cell>
          <cell r="B127">
            <v>75082345</v>
          </cell>
          <cell r="C127" t="str">
            <v>MARLBORO PROVENCE FUSION MNT 100 BOX 20 CAJETILLA PZ</v>
          </cell>
        </row>
        <row r="128">
          <cell r="A128">
            <v>100023312</v>
          </cell>
          <cell r="B128">
            <v>75006297</v>
          </cell>
          <cell r="C128" t="str">
            <v>MARLBORO MARLBORO CRAFTED RED 2.0 100 BOX 20 CAJETILLA PZ</v>
          </cell>
        </row>
        <row r="129">
          <cell r="A129">
            <v>100023311</v>
          </cell>
          <cell r="B129">
            <v>75006266</v>
          </cell>
          <cell r="C129" t="str">
            <v>MARLBORO MARLBORO CRAFTED 2.0 GOLD 100 BOX 20 CAJETILLA PZ</v>
          </cell>
        </row>
        <row r="130">
          <cell r="A130">
            <v>100024134</v>
          </cell>
          <cell r="B130">
            <v>75006587</v>
          </cell>
          <cell r="C130" t="str">
            <v>MARLBORO LUNA SHUFFLE 100 BOX 20 STD CAJETILLA PZ</v>
          </cell>
        </row>
        <row r="131">
          <cell r="A131">
            <v>100080928</v>
          </cell>
          <cell r="B131">
            <v>75044916</v>
          </cell>
          <cell r="C131" t="str">
            <v>MARLBORO KRETEK MINT</v>
          </cell>
        </row>
        <row r="132">
          <cell r="A132">
            <v>100015186</v>
          </cell>
          <cell r="B132">
            <v>75068844</v>
          </cell>
          <cell r="C132" t="str">
            <v>MARLBORO GOLD KS SRR 14 1 CAJETILLA</v>
          </cell>
        </row>
        <row r="133">
          <cell r="A133">
            <v>100015037</v>
          </cell>
          <cell r="B133">
            <v>75068745</v>
          </cell>
          <cell r="C133" t="str">
            <v>MARLBORO GOLD KS SOF 20 1 CAJETILLA</v>
          </cell>
        </row>
        <row r="134">
          <cell r="A134">
            <v>100014570</v>
          </cell>
          <cell r="B134">
            <v>75068738</v>
          </cell>
          <cell r="C134" t="str">
            <v>MARLBORO GOLD 20 RCB 1CAJE</v>
          </cell>
        </row>
        <row r="135">
          <cell r="A135">
            <v>100013136</v>
          </cell>
          <cell r="B135">
            <v>75066345</v>
          </cell>
          <cell r="C135" t="str">
            <v>MARLBORO FUSION SUMMER 100BOX 1CAJ</v>
          </cell>
        </row>
        <row r="136">
          <cell r="A136">
            <v>101000062</v>
          </cell>
          <cell r="B136">
            <v>75006372</v>
          </cell>
          <cell r="C136" t="str">
            <v>MARLBORO FOREST FUSION CAJETILLA PZ</v>
          </cell>
        </row>
        <row r="137">
          <cell r="A137">
            <v>100022336</v>
          </cell>
          <cell r="B137">
            <v>75066413</v>
          </cell>
          <cell r="C137" t="str">
            <v>MARLBORO CRAFTED 25S CAJETILLA</v>
          </cell>
        </row>
        <row r="138">
          <cell r="A138">
            <v>100022523</v>
          </cell>
          <cell r="B138">
            <v>75019563</v>
          </cell>
          <cell r="C138" t="str">
            <v>MARLBORO CRAFTED 20S CAJETILLA</v>
          </cell>
        </row>
        <row r="139">
          <cell r="A139">
            <v>100022965</v>
          </cell>
          <cell r="B139">
            <v>75019570</v>
          </cell>
          <cell r="C139" t="str">
            <v>MARLBORO CRAFTED 2.0 GOLD KS BOX 20</v>
          </cell>
        </row>
        <row r="140">
          <cell r="A140">
            <v>100022335</v>
          </cell>
          <cell r="B140">
            <v>75019587</v>
          </cell>
          <cell r="C140" t="str">
            <v>MARLBORO CRAFTED 15S CAJETILLAPZ</v>
          </cell>
        </row>
        <row r="141">
          <cell r="A141">
            <v>100080028</v>
          </cell>
          <cell r="B141">
            <v>75001315</v>
          </cell>
          <cell r="C141" t="str">
            <v>MARLBORO CIGARR ROJO CL CS CAJET</v>
          </cell>
        </row>
        <row r="142">
          <cell r="A142">
            <v>100080027</v>
          </cell>
          <cell r="B142">
            <v>75001322</v>
          </cell>
          <cell r="C142" t="str">
            <v>MARLBORO CIGARR ROJO CD CAJET</v>
          </cell>
        </row>
        <row r="143">
          <cell r="A143">
            <v>100080257</v>
          </cell>
          <cell r="B143">
            <v>75001339</v>
          </cell>
          <cell r="C143" t="str">
            <v>MARLBORO CIGARR ROJO 14S CD CAJET</v>
          </cell>
        </row>
        <row r="144">
          <cell r="A144">
            <v>100080820</v>
          </cell>
          <cell r="B144">
            <v>75031053</v>
          </cell>
          <cell r="C144" t="str">
            <v>MARLBORO CIGARR ICEEXPRESS CAJET</v>
          </cell>
        </row>
        <row r="145">
          <cell r="A145">
            <v>100080904</v>
          </cell>
          <cell r="B145">
            <v>75043247</v>
          </cell>
          <cell r="C145" t="str">
            <v>MARLBORO CIGARR ICE XPRESS 14 CAJET</v>
          </cell>
        </row>
        <row r="146">
          <cell r="A146">
            <v>100080850</v>
          </cell>
          <cell r="B146">
            <v>75035259</v>
          </cell>
          <cell r="C146" t="str">
            <v>MARLBORO CIGARR GOLD 100S CAJET</v>
          </cell>
        </row>
        <row r="147">
          <cell r="A147">
            <v>100080903</v>
          </cell>
          <cell r="B147">
            <v>75042646</v>
          </cell>
          <cell r="C147" t="str">
            <v>MARLBORO CIGARR GOLD 100 14S CAJET</v>
          </cell>
        </row>
        <row r="148">
          <cell r="A148">
            <v>100080687</v>
          </cell>
          <cell r="B148">
            <v>75021597</v>
          </cell>
          <cell r="C148" t="str">
            <v>MARLBORO CIGARR 100S CD CAJET</v>
          </cell>
        </row>
        <row r="149">
          <cell r="A149">
            <v>100019981</v>
          </cell>
          <cell r="B149">
            <v>75074746</v>
          </cell>
          <cell r="C149" t="str">
            <v>MARLBORO BLOSSO VISTA BLOSSOM 1 CAJETILLA</v>
          </cell>
        </row>
        <row r="150">
          <cell r="A150">
            <v>100080372</v>
          </cell>
          <cell r="B150">
            <v>7501609501521</v>
          </cell>
          <cell r="C150" t="str">
            <v>MAGNIFICOS PURO CAJET</v>
          </cell>
        </row>
        <row r="151">
          <cell r="A151">
            <v>100026301</v>
          </cell>
          <cell r="B151">
            <v>7503039738546</v>
          </cell>
          <cell r="C151" t="str">
            <v>VELO GREEN SPEARMINT 6MG TC COLOR 15 PZ</v>
          </cell>
        </row>
        <row r="152">
          <cell r="A152">
            <v>100025297</v>
          </cell>
          <cell r="B152">
            <v>7503039738393</v>
          </cell>
          <cell r="C152" t="str">
            <v>VELO GREEN SPEARMINT 8 MG 20 PZ</v>
          </cell>
        </row>
        <row r="153">
          <cell r="A153">
            <v>100024462</v>
          </cell>
          <cell r="B153">
            <v>7707200946741</v>
          </cell>
          <cell r="C153" t="str">
            <v>VELO POLAR PEPPERMINT 4 MG 15 PZ</v>
          </cell>
        </row>
        <row r="154">
          <cell r="A154">
            <v>100026070</v>
          </cell>
          <cell r="B154">
            <v>7503039738492</v>
          </cell>
          <cell r="C154" t="str">
            <v>VELO POLAR PEPPERMINT 4 MG TC BK 15 PZ</v>
          </cell>
        </row>
        <row r="155">
          <cell r="A155">
            <v>100024465</v>
          </cell>
          <cell r="B155">
            <v>7707200943245</v>
          </cell>
          <cell r="C155" t="str">
            <v>VELO POLAR PEPPERMINT 6 MG 15 PZ</v>
          </cell>
        </row>
        <row r="156">
          <cell r="A156">
            <v>100026300</v>
          </cell>
          <cell r="B156">
            <v>7503039738539</v>
          </cell>
          <cell r="C156" t="str">
            <v>VELO POLAR PEPPERMINT 6MG TC COLOR 15 PZ</v>
          </cell>
        </row>
        <row r="157">
          <cell r="A157">
            <v>100025298</v>
          </cell>
          <cell r="B157">
            <v>7503039738416</v>
          </cell>
          <cell r="C157" t="str">
            <v>VELO POLAR PEPPERMINT 8 MG 20 PZ</v>
          </cell>
        </row>
        <row r="158">
          <cell r="A158">
            <v>100025894</v>
          </cell>
          <cell r="B158">
            <v>7503039738461</v>
          </cell>
          <cell r="C158" t="str">
            <v>VELO PURPLE GRAPE 6MG 15 PZ</v>
          </cell>
        </row>
        <row r="159">
          <cell r="A159">
            <v>100026307</v>
          </cell>
          <cell r="B159">
            <v>7503039738591</v>
          </cell>
          <cell r="C159" t="str">
            <v>VELO PURPLE GRAPE 6MG TC COLOR 15 PZ</v>
          </cell>
        </row>
        <row r="160">
          <cell r="A160">
            <v>100024417</v>
          </cell>
          <cell r="B160">
            <v>7702303391467</v>
          </cell>
          <cell r="C160" t="str">
            <v>VELO STRAWBERRY ICE 4 MG 15 PZ</v>
          </cell>
        </row>
        <row r="161">
          <cell r="A161">
            <v>100026072</v>
          </cell>
          <cell r="B161">
            <v>7503039738515</v>
          </cell>
          <cell r="C161" t="str">
            <v>VELO STRAWBERRY ICE 4 MG TC BK 15 PZ</v>
          </cell>
        </row>
        <row r="162">
          <cell r="A162">
            <v>100021048</v>
          </cell>
          <cell r="B162">
            <v>75005481</v>
          </cell>
          <cell r="C162" t="str">
            <v>LM LM 25S 25S 1 CAJETILLA</v>
          </cell>
        </row>
        <row r="163">
          <cell r="A163">
            <v>100020945</v>
          </cell>
          <cell r="B163">
            <v>75022266</v>
          </cell>
          <cell r="C163" t="str">
            <v>LM LM 14S 14S 1 CAJETILLA</v>
          </cell>
        </row>
        <row r="164">
          <cell r="A164">
            <v>100080353</v>
          </cell>
          <cell r="B164">
            <v>2168</v>
          </cell>
          <cell r="C164" t="str">
            <v>LAGUNAS PURO C/5 PZAS CAJET</v>
          </cell>
        </row>
        <row r="165">
          <cell r="A165">
            <v>100018038</v>
          </cell>
          <cell r="B165">
            <v>75069902</v>
          </cell>
          <cell r="C165" t="str">
            <v>L&amp;M RED KS BOX 20 1 CAJETILLA</v>
          </cell>
        </row>
        <row r="166">
          <cell r="A166">
            <v>100016254</v>
          </cell>
          <cell r="B166">
            <v>25900000295</v>
          </cell>
          <cell r="C166" t="str">
            <v>KING EDWARD PURO  ORIGINAL 1 PZ</v>
          </cell>
        </row>
        <row r="167">
          <cell r="A167">
            <v>100009916</v>
          </cell>
          <cell r="B167">
            <v>33300200573</v>
          </cell>
          <cell r="C167" t="str">
            <v>KAYAK TABACO MASTICABLE STRAIGH 34.02</v>
          </cell>
        </row>
        <row r="168">
          <cell r="A168">
            <v>100080763</v>
          </cell>
          <cell r="B168">
            <v>7501609506908</v>
          </cell>
          <cell r="C168" t="str">
            <v>HUMIDIBG PURO PLATINUM CAJET</v>
          </cell>
        </row>
        <row r="169">
          <cell r="A169">
            <v>100080946</v>
          </cell>
          <cell r="B169">
            <v>7502236550173</v>
          </cell>
          <cell r="C169" t="str">
            <v>GOLD SOFT PUROS HAB GOLD SOFT PZ</v>
          </cell>
        </row>
        <row r="170">
          <cell r="A170">
            <v>100080944</v>
          </cell>
          <cell r="B170">
            <v>7502236550180</v>
          </cell>
          <cell r="C170" t="str">
            <v>GOLD SOFT PUROS GOLD SOFT VAIN PZ</v>
          </cell>
        </row>
        <row r="171">
          <cell r="A171">
            <v>100080945</v>
          </cell>
          <cell r="B171">
            <v>7502236550197</v>
          </cell>
          <cell r="C171" t="str">
            <v>GOLD SOFT PURO PZ</v>
          </cell>
        </row>
        <row r="172">
          <cell r="A172">
            <v>100024320</v>
          </cell>
          <cell r="B172">
            <v>75006280</v>
          </cell>
          <cell r="C172" t="str">
            <v>FAROS FAROS KS BOX 25 CAJETILLA PZ</v>
          </cell>
        </row>
        <row r="173">
          <cell r="A173">
            <v>100021977</v>
          </cell>
          <cell r="B173">
            <v>75004385</v>
          </cell>
          <cell r="C173" t="str">
            <v>FAROS FAROS FAROS 14 1 CAJETILLA</v>
          </cell>
        </row>
        <row r="174">
          <cell r="A174">
            <v>100080034</v>
          </cell>
          <cell r="B174">
            <v>75001476</v>
          </cell>
          <cell r="C174" t="str">
            <v>DELICADOS CIGARR OVALADOS CAJET</v>
          </cell>
        </row>
        <row r="175">
          <cell r="A175">
            <v>100021814</v>
          </cell>
          <cell r="B175">
            <v>7503023959490</v>
          </cell>
          <cell r="C175" t="str">
            <v>CAMEL SWITCH 100S 27.4 G</v>
          </cell>
        </row>
        <row r="176">
          <cell r="A176">
            <v>100014678</v>
          </cell>
          <cell r="B176">
            <v>7503023959148</v>
          </cell>
          <cell r="C176" t="str">
            <v xml:space="preserve">CAMEL NATURAL FLAVOR 20						</v>
          </cell>
        </row>
        <row r="177">
          <cell r="A177">
            <v>100021813</v>
          </cell>
          <cell r="B177">
            <v>7503023959506</v>
          </cell>
          <cell r="C177" t="str">
            <v>CAMEL MAX DOUBLE 1 27.4 G</v>
          </cell>
        </row>
        <row r="178">
          <cell r="A178">
            <v>100012957</v>
          </cell>
          <cell r="B178">
            <v>7503023959001</v>
          </cell>
          <cell r="C178" t="str">
            <v>CAMEL FILTERS 20S 1CAJE</v>
          </cell>
        </row>
        <row r="179">
          <cell r="A179">
            <v>100025152</v>
          </cell>
          <cell r="B179">
            <v>7503023959629</v>
          </cell>
          <cell r="C179" t="str">
            <v>CAMEL CAMEL TROPICAL BREW DOBLE CÁPSULA 20 PZ</v>
          </cell>
        </row>
        <row r="180">
          <cell r="A180">
            <v>100022971</v>
          </cell>
          <cell r="B180">
            <v>7503023959278</v>
          </cell>
          <cell r="C180" t="str">
            <v>CAMEL CAMEL FILTERS ORIGINAL 25S 29 GR</v>
          </cell>
        </row>
        <row r="181">
          <cell r="A181">
            <v>100080957</v>
          </cell>
          <cell r="B181">
            <v>75047337</v>
          </cell>
          <cell r="C181" t="str">
            <v>BENSON&amp;HEDGES PEARL CAPS CAJETILLA</v>
          </cell>
        </row>
        <row r="182">
          <cell r="A182">
            <v>100009230</v>
          </cell>
          <cell r="B182">
            <v>75059514</v>
          </cell>
          <cell r="C182" t="str">
            <v>BENSON&amp;HEDGES CRYSTAL BLUE PZ</v>
          </cell>
        </row>
        <row r="183">
          <cell r="A183">
            <v>100004048</v>
          </cell>
          <cell r="B183">
            <v>75050443</v>
          </cell>
          <cell r="C183" t="str">
            <v>BENSON&amp;HEDGE GOLD PEARL</v>
          </cell>
        </row>
        <row r="184">
          <cell r="A184">
            <v>100014714</v>
          </cell>
          <cell r="B184">
            <v>75068776</v>
          </cell>
          <cell r="C184" t="str">
            <v>BENSON&amp;HEDGE GOLD 100 RCB 20 1CAJE</v>
          </cell>
        </row>
        <row r="185">
          <cell r="A185">
            <v>100007108</v>
          </cell>
          <cell r="B185">
            <v>75056308</v>
          </cell>
          <cell r="C185" t="str">
            <v>BENSON&amp;HEDGE CRYSTAL VIOLET PZ</v>
          </cell>
        </row>
        <row r="186">
          <cell r="A186">
            <v>100080440</v>
          </cell>
          <cell r="B186">
            <v>75016777</v>
          </cell>
          <cell r="C186" t="str">
            <v>BENSON&amp;HEDGE CIGARR MENTHOL CD CAJET</v>
          </cell>
        </row>
        <row r="187">
          <cell r="A187">
            <v>100014779</v>
          </cell>
          <cell r="B187">
            <v>7503006684425</v>
          </cell>
          <cell r="C187" t="str">
            <v xml:space="preserve">ARTIGAS/CARL PURO MIX ROBUSTO SABOR  50GR					</v>
          </cell>
        </row>
        <row r="188">
          <cell r="A188">
            <v>100014778</v>
          </cell>
          <cell r="B188">
            <v>7502236550005</v>
          </cell>
          <cell r="C188" t="str">
            <v xml:space="preserve">ARTIGAS/CARL PURO MIX PLUS ROBUSTO M 50GR					</v>
          </cell>
        </row>
        <row r="189">
          <cell r="A189">
            <v>100080948</v>
          </cell>
          <cell r="B189">
            <v>7502236550067</v>
          </cell>
          <cell r="C189" t="str">
            <v>ARTIGAS/CARL PURO MIX PLUS ROBUSTO G 50GR</v>
          </cell>
        </row>
        <row r="190">
          <cell r="A190">
            <v>100014777</v>
          </cell>
          <cell r="B190">
            <v>7503006684388</v>
          </cell>
          <cell r="C190" t="str">
            <v xml:space="preserve">ARTIGAS/CARL PURO MIX PLUS CORONA MA 40GR						</v>
          </cell>
        </row>
        <row r="191">
          <cell r="A191">
            <v>100080947</v>
          </cell>
          <cell r="B191">
            <v>7502236550043</v>
          </cell>
          <cell r="C191" t="str">
            <v>ARTIGAS/CARL PURO MIX PLUS CORONA GO 40GR</v>
          </cell>
        </row>
        <row r="192">
          <cell r="A192">
            <v>100014775</v>
          </cell>
          <cell r="B192">
            <v>7502236550012</v>
          </cell>
          <cell r="C192" t="str">
            <v xml:space="preserve">ARTIGAS/CARL PURO MIX PLUS BELICOSO  50GR				</v>
          </cell>
        </row>
        <row r="193">
          <cell r="A193">
            <v>100014774</v>
          </cell>
          <cell r="B193">
            <v>7503006684487</v>
          </cell>
          <cell r="C193" t="str">
            <v xml:space="preserve">ARTIGAS/CARL PURO MIX CORONA SABOR C 40GR				</v>
          </cell>
        </row>
        <row r="194">
          <cell r="A194">
            <v>100014772</v>
          </cell>
          <cell r="B194">
            <v>7503006684326</v>
          </cell>
          <cell r="C194" t="str">
            <v xml:space="preserve">ARTIGAS/CARL PURO MIX BELICOSO T/C H 50GR									</v>
          </cell>
        </row>
        <row r="195">
          <cell r="A195">
            <v>100024288</v>
          </cell>
          <cell r="B195">
            <v>7622100558453</v>
          </cell>
          <cell r="C195" t="str">
            <v xml:space="preserve"> IQOS ILUMA PEBBLE GREY CAJETILLA PZ</v>
          </cell>
        </row>
        <row r="196">
          <cell r="A196">
            <v>100024859</v>
          </cell>
          <cell r="B196">
            <v>7622100558323</v>
          </cell>
          <cell r="C196" t="str">
            <v xml:space="preserve"> IQOS ILUMA ONE SUNSET RED - CAJETILLA PZ</v>
          </cell>
        </row>
        <row r="197">
          <cell r="A197">
            <v>100024286</v>
          </cell>
          <cell r="B197">
            <v>7622100558309</v>
          </cell>
          <cell r="C197" t="str">
            <v xml:space="preserve"> IQOS ILUMA ONE PEBBLE GREY CAJETILLA PZ</v>
          </cell>
        </row>
        <row r="198">
          <cell r="A198">
            <v>100024282</v>
          </cell>
          <cell r="B198">
            <v>7622100558293</v>
          </cell>
          <cell r="C198" t="str">
            <v xml:space="preserve"> IQOS ILUMA ONE AZURE BLUE CAJETILLA PZ</v>
          </cell>
        </row>
        <row r="199">
          <cell r="A199">
            <v>100024862</v>
          </cell>
          <cell r="B199">
            <v>7622100558446</v>
          </cell>
          <cell r="C199" t="str">
            <v xml:space="preserve"> IQOS ILUMA MOSS GREEN CAJETILLA PZ</v>
          </cell>
        </row>
        <row r="200">
          <cell r="A200">
            <v>100024861</v>
          </cell>
          <cell r="B200">
            <v>7622100558248</v>
          </cell>
          <cell r="C200" t="str">
            <v xml:space="preserve"> IQOS ILUMA AZURE BLUE CAJETILLA PZ</v>
          </cell>
        </row>
        <row r="201">
          <cell r="A201">
            <v>100016411</v>
          </cell>
          <cell r="B201">
            <v>7503023959162</v>
          </cell>
          <cell r="C201" t="str">
            <v>WINSTON WINSTO WATERMELON 100S 1CAJE</v>
          </cell>
        </row>
        <row r="202">
          <cell r="A202">
            <v>100014850</v>
          </cell>
          <cell r="B202">
            <v>4033100094316</v>
          </cell>
          <cell r="C202" t="str">
            <v xml:space="preserve">WINSTON CLASSIC 25S		</v>
          </cell>
        </row>
        <row r="203">
          <cell r="A203">
            <v>100080897</v>
          </cell>
          <cell r="B203">
            <v>42138037</v>
          </cell>
          <cell r="C203" t="str">
            <v>WINSTON CIGARR CLASSIC 20S CAJET</v>
          </cell>
        </row>
        <row r="204">
          <cell r="A204">
            <v>100080899</v>
          </cell>
          <cell r="B204">
            <v>40331379</v>
          </cell>
          <cell r="C204" t="str">
            <v>WINSTON CIGARR BLUE 14S CAJET</v>
          </cell>
        </row>
        <row r="205">
          <cell r="A205">
            <v>101000082</v>
          </cell>
          <cell r="B205">
            <v>7702303464376</v>
          </cell>
          <cell r="C205" t="str">
            <v>VUSE VIVID STRAWBERRY ICE 18 MG 1 PZ</v>
          </cell>
        </row>
        <row r="206">
          <cell r="A206">
            <v>101000081</v>
          </cell>
          <cell r="B206">
            <v>7702303239264</v>
          </cell>
          <cell r="C206" t="str">
            <v>VUSE VIVID MINT ICE 18 MG 1 PZ</v>
          </cell>
        </row>
        <row r="207">
          <cell r="A207">
            <v>101000080</v>
          </cell>
          <cell r="B207">
            <v>7702303820974</v>
          </cell>
          <cell r="C207" t="str">
            <v>VUSE VIVID MINT ICE 0 MG 1 PZ</v>
          </cell>
        </row>
        <row r="208">
          <cell r="A208">
            <v>101000083</v>
          </cell>
          <cell r="B208">
            <v>7702303238434</v>
          </cell>
          <cell r="C208" t="str">
            <v>VUSE VIVID BLUEBERRY ICE 18 MG 1 PZ</v>
          </cell>
        </row>
        <row r="209">
          <cell r="A209">
            <v>100024729</v>
          </cell>
          <cell r="B209">
            <v>7707200942736</v>
          </cell>
          <cell r="C209" t="str">
            <v>VUSE V- PODPACK STRAWBERRY ICE 20 MG 1 PZ</v>
          </cell>
        </row>
        <row r="210">
          <cell r="A210">
            <v>100024658</v>
          </cell>
          <cell r="B210">
            <v>7707200942736</v>
          </cell>
          <cell r="C210" t="str">
            <v>VUSE V- PODPACK STRAWBERRY ICE 20 MG 1 PZ</v>
          </cell>
        </row>
        <row r="211">
          <cell r="A211">
            <v>100024727</v>
          </cell>
          <cell r="B211">
            <v>7702303265324</v>
          </cell>
          <cell r="C211" t="str">
            <v>VUSE V- PODPACK MENTHOL ICE 20 MG 1 PZ</v>
          </cell>
        </row>
        <row r="212">
          <cell r="A212">
            <v>100024656</v>
          </cell>
          <cell r="B212">
            <v>7702303265324</v>
          </cell>
          <cell r="C212" t="str">
            <v>VUSE V- PODPACK MENTHOL ICE 20 MG 1 PZ</v>
          </cell>
        </row>
        <row r="213">
          <cell r="A213">
            <v>100024726</v>
          </cell>
          <cell r="B213">
            <v>7702303108812</v>
          </cell>
          <cell r="C213" t="str">
            <v>VUSE V- PODPACK MENTHOL ICE 0 MG 1 PZ</v>
          </cell>
        </row>
        <row r="214">
          <cell r="A214">
            <v>100024655</v>
          </cell>
          <cell r="B214">
            <v>7702303108812</v>
          </cell>
          <cell r="C214" t="str">
            <v>VUSE V- PODPACK MENTHOL ICE 0 MG 1 PZ</v>
          </cell>
        </row>
        <row r="215">
          <cell r="A215">
            <v>100024728</v>
          </cell>
          <cell r="B215">
            <v>7702303657044</v>
          </cell>
          <cell r="C215" t="str">
            <v>VUSE V- PODPACK BLUEBERRY ICE 20 MG 1 PZ</v>
          </cell>
        </row>
        <row r="216">
          <cell r="A216">
            <v>100024657</v>
          </cell>
          <cell r="B216">
            <v>7702303657044</v>
          </cell>
          <cell r="C216" t="str">
            <v>VUSE V- PODPACK BLUEBERRY ICE 20 MG 1 PZ</v>
          </cell>
        </row>
        <row r="217">
          <cell r="A217">
            <v>100023126</v>
          </cell>
          <cell r="B217">
            <v>7501031701520</v>
          </cell>
          <cell r="C217" t="str">
            <v>VUSE GRAPHITE BLACK DEVICE 1 PZ</v>
          </cell>
        </row>
        <row r="218">
          <cell r="A218">
            <v>100024725</v>
          </cell>
          <cell r="B218">
            <v>7707200944563</v>
          </cell>
          <cell r="C218" t="str">
            <v>VUSE GO RELOAD BLACK 1 PZ</v>
          </cell>
        </row>
        <row r="219">
          <cell r="A219">
            <v>101000088</v>
          </cell>
          <cell r="B219">
            <v>7702303342513</v>
          </cell>
          <cell r="C219" t="str">
            <v>VUSE GO 700 MANGO ICE 34 MG 1 PZ</v>
          </cell>
        </row>
        <row r="220">
          <cell r="A220">
            <v>101000087</v>
          </cell>
          <cell r="B220">
            <v>7702303419598</v>
          </cell>
          <cell r="C220" t="str">
            <v>VUSE GO 700 GRAPE ICE 34 MG 1 PZ</v>
          </cell>
        </row>
        <row r="221">
          <cell r="A221">
            <v>101000085</v>
          </cell>
          <cell r="B221">
            <v>7707200941753</v>
          </cell>
          <cell r="C221" t="str">
            <v>VUSE GO 700 BLUEBERRY ICE 34 MG 1 PZ</v>
          </cell>
        </row>
        <row r="222">
          <cell r="A222">
            <v>101000086</v>
          </cell>
          <cell r="B222">
            <v>7702303173667</v>
          </cell>
          <cell r="C222" t="str">
            <v>VUSE GO 700 BERRY BLEND 34 MG 1 PZ</v>
          </cell>
        </row>
        <row r="223">
          <cell r="A223">
            <v>100024653</v>
          </cell>
          <cell r="B223">
            <v>7707200947311</v>
          </cell>
          <cell r="C223" t="str">
            <v>VUSE GO 5000 MENTHOL ICE 34 MG/ML 1 PZ</v>
          </cell>
        </row>
        <row r="224">
          <cell r="A224">
            <v>100024649</v>
          </cell>
          <cell r="B224">
            <v>7707200945799</v>
          </cell>
          <cell r="C224" t="str">
            <v>VUSE GO 5000 GREEN APPLE 34 MG/ML 1 PZ</v>
          </cell>
        </row>
        <row r="225">
          <cell r="A225">
            <v>100024722</v>
          </cell>
          <cell r="B225">
            <v>7707200945072</v>
          </cell>
          <cell r="C225" t="str">
            <v>VUSE GO 5000 BLUEBERRY RASPBERRY 34 MGML 1 PZ</v>
          </cell>
        </row>
        <row r="226">
          <cell r="A226">
            <v>100024652</v>
          </cell>
          <cell r="B226">
            <v>7707200945072</v>
          </cell>
          <cell r="C226" t="str">
            <v>VUSE GO 5000 BLUEBERRY RASPBERRY 34 MG/ML 1 PZ</v>
          </cell>
        </row>
        <row r="227">
          <cell r="A227">
            <v>100024720</v>
          </cell>
          <cell r="B227">
            <v>7707200949285</v>
          </cell>
          <cell r="C227" t="str">
            <v>VUSE GO 5000 BLUEBERRY ICE 34 MGML 1 PZ</v>
          </cell>
        </row>
        <row r="228">
          <cell r="A228">
            <v>100024650</v>
          </cell>
          <cell r="B228">
            <v>7707200949285</v>
          </cell>
          <cell r="C228" t="str">
            <v>VUSE GO 5000 BLUEBERRY ICE 34 MG/ML 1 PZ</v>
          </cell>
        </row>
        <row r="229">
          <cell r="A229">
            <v>100024721</v>
          </cell>
          <cell r="B229">
            <v>7707200949551</v>
          </cell>
          <cell r="C229" t="str">
            <v>VUSE GO 5000 BERRY BLEND 34 MGML 1 PZ</v>
          </cell>
        </row>
        <row r="230">
          <cell r="A230">
            <v>100024651</v>
          </cell>
          <cell r="B230">
            <v>7707200949551</v>
          </cell>
          <cell r="C230" t="str">
            <v>VUSE GO 5000 BERRY BLEND 34 MG/ML 1 PZ</v>
          </cell>
        </row>
        <row r="231">
          <cell r="A231">
            <v>100024724</v>
          </cell>
          <cell r="B231">
            <v>7707200944037</v>
          </cell>
          <cell r="C231" t="str">
            <v>VUSE GO 5000 BANANA ICE 34 MGML 1 PZ</v>
          </cell>
        </row>
        <row r="232">
          <cell r="A232">
            <v>100024654</v>
          </cell>
          <cell r="B232">
            <v>7707200944037</v>
          </cell>
          <cell r="C232" t="str">
            <v>VUSE GO 5000 BANANA ICE 34 MG/ML 1 PZ</v>
          </cell>
        </row>
        <row r="233">
          <cell r="A233">
            <v>101000089</v>
          </cell>
          <cell r="B233">
            <v>7702303023221</v>
          </cell>
          <cell r="C233" t="str">
            <v>VUSE GO 3000 MENTHOL ICE 34 MG 1 PZ</v>
          </cell>
        </row>
        <row r="234">
          <cell r="A234">
            <v>100024414</v>
          </cell>
          <cell r="B234">
            <v>7702303906036</v>
          </cell>
          <cell r="C234" t="str">
            <v>VUSE GO 3000 HAZELNUT MACCHIATO 34 MG 1 PZ</v>
          </cell>
        </row>
        <row r="235">
          <cell r="A235">
            <v>101000092</v>
          </cell>
          <cell r="B235">
            <v>7702303007979</v>
          </cell>
          <cell r="C235" t="str">
            <v>VUSE GO 3000 BLUEBERRY ICE 34 MG 1 PZ</v>
          </cell>
        </row>
        <row r="236">
          <cell r="A236">
            <v>101000090</v>
          </cell>
          <cell r="B236">
            <v>7702303936590</v>
          </cell>
          <cell r="C236" t="str">
            <v>VUSE GO 3000 BLUE RASPBERRY 34 MG 1 PZ</v>
          </cell>
        </row>
        <row r="237">
          <cell r="A237">
            <v>101000091</v>
          </cell>
          <cell r="B237">
            <v>7702303890434</v>
          </cell>
          <cell r="C237" t="str">
            <v>VUSE GO 3000 BERRY BLEND 34 MG 1 PZ</v>
          </cell>
        </row>
        <row r="238">
          <cell r="A238">
            <v>101000093</v>
          </cell>
          <cell r="B238">
            <v>7702303182898</v>
          </cell>
          <cell r="C238" t="str">
            <v>VUSE GO 3000 APPLE SOUR 34 MG 1 PZ</v>
          </cell>
        </row>
        <row r="239">
          <cell r="A239">
            <v>100024714</v>
          </cell>
          <cell r="B239">
            <v>7707200942019</v>
          </cell>
          <cell r="C239" t="str">
            <v>VUSE GO 1000 MENTHOL ICE 34 MGML 1 PZ</v>
          </cell>
        </row>
        <row r="240">
          <cell r="A240">
            <v>100024627</v>
          </cell>
          <cell r="B240">
            <v>7707200945430</v>
          </cell>
          <cell r="C240" t="str">
            <v>VUSE GO 1000 MANGO ICE 34 MG/ML 1 PZ</v>
          </cell>
        </row>
        <row r="241">
          <cell r="A241">
            <v>100024625</v>
          </cell>
          <cell r="B241">
            <v>7707200947854</v>
          </cell>
          <cell r="C241" t="str">
            <v>VUSE GO 1000 GRAPE ICE 34 MG/ML 1 PZ</v>
          </cell>
        </row>
        <row r="242">
          <cell r="A242">
            <v>100024712</v>
          </cell>
          <cell r="B242">
            <v>7707200946239</v>
          </cell>
          <cell r="C242" t="str">
            <v>VUSE GO 1000 GOLDEN BLEND  1 PZ</v>
          </cell>
        </row>
        <row r="243">
          <cell r="A243">
            <v>100024715</v>
          </cell>
          <cell r="B243">
            <v>7707200946987</v>
          </cell>
          <cell r="C243" t="str">
            <v>VUSE GO 1000 BLUEBERRY ICE 34 MGML 1 PZ</v>
          </cell>
        </row>
        <row r="244">
          <cell r="A244">
            <v>100024623</v>
          </cell>
          <cell r="B244">
            <v>7707200946987</v>
          </cell>
          <cell r="C244" t="str">
            <v>VUSE GO 1000 BLUEBERRY ICE 34 MG/ML 1 PZ</v>
          </cell>
        </row>
        <row r="245">
          <cell r="A245">
            <v>100024716</v>
          </cell>
          <cell r="B245">
            <v>7707200940220</v>
          </cell>
          <cell r="C245" t="str">
            <v>VUSE GO 1000 BERRY BLEND 34 MGML 1 PZ</v>
          </cell>
        </row>
        <row r="246">
          <cell r="A246">
            <v>100024624</v>
          </cell>
          <cell r="B246">
            <v>7707200940220</v>
          </cell>
          <cell r="C246" t="str">
            <v>VUSE GO 1000 BERRY BLEND 34 MG/ML 1 PZ</v>
          </cell>
        </row>
        <row r="247">
          <cell r="A247">
            <v>100023339</v>
          </cell>
          <cell r="B247">
            <v>7501031701667</v>
          </cell>
          <cell r="C247" t="str">
            <v>VUSE EPOD2 VANILLA MEDLEY 0MG 1 PZ</v>
          </cell>
        </row>
        <row r="248">
          <cell r="A248">
            <v>100022786</v>
          </cell>
          <cell r="B248">
            <v>7501031701636</v>
          </cell>
          <cell r="C248" t="str">
            <v>VUSE EPOD2 STRAWBERRY 18MG 1 PZ</v>
          </cell>
        </row>
        <row r="249">
          <cell r="A249">
            <v>100022785</v>
          </cell>
          <cell r="B249">
            <v>7501031701698</v>
          </cell>
          <cell r="C249" t="str">
            <v>VUSE EPOD2 STRAWBERRY 0MG 1 PZ</v>
          </cell>
        </row>
        <row r="250">
          <cell r="A250">
            <v>100023338</v>
          </cell>
          <cell r="B250">
            <v>7501031701575</v>
          </cell>
          <cell r="C250" t="str">
            <v>VUSE EPOD2 GOLDEN TOBACCO 0MG 1 PZ</v>
          </cell>
        </row>
        <row r="251">
          <cell r="A251">
            <v>100023094</v>
          </cell>
          <cell r="B251">
            <v>7501031701759</v>
          </cell>
          <cell r="C251" t="str">
            <v>VUSE EPOD2 DARK CHERRY 0MG 1 PZ</v>
          </cell>
        </row>
        <row r="252">
          <cell r="A252">
            <v>100023336</v>
          </cell>
          <cell r="B252">
            <v>7501031701704</v>
          </cell>
          <cell r="C252" t="str">
            <v>VUSE EPOD2 CUCUMBER FIZZ 0MG 1 PZ</v>
          </cell>
        </row>
        <row r="253">
          <cell r="A253">
            <v>100023337</v>
          </cell>
          <cell r="B253">
            <v>7501031701735</v>
          </cell>
          <cell r="C253" t="str">
            <v>VUSE EPOD2 CLASSICS BLUEBERRY 0MG 1 PZ</v>
          </cell>
        </row>
        <row r="254">
          <cell r="A254">
            <v>100020897</v>
          </cell>
          <cell r="B254">
            <v>7501031701834</v>
          </cell>
          <cell r="C254" t="str">
            <v>VUSE EPOD2  VANILLA MEDLEY 34M 1 PZ</v>
          </cell>
        </row>
        <row r="255">
          <cell r="A255">
            <v>100020894</v>
          </cell>
          <cell r="B255">
            <v>7501031701674</v>
          </cell>
          <cell r="C255" t="str">
            <v>VUSE EPOD2  VANILLA MEDLEY 18M 1 PZ</v>
          </cell>
        </row>
        <row r="256">
          <cell r="A256">
            <v>100020893</v>
          </cell>
          <cell r="B256">
            <v>7501031701889</v>
          </cell>
          <cell r="C256" t="str">
            <v>VUSE EPOD2  SUMMER BLUEBERRY 3 1 PZ</v>
          </cell>
        </row>
        <row r="257">
          <cell r="A257">
            <v>100020892</v>
          </cell>
          <cell r="B257">
            <v>7501031701711</v>
          </cell>
          <cell r="C257" t="str">
            <v>VUSE EPOD2  SUMMER BLUEBERRY 1 1 PZ</v>
          </cell>
        </row>
        <row r="258">
          <cell r="A258">
            <v>100020890</v>
          </cell>
          <cell r="B258">
            <v>7501031701780</v>
          </cell>
          <cell r="C258" t="str">
            <v>VUSE EPOD2  GOLDEN BLEND 34MG 1 PZ</v>
          </cell>
        </row>
        <row r="259">
          <cell r="A259">
            <v>100020888</v>
          </cell>
          <cell r="B259">
            <v>7501031701582</v>
          </cell>
          <cell r="C259" t="str">
            <v>VUSE EPOD2  GOLDEN BLEND 18MG 1 PZ</v>
          </cell>
        </row>
        <row r="260">
          <cell r="A260">
            <v>100020886</v>
          </cell>
          <cell r="B260">
            <v>7501031701803</v>
          </cell>
          <cell r="C260" t="str">
            <v>VUSE EPOD2  DARK CHERRY 34MG 1 PZ</v>
          </cell>
        </row>
        <row r="261">
          <cell r="A261">
            <v>100020885</v>
          </cell>
          <cell r="B261">
            <v>7501031701766</v>
          </cell>
          <cell r="C261" t="str">
            <v>VUSE EPOD2  DARK CHERRY 18MG 1 Pz</v>
          </cell>
        </row>
        <row r="262">
          <cell r="A262">
            <v>100020883</v>
          </cell>
          <cell r="B262">
            <v>7501031701810</v>
          </cell>
          <cell r="C262" t="str">
            <v>VUSE EPOD2  CUCUMBER FIZZ 34MG 1 PZ</v>
          </cell>
        </row>
        <row r="263">
          <cell r="A263">
            <v>100020882</v>
          </cell>
          <cell r="B263">
            <v>7501031701629</v>
          </cell>
          <cell r="C263" t="str">
            <v>VUSE EPOD2  CUCUMBER FIZZ 18MG 1 PZ</v>
          </cell>
        </row>
        <row r="264">
          <cell r="A264">
            <v>100020879</v>
          </cell>
          <cell r="B264">
            <v>7501031701742</v>
          </cell>
          <cell r="C264" t="str">
            <v>VUSE EPOD2  CLASSIC WATERMELON 1 PZ</v>
          </cell>
        </row>
        <row r="265">
          <cell r="A265">
            <v>100020880</v>
          </cell>
          <cell r="B265">
            <v>7501031701728</v>
          </cell>
          <cell r="C265" t="str">
            <v>VUSE EPOD2  CLASSIC WATERMELON 1 PZ</v>
          </cell>
        </row>
        <row r="266">
          <cell r="A266">
            <v>100020881</v>
          </cell>
          <cell r="B266">
            <v>7501031701896</v>
          </cell>
          <cell r="C266" t="str">
            <v>VUSE EPOD2  CLASSIC WATERMELON 1 PZ</v>
          </cell>
        </row>
        <row r="267">
          <cell r="A267">
            <v>100020878</v>
          </cell>
          <cell r="B267">
            <v>7501031701773</v>
          </cell>
          <cell r="C267" t="str">
            <v>VUSE EPOD2  CLASSIC MINT 34MG 1 PZ</v>
          </cell>
        </row>
        <row r="268">
          <cell r="A268">
            <v>100020877</v>
          </cell>
          <cell r="B268">
            <v>7501031701612</v>
          </cell>
          <cell r="C268" t="str">
            <v>VUSE EPOD2  CLASSIC MINT 18MG 1 PZ</v>
          </cell>
        </row>
        <row r="269">
          <cell r="A269">
            <v>100020875</v>
          </cell>
          <cell r="B269">
            <v>7501031701681</v>
          </cell>
          <cell r="C269" t="str">
            <v>VUSE EPOD2  CLASSIC MINT 0MG 1 PZ</v>
          </cell>
        </row>
        <row r="270">
          <cell r="A270">
            <v>100020874</v>
          </cell>
          <cell r="B270">
            <v>7501031701797</v>
          </cell>
          <cell r="C270" t="str">
            <v>VUSE EPOD2  BLUSHED MANGO 34MG 1 PZ</v>
          </cell>
        </row>
        <row r="271">
          <cell r="A271">
            <v>100020873</v>
          </cell>
          <cell r="B271">
            <v>7501031701605</v>
          </cell>
          <cell r="C271" t="str">
            <v>VUSE EPOD2  BLUSHED MANGO 18MG 1 PZ</v>
          </cell>
        </row>
        <row r="272">
          <cell r="A272">
            <v>100020871</v>
          </cell>
          <cell r="B272">
            <v>7501031701599</v>
          </cell>
          <cell r="C272" t="str">
            <v>VUSE EPOD2  BLUSHED MANGO 0MG 1 PZ</v>
          </cell>
        </row>
        <row r="273">
          <cell r="A273">
            <v>100020899</v>
          </cell>
          <cell r="B273">
            <v>7501031701537</v>
          </cell>
          <cell r="C273" t="str">
            <v>VUSE DISPOS GOLDEN  1 PZ</v>
          </cell>
        </row>
        <row r="274">
          <cell r="A274">
            <v>100020898</v>
          </cell>
          <cell r="B274">
            <v>7501031701551</v>
          </cell>
          <cell r="C274" t="str">
            <v>VUSE DISPOS BLACK 1 PZ</v>
          </cell>
        </row>
        <row r="275">
          <cell r="A275">
            <v>100022784</v>
          </cell>
          <cell r="B275">
            <v>7501031701544</v>
          </cell>
          <cell r="C275" t="str">
            <v>VUSE DEVICE ROSE GOLD 1 PZ</v>
          </cell>
        </row>
        <row r="276">
          <cell r="A276">
            <v>101000084</v>
          </cell>
          <cell r="B276">
            <v>7707200941241</v>
          </cell>
          <cell r="C276" t="str">
            <v>VUSE  GO 700 MENTHOL ICE 34 MG 1 PZ</v>
          </cell>
        </row>
        <row r="277">
          <cell r="A277">
            <v>100025449</v>
          </cell>
          <cell r="B277">
            <v>7503031949216</v>
          </cell>
          <cell r="C277" t="str">
            <v>VISTA BLOSSOM MIST 100 BOX 20 (LATA CENICERO '25)</v>
          </cell>
        </row>
        <row r="278">
          <cell r="A278">
            <v>100023684</v>
          </cell>
          <cell r="B278">
            <v>75006952</v>
          </cell>
          <cell r="C278" t="str">
            <v>TEREA PURPLE CAJETILLA PZ</v>
          </cell>
        </row>
        <row r="279">
          <cell r="A279">
            <v>100023683</v>
          </cell>
          <cell r="B279">
            <v>75006341</v>
          </cell>
          <cell r="C279" t="str">
            <v>TEREA GREEN ZING CAJETILLA PZ</v>
          </cell>
        </row>
        <row r="280">
          <cell r="A280">
            <v>100023680</v>
          </cell>
          <cell r="B280">
            <v>75032777</v>
          </cell>
          <cell r="C280" t="str">
            <v>TEREA BLACK GREEN CAJETILLA PZ</v>
          </cell>
        </row>
        <row r="281">
          <cell r="A281">
            <v>100080015</v>
          </cell>
          <cell r="B281">
            <v>8308713</v>
          </cell>
          <cell r="C281" t="str">
            <v>SALEM CIGARR MENTOLADOS CD CAJET</v>
          </cell>
        </row>
        <row r="282">
          <cell r="A282">
            <v>100019228</v>
          </cell>
          <cell r="B282">
            <v>75074883</v>
          </cell>
          <cell r="C282" t="str">
            <v>PALL MALL XL WHITE&amp; CLICK 15S 1 CAJETILLA</v>
          </cell>
        </row>
        <row r="283">
          <cell r="A283">
            <v>100019050</v>
          </cell>
          <cell r="B283">
            <v>75074029</v>
          </cell>
          <cell r="C283" t="str">
            <v>PALL MALL XL W&amp;C LATA 1 CAJETILLA</v>
          </cell>
        </row>
        <row r="284">
          <cell r="A284">
            <v>100020839</v>
          </cell>
          <cell r="B284">
            <v>75076450</v>
          </cell>
          <cell r="C284" t="str">
            <v>PALL MALL XL RIO LA 20S 1 CAJETILLA</v>
          </cell>
        </row>
        <row r="285">
          <cell r="A285">
            <v>100019232</v>
          </cell>
          <cell r="B285">
            <v>75074876</v>
          </cell>
          <cell r="C285" t="str">
            <v>PALL MALL XL RED &amp; CLICK 15S 1 CAJETILLA</v>
          </cell>
        </row>
        <row r="286">
          <cell r="A286">
            <v>100019051</v>
          </cell>
          <cell r="B286">
            <v>75074012</v>
          </cell>
          <cell r="C286" t="str">
            <v>PALL MALL XL R&amp;C LATA 1 CAJETILLA</v>
          </cell>
        </row>
        <row r="287">
          <cell r="A287">
            <v>100019958</v>
          </cell>
          <cell r="B287">
            <v>75074920</v>
          </cell>
          <cell r="C287" t="str">
            <v>PALL MALL XL ICEBER 20S 1 CAJETILLA</v>
          </cell>
        </row>
        <row r="288">
          <cell r="A288">
            <v>100020528</v>
          </cell>
          <cell r="B288">
            <v>75074937</v>
          </cell>
          <cell r="C288" t="str">
            <v>PALL MALL XL FUJI 20S 1 CAJETILLA</v>
          </cell>
        </row>
        <row r="289">
          <cell r="A289">
            <v>100014061</v>
          </cell>
          <cell r="B289">
            <v>75066888</v>
          </cell>
          <cell r="C289" t="str">
            <v xml:space="preserve">PALL MALL XL EXOTIC MIX 20S 1PZ									</v>
          </cell>
        </row>
        <row r="290">
          <cell r="A290">
            <v>100080991</v>
          </cell>
          <cell r="B290">
            <v>75050047</v>
          </cell>
          <cell r="C290" t="str">
            <v>PALL MALL XL BLACK EDITION</v>
          </cell>
        </row>
        <row r="291">
          <cell r="A291">
            <v>100019959</v>
          </cell>
          <cell r="B291">
            <v>75074913</v>
          </cell>
          <cell r="C291" t="str">
            <v>PALL MALL XL ATHENS 20S 1 CAJETILLA</v>
          </cell>
        </row>
        <row r="292">
          <cell r="A292">
            <v>100010175</v>
          </cell>
          <cell r="B292">
            <v>75061654</v>
          </cell>
          <cell r="C292" t="str">
            <v>PALL MALL XL ARUBA SUNRISE 1PZ</v>
          </cell>
        </row>
        <row r="293">
          <cell r="A293">
            <v>100006386</v>
          </cell>
          <cell r="B293">
            <v>75053673</v>
          </cell>
          <cell r="C293" t="str">
            <v>PALL MALL XL 99M MAUI CREPUSCULE 20 CAJ</v>
          </cell>
        </row>
        <row r="294">
          <cell r="A294">
            <v>100080878</v>
          </cell>
          <cell r="B294">
            <v>75039875</v>
          </cell>
          <cell r="C294" t="str">
            <v>PALL MALL WHITE AND CLICK 15</v>
          </cell>
        </row>
        <row r="295">
          <cell r="A295">
            <v>100023316</v>
          </cell>
          <cell r="B295">
            <v>75079642</v>
          </cell>
          <cell r="C295" t="str">
            <v>PALL MALL TOKYO SUNSHINE LATA 20 PZ</v>
          </cell>
        </row>
        <row r="296">
          <cell r="A296">
            <v>100025444</v>
          </cell>
          <cell r="B296">
            <v>75083953</v>
          </cell>
          <cell r="C296" t="str">
            <v>PALL MALL TOKYO STRESS RELIEVER 20 PZ</v>
          </cell>
        </row>
        <row r="297">
          <cell r="A297">
            <v>100080892</v>
          </cell>
          <cell r="B297">
            <v>75042943</v>
          </cell>
          <cell r="C297" t="str">
            <v>PALL MALL RED AND CLICK 15</v>
          </cell>
        </row>
        <row r="298">
          <cell r="A298">
            <v>100023314</v>
          </cell>
          <cell r="B298">
            <v>75079659</v>
          </cell>
          <cell r="C298" t="str">
            <v>PALL MALL MYKONOS SUNSHINE LATA 20 PZ</v>
          </cell>
        </row>
        <row r="299">
          <cell r="A299">
            <v>100025443</v>
          </cell>
          <cell r="B299">
            <v>75083946</v>
          </cell>
          <cell r="C299" t="str">
            <v>PALL MALL MYKONOS STRESS RELIEVER 20 PZ</v>
          </cell>
        </row>
        <row r="300">
          <cell r="A300">
            <v>100013594</v>
          </cell>
          <cell r="B300">
            <v>75067960</v>
          </cell>
          <cell r="C300" t="str">
            <v>PALL MALL MYKONOS NIGHTFALL 15</v>
          </cell>
        </row>
        <row r="301">
          <cell r="A301">
            <v>100015341</v>
          </cell>
          <cell r="B301">
            <v>75070090</v>
          </cell>
          <cell r="C301" t="str">
            <v>PALL MALL MIX PACK 20</v>
          </cell>
        </row>
        <row r="302">
          <cell r="A302">
            <v>100025445</v>
          </cell>
          <cell r="B302">
            <v>75083977</v>
          </cell>
          <cell r="C302" t="str">
            <v>PALL MALL MIAMI STRESS RELIEVER 20 PZ</v>
          </cell>
        </row>
        <row r="303">
          <cell r="A303">
            <v>100021888</v>
          </cell>
          <cell r="B303">
            <v>75077433</v>
          </cell>
          <cell r="C303" t="str">
            <v>PALL MALL LT TOK 20S 1 CAJETILLA</v>
          </cell>
        </row>
        <row r="304">
          <cell r="A304">
            <v>100021889</v>
          </cell>
          <cell r="B304">
            <v>75077426</v>
          </cell>
          <cell r="C304" t="str">
            <v>PALL MALL LT RÍO 20S 1 CAJETILLA</v>
          </cell>
        </row>
        <row r="305">
          <cell r="A305">
            <v>100021887</v>
          </cell>
          <cell r="B305">
            <v>75077402</v>
          </cell>
          <cell r="C305" t="str">
            <v>PALL MALL LT MYK 20S 1 CAJETILLA</v>
          </cell>
        </row>
        <row r="306">
          <cell r="A306">
            <v>100021886</v>
          </cell>
          <cell r="B306">
            <v>75077389</v>
          </cell>
          <cell r="C306" t="str">
            <v>PALL MALL LT ALA 20S 1 CAJETILLA</v>
          </cell>
        </row>
        <row r="307">
          <cell r="A307">
            <v>100025446</v>
          </cell>
          <cell r="B307">
            <v>75083960</v>
          </cell>
          <cell r="C307" t="str">
            <v>PALL MALL LONDON STRESS RELIEVER 20 PZ</v>
          </cell>
        </row>
        <row r="308">
          <cell r="A308">
            <v>100025284</v>
          </cell>
          <cell r="B308">
            <v>75083892</v>
          </cell>
          <cell r="C308" t="str">
            <v>PALL MALL HAWAII SUNLIGHT STRESS RELIEVER 20 PZ</v>
          </cell>
        </row>
        <row r="309">
          <cell r="A309">
            <v>100025283</v>
          </cell>
          <cell r="B309">
            <v>75083885</v>
          </cell>
          <cell r="C309" t="str">
            <v>PALL MALL HAWAII SUNLIGHT STRESS RELIEVER 15 PZ</v>
          </cell>
        </row>
        <row r="310">
          <cell r="A310">
            <v>100010317</v>
          </cell>
          <cell r="B310">
            <v>75062620</v>
          </cell>
          <cell r="C310" t="str">
            <v>PALL MALL DS 20S 1PZ</v>
          </cell>
        </row>
        <row r="311">
          <cell r="A311">
            <v>100080803</v>
          </cell>
          <cell r="B311">
            <v>75027667</v>
          </cell>
          <cell r="C311" t="str">
            <v>PALL MALL CIGARR XL MENTHOL CAJET</v>
          </cell>
        </row>
        <row r="312">
          <cell r="A312">
            <v>100080834</v>
          </cell>
          <cell r="B312">
            <v>75034665</v>
          </cell>
          <cell r="C312" t="str">
            <v>PALL MALL CIGARR XL FRESH CAJET</v>
          </cell>
        </row>
        <row r="313">
          <cell r="A313">
            <v>100080891</v>
          </cell>
          <cell r="B313">
            <v>75042936</v>
          </cell>
          <cell r="C313" t="str">
            <v>PALL MALL CIGARR XL 14S MENTHO CAJET</v>
          </cell>
        </row>
        <row r="314">
          <cell r="A314">
            <v>100080877</v>
          </cell>
          <cell r="B314">
            <v>75039868</v>
          </cell>
          <cell r="C314" t="str">
            <v>PALL MALL CIGARR XL 14S FRESH CAJET</v>
          </cell>
        </row>
        <row r="315">
          <cell r="A315">
            <v>100080806</v>
          </cell>
          <cell r="B315">
            <v>75027803</v>
          </cell>
          <cell r="C315" t="str">
            <v>PALL MALL CIGARR EXACTOS PLUS CAJET</v>
          </cell>
        </row>
        <row r="316">
          <cell r="A316">
            <v>100080888</v>
          </cell>
          <cell r="B316">
            <v>8308014</v>
          </cell>
          <cell r="C316" t="str">
            <v>PALL MALL CIGARR EXACTOS LIGHT CAJET</v>
          </cell>
        </row>
        <row r="317">
          <cell r="A317">
            <v>100015215</v>
          </cell>
          <cell r="B317">
            <v>75069490</v>
          </cell>
          <cell r="C317" t="str">
            <v>PALL MALL CALIFORNIA NIGHTS 20</v>
          </cell>
        </row>
        <row r="318">
          <cell r="A318">
            <v>100011743</v>
          </cell>
          <cell r="B318">
            <v>75064587</v>
          </cell>
          <cell r="C318" t="str">
            <v>PALL MALL ARUBA 14S</v>
          </cell>
        </row>
        <row r="319">
          <cell r="A319">
            <v>100023315</v>
          </cell>
          <cell r="B319">
            <v>75079697</v>
          </cell>
          <cell r="C319" t="str">
            <v>PALL MALL ALASKA SUNSHINE LATA 20 PZ</v>
          </cell>
        </row>
        <row r="320">
          <cell r="A320">
            <v>100025442</v>
          </cell>
          <cell r="B320">
            <v>75083939</v>
          </cell>
          <cell r="C320" t="str">
            <v>PALL MALL ALASKA STRESS RELIEVER 20 PZ</v>
          </cell>
        </row>
        <row r="321">
          <cell r="A321">
            <v>100025448</v>
          </cell>
          <cell r="B321">
            <v>75083922</v>
          </cell>
          <cell r="C321" t="str">
            <v>PALL MALL ALASKA STRESS RELIEVER 15 PZ</v>
          </cell>
        </row>
        <row r="322">
          <cell r="A322">
            <v>100024884</v>
          </cell>
          <cell r="B322">
            <v>75082284</v>
          </cell>
          <cell r="C322" t="str">
            <v>PALL MALL 125 AÑOS CASE TOKYO 20 PZ</v>
          </cell>
        </row>
        <row r="323">
          <cell r="A323">
            <v>100024885</v>
          </cell>
          <cell r="B323">
            <v>75082291</v>
          </cell>
          <cell r="C323" t="str">
            <v>PALL MALL 125 AÑOS CASE MYKONOS 20 PZ</v>
          </cell>
        </row>
        <row r="324">
          <cell r="A324">
            <v>100024888</v>
          </cell>
          <cell r="B324">
            <v>75082338</v>
          </cell>
          <cell r="C324" t="str">
            <v>PALL MALL 125 AÑOS CASE MIAMI 20 PZ</v>
          </cell>
        </row>
        <row r="325">
          <cell r="A325">
            <v>100024886</v>
          </cell>
          <cell r="B325">
            <v>75082314</v>
          </cell>
          <cell r="C325" t="str">
            <v>PALL MALL 125 AÑOS CASE LONDON 20 PZ</v>
          </cell>
        </row>
        <row r="326">
          <cell r="A326">
            <v>100024887</v>
          </cell>
          <cell r="B326">
            <v>75082307</v>
          </cell>
          <cell r="C326" t="str">
            <v>PALL MALL 125 AÑOS CASE HAWAII 20 PZ</v>
          </cell>
        </row>
        <row r="327">
          <cell r="A327">
            <v>100024883</v>
          </cell>
          <cell r="B327">
            <v>75082321</v>
          </cell>
          <cell r="C327" t="str">
            <v>PALL MALL 125 AÑOS CASE BORA BORA 20 PZ</v>
          </cell>
        </row>
        <row r="328">
          <cell r="A328">
            <v>100024882</v>
          </cell>
          <cell r="B328">
            <v>75082277</v>
          </cell>
          <cell r="C328" t="str">
            <v>PALL MALL 125 AÑOS CASE ALASKA 20 PZ</v>
          </cell>
        </row>
        <row r="329">
          <cell r="A329">
            <v>100019052</v>
          </cell>
          <cell r="B329">
            <v>75074784</v>
          </cell>
          <cell r="C329" t="str">
            <v>MONTANA SHOTS XL 20S 1 CAJETILLA</v>
          </cell>
        </row>
        <row r="330">
          <cell r="A330">
            <v>100080808</v>
          </cell>
          <cell r="B330">
            <v>75030728</v>
          </cell>
          <cell r="C330" t="str">
            <v>MARLBORO WINTER SHUFFLE</v>
          </cell>
        </row>
        <row r="331">
          <cell r="A331">
            <v>100020770</v>
          </cell>
          <cell r="B331">
            <v>75074753</v>
          </cell>
          <cell r="C331" t="str">
            <v>MARLBORO WINTER EDICION LIMITADA W 1 CAJETILLA</v>
          </cell>
        </row>
        <row r="332">
          <cell r="A332">
            <v>100024301</v>
          </cell>
          <cell r="B332">
            <v>7503031950960</v>
          </cell>
          <cell r="C332" t="str">
            <v>MARLBORO VISTA SUMMER FUSION 100 BOX 20 LATA MEXICO 2024 CAJETILLA PZ</v>
          </cell>
        </row>
        <row r="333">
          <cell r="A333">
            <v>100025452</v>
          </cell>
          <cell r="B333">
            <v>7503031949322</v>
          </cell>
          <cell r="C333" t="str">
            <v>MARLBORO VISTA PROVENCE FUSION 100 BOX 20 (LATA CENICERO '25) CAJETILLA PZ</v>
          </cell>
        </row>
        <row r="334">
          <cell r="A334">
            <v>100024303</v>
          </cell>
          <cell r="B334">
            <v>7503031950977</v>
          </cell>
          <cell r="C334" t="str">
            <v>MARLBORO VISTA GARDEN FUSION 100 BOX 20 LATA MEXICO 2024 CAJETILLA PZ</v>
          </cell>
        </row>
        <row r="335">
          <cell r="A335">
            <v>100024306</v>
          </cell>
          <cell r="B335">
            <v>7503031949094</v>
          </cell>
          <cell r="C335" t="str">
            <v>MARLBORO VISTA FOREST FUSION 100 BOX 20 LATA MEXICO 2024 CAJETILLA PZ</v>
          </cell>
        </row>
        <row r="336">
          <cell r="A336">
            <v>100025451</v>
          </cell>
          <cell r="B336">
            <v>7503031949209</v>
          </cell>
          <cell r="C336" t="str">
            <v>MARLBORO VISTA FOREST FUSION 100 BOX 20 (LATA CENICERO '25) CAJETILLA PZ</v>
          </cell>
        </row>
        <row r="337">
          <cell r="A337">
            <v>100024305</v>
          </cell>
          <cell r="B337">
            <v>7503031949001</v>
          </cell>
          <cell r="C337" t="str">
            <v>MARLBORO VISTA CARIBBEAN FUSION 100 BOX 20 LATA MEXICO 2024 CAJETILLA PZ</v>
          </cell>
        </row>
        <row r="338">
          <cell r="A338">
            <v>100025450</v>
          </cell>
          <cell r="B338">
            <v>7503031949223</v>
          </cell>
          <cell r="C338" t="str">
            <v>MARLBORO VISTA CARIBBEAN FUSION 100 BOX 20 (LATA CENICERO '25) CAJETILLA PZ</v>
          </cell>
        </row>
        <row r="339">
          <cell r="A339">
            <v>100022332</v>
          </cell>
          <cell r="B339">
            <v>75018832</v>
          </cell>
          <cell r="C339" t="str">
            <v>MARLBORO VISTA BLOSSOM 14´S CAJETILLAPZ</v>
          </cell>
        </row>
        <row r="340">
          <cell r="A340">
            <v>100024304</v>
          </cell>
          <cell r="B340">
            <v>7503031950991</v>
          </cell>
          <cell r="C340" t="str">
            <v>MARLBORO VISTA BLOSSOM 100 BOX 20 LATA MEXICO 2024 CAJETILLA PZ</v>
          </cell>
        </row>
        <row r="341">
          <cell r="A341">
            <v>100022331</v>
          </cell>
          <cell r="B341">
            <v>75004408</v>
          </cell>
          <cell r="C341" t="str">
            <v>MARLBORO VISTA ARTIC 14S CAJETILLAPZ</v>
          </cell>
        </row>
        <row r="342">
          <cell r="A342">
            <v>100019003</v>
          </cell>
          <cell r="B342">
            <v>75001445</v>
          </cell>
          <cell r="C342" t="str">
            <v>MARLBORO TROPIC SHUFFLE 20 1 CAJETILLA</v>
          </cell>
        </row>
        <row r="343">
          <cell r="A343">
            <v>100006296</v>
          </cell>
          <cell r="B343">
            <v>75053758</v>
          </cell>
          <cell r="C343" t="str">
            <v>MARLBORO TABACO REPOSADO GOLD</v>
          </cell>
        </row>
        <row r="344">
          <cell r="A344">
            <v>100022139</v>
          </cell>
          <cell r="B344">
            <v>7503031950274</v>
          </cell>
          <cell r="C344" t="str">
            <v>MARLBORO SUMMER LPE SUMMER 1 CAJETILLA</v>
          </cell>
        </row>
        <row r="345">
          <cell r="A345">
            <v>100022845</v>
          </cell>
          <cell r="B345">
            <v>7503031950458</v>
          </cell>
          <cell r="C345" t="str">
            <v>MARLBORO SUMMER LATA 23 CAJET PZ</v>
          </cell>
        </row>
        <row r="346">
          <cell r="A346">
            <v>100023891</v>
          </cell>
          <cell r="B346">
            <v>7503031950939</v>
          </cell>
          <cell r="C346" t="str">
            <v>MARLBORO SUMMER FUSION MNT LATA DISCO 24 MARLBORO SUMMER LATA 24 DISCO CAJETILLA PZ</v>
          </cell>
        </row>
        <row r="347">
          <cell r="A347">
            <v>100022968</v>
          </cell>
          <cell r="B347">
            <v>75025359</v>
          </cell>
          <cell r="C347" t="str">
            <v>MARLBORO SOL SHUFFLE MNT 100 BOX 20</v>
          </cell>
        </row>
        <row r="348">
          <cell r="A348">
            <v>100010332</v>
          </cell>
          <cell r="B348">
            <v>75062736</v>
          </cell>
          <cell r="C348" t="str">
            <v>MARLBORO SHINE 100S 1 CAJETILLA</v>
          </cell>
        </row>
        <row r="349">
          <cell r="A349">
            <v>100006294</v>
          </cell>
          <cell r="B349">
            <v>75053765</v>
          </cell>
          <cell r="C349" t="str">
            <v>MARLBORO SELECCION ARTESANAL 20</v>
          </cell>
        </row>
        <row r="350">
          <cell r="A350">
            <v>100018586</v>
          </cell>
          <cell r="B350">
            <v>75001414</v>
          </cell>
          <cell r="C350" t="str">
            <v>MARLBORO SELECC ARTESANAL 14 1 CAJETILLA</v>
          </cell>
        </row>
        <row r="351">
          <cell r="A351">
            <v>100080990</v>
          </cell>
          <cell r="B351">
            <v>75050450</v>
          </cell>
          <cell r="C351" t="str">
            <v>MARLBORO RUBYFRESH CAJET</v>
          </cell>
        </row>
        <row r="352">
          <cell r="A352">
            <v>100021422</v>
          </cell>
          <cell r="B352">
            <v>75022242</v>
          </cell>
          <cell r="C352" t="str">
            <v>MARLBORO RED CA RED CAPS MEX 1 CAJETILLA</v>
          </cell>
        </row>
        <row r="353">
          <cell r="A353">
            <v>100019696</v>
          </cell>
          <cell r="B353">
            <v>75072612</v>
          </cell>
          <cell r="C353" t="str">
            <v>MARLBORO MEXICO RED LS BOX MEXICO 1 CAJETILLA</v>
          </cell>
        </row>
        <row r="354">
          <cell r="A354">
            <v>100015219</v>
          </cell>
          <cell r="B354">
            <v>75069933</v>
          </cell>
          <cell r="C354" t="str">
            <v>MARLBORO MEXICO LATA 1 CAJETILLA</v>
          </cell>
        </row>
        <row r="355">
          <cell r="A355">
            <v>100019698</v>
          </cell>
          <cell r="B355">
            <v>75072605</v>
          </cell>
          <cell r="C355" t="str">
            <v>MARLBORO MEXICO GOLD KS 100 MEXICO 1 CAJETILLA</v>
          </cell>
        </row>
        <row r="356">
          <cell r="A356">
            <v>100021413</v>
          </cell>
          <cell r="B356">
            <v>7503031950229</v>
          </cell>
          <cell r="C356" t="str">
            <v>MARLBORO LPE ME MEXICO SUMMER 1 CAJETILLA</v>
          </cell>
        </row>
        <row r="357">
          <cell r="A357">
            <v>100021421</v>
          </cell>
          <cell r="B357">
            <v>75012717</v>
          </cell>
          <cell r="C357" t="str">
            <v>MARLBORO LPE ME MEXICO RED 1 CAJETILLA</v>
          </cell>
        </row>
        <row r="358">
          <cell r="A358">
            <v>100021415</v>
          </cell>
          <cell r="B358">
            <v>75022259</v>
          </cell>
          <cell r="C358" t="str">
            <v>MARLBORO LPE ME MEXICO GOLD 1 CAJETILLA</v>
          </cell>
        </row>
        <row r="359">
          <cell r="A359">
            <v>100021411</v>
          </cell>
          <cell r="B359">
            <v>7503031950236</v>
          </cell>
          <cell r="C359" t="str">
            <v xml:space="preserve">MARLBORO LPE ME MEXICO GARDEN 1 CAJETILLA	</v>
          </cell>
        </row>
        <row r="360">
          <cell r="A360">
            <v>100021409</v>
          </cell>
          <cell r="B360">
            <v>7503031950250</v>
          </cell>
          <cell r="C360" t="str">
            <v>MARLBORO LPE ME MEXICO BLOSSOM 1 CAJETILLA</v>
          </cell>
        </row>
        <row r="361">
          <cell r="A361">
            <v>100021407</v>
          </cell>
          <cell r="B361">
            <v>7503031950243</v>
          </cell>
          <cell r="C361" t="str">
            <v>MARLBORO LPE ME MEXICO ARCTIC 1 CAJETILLA</v>
          </cell>
        </row>
        <row r="362">
          <cell r="A362">
            <v>100021418</v>
          </cell>
          <cell r="B362">
            <v>75015718</v>
          </cell>
          <cell r="C362" t="str">
            <v>MARLBORO LPE GO GOLD CAPS MEXICO 1 CAJETILLA</v>
          </cell>
        </row>
        <row r="363">
          <cell r="A363">
            <v>100022334</v>
          </cell>
          <cell r="B363">
            <v>7503031950441</v>
          </cell>
          <cell r="C363" t="str">
            <v>MARLBORO LPE ARTIC CAJETILLAPZ</v>
          </cell>
        </row>
        <row r="364">
          <cell r="A364">
            <v>100020135</v>
          </cell>
          <cell r="B364">
            <v>7503031950137</v>
          </cell>
          <cell r="C364" t="str">
            <v>MARLBORO LATAS  SUMMER DICIEMBRE  1 CAJETILLA</v>
          </cell>
        </row>
        <row r="365">
          <cell r="A365">
            <v>100020134</v>
          </cell>
          <cell r="B365">
            <v>7503031950144</v>
          </cell>
          <cell r="C365" t="str">
            <v>MARLBORO LATAS  GARDEN DICIEMBRE  1 CAJETILLA</v>
          </cell>
        </row>
        <row r="366">
          <cell r="A366">
            <v>100020136</v>
          </cell>
          <cell r="B366">
            <v>7503031950151</v>
          </cell>
          <cell r="C366" t="str">
            <v>MARLBORO LATAS  ARTIC DICIEMBRE  1 CAJETILLA</v>
          </cell>
        </row>
        <row r="367">
          <cell r="A367">
            <v>100019578</v>
          </cell>
          <cell r="B367">
            <v>7503031950052</v>
          </cell>
          <cell r="C367" t="str">
            <v>MARLBORO LATA SUMMER MEXICO 1 CAJETILLA</v>
          </cell>
        </row>
        <row r="368">
          <cell r="A368">
            <v>100020724</v>
          </cell>
          <cell r="B368">
            <v>7503031950182</v>
          </cell>
          <cell r="C368" t="str">
            <v>MARLBORO LATA L SUMMER 1 CAJETILLA</v>
          </cell>
        </row>
        <row r="369">
          <cell r="A369">
            <v>100020725</v>
          </cell>
          <cell r="B369">
            <v>7503031950199</v>
          </cell>
          <cell r="C369" t="str">
            <v>MARLBORO LATA L GARDEN 1 CAJETILLA</v>
          </cell>
        </row>
        <row r="370">
          <cell r="A370">
            <v>100020726</v>
          </cell>
          <cell r="B370">
            <v>7503031950205</v>
          </cell>
          <cell r="C370" t="str">
            <v>MARLBORO LATA L ARCTIC 1 CAJETILLA</v>
          </cell>
        </row>
        <row r="371">
          <cell r="A371">
            <v>100019576</v>
          </cell>
          <cell r="B371">
            <v>7503031950069</v>
          </cell>
          <cell r="C371" t="str">
            <v>MARLBORO LATA GARDEN MEXICO 1 CAJETILLA</v>
          </cell>
        </row>
        <row r="372">
          <cell r="A372">
            <v>100020429</v>
          </cell>
          <cell r="B372">
            <v>7503031950175</v>
          </cell>
          <cell r="C372" t="str">
            <v>MARLBORO LATA B BLOSSOM 1 CAJETILLA</v>
          </cell>
        </row>
        <row r="373">
          <cell r="A373">
            <v>100021091</v>
          </cell>
          <cell r="B373">
            <v>7503031950212</v>
          </cell>
          <cell r="C373" t="str">
            <v>MARLBORO LATA B BLOSOM LPE 1 CAJETILLA</v>
          </cell>
        </row>
        <row r="374">
          <cell r="A374">
            <v>100022138</v>
          </cell>
          <cell r="B374">
            <v>7503031950281</v>
          </cell>
          <cell r="C374" t="str">
            <v xml:space="preserve">MARLBORO GARDEN LPE GARDEN 1 CAJETILLA	</v>
          </cell>
        </row>
        <row r="375">
          <cell r="A375">
            <v>100022849</v>
          </cell>
          <cell r="B375">
            <v>7503031950465</v>
          </cell>
          <cell r="C375" t="str">
            <v>MARLBORO GARDEN LATA 23 CAJET PZ</v>
          </cell>
        </row>
        <row r="376">
          <cell r="A376">
            <v>100023889</v>
          </cell>
          <cell r="B376">
            <v>7503031950953</v>
          </cell>
          <cell r="C376" t="str">
            <v>MARLBORO FOREST FUSION MNT LATA DISCO 24</v>
          </cell>
        </row>
        <row r="377">
          <cell r="A377">
            <v>100022276</v>
          </cell>
          <cell r="B377">
            <v>75004415</v>
          </cell>
          <cell r="C377" t="str">
            <v>MARLBORO EXOTIC VISTA EXOTIC 1 CAJETILLA</v>
          </cell>
        </row>
        <row r="378">
          <cell r="A378">
            <v>100023362</v>
          </cell>
          <cell r="B378">
            <v>7503031950533</v>
          </cell>
          <cell r="C378" t="str">
            <v>MARLBORO CRAFTED 2.0 RED KS BOX 20 STD - VAO CAJETILLA PZ</v>
          </cell>
        </row>
        <row r="379">
          <cell r="A379">
            <v>100020137</v>
          </cell>
          <cell r="B379">
            <v>7503031950168</v>
          </cell>
          <cell r="C379" t="str">
            <v>MARLBORO CRAFTE CRAFTED ARTESANAL  1 CAJETILLA</v>
          </cell>
        </row>
        <row r="380">
          <cell r="A380">
            <v>100080937</v>
          </cell>
          <cell r="B380">
            <v>75046781</v>
          </cell>
          <cell r="C380" t="str">
            <v>MARLBORO CIGARRO 18 ROJO</v>
          </cell>
        </row>
        <row r="381">
          <cell r="A381">
            <v>100080829</v>
          </cell>
          <cell r="B381">
            <v>75034375</v>
          </cell>
          <cell r="C381" t="str">
            <v>MARLBORO CIGARR TOUCH CAJET</v>
          </cell>
        </row>
        <row r="382">
          <cell r="A382">
            <v>100007987</v>
          </cell>
          <cell r="B382">
            <v>9583</v>
          </cell>
          <cell r="C382" t="str">
            <v>MARLBORO CIGARR ROJO CD CAJETBC</v>
          </cell>
        </row>
        <row r="383">
          <cell r="A383">
            <v>100080029</v>
          </cell>
          <cell r="B383">
            <v>75001292</v>
          </cell>
          <cell r="C383" t="str">
            <v>MARLBORO CIGARR LIGTH EL CS CAJET</v>
          </cell>
        </row>
        <row r="384">
          <cell r="A384">
            <v>100007989</v>
          </cell>
          <cell r="B384">
            <v>9584</v>
          </cell>
          <cell r="C384" t="str">
            <v>MARLBORO CIGARR LIGHT FT CD CAJETBC</v>
          </cell>
        </row>
        <row r="385">
          <cell r="A385">
            <v>100080420</v>
          </cell>
          <cell r="B385">
            <v>75014551</v>
          </cell>
          <cell r="C385" t="str">
            <v>MARLBORO CIGARR LIGHT FT CD CAJET</v>
          </cell>
        </row>
        <row r="386">
          <cell r="A386">
            <v>100080769</v>
          </cell>
          <cell r="B386">
            <v>75027018</v>
          </cell>
          <cell r="C386" t="str">
            <v>MARLBORO CIGARR LIGHT 14S CD CAJET</v>
          </cell>
        </row>
        <row r="387">
          <cell r="A387">
            <v>100080797</v>
          </cell>
          <cell r="B387">
            <v>75029388</v>
          </cell>
          <cell r="C387" t="str">
            <v>MARLBORO CIGARR FRESH CD CAJET</v>
          </cell>
        </row>
        <row r="388">
          <cell r="A388">
            <v>100022848</v>
          </cell>
          <cell r="B388">
            <v>7503031950496</v>
          </cell>
          <cell r="C388" t="str">
            <v>MARLBORO CARIBBEAN LATA 23 CAJET PZ</v>
          </cell>
        </row>
        <row r="389">
          <cell r="A389">
            <v>101000061</v>
          </cell>
          <cell r="B389">
            <v>75006204</v>
          </cell>
          <cell r="C389" t="str">
            <v>MARLBORO CARIBBEAN FUSION 100 BOX 14 CAJETILLA PZ</v>
          </cell>
        </row>
        <row r="390">
          <cell r="A390">
            <v>100022137</v>
          </cell>
          <cell r="B390">
            <v>7503031950311</v>
          </cell>
          <cell r="C390" t="str">
            <v>MARLBORO CARIBB LPE CARIBBEAN 1 CAJETILLA</v>
          </cell>
        </row>
        <row r="391">
          <cell r="A391">
            <v>100023892</v>
          </cell>
          <cell r="B391">
            <v>7503031950946</v>
          </cell>
          <cell r="C391" t="str">
            <v>MARLBORO BLOSSOM MIST MNT LATA DISCO 24 PZ</v>
          </cell>
        </row>
        <row r="392">
          <cell r="A392">
            <v>100022846</v>
          </cell>
          <cell r="B392">
            <v>7503031950489</v>
          </cell>
          <cell r="C392" t="str">
            <v>MARLBORO BLOSSOM LATA 23 CAJET PZ</v>
          </cell>
        </row>
        <row r="393">
          <cell r="A393">
            <v>100022136</v>
          </cell>
          <cell r="B393">
            <v>7503031950304</v>
          </cell>
          <cell r="C393" t="str">
            <v>MARLBORO BLOSSO LPE BLOSSOM 1 CAJETILLA</v>
          </cell>
        </row>
        <row r="394">
          <cell r="A394">
            <v>100022847</v>
          </cell>
          <cell r="B394">
            <v>7503031950472</v>
          </cell>
          <cell r="C394" t="str">
            <v>MARLBORO ARTIC LATA 23 CAJET PZ</v>
          </cell>
        </row>
        <row r="395">
          <cell r="A395">
            <v>100022134</v>
          </cell>
          <cell r="B395">
            <v>7503031950298</v>
          </cell>
          <cell r="C395" t="str">
            <v>MARLBORO ARCTIC LPE ARCTIC 1 CAJETILLA</v>
          </cell>
        </row>
        <row r="396">
          <cell r="A396">
            <v>100007424</v>
          </cell>
          <cell r="B396">
            <v>75056001</v>
          </cell>
          <cell r="C396" t="str">
            <v>MARLBORO AMBER ADVANCE 1CAJ</v>
          </cell>
        </row>
        <row r="397">
          <cell r="A397">
            <v>100015222</v>
          </cell>
          <cell r="B397">
            <v>75068790</v>
          </cell>
          <cell r="C397" t="str">
            <v>MARLBORO AMBER 100 BOX 20 1 CAJETILLA</v>
          </cell>
        </row>
        <row r="398">
          <cell r="A398">
            <v>100023361</v>
          </cell>
          <cell r="B398">
            <v>7503031950540</v>
          </cell>
          <cell r="C398" t="str">
            <v>MARLBORO  MARLBORO CRAFTED 2.0 GOLD KS BOX 20 STD - VAO CAJETILLA PZ</v>
          </cell>
        </row>
        <row r="399">
          <cell r="A399">
            <v>100080977</v>
          </cell>
          <cell r="B399">
            <v>75047078</v>
          </cell>
          <cell r="C399" t="str">
            <v>MALBORO ICE XPRESS</v>
          </cell>
        </row>
        <row r="400">
          <cell r="A400">
            <v>100023423</v>
          </cell>
          <cell r="B400">
            <v>75079888</v>
          </cell>
          <cell r="C400" t="str">
            <v>LUCKY STRIKE ORIGINS RICH 20 PZ</v>
          </cell>
        </row>
        <row r="401">
          <cell r="A401">
            <v>100023422</v>
          </cell>
          <cell r="B401">
            <v>75079901</v>
          </cell>
          <cell r="C401" t="str">
            <v>LUCKY STRIKE ORIGINS DARK 20 PZ</v>
          </cell>
        </row>
        <row r="402">
          <cell r="A402">
            <v>100023424</v>
          </cell>
          <cell r="B402">
            <v>75079895</v>
          </cell>
          <cell r="C402" t="str">
            <v>LUCKY STRIKE ORIGINS BRIGHT 20 PZ</v>
          </cell>
        </row>
        <row r="403">
          <cell r="A403">
            <v>100023426</v>
          </cell>
          <cell r="B403">
            <v>75079956</v>
          </cell>
          <cell r="C403" t="str">
            <v>LUCKY STRIKE ORIGINAL RED 20 PZ</v>
          </cell>
        </row>
        <row r="404">
          <cell r="A404">
            <v>100019548</v>
          </cell>
          <cell r="B404">
            <v>75073978</v>
          </cell>
          <cell r="C404" t="str">
            <v>LUCKY STRIKE NOVA LATA 1 CAJETILLA</v>
          </cell>
        </row>
        <row r="405">
          <cell r="A405">
            <v>100019549</v>
          </cell>
          <cell r="B405">
            <v>75073985</v>
          </cell>
          <cell r="C405" t="str">
            <v>LUCKY STRIKE NOVA 20S 1 CAJETILLA</v>
          </cell>
        </row>
        <row r="406">
          <cell r="A406">
            <v>100007451</v>
          </cell>
          <cell r="B406">
            <v>75057732</v>
          </cell>
          <cell r="C406" t="str">
            <v>LUCKY STRIKE ME T+C FRESH 1PZ</v>
          </cell>
        </row>
        <row r="407">
          <cell r="A407">
            <v>100023714</v>
          </cell>
          <cell r="B407">
            <v>75080105</v>
          </cell>
          <cell r="C407" t="str">
            <v>LUCKY STRIKE LATA CLÁSICA RED 20 PZ</v>
          </cell>
        </row>
        <row r="408">
          <cell r="A408">
            <v>100017662</v>
          </cell>
          <cell r="B408">
            <v>75072506</v>
          </cell>
          <cell r="C408" t="str">
            <v>LUCKY STRIKE LATA CINEMA 25S 1 PZ</v>
          </cell>
        </row>
        <row r="409">
          <cell r="A409">
            <v>100011378</v>
          </cell>
          <cell r="B409">
            <v>75063351</v>
          </cell>
          <cell r="C409" t="str">
            <v>LUCKY STRIKE FF DARK INFUSE LATA 20S</v>
          </cell>
        </row>
        <row r="410">
          <cell r="A410">
            <v>100011380</v>
          </cell>
          <cell r="B410">
            <v>75063344</v>
          </cell>
          <cell r="C410" t="str">
            <v>LUCKY STRIKE FF BLOND INFUSE LATA 20S</v>
          </cell>
        </row>
        <row r="411">
          <cell r="A411">
            <v>100018747</v>
          </cell>
          <cell r="B411">
            <v>75074197</v>
          </cell>
          <cell r="C411" t="str">
            <v>LUCKY STRIKE ENIGMA LATA 1 CAJETILLA</v>
          </cell>
        </row>
        <row r="412">
          <cell r="A412">
            <v>100018748</v>
          </cell>
          <cell r="B412">
            <v>75074203</v>
          </cell>
          <cell r="C412" t="str">
            <v>LUCKY STRIKE ECLIPS LATA 1 CAJETILLA</v>
          </cell>
        </row>
        <row r="413">
          <cell r="A413">
            <v>100008777</v>
          </cell>
          <cell r="B413">
            <v>75061135</v>
          </cell>
          <cell r="C413" t="str">
            <v>LUCKY STRIKE CONVERTIBLES ENIGMA PZ</v>
          </cell>
        </row>
        <row r="414">
          <cell r="A414">
            <v>100080954</v>
          </cell>
          <cell r="B414">
            <v>75047283</v>
          </cell>
          <cell r="C414" t="str">
            <v>LUCKY STRIKE CAJA DURA</v>
          </cell>
        </row>
        <row r="415">
          <cell r="A415">
            <v>100013301</v>
          </cell>
          <cell r="B415">
            <v>75066611</v>
          </cell>
          <cell r="C415" t="str">
            <v>LUCKY STRIKE BLOND 100S 1PZ</v>
          </cell>
        </row>
        <row r="416">
          <cell r="A416">
            <v>100015645</v>
          </cell>
          <cell r="B416">
            <v>75070373</v>
          </cell>
          <cell r="C416" t="str">
            <v xml:space="preserve">LUCKY STRIKE 94MM WINTER STORM 1 CAJETILLA		</v>
          </cell>
        </row>
        <row r="417">
          <cell r="A417">
            <v>100015174</v>
          </cell>
          <cell r="B417">
            <v>75067878</v>
          </cell>
          <cell r="C417" t="str">
            <v xml:space="preserve">LUCKY STRIKE 94MM SUNSHINE BLAST 1 CAJETILLA				</v>
          </cell>
        </row>
        <row r="418">
          <cell r="A418">
            <v>100015648</v>
          </cell>
          <cell r="B418">
            <v>75070588</v>
          </cell>
          <cell r="C418" t="str">
            <v>LUCKY STRIKE 100S MYSTIC 1 CAJETILLA</v>
          </cell>
        </row>
        <row r="419">
          <cell r="A419">
            <v>100017624</v>
          </cell>
          <cell r="B419">
            <v>75072674</v>
          </cell>
          <cell r="C419" t="str">
            <v>LUCKY STRIKE 100S ECLIPSE 20S 1 PZ</v>
          </cell>
        </row>
        <row r="420">
          <cell r="A420">
            <v>100008441</v>
          </cell>
          <cell r="B420">
            <v>75058470</v>
          </cell>
          <cell r="C420" t="str">
            <v>LUCKY STRICKE ORIGINAL 145AÑOS PZ</v>
          </cell>
        </row>
        <row r="421">
          <cell r="A421">
            <v>100010934</v>
          </cell>
          <cell r="B421">
            <v>75062675</v>
          </cell>
          <cell r="C421" t="str">
            <v>LUCKIE  STRIKE BLOND INFUSE 20S FF</v>
          </cell>
        </row>
        <row r="422">
          <cell r="A422">
            <v>900000012</v>
          </cell>
          <cell r="B422">
            <v>8356</v>
          </cell>
          <cell r="C422" t="str">
            <v>LM CIGARRO</v>
          </cell>
        </row>
        <row r="423">
          <cell r="A423">
            <v>100020228</v>
          </cell>
          <cell r="B423">
            <v>5410706884555</v>
          </cell>
          <cell r="C423" t="str">
            <v>IQOS IQOS 3 IQOS DUO WHITE KIT 1 PZ</v>
          </cell>
        </row>
        <row r="424">
          <cell r="A424">
            <v>100017011</v>
          </cell>
          <cell r="B424">
            <v>5410706851496</v>
          </cell>
          <cell r="C424" t="str">
            <v>IQOS HISOPO LIMPIADORES 1 CAJETILLA</v>
          </cell>
        </row>
        <row r="425">
          <cell r="A425">
            <v>100021272</v>
          </cell>
          <cell r="B425">
            <v>7622100711049</v>
          </cell>
          <cell r="C425" t="str">
            <v xml:space="preserve">IQOS HISOPO GLICERINA  1 CAJETILLA	</v>
          </cell>
        </row>
        <row r="426">
          <cell r="A426">
            <v>100018398</v>
          </cell>
          <cell r="B426">
            <v>7622100806332</v>
          </cell>
          <cell r="C426" t="str">
            <v>IQOS HISOPO 10 1 CAJETILLA</v>
          </cell>
        </row>
        <row r="427">
          <cell r="A427">
            <v>100020901</v>
          </cell>
          <cell r="B427">
            <v>5410706903331</v>
          </cell>
          <cell r="C427" t="str">
            <v>IQOS DUO WH IQOS WHITE 1 CAJETILLA</v>
          </cell>
        </row>
        <row r="428">
          <cell r="A428">
            <v>100020906</v>
          </cell>
          <cell r="B428">
            <v>5410706903317</v>
          </cell>
          <cell r="C428" t="str">
            <v>IQOS DUO GR IQOS GREY 1 CAJETILLA</v>
          </cell>
        </row>
        <row r="429">
          <cell r="A429">
            <v>100020904</v>
          </cell>
          <cell r="B429">
            <v>5410706903294</v>
          </cell>
          <cell r="C429" t="str">
            <v>IQOS DUO GO IQOS GOLD 1 CAJETILLA</v>
          </cell>
        </row>
        <row r="430">
          <cell r="A430">
            <v>100020905</v>
          </cell>
          <cell r="B430">
            <v>5410706903355</v>
          </cell>
          <cell r="C430" t="str">
            <v>IQOS DUO BL IQOS BLUE 1 CAJETILLA</v>
          </cell>
        </row>
        <row r="431">
          <cell r="A431">
            <v>100020177</v>
          </cell>
          <cell r="B431">
            <v>5410706884739</v>
          </cell>
          <cell r="C431" t="str">
            <v>IQOS 3 IQOS DUO GREY KIT 1 PZ</v>
          </cell>
        </row>
        <row r="432">
          <cell r="A432">
            <v>100020178</v>
          </cell>
          <cell r="B432">
            <v>5410706884715</v>
          </cell>
          <cell r="C432" t="str">
            <v>IQOS 3 IQOS DUO GOLD KIT 1 PZ</v>
          </cell>
        </row>
        <row r="433">
          <cell r="A433">
            <v>100020179</v>
          </cell>
          <cell r="B433">
            <v>5410706884654</v>
          </cell>
          <cell r="C433" t="str">
            <v>IQOS 3 IQOS DUO BLUE KIT 1 PZ</v>
          </cell>
        </row>
        <row r="434">
          <cell r="A434">
            <v>100020992</v>
          </cell>
          <cell r="B434">
            <v>5410710000000</v>
          </cell>
          <cell r="C434" t="str">
            <v>IQOS 2.4 NA IQOS 2.4 1 CAJETILLA</v>
          </cell>
        </row>
        <row r="435">
          <cell r="A435">
            <v>100015421</v>
          </cell>
          <cell r="B435">
            <v>7501045357423</v>
          </cell>
          <cell r="C435" t="str">
            <v>HEETS YELLOW SELECTION 1 CAJETILLA</v>
          </cell>
        </row>
        <row r="436">
          <cell r="A436">
            <v>100015420</v>
          </cell>
          <cell r="B436">
            <v>7501045357416</v>
          </cell>
          <cell r="C436" t="str">
            <v>HEETS TURQUO SELECTION 1 CAJETILLA</v>
          </cell>
        </row>
        <row r="437">
          <cell r="A437">
            <v>100015419</v>
          </cell>
          <cell r="B437">
            <v>7501045357430</v>
          </cell>
          <cell r="C437" t="str">
            <v>HEETS SIENNA SELECTION 1 CAJETILLA</v>
          </cell>
        </row>
        <row r="438">
          <cell r="A438">
            <v>100018638</v>
          </cell>
          <cell r="B438">
            <v>7501045357898</v>
          </cell>
          <cell r="C438" t="str">
            <v>HEETS RUSSET SELECTION 1 CAJETILLA</v>
          </cell>
        </row>
        <row r="439">
          <cell r="A439">
            <v>100015418</v>
          </cell>
          <cell r="B439">
            <v>7501045357454</v>
          </cell>
          <cell r="C439" t="str">
            <v>HEETS PURPLE SELECTION 1 CAJETILLA</v>
          </cell>
        </row>
        <row r="440">
          <cell r="A440">
            <v>100018639</v>
          </cell>
          <cell r="B440">
            <v>7501045357966</v>
          </cell>
          <cell r="C440" t="str">
            <v>HEETS GREEN ZING 1 CAJETILLA</v>
          </cell>
        </row>
        <row r="441">
          <cell r="A441">
            <v>100017980</v>
          </cell>
          <cell r="B441">
            <v>7501045357881</v>
          </cell>
          <cell r="C441" t="str">
            <v>HEETS BRONZE SELECTION 1 CAJETILLA</v>
          </cell>
        </row>
        <row r="442">
          <cell r="A442">
            <v>100015417</v>
          </cell>
          <cell r="B442">
            <v>7501045357447</v>
          </cell>
          <cell r="C442" t="str">
            <v>HEETS BLUE  SELECTION 1 CAJETILLA</v>
          </cell>
        </row>
        <row r="443">
          <cell r="A443">
            <v>100022970</v>
          </cell>
          <cell r="B443">
            <v>7503031950571</v>
          </cell>
          <cell r="C443" t="str">
            <v>HEETS BLACK GREEN SELECTION S50 PRI 20 SLI</v>
          </cell>
        </row>
        <row r="444">
          <cell r="A444">
            <v>100015416</v>
          </cell>
          <cell r="B444">
            <v>7501045356259</v>
          </cell>
          <cell r="C444" t="str">
            <v>HEETS AMBER SELECTION 1 CAJETILLA</v>
          </cell>
        </row>
        <row r="445">
          <cell r="A445">
            <v>100021950</v>
          </cell>
          <cell r="B445">
            <v>75004392</v>
          </cell>
          <cell r="C445" t="str">
            <v>FAROS 20 1 CAJETILLA</v>
          </cell>
        </row>
        <row r="446">
          <cell r="A446">
            <v>100012007</v>
          </cell>
          <cell r="B446">
            <v>75063900</v>
          </cell>
          <cell r="C446" t="str">
            <v>DELICADOS ORIGINALES 20 FAMILIARIZE 1CAJ</v>
          </cell>
        </row>
        <row r="447">
          <cell r="A447">
            <v>100011702</v>
          </cell>
          <cell r="B447">
            <v>75063894</v>
          </cell>
          <cell r="C447" t="str">
            <v>DELICADOS ORIGINALES 20 ENDO 1CAJE</v>
          </cell>
        </row>
        <row r="448">
          <cell r="A448">
            <v>100010267</v>
          </cell>
          <cell r="B448">
            <v>75061463</v>
          </cell>
          <cell r="C448" t="str">
            <v>DELICADOS FRESCOS 14S 1CAJ</v>
          </cell>
        </row>
        <row r="449">
          <cell r="A449">
            <v>100012003</v>
          </cell>
          <cell r="B449">
            <v>75063863</v>
          </cell>
          <cell r="C449" t="str">
            <v>DELICADOS FRESCOS 14 FAMILIAR 1CAJ</v>
          </cell>
        </row>
        <row r="450">
          <cell r="A450">
            <v>100009575</v>
          </cell>
          <cell r="B450">
            <v>75061449</v>
          </cell>
          <cell r="C450" t="str">
            <v>DELICADOS DELICA ORIGINAL 14S 1CAJE</v>
          </cell>
        </row>
        <row r="451">
          <cell r="A451">
            <v>100012005</v>
          </cell>
          <cell r="B451">
            <v>75063948</v>
          </cell>
          <cell r="C451" t="str">
            <v>DELICADOS CLAROS 24 FAMILIAR 1CAJ</v>
          </cell>
        </row>
        <row r="452">
          <cell r="A452">
            <v>100011705</v>
          </cell>
          <cell r="B452">
            <v>75063931</v>
          </cell>
          <cell r="C452" t="str">
            <v>DELICADOS CLAROS 24 ENDORSE 1CAJE</v>
          </cell>
        </row>
        <row r="453">
          <cell r="A453">
            <v>100080984</v>
          </cell>
          <cell r="B453">
            <v>75049607</v>
          </cell>
          <cell r="C453" t="str">
            <v>DELICADOS CLAROS 24</v>
          </cell>
        </row>
        <row r="454">
          <cell r="A454">
            <v>100012002</v>
          </cell>
          <cell r="B454">
            <v>75063849</v>
          </cell>
          <cell r="C454" t="str">
            <v>DELICADOS CLAROS 14 FAMILIAR 1CAJ</v>
          </cell>
        </row>
        <row r="455">
          <cell r="A455">
            <v>100011706</v>
          </cell>
          <cell r="B455">
            <v>75063832</v>
          </cell>
          <cell r="C455" t="str">
            <v>DELICADOS CLAROS 14 ENDORSE 1CAJE</v>
          </cell>
        </row>
        <row r="456">
          <cell r="A456">
            <v>100080976</v>
          </cell>
          <cell r="B456">
            <v>75049591</v>
          </cell>
          <cell r="C456" t="str">
            <v>DELICADOS CLAROS</v>
          </cell>
        </row>
        <row r="457">
          <cell r="A457">
            <v>100080951</v>
          </cell>
          <cell r="B457">
            <v>75047092</v>
          </cell>
          <cell r="C457" t="str">
            <v>DELICADOS CIGARROS 24S CAJET</v>
          </cell>
        </row>
        <row r="458">
          <cell r="A458">
            <v>100080869</v>
          </cell>
          <cell r="B458">
            <v>75037048</v>
          </cell>
          <cell r="C458" t="str">
            <v>DELICADOS CIGARR C/FILTRO LS20 CAJET</v>
          </cell>
        </row>
        <row r="459">
          <cell r="A459">
            <v>100005287</v>
          </cell>
          <cell r="B459">
            <v>75053048</v>
          </cell>
          <cell r="C459" t="str">
            <v>DELICADOS CAPSULA</v>
          </cell>
        </row>
        <row r="460">
          <cell r="A460">
            <v>100012006</v>
          </cell>
          <cell r="B460">
            <v>75063924</v>
          </cell>
          <cell r="C460" t="str">
            <v>DELICADOS 24 FAMILIARIZE 1CAJ</v>
          </cell>
        </row>
        <row r="461">
          <cell r="A461">
            <v>100011704</v>
          </cell>
          <cell r="B461">
            <v>75063917</v>
          </cell>
          <cell r="C461" t="str">
            <v>DELICADOS 24 ENDORSE 1CAJE</v>
          </cell>
        </row>
        <row r="462">
          <cell r="A462">
            <v>100011708</v>
          </cell>
          <cell r="B462">
            <v>75063870</v>
          </cell>
          <cell r="C462" t="str">
            <v>DELICADOS 14 ENDORSE 1CAJE</v>
          </cell>
        </row>
        <row r="463">
          <cell r="A463">
            <v>100008186</v>
          </cell>
          <cell r="B463">
            <v>75057817</v>
          </cell>
          <cell r="C463" t="str">
            <v>CHESTERFIELD ROJO 14S CAJET</v>
          </cell>
        </row>
        <row r="464">
          <cell r="A464">
            <v>100011671</v>
          </cell>
          <cell r="B464">
            <v>75063771</v>
          </cell>
          <cell r="C464" t="str">
            <v>CHESTERFIELD REMIX PASSION</v>
          </cell>
        </row>
        <row r="465">
          <cell r="A465">
            <v>100018204</v>
          </cell>
          <cell r="B465">
            <v>7501045300139</v>
          </cell>
          <cell r="C465" t="str">
            <v>CHESTERFIELD REMIX  LATA PASSION 1 CAJETILLA</v>
          </cell>
        </row>
        <row r="466">
          <cell r="A466">
            <v>100018203</v>
          </cell>
          <cell r="B466">
            <v>7501045300122</v>
          </cell>
          <cell r="C466" t="str">
            <v>CHESTERFIELD REMIX  LATA 20S 1 CAJETILLA</v>
          </cell>
        </row>
        <row r="467">
          <cell r="A467">
            <v>100004742</v>
          </cell>
          <cell r="B467">
            <v>75052867</v>
          </cell>
          <cell r="C467" t="str">
            <v>CHESTERFIELD RED 16</v>
          </cell>
        </row>
        <row r="468">
          <cell r="A468">
            <v>100080980</v>
          </cell>
          <cell r="B468">
            <v>75049577</v>
          </cell>
          <cell r="C468" t="str">
            <v>CHESTERFIELD PURPLE CAPS CAJET</v>
          </cell>
        </row>
        <row r="469">
          <cell r="A469">
            <v>100012202</v>
          </cell>
          <cell r="B469">
            <v>75064112</v>
          </cell>
          <cell r="C469" t="str">
            <v>CHESTERFIELD ORIGINALES 24 1CAJE</v>
          </cell>
        </row>
        <row r="470">
          <cell r="A470">
            <v>100011674</v>
          </cell>
          <cell r="B470">
            <v>75063726</v>
          </cell>
          <cell r="C470" t="str">
            <v>CHESTERFIELD ORIGINALES 20 1CAJ</v>
          </cell>
        </row>
        <row r="471">
          <cell r="A471">
            <v>100011678</v>
          </cell>
          <cell r="B471">
            <v>75063757</v>
          </cell>
          <cell r="C471" t="str">
            <v>CHESTERFIELD ORIGINALES 14 1CAJ</v>
          </cell>
        </row>
        <row r="472">
          <cell r="A472">
            <v>100018490</v>
          </cell>
          <cell r="B472">
            <v>7501045300146</v>
          </cell>
          <cell r="C472" t="str">
            <v>CHESTERFIELD ORIGIN STREET ART LATA 1 CAJETILLA</v>
          </cell>
        </row>
        <row r="473">
          <cell r="A473">
            <v>100014571</v>
          </cell>
          <cell r="B473">
            <v>75069506</v>
          </cell>
          <cell r="C473" t="str">
            <v>CHESTERFIELD ORIGIN REMIX 100 1CAJE</v>
          </cell>
        </row>
        <row r="474">
          <cell r="A474">
            <v>100013983</v>
          </cell>
          <cell r="B474">
            <v>75067854</v>
          </cell>
          <cell r="C474" t="str">
            <v>CHESTERFIELD ORIGIN 25 PERMANENT 1CAJE</v>
          </cell>
        </row>
        <row r="475">
          <cell r="A475">
            <v>100013785</v>
          </cell>
          <cell r="B475">
            <v>75067892</v>
          </cell>
          <cell r="C475" t="str">
            <v xml:space="preserve">CHESTERFIELD ORIGIN 25 ENDORSEMENT 1CAJE									</v>
          </cell>
        </row>
        <row r="476">
          <cell r="A476">
            <v>100013982</v>
          </cell>
          <cell r="B476">
            <v>75067823</v>
          </cell>
          <cell r="C476" t="str">
            <v>CHESTERFIELD ORIGIN 15 PERMANENT 1CAJE</v>
          </cell>
        </row>
        <row r="477">
          <cell r="A477">
            <v>100008185</v>
          </cell>
          <cell r="B477">
            <v>75057824</v>
          </cell>
          <cell r="C477" t="str">
            <v>CHESTERFIELD MINT 14S CAJET</v>
          </cell>
        </row>
        <row r="478">
          <cell r="A478">
            <v>100080979</v>
          </cell>
          <cell r="B478">
            <v>75049584</v>
          </cell>
          <cell r="C478" t="str">
            <v>CHESTERFIELD MINI CAPSULE</v>
          </cell>
        </row>
        <row r="479">
          <cell r="A479">
            <v>100021797</v>
          </cell>
          <cell r="B479">
            <v>7503031950267</v>
          </cell>
          <cell r="C479" t="str">
            <v>CHESTERFIELD LPE OR LPE 125 1 CAJETILLA</v>
          </cell>
        </row>
        <row r="480">
          <cell r="A480">
            <v>100019960</v>
          </cell>
          <cell r="B480">
            <v>7503031950113</v>
          </cell>
          <cell r="C480" t="str">
            <v>CHESTERFIELD LATA P REMIX PASSION 1 CAJETILLA</v>
          </cell>
        </row>
        <row r="481">
          <cell r="A481">
            <v>100019961</v>
          </cell>
          <cell r="B481">
            <v>7503031950106</v>
          </cell>
          <cell r="C481" t="str">
            <v>CHESTERFIELD LATA F REMIX FRESH 1 CAJETILLA</v>
          </cell>
        </row>
        <row r="482">
          <cell r="A482">
            <v>100014579</v>
          </cell>
          <cell r="B482">
            <v>75069773</v>
          </cell>
          <cell r="C482" t="str">
            <v>CHESTERFIELD INCOGN 1CAJE</v>
          </cell>
        </row>
        <row r="483">
          <cell r="A483">
            <v>100080958</v>
          </cell>
          <cell r="B483">
            <v>75047498</v>
          </cell>
          <cell r="C483" t="str">
            <v>CHESTERFIELD CIGARR RED 20S</v>
          </cell>
        </row>
        <row r="484">
          <cell r="A484">
            <v>100080961</v>
          </cell>
          <cell r="B484">
            <v>75047467</v>
          </cell>
          <cell r="C484" t="str">
            <v>CHESTERFIELD CIGAR BLUE 20S 1CJT</v>
          </cell>
        </row>
        <row r="485">
          <cell r="A485">
            <v>100012203</v>
          </cell>
          <cell r="B485">
            <v>75061715</v>
          </cell>
          <cell r="C485" t="str">
            <v>CHESTERFIELD BLUE 24 1CAJE</v>
          </cell>
        </row>
        <row r="486">
          <cell r="A486">
            <v>100011673</v>
          </cell>
          <cell r="B486">
            <v>75063825</v>
          </cell>
          <cell r="C486" t="str">
            <v>CHESTERFIELD BLUE 20 1CAJ</v>
          </cell>
        </row>
        <row r="487">
          <cell r="A487">
            <v>100008184</v>
          </cell>
          <cell r="B487">
            <v>75057800</v>
          </cell>
          <cell r="C487" t="str">
            <v>CHESTERFIELD BLUE 14S CAJET</v>
          </cell>
        </row>
        <row r="488">
          <cell r="A488">
            <v>100011677</v>
          </cell>
          <cell r="B488">
            <v>75063740</v>
          </cell>
          <cell r="C488" t="str">
            <v>CHESTERFIELD BLUE 14 1CAJ</v>
          </cell>
        </row>
        <row r="489">
          <cell r="A489">
            <v>100018931</v>
          </cell>
          <cell r="B489">
            <v>7503023959346</v>
          </cell>
          <cell r="C489" t="str">
            <v>CAMEL FILTER LEP ANIMALS 20S 23 G</v>
          </cell>
        </row>
        <row r="490">
          <cell r="A490">
            <v>100017393</v>
          </cell>
          <cell r="B490">
            <v>7503023959230</v>
          </cell>
          <cell r="C490" t="str">
            <v>CAMEL FILTER GREETINGS 20S 1 PZ</v>
          </cell>
        </row>
        <row r="491">
          <cell r="A491">
            <v>100080917</v>
          </cell>
          <cell r="B491">
            <v>75045135</v>
          </cell>
          <cell r="C491" t="str">
            <v>CAMEL CIGARR WHITE 20S CAJET</v>
          </cell>
        </row>
        <row r="492">
          <cell r="A492">
            <v>100080184</v>
          </cell>
          <cell r="B492">
            <v>8308315</v>
          </cell>
          <cell r="C492" t="str">
            <v>CAMEL CIGARR FF CD CAJET</v>
          </cell>
        </row>
        <row r="493">
          <cell r="A493">
            <v>100080865</v>
          </cell>
          <cell r="B493">
            <v>75039370</v>
          </cell>
          <cell r="C493" t="str">
            <v>CAMEL CIGARR FF 100S CAJET</v>
          </cell>
        </row>
        <row r="494">
          <cell r="A494">
            <v>100080895</v>
          </cell>
          <cell r="B494">
            <v>75043230</v>
          </cell>
          <cell r="C494" t="str">
            <v>CAMEL CIGARR ACTIVA LI CAJET</v>
          </cell>
        </row>
        <row r="495">
          <cell r="A495">
            <v>100080695</v>
          </cell>
          <cell r="B495">
            <v>8338918</v>
          </cell>
          <cell r="C495" t="str">
            <v>CAMEL CIGARR 14S FF CD CAJET</v>
          </cell>
        </row>
        <row r="496">
          <cell r="A496">
            <v>100014240</v>
          </cell>
          <cell r="B496">
            <v>7503023959025</v>
          </cell>
          <cell r="C496" t="str">
            <v>CAMEL CAMEL  FILTERS 14S 1CAJE</v>
          </cell>
        </row>
        <row r="497">
          <cell r="A497">
            <v>100014242</v>
          </cell>
          <cell r="B497">
            <v>7503023959117</v>
          </cell>
          <cell r="C497" t="str">
            <v>CAMEL CAMEL  ACTIVA MINT PURPLE 1CAJE</v>
          </cell>
        </row>
        <row r="498">
          <cell r="A498">
            <v>100014243</v>
          </cell>
          <cell r="B498">
            <v>7503023959131</v>
          </cell>
          <cell r="C498" t="str">
            <v>CAMEL CAMEL  ACTIVA 100S 1CAJE</v>
          </cell>
        </row>
        <row r="499">
          <cell r="A499">
            <v>100020727</v>
          </cell>
          <cell r="B499">
            <v>75015725</v>
          </cell>
          <cell r="C499" t="str">
            <v>BENSON&amp;HEDGE LUX SA SAPPHIRE 1 CAJETILLA</v>
          </cell>
        </row>
        <row r="500">
          <cell r="A500">
            <v>100022210</v>
          </cell>
          <cell r="B500">
            <v>75012694</v>
          </cell>
          <cell r="C500" t="str">
            <v>BENSON&amp;HEDGE LUX QU QUARTZ 1 CAJETILLA</v>
          </cell>
        </row>
        <row r="501">
          <cell r="A501">
            <v>100020728</v>
          </cell>
          <cell r="B501">
            <v>75018825</v>
          </cell>
          <cell r="C501" t="str">
            <v>BENSON&amp;HEDGE LUX JA JADE 1 CAJETILLA</v>
          </cell>
        </row>
        <row r="502">
          <cell r="A502">
            <v>100020729</v>
          </cell>
          <cell r="B502">
            <v>75012564</v>
          </cell>
          <cell r="C502" t="str">
            <v>BENSON&amp;HEDGE LUX AM AMBER 1 CAJETILLA</v>
          </cell>
        </row>
        <row r="503">
          <cell r="A503">
            <v>100015187</v>
          </cell>
          <cell r="B503">
            <v>75068752</v>
          </cell>
          <cell r="C503" t="str">
            <v>BENSON&amp;HEDGE GOLD 100 SOF 20 1 CAJETILLA</v>
          </cell>
        </row>
        <row r="504">
          <cell r="A504">
            <v>100014718</v>
          </cell>
          <cell r="B504">
            <v>75068806</v>
          </cell>
          <cell r="C504" t="str">
            <v>BENSON&amp;HEDGE GOLD 100 BOX 14 1CAJE</v>
          </cell>
        </row>
        <row r="505">
          <cell r="A505">
            <v>100080033</v>
          </cell>
          <cell r="B505">
            <v>75001247</v>
          </cell>
          <cell r="C505" t="str">
            <v>BENSON&amp;HEDGE CIGARR MENTHOL CS CAJET</v>
          </cell>
        </row>
        <row r="506">
          <cell r="A506">
            <v>100080862</v>
          </cell>
          <cell r="B506">
            <v>75038007</v>
          </cell>
          <cell r="C506" t="str">
            <v>BENSON&amp;HEDGE CIGARR MENTHOL 14S CAJET</v>
          </cell>
        </row>
        <row r="507">
          <cell r="A507">
            <v>100080439</v>
          </cell>
          <cell r="B507">
            <v>75016760</v>
          </cell>
          <cell r="C507" t="str">
            <v>BENSON&amp;HEDGE CIGARR FF CD CAJET</v>
          </cell>
        </row>
        <row r="508">
          <cell r="A508">
            <v>100080861</v>
          </cell>
          <cell r="B508">
            <v>75037994</v>
          </cell>
          <cell r="C508" t="str">
            <v>BENSON&amp;HEDGE CIGARR FF 14S CAJET</v>
          </cell>
        </row>
        <row r="509">
          <cell r="A509">
            <v>100080031</v>
          </cell>
          <cell r="B509">
            <v>75001254</v>
          </cell>
          <cell r="C509" t="str">
            <v>BENSON&amp;HEDGE CIGARR CS CAJET</v>
          </cell>
        </row>
        <row r="510">
          <cell r="A510">
            <v>100080926</v>
          </cell>
          <cell r="B510">
            <v>75045692</v>
          </cell>
          <cell r="C510" t="str">
            <v>BENSON &amp; HEDGES POLAR ICE</v>
          </cell>
        </row>
        <row r="511">
          <cell r="A511">
            <v>100022054</v>
          </cell>
          <cell r="B511">
            <v>7503023959438</v>
          </cell>
          <cell r="C511" t="str">
            <v xml:space="preserve"> WINSTON OASIS FRES 27.4 G	</v>
          </cell>
        </row>
        <row r="512">
          <cell r="A512">
            <v>100026143</v>
          </cell>
          <cell r="B512">
            <v>75084011</v>
          </cell>
          <cell r="C512" t="str">
            <v>TEREA RIVIERA PEARL 2 CAJETILLA PZ</v>
          </cell>
        </row>
        <row r="513">
          <cell r="A513">
            <v>100024418</v>
          </cell>
          <cell r="B513">
            <v>7702303253338</v>
          </cell>
          <cell r="C513" t="str">
            <v>VELO STRAWBERRY ICE 6 MG 15 PZ</v>
          </cell>
        </row>
        <row r="514">
          <cell r="A514">
            <v>100026302</v>
          </cell>
          <cell r="B514">
            <v>7503039738553</v>
          </cell>
          <cell r="C514" t="str">
            <v>VELO STRAWBERRY ICE 6MG TC COLOR 15 PZ</v>
          </cell>
        </row>
        <row r="515">
          <cell r="A515">
            <v>100025296</v>
          </cell>
          <cell r="B515">
            <v>7503039738409</v>
          </cell>
          <cell r="C515" t="str">
            <v>VELO STRAWBERRY ICE 8 MG 20 PZ</v>
          </cell>
        </row>
        <row r="516">
          <cell r="A516">
            <v>100026069</v>
          </cell>
          <cell r="B516">
            <v>7503039738430</v>
          </cell>
          <cell r="C516" t="str">
            <v>VELO SWEET PAPAYA 8 MG 20 PZ</v>
          </cell>
        </row>
        <row r="517">
          <cell r="A517">
            <v>100024415</v>
          </cell>
          <cell r="B517">
            <v>7702303630924</v>
          </cell>
          <cell r="C517" t="str">
            <v>VELO TROPICAL MANGO 4 MG 15 PZ</v>
          </cell>
        </row>
        <row r="518">
          <cell r="A518">
            <v>100026074</v>
          </cell>
          <cell r="B518">
            <v>7503039738522</v>
          </cell>
          <cell r="C518" t="str">
            <v>VELO TROPICAL MANGO 4MG TC BK 15 PZ</v>
          </cell>
        </row>
        <row r="519">
          <cell r="A519">
            <v>100024416</v>
          </cell>
          <cell r="B519">
            <v>7702303813235</v>
          </cell>
          <cell r="C519" t="str">
            <v>VELO TROPICAL MANGO 6 MG 15 PZ</v>
          </cell>
        </row>
        <row r="520">
          <cell r="A520">
            <v>100026304</v>
          </cell>
          <cell r="B520">
            <v>7503039738560</v>
          </cell>
          <cell r="C520" t="str">
            <v>VELO TROPICAL MANGO 6MG TC COLOR 15 PZ</v>
          </cell>
        </row>
        <row r="521">
          <cell r="A521">
            <v>100026383</v>
          </cell>
          <cell r="B521">
            <v>75084004</v>
          </cell>
          <cell r="C521" t="str">
            <v>TEREA BERRINE EDITION 20 CAJETILLA PZ</v>
          </cell>
        </row>
        <row r="522">
          <cell r="A522">
            <v>100025292</v>
          </cell>
          <cell r="B522">
            <v>7503039738386</v>
          </cell>
          <cell r="C522" t="str">
            <v>VELO TROPICAL MANGO 8 MG 20 PZ</v>
          </cell>
        </row>
        <row r="523">
          <cell r="A523">
            <v>100025895</v>
          </cell>
          <cell r="B523">
            <v>7503039738478</v>
          </cell>
          <cell r="C523" t="str">
            <v>VELO WATERMELON ICE 6 MG 15 PZ</v>
          </cell>
        </row>
        <row r="524">
          <cell r="A524">
            <v>100026382</v>
          </cell>
          <cell r="B524">
            <v>75085384</v>
          </cell>
          <cell r="C524" t="str">
            <v>MARLBORO CRAFTED BLOSSOM MIX 100</v>
          </cell>
        </row>
        <row r="525">
          <cell r="A525">
            <v>100026305</v>
          </cell>
          <cell r="B525">
            <v>7503039738577</v>
          </cell>
          <cell r="C525" t="str">
            <v>VELO WATERMELON ICE 6MG TC COLOR 15 PZ</v>
          </cell>
        </row>
        <row r="526">
          <cell r="A526">
            <v>100026380</v>
          </cell>
          <cell r="B526">
            <v>75086091</v>
          </cell>
          <cell r="C526" t="str">
            <v>MARLBORO CRAFTED SUMMER MIX 100</v>
          </cell>
        </row>
        <row r="527">
          <cell r="A527">
            <v>100011672</v>
          </cell>
          <cell r="B527">
            <v>75063801</v>
          </cell>
          <cell r="C527" t="str">
            <v>MARLBORO CRAFTED ICE MIX</v>
          </cell>
        </row>
        <row r="528">
          <cell r="A528">
            <v>100026471</v>
          </cell>
          <cell r="B528">
            <v>7622100510727</v>
          </cell>
          <cell r="C528" t="str">
            <v>IQOS ILUMA I ONE MIDNIGHT BLACK  PZ</v>
          </cell>
        </row>
        <row r="529">
          <cell r="A529">
            <v>100026467</v>
          </cell>
          <cell r="B529">
            <v>7622100511076</v>
          </cell>
          <cell r="C529" t="str">
            <v>IQOS ILUMA I MIDNIGHT BLACK  PZ</v>
          </cell>
        </row>
        <row r="530">
          <cell r="A530">
            <v>100026473</v>
          </cell>
          <cell r="B530">
            <v>7622100510765</v>
          </cell>
          <cell r="C530" t="str">
            <v>IQOS ILUMA I ONE BREEZE BLUE  PZ</v>
          </cell>
        </row>
        <row r="531">
          <cell r="A531">
            <v>100026616</v>
          </cell>
          <cell r="B531">
            <v>7622100511038</v>
          </cell>
          <cell r="C531" t="str">
            <v>IQOS ILUMA I BREEZE BLUE  PZ</v>
          </cell>
        </row>
        <row r="532">
          <cell r="A532">
            <v>100026687</v>
          </cell>
          <cell r="B532">
            <v>75084585</v>
          </cell>
          <cell r="C532" t="str">
            <v>PALL MALL AIRLINES ALASKA 20 PZ</v>
          </cell>
        </row>
        <row r="533">
          <cell r="A533">
            <v>100026688</v>
          </cell>
          <cell r="B533">
            <v>75084608</v>
          </cell>
          <cell r="C533" t="str">
            <v>PALL MALL AIRLINES TOKYO 20 PZ</v>
          </cell>
        </row>
        <row r="534">
          <cell r="A534">
            <v>100026689</v>
          </cell>
          <cell r="B534">
            <v>75084592</v>
          </cell>
          <cell r="C534" t="str">
            <v>PALL MALL AIRLINES MYKONOS 20 PZ</v>
          </cell>
        </row>
        <row r="535">
          <cell r="A535">
            <v>100026690</v>
          </cell>
          <cell r="B535">
            <v>75084646</v>
          </cell>
          <cell r="C535" t="str">
            <v>PALL MALL AIRLINES HAWAII 20 PZ</v>
          </cell>
        </row>
        <row r="536">
          <cell r="A536">
            <v>100026691</v>
          </cell>
          <cell r="B536">
            <v>75084639</v>
          </cell>
          <cell r="C536" t="str">
            <v>PALL MALL AIRLINES BORA BORA 20 PZ</v>
          </cell>
        </row>
        <row r="537">
          <cell r="A537">
            <v>100026692</v>
          </cell>
          <cell r="B537">
            <v>75084653</v>
          </cell>
          <cell r="C537" t="str">
            <v>PALL MALL AIRLINES MANILA 20 PZ</v>
          </cell>
        </row>
        <row r="538">
          <cell r="A538">
            <v>100026676</v>
          </cell>
          <cell r="B538">
            <v>75087142</v>
          </cell>
          <cell r="C538" t="str">
            <v>PALL MALL SUMMER ALASKA 20 PZ</v>
          </cell>
        </row>
        <row r="539">
          <cell r="A539">
            <v>100026677</v>
          </cell>
          <cell r="B539">
            <v>75087159</v>
          </cell>
          <cell r="C539" t="str">
            <v>PALL MALL SUMMER TOKYO 20 PZ</v>
          </cell>
        </row>
        <row r="540">
          <cell r="A540">
            <v>100026678</v>
          </cell>
          <cell r="B540">
            <v>75087166</v>
          </cell>
          <cell r="C540" t="str">
            <v>PALL MALL SUMMER MYKONOS 20 PZ</v>
          </cell>
        </row>
        <row r="541">
          <cell r="A541">
            <v>100026679</v>
          </cell>
          <cell r="B541">
            <v>75087173</v>
          </cell>
          <cell r="C541" t="str">
            <v>PALL MALL SUMMER HAWAII 20 PZ</v>
          </cell>
        </row>
        <row r="542">
          <cell r="A542">
            <v>100026680</v>
          </cell>
          <cell r="B542">
            <v>75087180</v>
          </cell>
          <cell r="C542" t="str">
            <v>PALL MALL SUMMER MANILA 20 PZ</v>
          </cell>
        </row>
        <row r="543">
          <cell r="A543">
            <v>100026684</v>
          </cell>
          <cell r="B543">
            <v>75084493</v>
          </cell>
          <cell r="C543" t="str">
            <v>PALL MALL AMALFI 20 PZ</v>
          </cell>
        </row>
        <row r="544">
          <cell r="A544">
            <v>100026681</v>
          </cell>
          <cell r="B544">
            <v>75087197</v>
          </cell>
          <cell r="C544" t="str">
            <v>PALL MALL SUMMER SELECT RED 25 PZ</v>
          </cell>
        </row>
        <row r="545">
          <cell r="A545">
            <v>100026682</v>
          </cell>
          <cell r="B545">
            <v>75087203</v>
          </cell>
          <cell r="C545" t="str">
            <v>PALL MALL SUMMER SELECT GOLD 14 PZ</v>
          </cell>
        </row>
        <row r="546">
          <cell r="A546">
            <v>100026683</v>
          </cell>
          <cell r="B546">
            <v>75087210</v>
          </cell>
          <cell r="C546" t="str">
            <v>SHOTS CLASSICS SUMMER 25 PZ</v>
          </cell>
        </row>
        <row r="547">
          <cell r="A547">
            <v>100026685</v>
          </cell>
          <cell r="B547">
            <v>75086381</v>
          </cell>
          <cell r="C547" t="str">
            <v>MARLBORO CRAFTED RUBY PZ</v>
          </cell>
        </row>
        <row r="548">
          <cell r="A548">
            <v>100026614</v>
          </cell>
          <cell r="B548">
            <v>7501045300177</v>
          </cell>
          <cell r="C548" t="str">
            <v>MARLBORO VISTA BLOSSOM MIST 100 PZ</v>
          </cell>
        </row>
        <row r="549">
          <cell r="A549">
            <v>100027095</v>
          </cell>
          <cell r="B549">
            <v>75087586</v>
          </cell>
          <cell r="C549" t="str">
            <v>MARLBORO CRAFTED POLAR MIX 100 BOX 20  CAJETILLA PZ</v>
          </cell>
        </row>
        <row r="550">
          <cell r="A550">
            <v>100027096</v>
          </cell>
          <cell r="B550">
            <v>7311250035586</v>
          </cell>
          <cell r="C550" t="str">
            <v>ZYN APPLE MINT 3MG CAJETILLA PZ</v>
          </cell>
        </row>
        <row r="551">
          <cell r="A551">
            <v>100027097</v>
          </cell>
          <cell r="B551">
            <v>7311250035609</v>
          </cell>
          <cell r="C551" t="str">
            <v>ZYN APPLE MINT 6MG CAJETILLA PZ</v>
          </cell>
        </row>
        <row r="552">
          <cell r="A552">
            <v>100027103</v>
          </cell>
          <cell r="B552">
            <v>7503039738805</v>
          </cell>
          <cell r="C552" t="str">
            <v>VELO GREEN SPEARMINT 8MG 15 PZ</v>
          </cell>
        </row>
        <row r="553">
          <cell r="A553">
            <v>100027104</v>
          </cell>
          <cell r="B553">
            <v>7503039738812</v>
          </cell>
          <cell r="C553" t="str">
            <v>VELO TROPICAL MANGO 8MG 15 PZ</v>
          </cell>
        </row>
        <row r="554">
          <cell r="A554">
            <v>100027105</v>
          </cell>
          <cell r="B554">
            <v>7503039738829</v>
          </cell>
          <cell r="C554" t="str">
            <v>VELO STRAWBERRY ICE 8MG 15 PZ</v>
          </cell>
        </row>
        <row r="555">
          <cell r="A555">
            <v>100027106</v>
          </cell>
          <cell r="B555">
            <v>7503039738836</v>
          </cell>
          <cell r="C555" t="str">
            <v>VELO POLAR PEPPERMINT 8MG 15 PZ</v>
          </cell>
        </row>
        <row r="556">
          <cell r="A556">
            <v>100027098</v>
          </cell>
          <cell r="B556">
            <v>7503039738843</v>
          </cell>
          <cell r="C556" t="str">
            <v>VELO MANGO ICE 4MG  15 PZ</v>
          </cell>
        </row>
        <row r="557">
          <cell r="A557">
            <v>100027099</v>
          </cell>
          <cell r="B557">
            <v>7503039738867</v>
          </cell>
          <cell r="C557" t="str">
            <v>VELO MANGO FLAME 10MG 15 PZ</v>
          </cell>
        </row>
        <row r="558">
          <cell r="A558">
            <v>100027102</v>
          </cell>
          <cell r="B558">
            <v>7503039738874</v>
          </cell>
          <cell r="C558" t="str">
            <v>VELO PEPPERMINT STORM 10.9 MG 15 PZ</v>
          </cell>
        </row>
        <row r="559">
          <cell r="A559">
            <v>100080354</v>
          </cell>
          <cell r="C559" t="str">
            <v>CANOS PURO C/5 NATURAL CAJET</v>
          </cell>
        </row>
        <row r="560">
          <cell r="A560">
            <v>100080382</v>
          </cell>
          <cell r="C560" t="str">
            <v>MATACAN PURO NATURAL CAJET</v>
          </cell>
        </row>
        <row r="561">
          <cell r="A561">
            <v>100013782</v>
          </cell>
          <cell r="C561" t="str">
            <v xml:space="preserve">CHESTERFIELD ORIGIN 20 ENDORSEMENT 1CAJE									</v>
          </cell>
        </row>
        <row r="562">
          <cell r="A562">
            <v>100024718</v>
          </cell>
          <cell r="C562" t="str">
            <v>VUSE GO 1000 MANGO ICE 34 MGML 1 PZ</v>
          </cell>
        </row>
        <row r="563">
          <cell r="A563">
            <v>101000060</v>
          </cell>
          <cell r="C563" t="str">
            <v>MARLBORO CARIBEAN FUSION 100 BOX 14</v>
          </cell>
        </row>
        <row r="564">
          <cell r="A564">
            <v>100017238</v>
          </cell>
          <cell r="C564" t="str">
            <v>AC DUMMY CIGARROS</v>
          </cell>
        </row>
        <row r="565">
          <cell r="A565">
            <v>100024719</v>
          </cell>
          <cell r="B565">
            <v>7707200945799</v>
          </cell>
          <cell r="C565" t="str">
            <v>VUSE GO 5000 GREEN APPLE 34 MGML 1 PZ</v>
          </cell>
        </row>
        <row r="566">
          <cell r="A566">
            <v>100080894</v>
          </cell>
          <cell r="B566">
            <v>75043209</v>
          </cell>
          <cell r="C566" t="str">
            <v>CAMEL CIGARR ACTIVA FF CAJET</v>
          </cell>
        </row>
        <row r="567">
          <cell r="A567">
            <v>100011675</v>
          </cell>
          <cell r="B567">
            <v>75063702</v>
          </cell>
          <cell r="C567" t="str">
            <v>CHESTERFIELD MINT 14 1CAJ</v>
          </cell>
        </row>
        <row r="568">
          <cell r="A568">
            <v>100009363</v>
          </cell>
          <cell r="B568">
            <v>7503023648035</v>
          </cell>
          <cell r="C568" t="str">
            <v>MAZATAN PURO SHORT TORPEDO PZ</v>
          </cell>
        </row>
        <row r="569">
          <cell r="A569">
            <v>100009365</v>
          </cell>
          <cell r="B569">
            <v>7503023648028</v>
          </cell>
          <cell r="C569" t="str">
            <v>MAZATAN PURO DOBLE ROBUSTO PZ</v>
          </cell>
        </row>
        <row r="570">
          <cell r="A570">
            <v>100080406</v>
          </cell>
          <cell r="B570">
            <v>7501609500968</v>
          </cell>
          <cell r="C570" t="str">
            <v>PUROS CANOS/PIEZA</v>
          </cell>
        </row>
        <row r="571">
          <cell r="A571">
            <v>100011025</v>
          </cell>
          <cell r="B571">
            <v>10000</v>
          </cell>
          <cell r="C571" t="str">
            <v>MARLBORO CIGARR ROJO CD CAJET</v>
          </cell>
        </row>
        <row r="572">
          <cell r="A572">
            <v>100013300</v>
          </cell>
          <cell r="B572">
            <v>75066901</v>
          </cell>
          <cell r="C572" t="str">
            <v>LUCKY STRIKE HAZEL 100S 1PZ</v>
          </cell>
        </row>
        <row r="573">
          <cell r="A573">
            <v>100016260</v>
          </cell>
          <cell r="B573">
            <v>25900000288</v>
          </cell>
          <cell r="C573" t="str">
            <v>KING EDWARD PURO  VAINILLA 1 PZ</v>
          </cell>
        </row>
        <row r="574">
          <cell r="A574">
            <v>100017183</v>
          </cell>
          <cell r="B574">
            <v>42230748</v>
          </cell>
          <cell r="C574" t="str">
            <v>GIZEH PAPEL  ZIGZAG 1 PZ</v>
          </cell>
        </row>
        <row r="575">
          <cell r="A575">
            <v>100016041</v>
          </cell>
          <cell r="B575">
            <v>25900213053</v>
          </cell>
          <cell r="C575" t="str">
            <v>MINITIP CIGARR CHERRY 1 PZ</v>
          </cell>
        </row>
        <row r="576">
          <cell r="A576">
            <v>100080949</v>
          </cell>
          <cell r="B576">
            <v>7503006684265</v>
          </cell>
          <cell r="C576" t="str">
            <v>CIGARR BLACK LABEL PZ</v>
          </cell>
        </row>
        <row r="577">
          <cell r="A577">
            <v>100015384</v>
          </cell>
          <cell r="B577">
            <v>85000100</v>
          </cell>
          <cell r="C577" t="str">
            <v>COHIBA COHIBA COHIBA CAJETILLA C 1 CAJETILLA</v>
          </cell>
        </row>
        <row r="578">
          <cell r="A578">
            <v>100024717</v>
          </cell>
          <cell r="B578">
            <v>7707200947854</v>
          </cell>
          <cell r="C578" t="str">
            <v>VUSE GO 1000 GRAPE ICE 34 MGML 1 PZ</v>
          </cell>
        </row>
        <row r="579">
          <cell r="A579">
            <v>100024723</v>
          </cell>
          <cell r="B579">
            <v>7707200947311</v>
          </cell>
          <cell r="C579" t="str">
            <v>VUSE GO 5000 MENTHOL ICE 34 MGML 1 PZ</v>
          </cell>
        </row>
        <row r="580">
          <cell r="A580">
            <v>100024893</v>
          </cell>
          <cell r="B580">
            <v>7707200943825</v>
          </cell>
          <cell r="C580" t="str">
            <v>VUSE GO 1000 WATERMELON ICE 34 MG/ML 1 PZ</v>
          </cell>
        </row>
        <row r="581">
          <cell r="A581">
            <v>100027108</v>
          </cell>
          <cell r="B581">
            <v>7502274777471</v>
          </cell>
          <cell r="C581" t="str">
            <v>SESH MINT 10 2MG 1 PZ</v>
          </cell>
        </row>
        <row r="582">
          <cell r="A582">
            <v>100027109</v>
          </cell>
          <cell r="B582">
            <v>7502274777501</v>
          </cell>
          <cell r="C582" t="str">
            <v>SESH MINT 10 4MG 1 PZ</v>
          </cell>
        </row>
        <row r="583">
          <cell r="A583">
            <v>100027110</v>
          </cell>
          <cell r="B583">
            <v>7502274777488</v>
          </cell>
          <cell r="C583" t="str">
            <v>SESH MANGO 10S 2MG 1 PZ</v>
          </cell>
        </row>
        <row r="584">
          <cell r="A584">
            <v>100027111</v>
          </cell>
          <cell r="B584">
            <v>7502274777464</v>
          </cell>
          <cell r="C584" t="str">
            <v>SESH CLEAR 10S 2MG 1 PZ</v>
          </cell>
        </row>
        <row r="585">
          <cell r="A585">
            <v>100027324</v>
          </cell>
          <cell r="B585">
            <v>75086145</v>
          </cell>
          <cell r="C585" t="str">
            <v>PALL MALL ICELAND 14 PZ</v>
          </cell>
        </row>
        <row r="586">
          <cell r="A586">
            <v>100027323</v>
          </cell>
          <cell r="B586">
            <v>75086176</v>
          </cell>
          <cell r="C586" t="str">
            <v>PALL MALL HONOLULU 14 PZ</v>
          </cell>
        </row>
        <row r="587">
          <cell r="A587">
            <v>100027464</v>
          </cell>
          <cell r="B587">
            <v>7503039738904</v>
          </cell>
          <cell r="C587" t="str">
            <v>VELO PURPLE GRAPE 8MG 15 PZ</v>
          </cell>
        </row>
        <row r="588">
          <cell r="A588">
            <v>100027462</v>
          </cell>
          <cell r="B588">
            <v>7503039738911</v>
          </cell>
          <cell r="C588" t="str">
            <v>VELO PEACH ICE 8MG 15 PZ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EE93BC-6693-42D7-9A82-F691AA5CD3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d05bf7f-d8d5-4e12-8337-39ebbb023d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L589"/>
  <sheetViews>
    <sheetView tabSelected="1" zoomScale="50" zoomScaleNormal="40" workbookViewId="0">
      <selection activeCell="C1" sqref="C1"/>
    </sheetView>
  </sheetViews>
  <sheetFormatPr baseColWidth="10" defaultColWidth="11.453125" defaultRowHeight="14.5" x14ac:dyDescent="0.35"/>
  <cols>
    <col min="1" max="1" width="14.453125" bestFit="1" customWidth="1"/>
    <col min="2" max="2" width="16.26953125" bestFit="1" customWidth="1"/>
    <col min="3" max="3" width="112.1796875" bestFit="1" customWidth="1"/>
    <col min="4" max="4" width="37.81640625" bestFit="1" customWidth="1"/>
    <col min="5" max="5" width="25.54296875" hidden="1" customWidth="1"/>
    <col min="6" max="6" width="16" hidden="1" customWidth="1"/>
    <col min="7" max="7" width="21.26953125" hidden="1" customWidth="1"/>
    <col min="8" max="8" width="22.6328125" hidden="1" customWidth="1"/>
    <col min="9" max="9" width="34.1796875" bestFit="1" customWidth="1"/>
    <col min="10" max="10" width="17.6328125" bestFit="1" customWidth="1"/>
    <col min="11" max="11" width="14" bestFit="1" customWidth="1"/>
    <col min="12" max="12" width="13.08984375" bestFit="1" customWidth="1"/>
  </cols>
  <sheetData>
    <row r="1" spans="1:12" ht="23.25" customHeight="1" x14ac:dyDescent="0.35">
      <c r="A1" s="37" t="s">
        <v>0</v>
      </c>
      <c r="B1" s="37" t="s">
        <v>1</v>
      </c>
      <c r="C1" s="37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673</v>
      </c>
      <c r="L1" s="20" t="s">
        <v>678</v>
      </c>
    </row>
    <row r="2" spans="1:12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>
        <v>15</v>
      </c>
      <c r="L2" t="s">
        <v>676</v>
      </c>
    </row>
    <row r="3" spans="1:12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>
        <v>15</v>
      </c>
      <c r="L3" t="s">
        <v>675</v>
      </c>
    </row>
    <row r="4" spans="1:12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>
        <v>15</v>
      </c>
      <c r="L4" t="s">
        <v>674</v>
      </c>
    </row>
    <row r="5" spans="1:12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>
        <v>15</v>
      </c>
      <c r="L5" t="s">
        <v>676</v>
      </c>
    </row>
    <row r="6" spans="1:12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>
        <v>15</v>
      </c>
      <c r="L6" t="s">
        <v>675</v>
      </c>
    </row>
    <row r="7" spans="1:12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>
        <v>15</v>
      </c>
      <c r="L7" t="s">
        <v>676</v>
      </c>
    </row>
    <row r="8" spans="1:12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>
        <v>15</v>
      </c>
      <c r="L8" t="s">
        <v>675</v>
      </c>
    </row>
    <row r="9" spans="1:12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>
        <v>15</v>
      </c>
      <c r="L9" t="s">
        <v>676</v>
      </c>
    </row>
    <row r="10" spans="1:12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>
        <v>15</v>
      </c>
      <c r="L10" t="s">
        <v>675</v>
      </c>
    </row>
    <row r="11" spans="1:12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>
        <v>15</v>
      </c>
      <c r="L11" t="s">
        <v>674</v>
      </c>
    </row>
    <row r="12" spans="1:12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>
        <v>15</v>
      </c>
      <c r="L12" t="s">
        <v>676</v>
      </c>
    </row>
    <row r="13" spans="1:12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>
        <v>15</v>
      </c>
      <c r="L13" t="s">
        <v>675</v>
      </c>
    </row>
    <row r="14" spans="1:12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>
        <v>15</v>
      </c>
      <c r="L14" t="s">
        <v>676</v>
      </c>
    </row>
    <row r="15" spans="1:12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>
        <v>15</v>
      </c>
      <c r="L15" t="s">
        <v>675</v>
      </c>
    </row>
    <row r="16" spans="1:12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>
        <v>15</v>
      </c>
      <c r="L16" t="s">
        <v>674</v>
      </c>
    </row>
    <row r="17" spans="1:1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>
        <v>25</v>
      </c>
    </row>
    <row r="18" spans="1:1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>
        <v>20</v>
      </c>
    </row>
    <row r="19" spans="1:1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  <c r="K19">
        <v>25</v>
      </c>
    </row>
    <row r="20" spans="1:11" x14ac:dyDescent="0.35">
      <c r="A20" s="4">
        <v>100080896</v>
      </c>
      <c r="B20" s="41">
        <v>40331362</v>
      </c>
      <c r="C20" s="4" t="s">
        <v>40</v>
      </c>
      <c r="D20" s="4" t="s">
        <v>32</v>
      </c>
      <c r="E20" s="30" t="s">
        <v>33</v>
      </c>
      <c r="F20" s="4" t="s">
        <v>41</v>
      </c>
      <c r="G20" s="4" t="s">
        <v>35</v>
      </c>
      <c r="H20" s="3" t="s">
        <v>36</v>
      </c>
      <c r="I20" s="3" t="s">
        <v>109</v>
      </c>
      <c r="J20" t="str">
        <f>+_xlfn.XLOOKUP(B20,INNOVACIÓN!A:A,INNOVACIÓN!B:B,"NO")</f>
        <v>NO</v>
      </c>
      <c r="K20">
        <v>14</v>
      </c>
    </row>
    <row r="21" spans="1:1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>
        <v>20</v>
      </c>
    </row>
    <row r="22" spans="1:1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>
        <v>20</v>
      </c>
    </row>
    <row r="23" spans="1:1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>
        <v>25</v>
      </c>
    </row>
    <row r="24" spans="1:1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>
        <v>20</v>
      </c>
    </row>
    <row r="25" spans="1:1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>
        <v>20</v>
      </c>
    </row>
    <row r="26" spans="1:1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>
        <v>25</v>
      </c>
    </row>
    <row r="27" spans="1:1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>
        <v>20</v>
      </c>
    </row>
    <row r="28" spans="1:1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>
        <v>20</v>
      </c>
    </row>
    <row r="29" spans="1:1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>
        <v>20</v>
      </c>
    </row>
    <row r="30" spans="1:1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>
        <v>20</v>
      </c>
    </row>
    <row r="31" spans="1:1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33</v>
      </c>
      <c r="F31" s="3" t="s">
        <v>39</v>
      </c>
      <c r="G31" s="3" t="s">
        <v>58</v>
      </c>
      <c r="H31" s="3" t="s">
        <v>36</v>
      </c>
      <c r="I31" s="3" t="s">
        <v>109</v>
      </c>
      <c r="J31" t="str">
        <f>+_xlfn.XLOOKUP(B31,INNOVACIÓN!A:A,INNOVACIÓN!B:B,"NO")</f>
        <v>NO</v>
      </c>
      <c r="K31">
        <v>25</v>
      </c>
    </row>
    <row r="32" spans="1:1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>
        <v>20</v>
      </c>
    </row>
    <row r="33" spans="1:1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>
        <v>14</v>
      </c>
    </row>
    <row r="34" spans="1:1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>
        <v>20</v>
      </c>
    </row>
    <row r="35" spans="1:1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>
        <v>15</v>
      </c>
    </row>
    <row r="36" spans="1:1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>
        <v>20</v>
      </c>
    </row>
    <row r="37" spans="1:1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>
        <v>25</v>
      </c>
    </row>
    <row r="38" spans="1:11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109</v>
      </c>
      <c r="J38" t="str">
        <f>+_xlfn.XLOOKUP(B38,INNOVACIÓN!A:A,INNOVACIÓN!B:B,"NO")</f>
        <v>NO</v>
      </c>
      <c r="K38">
        <v>15</v>
      </c>
    </row>
    <row r="39" spans="1:11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>
        <v>20</v>
      </c>
    </row>
    <row r="40" spans="1:1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>
        <v>20</v>
      </c>
    </row>
    <row r="41" spans="1:1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>
        <v>20</v>
      </c>
    </row>
    <row r="42" spans="1:1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>
        <v>20</v>
      </c>
    </row>
    <row r="68" spans="1:1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>
        <v>25</v>
      </c>
    </row>
    <row r="69" spans="1:1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>
        <v>14</v>
      </c>
    </row>
    <row r="70" spans="1:1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>
        <v>14</v>
      </c>
    </row>
    <row r="71" spans="1:1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>
        <v>20</v>
      </c>
    </row>
    <row r="72" spans="1:1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>
        <v>15</v>
      </c>
    </row>
    <row r="73" spans="1:1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>
        <v>15</v>
      </c>
    </row>
    <row r="74" spans="1:1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>
        <v>14</v>
      </c>
    </row>
    <row r="75" spans="1:1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>
        <v>20</v>
      </c>
    </row>
    <row r="76" spans="1:1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>
        <v>20</v>
      </c>
    </row>
    <row r="77" spans="1:1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>
        <v>15</v>
      </c>
    </row>
    <row r="78" spans="1:1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>
        <v>20</v>
      </c>
    </row>
    <row r="79" spans="1:1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>
        <v>20</v>
      </c>
    </row>
    <row r="80" spans="1:1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>
        <v>20</v>
      </c>
    </row>
    <row r="81" spans="1:1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>
        <v>20</v>
      </c>
    </row>
    <row r="82" spans="1:1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>
        <v>20</v>
      </c>
    </row>
    <row r="83" spans="1:1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>
        <v>20</v>
      </c>
    </row>
    <row r="84" spans="1:1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>
        <v>20</v>
      </c>
    </row>
    <row r="85" spans="1:1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>
        <v>25</v>
      </c>
    </row>
    <row r="86" spans="1:1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>
        <v>14</v>
      </c>
    </row>
    <row r="87" spans="1:1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>
        <v>20</v>
      </c>
    </row>
    <row r="88" spans="1:1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>
        <v>20</v>
      </c>
    </row>
    <row r="89" spans="1:1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>
        <v>20</v>
      </c>
    </row>
    <row r="90" spans="1:1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>
        <v>20</v>
      </c>
    </row>
    <row r="91" spans="1:1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>
        <v>20</v>
      </c>
    </row>
    <row r="92" spans="1:1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33</v>
      </c>
      <c r="F92" s="9" t="s">
        <v>41</v>
      </c>
      <c r="G92" s="9" t="s">
        <v>35</v>
      </c>
      <c r="H92" s="3" t="s">
        <v>36</v>
      </c>
      <c r="I92" s="3" t="s">
        <v>109</v>
      </c>
      <c r="J92" t="str">
        <f>+_xlfn.XLOOKUP(B92,INNOVACIÓN!A:A,INNOVACIÓN!B:B,"NO")</f>
        <v>NO</v>
      </c>
      <c r="K92">
        <v>15</v>
      </c>
    </row>
    <row r="93" spans="1:1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>
        <v>20</v>
      </c>
    </row>
    <row r="94" spans="1:1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>
        <v>20</v>
      </c>
    </row>
    <row r="95" spans="1:1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>
        <v>25</v>
      </c>
    </row>
    <row r="96" spans="1:1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>
        <v>20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33</v>
      </c>
      <c r="F97" s="9" t="s">
        <v>46</v>
      </c>
      <c r="G97" s="9" t="s">
        <v>54</v>
      </c>
      <c r="H97" s="3" t="s">
        <v>36</v>
      </c>
      <c r="I97" s="3" t="s">
        <v>109</v>
      </c>
      <c r="J97" t="str">
        <f>+_xlfn.XLOOKUP(B97,INNOVACIÓN!A:A,INNOVACIÓN!B:B,"NO")</f>
        <v>NO</v>
      </c>
      <c r="K97">
        <v>15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>
        <v>20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9" t="s">
        <v>33</v>
      </c>
      <c r="F99" s="4" t="s">
        <v>41</v>
      </c>
      <c r="G99" s="4" t="s">
        <v>71</v>
      </c>
      <c r="H99" s="3" t="s">
        <v>36</v>
      </c>
      <c r="I99" s="3" t="s">
        <v>109</v>
      </c>
      <c r="J99" t="str">
        <f>+_xlfn.XLOOKUP(B99,INNOVACIÓN!A:A,INNOVACIÓN!B:B,"NO")</f>
        <v>NO</v>
      </c>
      <c r="K99">
        <v>15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>
        <v>20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>
        <v>20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>
        <v>15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>
        <v>20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>
        <v>15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>
        <v>20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>
        <v>20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>
        <v>20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>
        <v>15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>
        <v>15</v>
      </c>
      <c r="L109" t="s">
        <v>676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109</v>
      </c>
      <c r="J110" t="str">
        <f>+_xlfn.XLOOKUP(B110,INNOVACIÓN!A:A,INNOVACIÓN!B:B,"NO")</f>
        <v>NO</v>
      </c>
      <c r="K110">
        <v>15</v>
      </c>
      <c r="L110" t="s">
        <v>676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>
        <v>15</v>
      </c>
      <c r="L111" t="s">
        <v>675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33</v>
      </c>
      <c r="F112" s="3" t="s">
        <v>13</v>
      </c>
      <c r="G112" s="4" t="s">
        <v>14</v>
      </c>
      <c r="H112" s="4" t="s">
        <v>15</v>
      </c>
      <c r="I112" s="3" t="s">
        <v>109</v>
      </c>
      <c r="J112" t="str">
        <f>+_xlfn.XLOOKUP(B112,INNOVACIÓN!A:A,INNOVACIÓN!B:B,"NO")</f>
        <v>NO</v>
      </c>
      <c r="K112">
        <v>15</v>
      </c>
      <c r="L112" t="s">
        <v>675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>
        <v>15</v>
      </c>
      <c r="L113" t="s">
        <v>676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>
        <v>20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>
        <v>20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>
        <v>20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>
        <v>20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>
        <v>20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>
        <v>20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109</v>
      </c>
      <c r="J124" t="str">
        <f>+_xlfn.XLOOKUP(B124,INNOVACIÓN!A:A,INNOVACIÓN!B:B,"NO")</f>
        <v>NO</v>
      </c>
      <c r="K124">
        <v>14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>
        <v>20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>
        <v>14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>
        <v>20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>
        <v>20</v>
      </c>
    </row>
    <row r="129" spans="1:1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>
        <v>20</v>
      </c>
    </row>
    <row r="130" spans="1:1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>
        <v>20</v>
      </c>
    </row>
    <row r="131" spans="1:1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>
        <v>20</v>
      </c>
    </row>
    <row r="132" spans="1:1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>
        <v>14</v>
      </c>
    </row>
    <row r="133" spans="1:1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>
        <v>20</v>
      </c>
    </row>
    <row r="134" spans="1:1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>
        <v>20</v>
      </c>
    </row>
    <row r="135" spans="1:1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>
        <v>20</v>
      </c>
    </row>
    <row r="136" spans="1:1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>
        <v>20</v>
      </c>
    </row>
    <row r="137" spans="1:1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>
        <v>25</v>
      </c>
    </row>
    <row r="138" spans="1:1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>
        <v>20</v>
      </c>
    </row>
    <row r="139" spans="1:1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>
        <v>20</v>
      </c>
    </row>
    <row r="140" spans="1:1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>
        <v>15</v>
      </c>
    </row>
    <row r="141" spans="1:1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>
        <v>20</v>
      </c>
    </row>
    <row r="142" spans="1:1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>
        <v>20</v>
      </c>
    </row>
    <row r="143" spans="1:1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>
        <v>14</v>
      </c>
    </row>
    <row r="144" spans="1:1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>
        <v>20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109</v>
      </c>
      <c r="J145" t="str">
        <f>+_xlfn.XLOOKUP(B145,INNOVACIÓN!A:A,INNOVACIÓN!B:B,"NO")</f>
        <v>NO</v>
      </c>
      <c r="K145">
        <v>14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>
        <v>20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>
        <v>14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>
        <v>20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>
        <v>20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109</v>
      </c>
      <c r="J151" t="str">
        <f>+_xlfn.XLOOKUP(B151,INNOVACIÓN!A:A,INNOVACIÓN!B:B,"NO")</f>
        <v>NO</v>
      </c>
      <c r="K151">
        <v>15</v>
      </c>
      <c r="L151" t="s">
        <v>676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>
        <v>20</v>
      </c>
      <c r="L152" t="s">
        <v>677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>
        <v>15</v>
      </c>
      <c r="L153" t="s">
        <v>675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33</v>
      </c>
      <c r="F154" s="3" t="s">
        <v>13</v>
      </c>
      <c r="G154" s="4" t="s">
        <v>14</v>
      </c>
      <c r="H154" s="4" t="s">
        <v>15</v>
      </c>
      <c r="I154" s="3" t="s">
        <v>109</v>
      </c>
      <c r="J154" t="str">
        <f>+_xlfn.XLOOKUP(B154,INNOVACIÓN!A:A,INNOVACIÓN!B:B,"NO")</f>
        <v>NO</v>
      </c>
      <c r="K154">
        <v>15</v>
      </c>
      <c r="L154" t="s">
        <v>675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>
        <v>15</v>
      </c>
      <c r="L155" t="s">
        <v>676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109</v>
      </c>
      <c r="J156" t="str">
        <f>+_xlfn.XLOOKUP(B156,INNOVACIÓN!A:A,INNOVACIÓN!B:B,"NO")</f>
        <v>NO</v>
      </c>
      <c r="K156">
        <v>15</v>
      </c>
      <c r="L156" t="s">
        <v>676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>
        <v>20</v>
      </c>
      <c r="L157" t="s">
        <v>677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>
        <v>15</v>
      </c>
      <c r="L158" t="s">
        <v>676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109</v>
      </c>
      <c r="J159" t="str">
        <f>+_xlfn.XLOOKUP(B159,INNOVACIÓN!A:A,INNOVACIÓN!B:B,"NO")</f>
        <v>NO</v>
      </c>
      <c r="K159">
        <v>15</v>
      </c>
      <c r="L159" t="s">
        <v>676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>
        <v>15</v>
      </c>
      <c r="L160" t="s">
        <v>675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33</v>
      </c>
      <c r="F161" s="3" t="s">
        <v>13</v>
      </c>
      <c r="G161" s="4" t="s">
        <v>14</v>
      </c>
      <c r="H161" s="4" t="s">
        <v>15</v>
      </c>
      <c r="I161" s="3" t="s">
        <v>109</v>
      </c>
      <c r="J161" t="str">
        <f>+_xlfn.XLOOKUP(B161,INNOVACIÓN!A:A,INNOVACIÓN!B:B,"NO")</f>
        <v>NO</v>
      </c>
      <c r="K161">
        <v>15</v>
      </c>
      <c r="L161" t="s">
        <v>675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>
        <v>25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>
        <v>14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>
        <v>20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>
        <v>25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>
        <v>14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>
        <v>20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  <c r="K175">
        <v>20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>
        <v>20</v>
      </c>
    </row>
    <row r="177" spans="1:1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  <c r="K177">
        <v>20</v>
      </c>
    </row>
    <row r="178" spans="1:1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590</v>
      </c>
      <c r="F178" s="3" t="s">
        <v>39</v>
      </c>
      <c r="G178" s="3" t="s">
        <v>35</v>
      </c>
      <c r="H178" s="3" t="s">
        <v>36</v>
      </c>
      <c r="I178" s="3" t="s">
        <v>16</v>
      </c>
      <c r="J178" t="str">
        <f>+_xlfn.XLOOKUP(B178,INNOVACIÓN!A:A,INNOVACIÓN!B:B,"NO")</f>
        <v>NO</v>
      </c>
      <c r="K178">
        <v>20</v>
      </c>
    </row>
    <row r="179" spans="1:1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  <c r="K179">
        <v>20</v>
      </c>
    </row>
    <row r="180" spans="1:1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>
        <v>25</v>
      </c>
    </row>
    <row r="181" spans="1:1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>
        <v>20</v>
      </c>
    </row>
    <row r="182" spans="1:1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>
        <v>20</v>
      </c>
    </row>
    <row r="183" spans="1:1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>
        <v>20</v>
      </c>
    </row>
    <row r="184" spans="1:1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>
        <v>20</v>
      </c>
    </row>
    <row r="185" spans="1:1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>
        <v>20</v>
      </c>
    </row>
    <row r="186" spans="1:1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>
        <v>20</v>
      </c>
    </row>
    <row r="187" spans="1:1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>
        <v>20</v>
      </c>
    </row>
    <row r="202" spans="1:1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>
        <v>25</v>
      </c>
    </row>
    <row r="203" spans="1:1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>
        <v>20</v>
      </c>
    </row>
    <row r="204" spans="1:1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>
        <v>14</v>
      </c>
    </row>
    <row r="205" spans="1:1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>
        <v>25</v>
      </c>
    </row>
    <row r="278" spans="1:1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>
        <v>20</v>
      </c>
    </row>
    <row r="282" spans="1:1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>
        <v>15</v>
      </c>
    </row>
    <row r="283" spans="1:1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>
        <v>20</v>
      </c>
    </row>
    <row r="284" spans="1:1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>
        <v>20</v>
      </c>
    </row>
    <row r="285" spans="1:1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>
        <v>15</v>
      </c>
    </row>
    <row r="286" spans="1:1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>
        <v>20</v>
      </c>
    </row>
    <row r="287" spans="1:1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>
        <v>20</v>
      </c>
    </row>
    <row r="288" spans="1:1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>
        <v>20</v>
      </c>
    </row>
    <row r="289" spans="1:1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>
        <v>20</v>
      </c>
    </row>
    <row r="290" spans="1:1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>
        <v>20</v>
      </c>
    </row>
    <row r="291" spans="1:1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>
        <v>20</v>
      </c>
    </row>
    <row r="292" spans="1:1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>
        <v>20</v>
      </c>
    </row>
    <row r="293" spans="1:1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>
        <v>20</v>
      </c>
    </row>
    <row r="294" spans="1:1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>
        <v>15</v>
      </c>
    </row>
    <row r="295" spans="1:1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>
        <v>20</v>
      </c>
    </row>
    <row r="296" spans="1:1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>
        <v>20</v>
      </c>
    </row>
    <row r="297" spans="1:1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>
        <v>15</v>
      </c>
    </row>
    <row r="298" spans="1:1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>
        <v>20</v>
      </c>
    </row>
    <row r="299" spans="1:1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>
        <v>20</v>
      </c>
    </row>
    <row r="300" spans="1:1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>
        <v>15</v>
      </c>
    </row>
    <row r="301" spans="1:1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>
        <v>20</v>
      </c>
    </row>
    <row r="302" spans="1:1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>
        <v>20</v>
      </c>
    </row>
    <row r="303" spans="1:1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>
        <v>20</v>
      </c>
    </row>
    <row r="304" spans="1:1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>
        <v>20</v>
      </c>
    </row>
    <row r="305" spans="1:1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>
        <v>20</v>
      </c>
    </row>
    <row r="306" spans="1:1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>
        <v>20</v>
      </c>
    </row>
    <row r="307" spans="1:1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>
        <v>20</v>
      </c>
    </row>
    <row r="308" spans="1:1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>
        <v>20</v>
      </c>
    </row>
    <row r="309" spans="1:1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>
        <v>15</v>
      </c>
    </row>
    <row r="310" spans="1:1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>
        <v>20</v>
      </c>
    </row>
    <row r="311" spans="1:1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>
        <v>20</v>
      </c>
    </row>
    <row r="312" spans="1:1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>
        <v>20</v>
      </c>
    </row>
    <row r="313" spans="1:1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>
        <v>14</v>
      </c>
    </row>
    <row r="314" spans="1:1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>
        <v>14</v>
      </c>
    </row>
    <row r="315" spans="1:1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>
        <v>20</v>
      </c>
    </row>
    <row r="316" spans="1:1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>
        <v>20</v>
      </c>
    </row>
    <row r="317" spans="1:1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>
        <v>20</v>
      </c>
    </row>
    <row r="318" spans="1:1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>
        <v>14</v>
      </c>
    </row>
    <row r="319" spans="1:11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>
        <v>20</v>
      </c>
    </row>
    <row r="320" spans="1:11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>
        <v>20</v>
      </c>
    </row>
    <row r="321" spans="1:11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>
        <v>15</v>
      </c>
    </row>
    <row r="322" spans="1:1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>
        <v>25</v>
      </c>
    </row>
    <row r="323" spans="1:1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>
        <v>25</v>
      </c>
    </row>
    <row r="324" spans="1:1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>
        <v>25</v>
      </c>
    </row>
    <row r="325" spans="1:1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>
        <v>25</v>
      </c>
    </row>
    <row r="326" spans="1:1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>
        <v>25</v>
      </c>
    </row>
    <row r="327" spans="1:1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>
        <v>25</v>
      </c>
    </row>
    <row r="328" spans="1:11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>
        <v>25</v>
      </c>
    </row>
    <row r="329" spans="1:1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>
        <v>20</v>
      </c>
    </row>
    <row r="330" spans="1:1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>
        <v>20</v>
      </c>
    </row>
    <row r="331" spans="1:1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>
        <v>20</v>
      </c>
    </row>
    <row r="332" spans="1:1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>
        <v>24</v>
      </c>
    </row>
    <row r="333" spans="1:1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>
        <v>25</v>
      </c>
    </row>
    <row r="334" spans="1:1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>
        <v>24</v>
      </c>
    </row>
    <row r="335" spans="1:1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>
        <v>24</v>
      </c>
    </row>
    <row r="336" spans="1:1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>
        <v>25</v>
      </c>
    </row>
    <row r="337" spans="1:1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>
        <v>24</v>
      </c>
    </row>
    <row r="338" spans="1:1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>
        <v>25</v>
      </c>
    </row>
    <row r="339" spans="1:1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>
        <v>14</v>
      </c>
    </row>
    <row r="340" spans="1:1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>
        <v>24</v>
      </c>
    </row>
    <row r="341" spans="1:1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>
        <v>14</v>
      </c>
    </row>
    <row r="342" spans="1:1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>
        <v>20</v>
      </c>
    </row>
    <row r="343" spans="1:1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>
        <v>20</v>
      </c>
    </row>
    <row r="344" spans="1:1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>
        <v>20</v>
      </c>
    </row>
    <row r="345" spans="1:1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>
        <v>20</v>
      </c>
    </row>
    <row r="346" spans="1:1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>
        <v>24</v>
      </c>
    </row>
    <row r="347" spans="1:1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>
        <v>20</v>
      </c>
    </row>
    <row r="348" spans="1:1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>
        <v>20</v>
      </c>
    </row>
    <row r="349" spans="1:1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>
        <v>20</v>
      </c>
    </row>
    <row r="350" spans="1:1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>
        <v>14</v>
      </c>
    </row>
    <row r="351" spans="1:1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>
        <v>20</v>
      </c>
    </row>
    <row r="352" spans="1:1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>
        <v>20</v>
      </c>
    </row>
    <row r="353" spans="1:1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>
        <v>20</v>
      </c>
    </row>
    <row r="354" spans="1:1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>
        <v>20</v>
      </c>
    </row>
    <row r="355" spans="1:1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>
        <v>20</v>
      </c>
    </row>
    <row r="356" spans="1:1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>
        <v>20</v>
      </c>
    </row>
    <row r="357" spans="1:1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>
        <v>20</v>
      </c>
    </row>
    <row r="358" spans="1:1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>
        <v>20</v>
      </c>
    </row>
    <row r="359" spans="1:1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>
        <v>20</v>
      </c>
    </row>
    <row r="360" spans="1:1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>
        <v>20</v>
      </c>
    </row>
    <row r="361" spans="1:1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>
        <v>20</v>
      </c>
    </row>
    <row r="362" spans="1:1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>
        <v>20</v>
      </c>
    </row>
    <row r="363" spans="1:1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>
        <v>20</v>
      </c>
    </row>
    <row r="364" spans="1:1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>
        <v>20</v>
      </c>
    </row>
    <row r="365" spans="1:1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>
        <v>20</v>
      </c>
    </row>
    <row r="366" spans="1:1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>
        <v>20</v>
      </c>
    </row>
    <row r="367" spans="1:1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>
        <v>20</v>
      </c>
    </row>
    <row r="368" spans="1:1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>
        <v>20</v>
      </c>
    </row>
    <row r="369" spans="1:1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>
        <v>20</v>
      </c>
    </row>
    <row r="370" spans="1:1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>
        <v>20</v>
      </c>
    </row>
    <row r="371" spans="1:1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>
        <v>20</v>
      </c>
    </row>
    <row r="372" spans="1:1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>
        <v>20</v>
      </c>
    </row>
    <row r="373" spans="1:1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>
        <v>20</v>
      </c>
    </row>
    <row r="374" spans="1:1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>
        <v>20</v>
      </c>
    </row>
    <row r="375" spans="1:1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>
        <v>20</v>
      </c>
    </row>
    <row r="376" spans="1:1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>
        <v>24</v>
      </c>
    </row>
    <row r="377" spans="1:1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>
        <v>20</v>
      </c>
    </row>
    <row r="378" spans="1:1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>
        <v>20</v>
      </c>
    </row>
    <row r="379" spans="1:1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>
        <v>20</v>
      </c>
    </row>
    <row r="380" spans="1:1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>
        <v>20</v>
      </c>
    </row>
    <row r="381" spans="1:1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>
        <v>20</v>
      </c>
    </row>
    <row r="382" spans="1:1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>
        <v>20</v>
      </c>
    </row>
    <row r="383" spans="1:1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>
        <v>20</v>
      </c>
    </row>
    <row r="384" spans="1:1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>
        <v>20</v>
      </c>
    </row>
    <row r="385" spans="1:1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>
        <v>20</v>
      </c>
    </row>
    <row r="386" spans="1:1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>
        <v>14</v>
      </c>
    </row>
    <row r="387" spans="1:1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>
        <v>20</v>
      </c>
    </row>
    <row r="388" spans="1:1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>
        <v>20</v>
      </c>
    </row>
    <row r="389" spans="1:1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>
        <v>14</v>
      </c>
    </row>
    <row r="390" spans="1:1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>
        <v>20</v>
      </c>
    </row>
    <row r="391" spans="1:1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>
        <v>24</v>
      </c>
    </row>
    <row r="392" spans="1:1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>
        <v>20</v>
      </c>
    </row>
    <row r="393" spans="1:1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>
        <v>20</v>
      </c>
    </row>
    <row r="394" spans="1:1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>
        <v>20</v>
      </c>
    </row>
    <row r="395" spans="1:1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>
        <v>20</v>
      </c>
    </row>
    <row r="396" spans="1:1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>
        <v>20</v>
      </c>
    </row>
    <row r="397" spans="1:1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>
        <v>20</v>
      </c>
    </row>
    <row r="398" spans="1:1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>
        <v>20</v>
      </c>
    </row>
    <row r="399" spans="1:1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>
        <v>20</v>
      </c>
    </row>
    <row r="400" spans="1:1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>
        <v>20</v>
      </c>
    </row>
    <row r="401" spans="1:1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>
        <v>20</v>
      </c>
    </row>
    <row r="402" spans="1:1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>
        <v>20</v>
      </c>
    </row>
    <row r="403" spans="1:1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>
        <v>20</v>
      </c>
    </row>
    <row r="404" spans="1:1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>
        <v>20</v>
      </c>
    </row>
    <row r="405" spans="1:1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>
        <v>20</v>
      </c>
    </row>
    <row r="406" spans="1:1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>
        <v>20</v>
      </c>
    </row>
    <row r="407" spans="1:1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>
        <v>20</v>
      </c>
    </row>
    <row r="408" spans="1:1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>
        <v>25</v>
      </c>
    </row>
    <row r="409" spans="1:1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>
        <v>20</v>
      </c>
    </row>
    <row r="410" spans="1:1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>
        <v>20</v>
      </c>
    </row>
    <row r="411" spans="1:1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>
        <v>20</v>
      </c>
    </row>
    <row r="412" spans="1:1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>
        <v>20</v>
      </c>
    </row>
    <row r="413" spans="1:1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>
        <v>20</v>
      </c>
    </row>
    <row r="414" spans="1:1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>
        <v>20</v>
      </c>
    </row>
    <row r="415" spans="1:1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>
        <v>20</v>
      </c>
    </row>
    <row r="416" spans="1:1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>
        <v>20</v>
      </c>
    </row>
    <row r="417" spans="1:1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>
        <v>20</v>
      </c>
    </row>
    <row r="418" spans="1:1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>
        <v>20</v>
      </c>
    </row>
    <row r="419" spans="1:1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>
        <v>20</v>
      </c>
    </row>
    <row r="420" spans="1:1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>
        <v>14</v>
      </c>
    </row>
    <row r="421" spans="1:1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>
        <v>20</v>
      </c>
    </row>
    <row r="422" spans="1:1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>
        <v>20</v>
      </c>
    </row>
    <row r="423" spans="1:1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1" x14ac:dyDescent="0.35">
      <c r="A441" s="3">
        <v>100017980</v>
      </c>
      <c r="B441" s="6">
        <v>7501045357881</v>
      </c>
      <c r="C441" s="3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1" x14ac:dyDescent="0.35">
      <c r="A442" s="3">
        <v>100015417</v>
      </c>
      <c r="B442" s="6">
        <v>7501045357447</v>
      </c>
      <c r="C442" s="3" t="s">
        <v>483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1" x14ac:dyDescent="0.35">
      <c r="A443" s="3">
        <v>100022970</v>
      </c>
      <c r="B443" s="6">
        <v>7503031950571</v>
      </c>
      <c r="C443" s="3" t="s">
        <v>484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1" x14ac:dyDescent="0.35">
      <c r="A444" s="3">
        <v>100015416</v>
      </c>
      <c r="B444" s="6">
        <v>7501045356259</v>
      </c>
      <c r="C444" s="3" t="s">
        <v>485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1" x14ac:dyDescent="0.35">
      <c r="A445" s="4">
        <v>100021950</v>
      </c>
      <c r="B445" s="6">
        <v>75004392</v>
      </c>
      <c r="C445" s="4" t="s">
        <v>486</v>
      </c>
      <c r="D445" s="4" t="s">
        <v>11</v>
      </c>
      <c r="E445" s="30" t="s">
        <v>214</v>
      </c>
      <c r="F445" s="4" t="s">
        <v>609</v>
      </c>
      <c r="G445" s="4" t="s">
        <v>35</v>
      </c>
      <c r="H445" s="3" t="s">
        <v>36</v>
      </c>
      <c r="I445" s="3" t="s">
        <v>16</v>
      </c>
      <c r="J445" t="str">
        <f>+_xlfn.XLOOKUP(B445,INNOVACIÓN!A:A,INNOVACIÓN!B:B,"NO")</f>
        <v>NO</v>
      </c>
      <c r="K445">
        <v>20</v>
      </c>
    </row>
    <row r="446" spans="1:11" x14ac:dyDescent="0.35">
      <c r="A446">
        <v>100012007</v>
      </c>
      <c r="B446" s="6">
        <v>75063900</v>
      </c>
      <c r="C446" t="s">
        <v>487</v>
      </c>
      <c r="D446" s="3" t="s">
        <v>11</v>
      </c>
      <c r="E446" s="4" t="s">
        <v>33</v>
      </c>
      <c r="F446" s="3" t="s">
        <v>41</v>
      </c>
      <c r="G446" s="3" t="s">
        <v>35</v>
      </c>
      <c r="H446" s="3" t="s">
        <v>36</v>
      </c>
      <c r="I446" s="3" t="s">
        <v>109</v>
      </c>
      <c r="J446" t="str">
        <f>+_xlfn.XLOOKUP(B446,INNOVACIÓN!A:A,INNOVACIÓN!B:B,"NO")</f>
        <v>NO</v>
      </c>
      <c r="K446">
        <v>20</v>
      </c>
    </row>
    <row r="447" spans="1:11" x14ac:dyDescent="0.35">
      <c r="A447">
        <v>100011702</v>
      </c>
      <c r="B447" s="6">
        <v>75063894</v>
      </c>
      <c r="C447" t="s">
        <v>488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>
        <v>20</v>
      </c>
    </row>
    <row r="448" spans="1:11" x14ac:dyDescent="0.35">
      <c r="A448" s="3">
        <v>100010267</v>
      </c>
      <c r="B448" s="6">
        <v>75061463</v>
      </c>
      <c r="C448" s="3" t="s">
        <v>489</v>
      </c>
      <c r="D448" s="3" t="s">
        <v>11</v>
      </c>
      <c r="E448" s="4" t="s">
        <v>33</v>
      </c>
      <c r="F448" s="3" t="s">
        <v>41</v>
      </c>
      <c r="G448" s="3" t="s">
        <v>54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>
        <v>14</v>
      </c>
    </row>
    <row r="449" spans="1:11" x14ac:dyDescent="0.35">
      <c r="A449">
        <v>100012003</v>
      </c>
      <c r="B449" s="6">
        <v>75063863</v>
      </c>
      <c r="C449" t="s">
        <v>490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>
        <v>14</v>
      </c>
    </row>
    <row r="450" spans="1:11" x14ac:dyDescent="0.35">
      <c r="A450">
        <v>100009575</v>
      </c>
      <c r="B450" s="6">
        <v>75061449</v>
      </c>
      <c r="C450" t="s">
        <v>491</v>
      </c>
      <c r="D450" s="3" t="s">
        <v>11</v>
      </c>
      <c r="E450" s="4" t="s">
        <v>33</v>
      </c>
      <c r="F450" s="3" t="s">
        <v>41</v>
      </c>
      <c r="G450" s="3" t="s">
        <v>35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>
        <v>14</v>
      </c>
    </row>
    <row r="451" spans="1:11" x14ac:dyDescent="0.35">
      <c r="A451">
        <v>100012005</v>
      </c>
      <c r="B451" s="6">
        <v>75063948</v>
      </c>
      <c r="C451" t="s">
        <v>492</v>
      </c>
      <c r="D451" s="3" t="s">
        <v>11</v>
      </c>
      <c r="E451" s="4" t="s">
        <v>33</v>
      </c>
      <c r="F451" s="3" t="s">
        <v>41</v>
      </c>
      <c r="G451" s="3" t="s">
        <v>71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>
        <v>24</v>
      </c>
    </row>
    <row r="452" spans="1:11" x14ac:dyDescent="0.35">
      <c r="A452">
        <v>100011705</v>
      </c>
      <c r="B452" s="6">
        <v>75063931</v>
      </c>
      <c r="C452" t="s">
        <v>493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>
        <v>24</v>
      </c>
    </row>
    <row r="453" spans="1:11" x14ac:dyDescent="0.35">
      <c r="A453" s="3">
        <v>100080984</v>
      </c>
      <c r="B453" s="6">
        <v>75049607</v>
      </c>
      <c r="C453" s="3" t="s">
        <v>494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>
        <v>24</v>
      </c>
    </row>
    <row r="454" spans="1:11" x14ac:dyDescent="0.35">
      <c r="A454">
        <v>100012002</v>
      </c>
      <c r="B454" s="6">
        <v>75063849</v>
      </c>
      <c r="C454" t="s">
        <v>495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>
        <v>14</v>
      </c>
    </row>
    <row r="455" spans="1:11" x14ac:dyDescent="0.35">
      <c r="A455" s="3">
        <v>100011706</v>
      </c>
      <c r="B455" s="6">
        <v>75063832</v>
      </c>
      <c r="C455" s="3" t="s">
        <v>496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>
        <v>14</v>
      </c>
    </row>
    <row r="456" spans="1:11" x14ac:dyDescent="0.35">
      <c r="A456" s="3">
        <v>100080976</v>
      </c>
      <c r="B456" s="6">
        <v>75049591</v>
      </c>
      <c r="C456" s="3" t="s">
        <v>497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>
        <v>20</v>
      </c>
    </row>
    <row r="457" spans="1:11" x14ac:dyDescent="0.35">
      <c r="A457">
        <v>100080951</v>
      </c>
      <c r="B457" s="6">
        <v>75047092</v>
      </c>
      <c r="C457" t="s">
        <v>498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>
        <v>24</v>
      </c>
    </row>
    <row r="458" spans="1:11" x14ac:dyDescent="0.35">
      <c r="A458">
        <v>100080869</v>
      </c>
      <c r="B458" s="6">
        <v>75037048</v>
      </c>
      <c r="C458" t="s">
        <v>499</v>
      </c>
      <c r="D458" s="3" t="s">
        <v>11</v>
      </c>
      <c r="E458" s="4" t="s">
        <v>33</v>
      </c>
      <c r="F458" s="3" t="s">
        <v>41</v>
      </c>
      <c r="G458" s="3" t="s">
        <v>35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>
        <v>20</v>
      </c>
    </row>
    <row r="459" spans="1:11" x14ac:dyDescent="0.35">
      <c r="A459">
        <v>100005287</v>
      </c>
      <c r="B459" s="6">
        <v>75053048</v>
      </c>
      <c r="C459" t="s">
        <v>500</v>
      </c>
      <c r="D459" s="3" t="s">
        <v>11</v>
      </c>
      <c r="E459" s="4" t="s">
        <v>33</v>
      </c>
      <c r="F459" s="3" t="s">
        <v>41</v>
      </c>
      <c r="G459" s="3" t="s">
        <v>54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>
        <v>20</v>
      </c>
    </row>
    <row r="460" spans="1:11" x14ac:dyDescent="0.35">
      <c r="A460">
        <v>100012006</v>
      </c>
      <c r="B460" s="6">
        <v>75063924</v>
      </c>
      <c r="C460" t="s">
        <v>501</v>
      </c>
      <c r="D460" s="3" t="s">
        <v>11</v>
      </c>
      <c r="E460" s="4" t="s">
        <v>33</v>
      </c>
      <c r="F460" s="3" t="s">
        <v>41</v>
      </c>
      <c r="G460" s="3" t="s">
        <v>35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>
        <v>24</v>
      </c>
    </row>
    <row r="461" spans="1:11" x14ac:dyDescent="0.35">
      <c r="A461">
        <v>100011704</v>
      </c>
      <c r="B461" s="6">
        <v>75063917</v>
      </c>
      <c r="C461" t="s">
        <v>502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>
        <v>24</v>
      </c>
    </row>
    <row r="462" spans="1:11" x14ac:dyDescent="0.35">
      <c r="A462" s="3">
        <v>100011708</v>
      </c>
      <c r="B462" s="6">
        <v>75063870</v>
      </c>
      <c r="C462" s="3" t="s">
        <v>503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>
        <v>14</v>
      </c>
    </row>
    <row r="463" spans="1:11" x14ac:dyDescent="0.35">
      <c r="A463">
        <v>100008186</v>
      </c>
      <c r="B463" s="6">
        <v>75057817</v>
      </c>
      <c r="C463" t="s">
        <v>504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>
        <v>14</v>
      </c>
    </row>
    <row r="464" spans="1:11" x14ac:dyDescent="0.35">
      <c r="A464" s="3">
        <v>100011671</v>
      </c>
      <c r="B464" s="6">
        <v>75063771</v>
      </c>
      <c r="C464" s="3" t="s">
        <v>505</v>
      </c>
      <c r="D464" s="4" t="s">
        <v>11</v>
      </c>
      <c r="E464" s="4" t="s">
        <v>33</v>
      </c>
      <c r="F464" s="3" t="s">
        <v>41</v>
      </c>
      <c r="G464" s="3" t="s">
        <v>14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>
        <v>20</v>
      </c>
    </row>
    <row r="465" spans="1:11" x14ac:dyDescent="0.35">
      <c r="A465" s="3">
        <v>100018204</v>
      </c>
      <c r="B465" s="6">
        <v>7501045300139</v>
      </c>
      <c r="C465" s="3" t="s">
        <v>506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>
        <v>20</v>
      </c>
    </row>
    <row r="466" spans="1:11" x14ac:dyDescent="0.35">
      <c r="A466" s="3">
        <v>100018203</v>
      </c>
      <c r="B466" s="6">
        <v>7501045300122</v>
      </c>
      <c r="C466" s="3" t="s">
        <v>507</v>
      </c>
      <c r="D466" s="4" t="s">
        <v>11</v>
      </c>
      <c r="E466" s="4" t="s">
        <v>33</v>
      </c>
      <c r="F466" s="3" t="s">
        <v>41</v>
      </c>
      <c r="G466" s="3" t="s">
        <v>54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>
        <v>20</v>
      </c>
    </row>
    <row r="467" spans="1:11" x14ac:dyDescent="0.35">
      <c r="A467">
        <v>100004742</v>
      </c>
      <c r="B467" s="6">
        <v>75052867</v>
      </c>
      <c r="C467" t="s">
        <v>508</v>
      </c>
      <c r="D467" s="3" t="s">
        <v>11</v>
      </c>
      <c r="E467" s="4" t="s">
        <v>33</v>
      </c>
      <c r="F467" s="3" t="s">
        <v>41</v>
      </c>
      <c r="G467" s="3" t="s">
        <v>35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>
        <v>20</v>
      </c>
    </row>
    <row r="468" spans="1:11" x14ac:dyDescent="0.35">
      <c r="A468" s="3">
        <v>100080980</v>
      </c>
      <c r="B468" s="6">
        <v>75049577</v>
      </c>
      <c r="C468" s="3" t="s">
        <v>509</v>
      </c>
      <c r="D468" s="3" t="s">
        <v>11</v>
      </c>
      <c r="E468" s="4" t="s">
        <v>33</v>
      </c>
      <c r="F468" s="3" t="s">
        <v>41</v>
      </c>
      <c r="G468" s="3" t="s">
        <v>14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>
        <v>20</v>
      </c>
    </row>
    <row r="469" spans="1:11" x14ac:dyDescent="0.35">
      <c r="A469" s="3">
        <v>100012202</v>
      </c>
      <c r="B469" s="6">
        <v>75064112</v>
      </c>
      <c r="C469" s="3" t="s">
        <v>510</v>
      </c>
      <c r="D469" s="3" t="s">
        <v>11</v>
      </c>
      <c r="E469" s="4" t="s">
        <v>33</v>
      </c>
      <c r="F469" s="3" t="s">
        <v>41</v>
      </c>
      <c r="G469" s="3" t="s">
        <v>35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>
        <v>24</v>
      </c>
    </row>
    <row r="470" spans="1:11" x14ac:dyDescent="0.35">
      <c r="A470" s="3">
        <v>100011674</v>
      </c>
      <c r="B470" s="6">
        <v>75063726</v>
      </c>
      <c r="C470" s="3" t="s">
        <v>511</v>
      </c>
      <c r="D470" s="4" t="s">
        <v>11</v>
      </c>
      <c r="E470" s="4" t="s">
        <v>33</v>
      </c>
      <c r="F470" s="3" t="s">
        <v>41</v>
      </c>
      <c r="G470" s="4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>
        <v>20</v>
      </c>
    </row>
    <row r="471" spans="1:11" x14ac:dyDescent="0.35">
      <c r="A471" s="3">
        <v>100011678</v>
      </c>
      <c r="B471" s="6">
        <v>75063757</v>
      </c>
      <c r="C471" s="3" t="s">
        <v>512</v>
      </c>
      <c r="D471" s="3" t="s">
        <v>11</v>
      </c>
      <c r="E471" s="4" t="s">
        <v>33</v>
      </c>
      <c r="F471" s="3" t="s">
        <v>41</v>
      </c>
      <c r="G471" s="3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>
        <v>14</v>
      </c>
    </row>
    <row r="472" spans="1:11" x14ac:dyDescent="0.35">
      <c r="A472">
        <v>100018490</v>
      </c>
      <c r="B472" s="6">
        <v>7501045300146</v>
      </c>
      <c r="C472" t="s">
        <v>513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>
        <v>20</v>
      </c>
    </row>
    <row r="473" spans="1:11" x14ac:dyDescent="0.35">
      <c r="A473" s="3">
        <v>100014571</v>
      </c>
      <c r="B473" s="6">
        <v>75069506</v>
      </c>
      <c r="C473" s="3" t="s">
        <v>514</v>
      </c>
      <c r="D473" s="3" t="s">
        <v>11</v>
      </c>
      <c r="E473" s="4" t="s">
        <v>33</v>
      </c>
      <c r="F473" s="3" t="s">
        <v>41</v>
      </c>
      <c r="G473" s="3" t="s">
        <v>54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>
        <v>20</v>
      </c>
    </row>
    <row r="474" spans="1:11" x14ac:dyDescent="0.35">
      <c r="A474" s="3">
        <v>100013983</v>
      </c>
      <c r="B474" s="6">
        <v>75067854</v>
      </c>
      <c r="C474" s="3" t="s">
        <v>515</v>
      </c>
      <c r="D474" s="3" t="s">
        <v>11</v>
      </c>
      <c r="E474" s="4" t="s">
        <v>33</v>
      </c>
      <c r="F474" s="3" t="s">
        <v>41</v>
      </c>
      <c r="G474" s="3" t="s">
        <v>35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>
        <v>25</v>
      </c>
    </row>
    <row r="475" spans="1:11" x14ac:dyDescent="0.35">
      <c r="A475">
        <v>100013785</v>
      </c>
      <c r="B475" s="6">
        <v>75067892</v>
      </c>
      <c r="C475" t="s">
        <v>516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>
        <v>25</v>
      </c>
    </row>
    <row r="476" spans="1:11" x14ac:dyDescent="0.35">
      <c r="A476" s="3">
        <v>100013982</v>
      </c>
      <c r="B476" s="6">
        <v>75067823</v>
      </c>
      <c r="C476" s="3" t="s">
        <v>517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>
        <v>15</v>
      </c>
    </row>
    <row r="477" spans="1:11" x14ac:dyDescent="0.35">
      <c r="A477" s="3">
        <v>100008185</v>
      </c>
      <c r="B477" s="6">
        <v>75057824</v>
      </c>
      <c r="C477" s="3" t="s">
        <v>518</v>
      </c>
      <c r="D477" s="3" t="s">
        <v>11</v>
      </c>
      <c r="E477" s="4" t="s">
        <v>33</v>
      </c>
      <c r="F477" s="3" t="s">
        <v>41</v>
      </c>
      <c r="G477" s="3" t="s">
        <v>54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>
        <v>14</v>
      </c>
    </row>
    <row r="478" spans="1:11" x14ac:dyDescent="0.35">
      <c r="A478">
        <v>100080979</v>
      </c>
      <c r="B478" s="6">
        <v>75049584</v>
      </c>
      <c r="C478" t="s">
        <v>519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>
        <v>20</v>
      </c>
    </row>
    <row r="479" spans="1:11" x14ac:dyDescent="0.35">
      <c r="A479" s="3">
        <v>100021797</v>
      </c>
      <c r="B479" s="6">
        <v>7503031950267</v>
      </c>
      <c r="C479" s="3" t="s">
        <v>520</v>
      </c>
      <c r="D479" s="4" t="s">
        <v>11</v>
      </c>
      <c r="E479" s="4" t="s">
        <v>33</v>
      </c>
      <c r="F479" s="3" t="s">
        <v>41</v>
      </c>
      <c r="G479" s="4" t="s">
        <v>35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>
        <v>25</v>
      </c>
    </row>
    <row r="480" spans="1:11" x14ac:dyDescent="0.35">
      <c r="A480" s="3">
        <v>100019960</v>
      </c>
      <c r="B480" s="6">
        <v>7503031950113</v>
      </c>
      <c r="C480" s="3" t="s">
        <v>521</v>
      </c>
      <c r="D480" s="4" t="s">
        <v>11</v>
      </c>
      <c r="E480" s="4" t="s">
        <v>33</v>
      </c>
      <c r="F480" s="3" t="s">
        <v>41</v>
      </c>
      <c r="G480" s="3" t="s">
        <v>14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>
        <v>20</v>
      </c>
    </row>
    <row r="481" spans="1:11" x14ac:dyDescent="0.35">
      <c r="A481" s="3">
        <v>100019961</v>
      </c>
      <c r="B481" s="6">
        <v>7503031950106</v>
      </c>
      <c r="C481" s="3" t="s">
        <v>522</v>
      </c>
      <c r="D481" s="4" t="s">
        <v>11</v>
      </c>
      <c r="E481" s="4" t="s">
        <v>33</v>
      </c>
      <c r="F481" s="3" t="s">
        <v>41</v>
      </c>
      <c r="G481" s="3" t="s">
        <v>54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>
        <v>20</v>
      </c>
    </row>
    <row r="482" spans="1:11" x14ac:dyDescent="0.35">
      <c r="A482" s="3">
        <v>100014579</v>
      </c>
      <c r="B482" s="6">
        <v>75069773</v>
      </c>
      <c r="C482" s="3" t="s">
        <v>523</v>
      </c>
      <c r="D482" s="4" t="s">
        <v>11</v>
      </c>
      <c r="E482" s="4" t="s">
        <v>33</v>
      </c>
      <c r="F482" s="3" t="s">
        <v>41</v>
      </c>
      <c r="G482" s="3" t="s">
        <v>14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>
        <v>20</v>
      </c>
    </row>
    <row r="483" spans="1:11" x14ac:dyDescent="0.35">
      <c r="A483" s="3">
        <v>100080958</v>
      </c>
      <c r="B483" s="6">
        <v>75047498</v>
      </c>
      <c r="C483" s="3" t="s">
        <v>524</v>
      </c>
      <c r="D483" s="4" t="s">
        <v>11</v>
      </c>
      <c r="E483" s="4" t="s">
        <v>33</v>
      </c>
      <c r="F483" s="3" t="s">
        <v>41</v>
      </c>
      <c r="G483" s="3" t="s">
        <v>35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>
        <v>20</v>
      </c>
    </row>
    <row r="484" spans="1:11" x14ac:dyDescent="0.35">
      <c r="A484" s="3">
        <v>100080961</v>
      </c>
      <c r="B484" s="6">
        <v>75047467</v>
      </c>
      <c r="C484" s="3" t="s">
        <v>525</v>
      </c>
      <c r="D484" s="4" t="s">
        <v>11</v>
      </c>
      <c r="E484" s="4" t="s">
        <v>33</v>
      </c>
      <c r="F484" s="3" t="s">
        <v>41</v>
      </c>
      <c r="G484" s="3" t="s">
        <v>14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>
        <v>20</v>
      </c>
    </row>
    <row r="485" spans="1:11" x14ac:dyDescent="0.35">
      <c r="A485" s="3">
        <v>100012203</v>
      </c>
      <c r="B485" s="6">
        <v>75061715</v>
      </c>
      <c r="C485" s="3" t="s">
        <v>526</v>
      </c>
      <c r="D485" s="4" t="s">
        <v>11</v>
      </c>
      <c r="E485" s="4" t="s">
        <v>33</v>
      </c>
      <c r="F485" s="3" t="s">
        <v>41</v>
      </c>
      <c r="G485" s="4" t="s">
        <v>71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>
        <v>24</v>
      </c>
    </row>
    <row r="486" spans="1:11" x14ac:dyDescent="0.35">
      <c r="A486" s="3">
        <v>100011673</v>
      </c>
      <c r="B486" s="6">
        <v>75063825</v>
      </c>
      <c r="C486" s="3" t="s">
        <v>527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>
        <v>20</v>
      </c>
    </row>
    <row r="487" spans="1:11" x14ac:dyDescent="0.35">
      <c r="A487" s="3">
        <v>100008184</v>
      </c>
      <c r="B487" s="6">
        <v>75057800</v>
      </c>
      <c r="C487" s="3" t="s">
        <v>528</v>
      </c>
      <c r="D487" s="3" t="s">
        <v>11</v>
      </c>
      <c r="E487" s="4" t="s">
        <v>33</v>
      </c>
      <c r="F487" s="3" t="s">
        <v>41</v>
      </c>
      <c r="G487" s="3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>
        <v>14</v>
      </c>
    </row>
    <row r="488" spans="1:11" x14ac:dyDescent="0.35">
      <c r="A488" s="3">
        <v>100011677</v>
      </c>
      <c r="B488" s="6">
        <v>75063740</v>
      </c>
      <c r="C488" s="3" t="s">
        <v>529</v>
      </c>
      <c r="D488" s="4" t="s">
        <v>11</v>
      </c>
      <c r="E488" s="4" t="s">
        <v>33</v>
      </c>
      <c r="F488" s="3" t="s">
        <v>41</v>
      </c>
      <c r="G488" s="4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>
        <v>14</v>
      </c>
    </row>
    <row r="489" spans="1:11" x14ac:dyDescent="0.35">
      <c r="A489" s="3">
        <v>100018931</v>
      </c>
      <c r="B489" s="6">
        <v>7503023959346</v>
      </c>
      <c r="C489" s="3" t="s">
        <v>530</v>
      </c>
      <c r="D489" s="4" t="s">
        <v>32</v>
      </c>
      <c r="E489" s="4" t="s">
        <v>33</v>
      </c>
      <c r="F489" s="3" t="s">
        <v>39</v>
      </c>
      <c r="G489" s="3" t="s">
        <v>35</v>
      </c>
      <c r="H489" s="3" t="s">
        <v>36</v>
      </c>
      <c r="I489" s="3" t="s">
        <v>247</v>
      </c>
      <c r="J489" t="str">
        <f>+_xlfn.XLOOKUP(B489,INNOVACIÓN!A:A,INNOVACIÓN!B:B,"NO")</f>
        <v>NO</v>
      </c>
      <c r="K489">
        <v>20</v>
      </c>
    </row>
    <row r="490" spans="1:11" x14ac:dyDescent="0.35">
      <c r="A490" s="3">
        <v>100017393</v>
      </c>
      <c r="B490" s="6">
        <v>7503023959230</v>
      </c>
      <c r="C490" s="3" t="s">
        <v>531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>
        <v>20</v>
      </c>
    </row>
    <row r="491" spans="1:11" x14ac:dyDescent="0.35">
      <c r="A491" s="3">
        <v>100080917</v>
      </c>
      <c r="B491" s="3">
        <v>75045135</v>
      </c>
      <c r="C491" s="3" t="s">
        <v>532</v>
      </c>
      <c r="D491" s="3" t="s">
        <v>32</v>
      </c>
      <c r="E491" s="4" t="s">
        <v>33</v>
      </c>
      <c r="F491" s="3" t="s">
        <v>46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>
        <v>20</v>
      </c>
    </row>
    <row r="492" spans="1:11" x14ac:dyDescent="0.35">
      <c r="A492" s="3">
        <v>100080184</v>
      </c>
      <c r="B492" s="6">
        <v>8308315</v>
      </c>
      <c r="C492" s="3" t="s">
        <v>533</v>
      </c>
      <c r="D492" s="4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>
        <v>20</v>
      </c>
    </row>
    <row r="493" spans="1:11" x14ac:dyDescent="0.35">
      <c r="A493" s="3">
        <v>100080865</v>
      </c>
      <c r="B493" s="3">
        <v>75039370</v>
      </c>
      <c r="C493" s="3" t="s">
        <v>534</v>
      </c>
      <c r="D493" s="3" t="s">
        <v>32</v>
      </c>
      <c r="E493" s="4" t="s">
        <v>33</v>
      </c>
      <c r="F493" s="3" t="s">
        <v>46</v>
      </c>
      <c r="G493" s="3" t="s">
        <v>14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>
        <v>20</v>
      </c>
    </row>
    <row r="494" spans="1:11" x14ac:dyDescent="0.35">
      <c r="A494" s="3">
        <v>100080895</v>
      </c>
      <c r="B494" s="3">
        <v>75043230</v>
      </c>
      <c r="C494" s="3" t="s">
        <v>535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>
        <v>20</v>
      </c>
    </row>
    <row r="495" spans="1:11" x14ac:dyDescent="0.35">
      <c r="A495" s="3">
        <v>100080695</v>
      </c>
      <c r="B495" s="6">
        <v>8338918</v>
      </c>
      <c r="C495" s="3" t="s">
        <v>536</v>
      </c>
      <c r="D495" s="4" t="s">
        <v>32</v>
      </c>
      <c r="E495" s="4" t="s">
        <v>33</v>
      </c>
      <c r="F495" s="3" t="s">
        <v>46</v>
      </c>
      <c r="G495" s="3" t="s">
        <v>35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>
        <v>14</v>
      </c>
    </row>
    <row r="496" spans="1:11" x14ac:dyDescent="0.35">
      <c r="A496" s="3">
        <v>100014240</v>
      </c>
      <c r="B496" s="6">
        <v>7503023959025</v>
      </c>
      <c r="C496" s="3" t="s">
        <v>537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>
        <v>14</v>
      </c>
    </row>
    <row r="497" spans="1:11" x14ac:dyDescent="0.35">
      <c r="A497" s="3">
        <v>100014242</v>
      </c>
      <c r="B497" s="6">
        <v>7503023959117</v>
      </c>
      <c r="C497" s="3" t="s">
        <v>538</v>
      </c>
      <c r="D497" s="4" t="s">
        <v>32</v>
      </c>
      <c r="E497" s="4" t="s">
        <v>33</v>
      </c>
      <c r="F497" s="3" t="s">
        <v>46</v>
      </c>
      <c r="G497" s="3" t="s">
        <v>14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>
        <v>20</v>
      </c>
    </row>
    <row r="498" spans="1:11" x14ac:dyDescent="0.35">
      <c r="A498" s="3">
        <v>100014243</v>
      </c>
      <c r="B498" s="6">
        <v>7503023959131</v>
      </c>
      <c r="C498" s="3" t="s">
        <v>539</v>
      </c>
      <c r="D498" s="4" t="s">
        <v>32</v>
      </c>
      <c r="E498" s="4" t="s">
        <v>33</v>
      </c>
      <c r="F498" s="3" t="s">
        <v>46</v>
      </c>
      <c r="G498" s="3" t="s">
        <v>35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>
        <v>20</v>
      </c>
    </row>
    <row r="499" spans="1:11" x14ac:dyDescent="0.35">
      <c r="A499" s="4">
        <v>100020727</v>
      </c>
      <c r="B499" s="6">
        <v>75015725</v>
      </c>
      <c r="C499" s="4" t="s">
        <v>540</v>
      </c>
      <c r="D499" s="4" t="s">
        <v>11</v>
      </c>
      <c r="E499" s="4" t="s">
        <v>33</v>
      </c>
      <c r="F499" s="4" t="s">
        <v>46</v>
      </c>
      <c r="G499" s="4" t="s">
        <v>54</v>
      </c>
      <c r="H499" s="3" t="s">
        <v>36</v>
      </c>
      <c r="I499" s="3" t="s">
        <v>109</v>
      </c>
      <c r="J499" t="str">
        <f>+_xlfn.XLOOKUP(B499,INNOVACIÓN!A:A,INNOVACIÓN!B:B,"NO")</f>
        <v>NO</v>
      </c>
      <c r="K499">
        <v>20</v>
      </c>
    </row>
    <row r="500" spans="1:11" x14ac:dyDescent="0.35">
      <c r="A500" s="3">
        <v>100022210</v>
      </c>
      <c r="B500" s="6">
        <v>75012694</v>
      </c>
      <c r="C500" s="3" t="s">
        <v>541</v>
      </c>
      <c r="D500" s="4" t="s">
        <v>11</v>
      </c>
      <c r="E500" s="4" t="s">
        <v>33</v>
      </c>
      <c r="F500" s="4" t="s">
        <v>46</v>
      </c>
      <c r="G500" s="4" t="s">
        <v>14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>
        <v>20</v>
      </c>
    </row>
    <row r="501" spans="1:11" x14ac:dyDescent="0.35">
      <c r="A501" s="3">
        <v>100020728</v>
      </c>
      <c r="B501" s="6">
        <v>75018825</v>
      </c>
      <c r="C501" s="3" t="s">
        <v>542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>
        <v>20</v>
      </c>
    </row>
    <row r="502" spans="1:11" x14ac:dyDescent="0.35">
      <c r="A502" s="3">
        <v>100020729</v>
      </c>
      <c r="B502" s="6">
        <v>75012564</v>
      </c>
      <c r="C502" s="3" t="s">
        <v>543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>
        <v>20</v>
      </c>
    </row>
    <row r="503" spans="1:11" x14ac:dyDescent="0.35">
      <c r="A503" s="3">
        <v>100015187</v>
      </c>
      <c r="B503" s="6">
        <v>75068752</v>
      </c>
      <c r="C503" s="3" t="s">
        <v>544</v>
      </c>
      <c r="D503" s="4" t="s">
        <v>11</v>
      </c>
      <c r="E503" s="4" t="s">
        <v>33</v>
      </c>
      <c r="F503" s="4" t="s">
        <v>39</v>
      </c>
      <c r="G503" s="4" t="s">
        <v>71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>
        <v>20</v>
      </c>
    </row>
    <row r="504" spans="1:11" x14ac:dyDescent="0.35">
      <c r="A504" s="3">
        <v>100014718</v>
      </c>
      <c r="B504" s="6">
        <v>75068806</v>
      </c>
      <c r="C504" s="3" t="s">
        <v>545</v>
      </c>
      <c r="D504" s="3" t="s">
        <v>11</v>
      </c>
      <c r="E504" s="4" t="s">
        <v>33</v>
      </c>
      <c r="F504" s="4" t="s">
        <v>39</v>
      </c>
      <c r="G504" s="3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>
        <v>14</v>
      </c>
    </row>
    <row r="505" spans="1:11" x14ac:dyDescent="0.35">
      <c r="A505" s="3">
        <v>100080033</v>
      </c>
      <c r="B505" s="6">
        <v>75001247</v>
      </c>
      <c r="C505" s="3" t="s">
        <v>546</v>
      </c>
      <c r="D505" s="4" t="s">
        <v>11</v>
      </c>
      <c r="E505" s="4" t="s">
        <v>33</v>
      </c>
      <c r="F505" s="4" t="s">
        <v>39</v>
      </c>
      <c r="G505" s="3" t="s">
        <v>54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>
        <v>20</v>
      </c>
    </row>
    <row r="506" spans="1:11" x14ac:dyDescent="0.35">
      <c r="A506" s="3">
        <v>100080862</v>
      </c>
      <c r="B506" s="6">
        <v>75038007</v>
      </c>
      <c r="C506" s="3" t="s">
        <v>547</v>
      </c>
      <c r="D506" s="3" t="s">
        <v>11</v>
      </c>
      <c r="E506" s="4" t="s">
        <v>33</v>
      </c>
      <c r="F506" s="3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>
        <v>14</v>
      </c>
    </row>
    <row r="507" spans="1:11" x14ac:dyDescent="0.35">
      <c r="A507">
        <v>100080439</v>
      </c>
      <c r="B507" s="6">
        <v>75016760</v>
      </c>
      <c r="C507" t="s">
        <v>548</v>
      </c>
      <c r="D507" s="3" t="s">
        <v>11</v>
      </c>
      <c r="E507" s="4" t="s">
        <v>33</v>
      </c>
      <c r="F507" s="3" t="s">
        <v>39</v>
      </c>
      <c r="G507" s="3" t="s">
        <v>71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>
        <v>20</v>
      </c>
    </row>
    <row r="508" spans="1:11" x14ac:dyDescent="0.35">
      <c r="A508" s="3">
        <v>100080861</v>
      </c>
      <c r="B508" s="6">
        <v>75037994</v>
      </c>
      <c r="C508" s="3" t="s">
        <v>549</v>
      </c>
      <c r="D508" s="4" t="s">
        <v>11</v>
      </c>
      <c r="E508" s="4" t="s">
        <v>33</v>
      </c>
      <c r="F508" s="4" t="s">
        <v>39</v>
      </c>
      <c r="G508" s="4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>
        <v>14</v>
      </c>
    </row>
    <row r="509" spans="1:11" x14ac:dyDescent="0.35">
      <c r="A509" s="3">
        <v>100080031</v>
      </c>
      <c r="B509" s="6">
        <v>75001254</v>
      </c>
      <c r="C509" s="3" t="s">
        <v>550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>
        <v>20</v>
      </c>
    </row>
    <row r="510" spans="1:11" x14ac:dyDescent="0.35">
      <c r="A510" s="3">
        <v>100080926</v>
      </c>
      <c r="B510" s="6">
        <v>75045692</v>
      </c>
      <c r="C510" s="3" t="s">
        <v>551</v>
      </c>
      <c r="D510" s="3" t="s">
        <v>11</v>
      </c>
      <c r="E510" s="4" t="s">
        <v>33</v>
      </c>
      <c r="F510" s="3" t="s">
        <v>39</v>
      </c>
      <c r="G510" s="3" t="s">
        <v>54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>
        <v>20</v>
      </c>
    </row>
    <row r="511" spans="1:11" x14ac:dyDescent="0.35">
      <c r="A511" s="4">
        <v>100022054</v>
      </c>
      <c r="B511" s="5">
        <v>7503023959438</v>
      </c>
      <c r="C511" s="4" t="s">
        <v>552</v>
      </c>
      <c r="D511" s="4" t="s">
        <v>32</v>
      </c>
      <c r="E511" s="30" t="s">
        <v>589</v>
      </c>
      <c r="F511" s="4" t="s">
        <v>609</v>
      </c>
      <c r="G511" s="4" t="s">
        <v>14</v>
      </c>
      <c r="H511" s="3" t="s">
        <v>36</v>
      </c>
      <c r="I511" s="3" t="s">
        <v>16</v>
      </c>
      <c r="J511" t="str">
        <f>+_xlfn.XLOOKUP(B511,INNOVACIÓN!A:A,INNOVACIÓN!B:B,"NO")</f>
        <v>SI</v>
      </c>
      <c r="K511">
        <v>20</v>
      </c>
    </row>
    <row r="512" spans="1:11" x14ac:dyDescent="0.35">
      <c r="A512">
        <v>100026143</v>
      </c>
      <c r="B512">
        <v>75084011</v>
      </c>
      <c r="C512" t="s">
        <v>553</v>
      </c>
      <c r="D512" s="4" t="s">
        <v>11</v>
      </c>
      <c r="E512" s="4" t="s">
        <v>74</v>
      </c>
      <c r="F512" s="30" t="s">
        <v>41</v>
      </c>
      <c r="G512" s="4" t="s">
        <v>75</v>
      </c>
      <c r="H512" s="3" t="s">
        <v>70</v>
      </c>
      <c r="I512" s="3" t="s">
        <v>16</v>
      </c>
      <c r="J512" t="str">
        <f>+_xlfn.XLOOKUP(B512,INNOVACIÓN!A:A,INNOVACIÓN!B:B,"NO")</f>
        <v>NO</v>
      </c>
    </row>
    <row r="513" spans="1:12" x14ac:dyDescent="0.35">
      <c r="A513">
        <v>100024418</v>
      </c>
      <c r="B513" s="8">
        <v>7702303253338</v>
      </c>
      <c r="C513" t="s">
        <v>554</v>
      </c>
      <c r="D513" s="3" t="s">
        <v>44</v>
      </c>
      <c r="E513" s="3" t="s">
        <v>146</v>
      </c>
      <c r="F513" s="3" t="s">
        <v>13</v>
      </c>
      <c r="G513" s="4" t="s">
        <v>14</v>
      </c>
      <c r="H513" s="3" t="s">
        <v>15</v>
      </c>
      <c r="I513" s="3" t="s">
        <v>16</v>
      </c>
      <c r="J513" t="str">
        <f>+_xlfn.XLOOKUP(B513,INNOVACIÓN!A:A,INNOVACIÓN!B:B,"NO")</f>
        <v>NO</v>
      </c>
      <c r="K513">
        <v>15</v>
      </c>
      <c r="L513" t="s">
        <v>676</v>
      </c>
    </row>
    <row r="514" spans="1:12" x14ac:dyDescent="0.35">
      <c r="A514">
        <v>100026302</v>
      </c>
      <c r="B514" s="8">
        <v>7503039738553</v>
      </c>
      <c r="C514" t="s">
        <v>555</v>
      </c>
      <c r="D514" s="4" t="s">
        <v>44</v>
      </c>
      <c r="E514" s="4" t="s">
        <v>33</v>
      </c>
      <c r="F514" s="4" t="s">
        <v>13</v>
      </c>
      <c r="G514" s="4" t="s">
        <v>14</v>
      </c>
      <c r="H514" s="3" t="s">
        <v>15</v>
      </c>
      <c r="I514" s="3" t="s">
        <v>109</v>
      </c>
      <c r="J514" t="str">
        <f>+_xlfn.XLOOKUP(B514,INNOVACIÓN!A:A,INNOVACIÓN!B:B,"NO")</f>
        <v>NO</v>
      </c>
      <c r="K514">
        <v>15</v>
      </c>
      <c r="L514" t="s">
        <v>676</v>
      </c>
    </row>
    <row r="515" spans="1:12" x14ac:dyDescent="0.35">
      <c r="A515">
        <v>100025296</v>
      </c>
      <c r="B515" s="8">
        <v>7503039738409</v>
      </c>
      <c r="C515" t="s">
        <v>556</v>
      </c>
      <c r="D515" s="4" t="s">
        <v>44</v>
      </c>
      <c r="E515" t="s">
        <v>33</v>
      </c>
      <c r="F515" s="3" t="s">
        <v>13</v>
      </c>
      <c r="G515" s="4" t="s">
        <v>14</v>
      </c>
      <c r="H515" s="3" t="s">
        <v>15</v>
      </c>
      <c r="I515" s="3" t="s">
        <v>109</v>
      </c>
      <c r="J515" t="str">
        <f>+_xlfn.XLOOKUP(B515,INNOVACIÓN!A:A,INNOVACIÓN!B:B,"NO")</f>
        <v>NO</v>
      </c>
      <c r="K515">
        <v>20</v>
      </c>
      <c r="L515" t="s">
        <v>677</v>
      </c>
    </row>
    <row r="516" spans="1:12" x14ac:dyDescent="0.35">
      <c r="A516">
        <v>100026069</v>
      </c>
      <c r="B516" s="8">
        <v>7503039738430</v>
      </c>
      <c r="C516" t="s">
        <v>557</v>
      </c>
      <c r="D516" s="30" t="s">
        <v>44</v>
      </c>
      <c r="E516" s="4" t="s">
        <v>146</v>
      </c>
      <c r="F516" s="3" t="s">
        <v>13</v>
      </c>
      <c r="G516" s="4" t="s">
        <v>14</v>
      </c>
      <c r="H516" s="4" t="s">
        <v>15</v>
      </c>
      <c r="I516" s="3" t="s">
        <v>16</v>
      </c>
      <c r="J516" t="str">
        <f>+_xlfn.XLOOKUP(B516,INNOVACIÓN!A:A,INNOVACIÓN!B:B,"NO")</f>
        <v>NO</v>
      </c>
      <c r="K516">
        <v>20</v>
      </c>
      <c r="L516" t="s">
        <v>677</v>
      </c>
    </row>
    <row r="517" spans="1:12" x14ac:dyDescent="0.35">
      <c r="A517">
        <v>100024415</v>
      </c>
      <c r="B517" s="8">
        <v>7702303630924</v>
      </c>
      <c r="C517" t="s">
        <v>558</v>
      </c>
      <c r="D517" s="3" t="s">
        <v>44</v>
      </c>
      <c r="E517" s="3" t="s">
        <v>146</v>
      </c>
      <c r="F517" s="3" t="s">
        <v>13</v>
      </c>
      <c r="G517" s="4" t="s">
        <v>14</v>
      </c>
      <c r="H517" s="3" t="s">
        <v>15</v>
      </c>
      <c r="I517" s="3" t="s">
        <v>16</v>
      </c>
      <c r="J517" t="str">
        <f>+_xlfn.XLOOKUP(B517,INNOVACIÓN!A:A,INNOVACIÓN!B:B,"NO")</f>
        <v>NO</v>
      </c>
      <c r="K517">
        <v>15</v>
      </c>
      <c r="L517" t="s">
        <v>675</v>
      </c>
    </row>
    <row r="518" spans="1:12" x14ac:dyDescent="0.35">
      <c r="A518">
        <v>100026074</v>
      </c>
      <c r="B518" s="8">
        <v>7503039738522</v>
      </c>
      <c r="C518" t="s">
        <v>559</v>
      </c>
      <c r="D518" s="30" t="s">
        <v>44</v>
      </c>
      <c r="E518" s="4" t="s">
        <v>33</v>
      </c>
      <c r="F518" s="3" t="s">
        <v>13</v>
      </c>
      <c r="G518" s="4" t="s">
        <v>14</v>
      </c>
      <c r="H518" s="4" t="s">
        <v>15</v>
      </c>
      <c r="I518" s="3" t="s">
        <v>109</v>
      </c>
      <c r="J518" t="str">
        <f>+_xlfn.XLOOKUP(B518,INNOVACIÓN!A:A,INNOVACIÓN!B:B,"NO")</f>
        <v>NO</v>
      </c>
      <c r="K518">
        <v>15</v>
      </c>
      <c r="L518" t="s">
        <v>675</v>
      </c>
    </row>
    <row r="519" spans="1:12" x14ac:dyDescent="0.35">
      <c r="A519">
        <v>100024416</v>
      </c>
      <c r="B519" s="8">
        <v>7702303813235</v>
      </c>
      <c r="C519" t="s">
        <v>560</v>
      </c>
      <c r="D519" s="3" t="s">
        <v>44</v>
      </c>
      <c r="E519" s="3" t="s">
        <v>146</v>
      </c>
      <c r="F519" s="3" t="s">
        <v>13</v>
      </c>
      <c r="G519" s="4" t="s">
        <v>14</v>
      </c>
      <c r="H519" s="3" t="s">
        <v>15</v>
      </c>
      <c r="I519" s="3" t="s">
        <v>16</v>
      </c>
      <c r="J519" t="str">
        <f>+_xlfn.XLOOKUP(B519,INNOVACIÓN!A:A,INNOVACIÓN!B:B,"NO")</f>
        <v>NO</v>
      </c>
      <c r="K519">
        <v>15</v>
      </c>
      <c r="L519" t="s">
        <v>676</v>
      </c>
    </row>
    <row r="520" spans="1:12" x14ac:dyDescent="0.35">
      <c r="A520">
        <v>100026304</v>
      </c>
      <c r="B520" s="8">
        <v>7503039738560</v>
      </c>
      <c r="C520" t="s">
        <v>561</v>
      </c>
      <c r="D520" s="4" t="s">
        <v>44</v>
      </c>
      <c r="E520" s="4" t="s">
        <v>33</v>
      </c>
      <c r="F520" s="4" t="s">
        <v>13</v>
      </c>
      <c r="G520" s="4" t="s">
        <v>14</v>
      </c>
      <c r="H520" s="3" t="s">
        <v>15</v>
      </c>
      <c r="I520" s="3" t="s">
        <v>109</v>
      </c>
      <c r="J520" t="str">
        <f>+_xlfn.XLOOKUP(B520,INNOVACIÓN!A:A,INNOVACIÓN!B:B,"NO")</f>
        <v>NO</v>
      </c>
      <c r="K520">
        <v>15</v>
      </c>
      <c r="L520" t="s">
        <v>676</v>
      </c>
    </row>
    <row r="521" spans="1:12" x14ac:dyDescent="0.35">
      <c r="A521">
        <v>100026383</v>
      </c>
      <c r="B521" s="8">
        <v>75084004</v>
      </c>
      <c r="C521" t="s">
        <v>562</v>
      </c>
      <c r="D521" s="3" t="s">
        <v>11</v>
      </c>
      <c r="E521" s="4" t="s">
        <v>33</v>
      </c>
      <c r="F521" s="4" t="s">
        <v>46</v>
      </c>
      <c r="G521" s="4" t="s">
        <v>75</v>
      </c>
      <c r="H521" s="3" t="s">
        <v>70</v>
      </c>
      <c r="I521" s="3" t="s">
        <v>16</v>
      </c>
      <c r="J521" t="str">
        <f>+_xlfn.XLOOKUP(B521,INNOVACIÓN!A:A,INNOVACIÓN!B:B,"NO")</f>
        <v>NO</v>
      </c>
    </row>
    <row r="522" spans="1:12" x14ac:dyDescent="0.35">
      <c r="A522">
        <v>100025292</v>
      </c>
      <c r="B522" s="8">
        <v>7503039738386</v>
      </c>
      <c r="C522" t="s">
        <v>563</v>
      </c>
      <c r="D522" s="4" t="s">
        <v>44</v>
      </c>
      <c r="E522" t="s">
        <v>33</v>
      </c>
      <c r="F522" s="3" t="s">
        <v>13</v>
      </c>
      <c r="G522" s="4" t="s">
        <v>14</v>
      </c>
      <c r="H522" s="3" t="s">
        <v>15</v>
      </c>
      <c r="I522" s="3" t="s">
        <v>109</v>
      </c>
      <c r="J522" t="str">
        <f>+_xlfn.XLOOKUP(B522,INNOVACIÓN!A:A,INNOVACIÓN!B:B,"NO")</f>
        <v>NO</v>
      </c>
      <c r="K522">
        <v>20</v>
      </c>
      <c r="L522" t="s">
        <v>677</v>
      </c>
    </row>
    <row r="523" spans="1:12" x14ac:dyDescent="0.35">
      <c r="A523">
        <v>100025895</v>
      </c>
      <c r="B523" s="8">
        <v>7503039738478</v>
      </c>
      <c r="C523" t="s">
        <v>564</v>
      </c>
      <c r="D523" s="4" t="s">
        <v>44</v>
      </c>
      <c r="E523" s="4" t="s">
        <v>146</v>
      </c>
      <c r="F523" s="3" t="s">
        <v>13</v>
      </c>
      <c r="G523" s="4" t="s">
        <v>14</v>
      </c>
      <c r="H523" s="3" t="s">
        <v>15</v>
      </c>
      <c r="I523" s="3" t="s">
        <v>16</v>
      </c>
      <c r="J523" t="str">
        <f>+_xlfn.XLOOKUP(B523,INNOVACIÓN!A:A,INNOVACIÓN!B:B,"NO")</f>
        <v>NO</v>
      </c>
      <c r="K523">
        <v>15</v>
      </c>
      <c r="L523" t="s">
        <v>676</v>
      </c>
    </row>
    <row r="524" spans="1:12" x14ac:dyDescent="0.35">
      <c r="A524">
        <v>100026382</v>
      </c>
      <c r="B524" s="8">
        <v>75085384</v>
      </c>
      <c r="C524" t="s">
        <v>565</v>
      </c>
      <c r="D524" s="3" t="s">
        <v>11</v>
      </c>
      <c r="E524" s="30" t="s">
        <v>161</v>
      </c>
      <c r="F524" s="4" t="s">
        <v>608</v>
      </c>
      <c r="G524" s="4" t="s">
        <v>71</v>
      </c>
      <c r="H524" s="3" t="s">
        <v>36</v>
      </c>
      <c r="I524" s="3" t="s">
        <v>16</v>
      </c>
      <c r="J524" t="str">
        <f>+_xlfn.XLOOKUP(B524,INNOVACIÓN!A:A,INNOVACIÓN!B:B,"NO")</f>
        <v>NO</v>
      </c>
      <c r="K524">
        <v>20</v>
      </c>
    </row>
    <row r="525" spans="1:12" x14ac:dyDescent="0.35">
      <c r="A525">
        <v>100026305</v>
      </c>
      <c r="B525" s="8">
        <v>7503039738577</v>
      </c>
      <c r="C525" t="s">
        <v>566</v>
      </c>
      <c r="D525" s="4" t="s">
        <v>44</v>
      </c>
      <c r="E525" s="4" t="s">
        <v>33</v>
      </c>
      <c r="F525" s="4" t="s">
        <v>13</v>
      </c>
      <c r="G525" s="4" t="s">
        <v>14</v>
      </c>
      <c r="H525" s="3" t="s">
        <v>15</v>
      </c>
      <c r="I525" s="3" t="s">
        <v>109</v>
      </c>
      <c r="J525" t="str">
        <f>+_xlfn.XLOOKUP(B525,INNOVACIÓN!A:A,INNOVACIÓN!B:B,"NO")</f>
        <v>NO</v>
      </c>
      <c r="K525">
        <v>15</v>
      </c>
      <c r="L525" t="s">
        <v>676</v>
      </c>
    </row>
    <row r="526" spans="1:12" x14ac:dyDescent="0.35">
      <c r="A526">
        <v>100026380</v>
      </c>
      <c r="B526" s="8">
        <v>75086091</v>
      </c>
      <c r="C526" t="s">
        <v>567</v>
      </c>
      <c r="D526" s="3" t="s">
        <v>11</v>
      </c>
      <c r="E526" s="30" t="s">
        <v>161</v>
      </c>
      <c r="F526" s="4" t="s">
        <v>608</v>
      </c>
      <c r="G526" s="4" t="s">
        <v>71</v>
      </c>
      <c r="H526" s="3" t="s">
        <v>36</v>
      </c>
      <c r="I526" s="3" t="s">
        <v>16</v>
      </c>
      <c r="J526" t="str">
        <f>+_xlfn.XLOOKUP(B526,INNOVACIÓN!A:A,INNOVACIÓN!B:B,"NO")</f>
        <v>NO</v>
      </c>
      <c r="K526">
        <v>20</v>
      </c>
    </row>
    <row r="527" spans="1:12" x14ac:dyDescent="0.35">
      <c r="A527" s="3">
        <v>100011672</v>
      </c>
      <c r="B527" s="6">
        <v>75063801</v>
      </c>
      <c r="C527" s="3" t="s">
        <v>568</v>
      </c>
      <c r="D527" s="4" t="s">
        <v>11</v>
      </c>
      <c r="E527" s="30" t="s">
        <v>161</v>
      </c>
      <c r="F527" s="4" t="s">
        <v>608</v>
      </c>
      <c r="G527" s="4" t="s">
        <v>54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>
        <v>20</v>
      </c>
    </row>
    <row r="528" spans="1:12" x14ac:dyDescent="0.35">
      <c r="A528">
        <v>100026471</v>
      </c>
      <c r="B528" s="8">
        <v>7622100510727</v>
      </c>
      <c r="C528" t="s">
        <v>569</v>
      </c>
      <c r="D528" s="4" t="s">
        <v>11</v>
      </c>
      <c r="E528" s="4" t="s">
        <v>242</v>
      </c>
      <c r="F528" s="3" t="s">
        <v>70</v>
      </c>
      <c r="G528" s="3" t="s">
        <v>239</v>
      </c>
      <c r="H528" s="3" t="s">
        <v>70</v>
      </c>
      <c r="I528" s="3" t="s">
        <v>16</v>
      </c>
      <c r="J528" t="str">
        <f>+_xlfn.XLOOKUP(B528,INNOVACIÓN!A:A,INNOVACIÓN!B:B,"NO")</f>
        <v>NO</v>
      </c>
    </row>
    <row r="529" spans="1:11" x14ac:dyDescent="0.35">
      <c r="A529">
        <v>100026467</v>
      </c>
      <c r="B529" s="8">
        <v>7622100511076</v>
      </c>
      <c r="C529" t="s">
        <v>570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1" x14ac:dyDescent="0.35">
      <c r="A530">
        <v>100026473</v>
      </c>
      <c r="B530" s="8">
        <v>7622100510765</v>
      </c>
      <c r="C530" t="s">
        <v>571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1" x14ac:dyDescent="0.35">
      <c r="A531">
        <v>100026616</v>
      </c>
      <c r="B531" s="8">
        <v>7622100511038</v>
      </c>
      <c r="C531" t="s">
        <v>666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1" x14ac:dyDescent="0.35">
      <c r="A532">
        <v>100026687</v>
      </c>
      <c r="B532">
        <v>75084585</v>
      </c>
      <c r="C532" t="s">
        <v>591</v>
      </c>
      <c r="D532" s="4" t="s">
        <v>44</v>
      </c>
      <c r="E532" s="30" t="s">
        <v>33</v>
      </c>
      <c r="F532" s="4" t="s">
        <v>46</v>
      </c>
      <c r="H532" s="3" t="s">
        <v>36</v>
      </c>
      <c r="I532" s="3" t="s">
        <v>109</v>
      </c>
      <c r="J532" t="str">
        <f>+_xlfn.XLOOKUP(B532,INNOVACIÓN!A:A,INNOVACIÓN!B:B,"NO")</f>
        <v>NO</v>
      </c>
      <c r="K532">
        <v>20</v>
      </c>
    </row>
    <row r="533" spans="1:11" x14ac:dyDescent="0.35">
      <c r="A533">
        <v>100026688</v>
      </c>
      <c r="B533">
        <v>75084608</v>
      </c>
      <c r="C533" t="s">
        <v>592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NO</v>
      </c>
      <c r="K533">
        <v>20</v>
      </c>
    </row>
    <row r="534" spans="1:11" x14ac:dyDescent="0.35">
      <c r="A534">
        <v>100026689</v>
      </c>
      <c r="B534">
        <v>75084592</v>
      </c>
      <c r="C534" t="s">
        <v>593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NO</v>
      </c>
      <c r="K534">
        <v>20</v>
      </c>
    </row>
    <row r="535" spans="1:11" x14ac:dyDescent="0.35">
      <c r="A535">
        <v>100026690</v>
      </c>
      <c r="B535">
        <v>75084646</v>
      </c>
      <c r="C535" t="s">
        <v>594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NO</v>
      </c>
      <c r="K535">
        <v>20</v>
      </c>
    </row>
    <row r="536" spans="1:11" x14ac:dyDescent="0.35">
      <c r="A536">
        <v>100026691</v>
      </c>
      <c r="B536">
        <v>75084639</v>
      </c>
      <c r="C536" t="s">
        <v>595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NO</v>
      </c>
      <c r="K536">
        <v>20</v>
      </c>
    </row>
    <row r="537" spans="1:11" x14ac:dyDescent="0.35">
      <c r="A537">
        <v>100026692</v>
      </c>
      <c r="B537">
        <v>75084653</v>
      </c>
      <c r="C537" t="s">
        <v>596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NO</v>
      </c>
      <c r="K537">
        <v>20</v>
      </c>
    </row>
    <row r="538" spans="1:11" x14ac:dyDescent="0.35">
      <c r="A538">
        <v>100026676</v>
      </c>
      <c r="B538">
        <v>75087142</v>
      </c>
      <c r="C538" t="s">
        <v>597</v>
      </c>
      <c r="D538" s="4" t="s">
        <v>44</v>
      </c>
      <c r="E538" s="30" t="s">
        <v>33</v>
      </c>
      <c r="F538" s="4" t="s">
        <v>39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>
        <v>20</v>
      </c>
    </row>
    <row r="539" spans="1:11" x14ac:dyDescent="0.35">
      <c r="A539">
        <v>100026677</v>
      </c>
      <c r="B539">
        <v>75087159</v>
      </c>
      <c r="C539" t="s">
        <v>598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>
        <v>20</v>
      </c>
    </row>
    <row r="540" spans="1:11" x14ac:dyDescent="0.35">
      <c r="A540">
        <v>100026678</v>
      </c>
      <c r="B540">
        <v>75087166</v>
      </c>
      <c r="C540" t="s">
        <v>599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>
        <v>20</v>
      </c>
    </row>
    <row r="541" spans="1:11" x14ac:dyDescent="0.35">
      <c r="A541">
        <v>100026679</v>
      </c>
      <c r="B541">
        <v>75087173</v>
      </c>
      <c r="C541" t="s">
        <v>600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>
        <v>20</v>
      </c>
    </row>
    <row r="542" spans="1:11" x14ac:dyDescent="0.35">
      <c r="A542">
        <v>100026680</v>
      </c>
      <c r="B542">
        <v>75087180</v>
      </c>
      <c r="C542" t="s">
        <v>601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>
        <v>20</v>
      </c>
    </row>
    <row r="543" spans="1:11" x14ac:dyDescent="0.35">
      <c r="A543">
        <v>100026684</v>
      </c>
      <c r="B543">
        <v>75084493</v>
      </c>
      <c r="C543" t="s">
        <v>602</v>
      </c>
      <c r="D543" s="4" t="s">
        <v>44</v>
      </c>
      <c r="E543" s="30" t="s">
        <v>67</v>
      </c>
      <c r="F543" s="4" t="s">
        <v>608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>
        <v>20</v>
      </c>
    </row>
    <row r="544" spans="1:11" x14ac:dyDescent="0.35">
      <c r="A544">
        <v>100026681</v>
      </c>
      <c r="B544">
        <v>75087197</v>
      </c>
      <c r="C544" t="s">
        <v>603</v>
      </c>
      <c r="D544" s="4" t="s">
        <v>44</v>
      </c>
      <c r="E544" s="30" t="s">
        <v>33</v>
      </c>
      <c r="F544" s="4" t="s">
        <v>609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>
        <v>25</v>
      </c>
    </row>
    <row r="545" spans="1:12" x14ac:dyDescent="0.35">
      <c r="A545">
        <v>100026682</v>
      </c>
      <c r="B545">
        <v>75087203</v>
      </c>
      <c r="C545" t="s">
        <v>604</v>
      </c>
      <c r="D545" s="4" t="s">
        <v>44</v>
      </c>
      <c r="E545" s="30" t="s">
        <v>33</v>
      </c>
      <c r="F545" s="30" t="s">
        <v>46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>
        <v>14</v>
      </c>
    </row>
    <row r="546" spans="1:12" x14ac:dyDescent="0.35">
      <c r="A546">
        <v>100026683</v>
      </c>
      <c r="B546">
        <v>75087210</v>
      </c>
      <c r="C546" t="s">
        <v>605</v>
      </c>
      <c r="D546" s="4" t="s">
        <v>44</v>
      </c>
      <c r="E546" s="30" t="s">
        <v>33</v>
      </c>
      <c r="F546" s="4" t="s">
        <v>609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>
        <v>25</v>
      </c>
    </row>
    <row r="547" spans="1:12" x14ac:dyDescent="0.35">
      <c r="A547">
        <v>100026685</v>
      </c>
      <c r="B547">
        <v>75086381</v>
      </c>
      <c r="C547" t="s">
        <v>606</v>
      </c>
      <c r="D547" s="4" t="s">
        <v>11</v>
      </c>
      <c r="E547" s="30" t="s">
        <v>161</v>
      </c>
      <c r="F547" s="4" t="s">
        <v>608</v>
      </c>
      <c r="H547" s="3" t="s">
        <v>36</v>
      </c>
      <c r="I547" s="3" t="s">
        <v>16</v>
      </c>
      <c r="J547" t="str">
        <f>+_xlfn.XLOOKUP(B547,INNOVACIÓN!A:A,INNOVACIÓN!B:B,"NO")</f>
        <v>NO</v>
      </c>
      <c r="K547">
        <v>20</v>
      </c>
    </row>
    <row r="548" spans="1:12" x14ac:dyDescent="0.35">
      <c r="A548">
        <v>100026614</v>
      </c>
      <c r="B548" s="8">
        <v>7501045300177</v>
      </c>
      <c r="C548" t="s">
        <v>607</v>
      </c>
      <c r="D548" s="4" t="s">
        <v>11</v>
      </c>
      <c r="E548" s="30" t="s">
        <v>161</v>
      </c>
      <c r="F548" s="4" t="s">
        <v>39</v>
      </c>
      <c r="H548" s="3" t="s">
        <v>36</v>
      </c>
      <c r="I548" s="3" t="s">
        <v>16</v>
      </c>
      <c r="J548" t="str">
        <f>+_xlfn.XLOOKUP(B548,INNOVACIÓN!A:A,INNOVACIÓN!B:B,"NO")</f>
        <v>NO</v>
      </c>
      <c r="K548">
        <v>20</v>
      </c>
    </row>
    <row r="549" spans="1:12" x14ac:dyDescent="0.35">
      <c r="A549">
        <v>100027095</v>
      </c>
      <c r="B549" s="28">
        <v>75087586</v>
      </c>
      <c r="C549" t="s">
        <v>665</v>
      </c>
      <c r="D549" s="4" t="s">
        <v>11</v>
      </c>
      <c r="E549" s="30" t="s">
        <v>161</v>
      </c>
      <c r="F549" s="4" t="s">
        <v>608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>
        <v>20</v>
      </c>
    </row>
    <row r="550" spans="1:12" x14ac:dyDescent="0.35">
      <c r="A550" s="38">
        <v>100027096</v>
      </c>
      <c r="B550" s="39">
        <v>7311250035586</v>
      </c>
      <c r="C550" s="40" t="s">
        <v>611</v>
      </c>
      <c r="D550" s="4" t="s">
        <v>11</v>
      </c>
      <c r="E550" s="30" t="s">
        <v>12</v>
      </c>
      <c r="F550" s="30" t="s">
        <v>13</v>
      </c>
      <c r="H550" s="3" t="s">
        <v>15</v>
      </c>
      <c r="I550" s="3" t="s">
        <v>16</v>
      </c>
      <c r="J550" t="str">
        <f>+_xlfn.XLOOKUP(B550,INNOVACIÓN!A:A,INNOVACIÓN!B:B,"NO")</f>
        <v>SI</v>
      </c>
      <c r="K550">
        <v>15</v>
      </c>
      <c r="L550" t="s">
        <v>675</v>
      </c>
    </row>
    <row r="551" spans="1:12" x14ac:dyDescent="0.35">
      <c r="A551" s="38">
        <v>100027097</v>
      </c>
      <c r="B551" s="39">
        <v>7311250035609</v>
      </c>
      <c r="C551" s="40" t="s">
        <v>612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>
        <v>15</v>
      </c>
      <c r="L551" t="s">
        <v>676</v>
      </c>
    </row>
    <row r="552" spans="1:12" x14ac:dyDescent="0.35">
      <c r="A552">
        <v>100027103</v>
      </c>
      <c r="B552" s="28">
        <v>7503039738805</v>
      </c>
      <c r="C552" s="26" t="s">
        <v>613</v>
      </c>
      <c r="D552" s="4" t="s">
        <v>44</v>
      </c>
      <c r="E552" s="30" t="s">
        <v>146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NO</v>
      </c>
      <c r="K552">
        <v>15</v>
      </c>
      <c r="L552" t="s">
        <v>677</v>
      </c>
    </row>
    <row r="553" spans="1:12" x14ac:dyDescent="0.35">
      <c r="A553">
        <v>100027104</v>
      </c>
      <c r="B553" s="28">
        <v>7503039738812</v>
      </c>
      <c r="C553" s="26" t="s">
        <v>614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NO</v>
      </c>
      <c r="K553">
        <v>15</v>
      </c>
      <c r="L553" t="s">
        <v>677</v>
      </c>
    </row>
    <row r="554" spans="1:12" x14ac:dyDescent="0.35">
      <c r="A554">
        <v>100027105</v>
      </c>
      <c r="B554" s="28">
        <v>7503039738829</v>
      </c>
      <c r="C554" s="26" t="s">
        <v>615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NO</v>
      </c>
      <c r="K554">
        <v>15</v>
      </c>
      <c r="L554" t="s">
        <v>677</v>
      </c>
    </row>
    <row r="555" spans="1:12" x14ac:dyDescent="0.35">
      <c r="A555">
        <v>100027106</v>
      </c>
      <c r="B555" s="28">
        <v>7503039738836</v>
      </c>
      <c r="C555" s="26" t="s">
        <v>616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NO</v>
      </c>
      <c r="K555">
        <v>15</v>
      </c>
      <c r="L555" t="s">
        <v>677</v>
      </c>
    </row>
    <row r="556" spans="1:12" x14ac:dyDescent="0.35">
      <c r="A556">
        <v>100027098</v>
      </c>
      <c r="B556" s="28">
        <v>7503039738843</v>
      </c>
      <c r="C556" t="s">
        <v>667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>
        <v>15</v>
      </c>
      <c r="L556" t="s">
        <v>675</v>
      </c>
    </row>
    <row r="557" spans="1:12" x14ac:dyDescent="0.35">
      <c r="A557">
        <v>100027099</v>
      </c>
      <c r="B557" s="28">
        <v>7503039738867</v>
      </c>
      <c r="C557" s="26" t="s">
        <v>618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>
        <v>15</v>
      </c>
      <c r="L557" t="s">
        <v>677</v>
      </c>
    </row>
    <row r="558" spans="1:12" x14ac:dyDescent="0.35">
      <c r="A558">
        <v>100027102</v>
      </c>
      <c r="B558" s="28">
        <v>7503039738874</v>
      </c>
      <c r="C558" t="s">
        <v>669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>
        <v>15</v>
      </c>
      <c r="L558" t="s">
        <v>677</v>
      </c>
    </row>
    <row r="559" spans="1:12" x14ac:dyDescent="0.35">
      <c r="A559">
        <v>100080354</v>
      </c>
      <c r="C559" t="s">
        <v>622</v>
      </c>
      <c r="D559" t="s">
        <v>87</v>
      </c>
      <c r="E559" t="s">
        <v>33</v>
      </c>
      <c r="F559" t="s">
        <v>87</v>
      </c>
      <c r="G559" s="4" t="s">
        <v>87</v>
      </c>
      <c r="H559" s="3" t="s">
        <v>87</v>
      </c>
      <c r="I559" s="3" t="s">
        <v>16</v>
      </c>
      <c r="J559" t="str">
        <f>+_xlfn.XLOOKUP(B559,INNOVACIÓN!A:A,INNOVACIÓN!B:B,"NO")</f>
        <v>NO</v>
      </c>
    </row>
    <row r="560" spans="1:12" x14ac:dyDescent="0.35">
      <c r="A560">
        <v>100080382</v>
      </c>
      <c r="C560" t="s">
        <v>623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1" x14ac:dyDescent="0.35">
      <c r="A561">
        <v>100013782</v>
      </c>
      <c r="C561" t="s">
        <v>624</v>
      </c>
      <c r="D561" t="s">
        <v>11</v>
      </c>
      <c r="E561" t="s">
        <v>33</v>
      </c>
      <c r="F561" t="s">
        <v>41</v>
      </c>
      <c r="H561" s="3" t="s">
        <v>36</v>
      </c>
      <c r="I561" s="3" t="s">
        <v>109</v>
      </c>
      <c r="J561" t="str">
        <f>+_xlfn.XLOOKUP(B561,INNOVACIÓN!A:A,INNOVACIÓN!B:B,"NO")</f>
        <v>NO</v>
      </c>
      <c r="K561">
        <v>20</v>
      </c>
    </row>
    <row r="562" spans="1:11" x14ac:dyDescent="0.35">
      <c r="A562">
        <v>100024718</v>
      </c>
      <c r="C562" t="s">
        <v>579</v>
      </c>
      <c r="D562" t="s">
        <v>44</v>
      </c>
      <c r="E562" t="s">
        <v>33</v>
      </c>
      <c r="F562" s="3" t="s">
        <v>252</v>
      </c>
      <c r="H562" s="3" t="s">
        <v>252</v>
      </c>
      <c r="I562" s="3" t="s">
        <v>247</v>
      </c>
      <c r="J562" t="str">
        <f>+_xlfn.XLOOKUP(B562,INNOVACIÓN!A:A,INNOVACIÓN!B:B,"NO")</f>
        <v>NO</v>
      </c>
    </row>
    <row r="563" spans="1:11" x14ac:dyDescent="0.35">
      <c r="A563">
        <v>101000060</v>
      </c>
      <c r="C563" t="s">
        <v>625</v>
      </c>
      <c r="D563" t="s">
        <v>11</v>
      </c>
      <c r="E563" t="s">
        <v>33</v>
      </c>
      <c r="F563" t="s">
        <v>46</v>
      </c>
      <c r="H563" s="3" t="s">
        <v>36</v>
      </c>
      <c r="I563" s="3" t="s">
        <v>109</v>
      </c>
      <c r="J563" t="str">
        <f>+_xlfn.XLOOKUP(B563,INNOVACIÓN!A:A,INNOVACIÓN!B:B,"NO")</f>
        <v>NO</v>
      </c>
      <c r="K563">
        <v>14</v>
      </c>
    </row>
    <row r="564" spans="1:11" x14ac:dyDescent="0.35">
      <c r="A564">
        <v>100017238</v>
      </c>
      <c r="C564" t="s">
        <v>626</v>
      </c>
      <c r="D564" t="s">
        <v>628</v>
      </c>
      <c r="E564" t="s">
        <v>33</v>
      </c>
      <c r="F564" t="s">
        <v>39</v>
      </c>
      <c r="H564" s="3" t="s">
        <v>36</v>
      </c>
      <c r="I564" s="3" t="s">
        <v>16</v>
      </c>
      <c r="J564" t="str">
        <f>+_xlfn.XLOOKUP(B564,INNOVACIÓN!A:A,INNOVACIÓN!B:B,"NO")</f>
        <v>NO</v>
      </c>
      <c r="K564">
        <v>20</v>
      </c>
    </row>
    <row r="565" spans="1:11" x14ac:dyDescent="0.35">
      <c r="A565">
        <v>100024719</v>
      </c>
      <c r="B565" s="8">
        <v>7707200945799</v>
      </c>
      <c r="C565" t="s">
        <v>627</v>
      </c>
      <c r="D565" t="s">
        <v>44</v>
      </c>
      <c r="E565" t="s">
        <v>33</v>
      </c>
      <c r="F565" t="s">
        <v>252</v>
      </c>
      <c r="H565" t="s">
        <v>252</v>
      </c>
      <c r="I565" s="3" t="s">
        <v>247</v>
      </c>
      <c r="J565" t="str">
        <f>+_xlfn.XLOOKUP(B565,INNOVACIÓN!A:A,INNOVACIÓN!B:B,"NO")</f>
        <v>NO</v>
      </c>
    </row>
    <row r="566" spans="1:11" x14ac:dyDescent="0.35">
      <c r="A566">
        <v>100080894</v>
      </c>
      <c r="B566" s="8">
        <v>75043209</v>
      </c>
      <c r="C566" t="s">
        <v>629</v>
      </c>
      <c r="D566" t="s">
        <v>32</v>
      </c>
      <c r="E566" t="s">
        <v>33</v>
      </c>
      <c r="F566" t="s">
        <v>46</v>
      </c>
      <c r="H566" t="s">
        <v>36</v>
      </c>
      <c r="I566" s="3" t="s">
        <v>247</v>
      </c>
      <c r="J566" t="str">
        <f>+_xlfn.XLOOKUP(B566,INNOVACIÓN!A:A,INNOVACIÓN!B:B,"NO")</f>
        <v>NO</v>
      </c>
      <c r="K566">
        <v>20</v>
      </c>
    </row>
    <row r="567" spans="1:11" x14ac:dyDescent="0.35">
      <c r="A567">
        <v>100011675</v>
      </c>
      <c r="B567" s="8">
        <v>75063702</v>
      </c>
      <c r="C567" t="s">
        <v>630</v>
      </c>
      <c r="D567" t="s">
        <v>11</v>
      </c>
      <c r="E567" t="s">
        <v>33</v>
      </c>
      <c r="F567" t="s">
        <v>41</v>
      </c>
      <c r="H567" t="s">
        <v>36</v>
      </c>
      <c r="I567" s="3" t="s">
        <v>247</v>
      </c>
      <c r="J567" t="str">
        <f>+_xlfn.XLOOKUP(B567,INNOVACIÓN!A:A,INNOVACIÓN!B:B,"NO")</f>
        <v>NO</v>
      </c>
      <c r="K567">
        <v>14</v>
      </c>
    </row>
    <row r="568" spans="1:11" x14ac:dyDescent="0.35">
      <c r="A568">
        <v>100009363</v>
      </c>
      <c r="B568" s="8">
        <v>7503023648035</v>
      </c>
      <c r="C568" t="s">
        <v>631</v>
      </c>
      <c r="D568" t="s">
        <v>87</v>
      </c>
      <c r="E568" t="s">
        <v>33</v>
      </c>
      <c r="F568" t="s">
        <v>87</v>
      </c>
      <c r="G568" t="s">
        <v>33</v>
      </c>
      <c r="H568" t="s">
        <v>87</v>
      </c>
      <c r="I568" s="3" t="s">
        <v>247</v>
      </c>
      <c r="J568" t="str">
        <f>+_xlfn.XLOOKUP(B568,INNOVACIÓN!A:A,INNOVACIÓN!B:B,"NO")</f>
        <v>NO</v>
      </c>
    </row>
    <row r="569" spans="1:11" x14ac:dyDescent="0.35">
      <c r="A569">
        <v>100009365</v>
      </c>
      <c r="B569" s="8">
        <v>7503023648028</v>
      </c>
      <c r="C569" t="s">
        <v>632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1" x14ac:dyDescent="0.35">
      <c r="A570">
        <v>100080406</v>
      </c>
      <c r="B570" s="8">
        <v>7501609500968</v>
      </c>
      <c r="C570" t="s">
        <v>633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1" x14ac:dyDescent="0.35">
      <c r="A571">
        <v>100011025</v>
      </c>
      <c r="B571" s="8">
        <v>10000</v>
      </c>
      <c r="C571" t="s">
        <v>182</v>
      </c>
      <c r="D571" t="s">
        <v>11</v>
      </c>
      <c r="E571" t="s">
        <v>33</v>
      </c>
      <c r="F571" t="s">
        <v>46</v>
      </c>
      <c r="H571" t="s">
        <v>36</v>
      </c>
      <c r="I571" s="3" t="s">
        <v>247</v>
      </c>
      <c r="J571" t="str">
        <f>+_xlfn.XLOOKUP(B571,INNOVACIÓN!A:A,INNOVACIÓN!B:B,"NO")</f>
        <v>NO</v>
      </c>
      <c r="K571">
        <v>20</v>
      </c>
    </row>
    <row r="572" spans="1:11" x14ac:dyDescent="0.35">
      <c r="A572">
        <v>100013300</v>
      </c>
      <c r="B572" s="8">
        <v>75066901</v>
      </c>
      <c r="C572" t="s">
        <v>634</v>
      </c>
      <c r="D572" t="s">
        <v>44</v>
      </c>
      <c r="E572" t="s">
        <v>33</v>
      </c>
      <c r="F572" t="s">
        <v>608</v>
      </c>
      <c r="H572" t="s">
        <v>36</v>
      </c>
      <c r="I572" s="3" t="s">
        <v>247</v>
      </c>
      <c r="J572" t="str">
        <f>+_xlfn.XLOOKUP(B572,INNOVACIÓN!A:A,INNOVACIÓN!B:B,"NO")</f>
        <v>NO</v>
      </c>
      <c r="K572">
        <v>20</v>
      </c>
    </row>
    <row r="573" spans="1:11" x14ac:dyDescent="0.35">
      <c r="A573">
        <v>100016260</v>
      </c>
      <c r="B573" s="8">
        <v>25900000288</v>
      </c>
      <c r="C573" t="s">
        <v>635</v>
      </c>
      <c r="D573" t="s">
        <v>87</v>
      </c>
      <c r="E573" t="s">
        <v>33</v>
      </c>
      <c r="F573" t="s">
        <v>87</v>
      </c>
      <c r="G573" t="s">
        <v>33</v>
      </c>
      <c r="H573" t="s">
        <v>87</v>
      </c>
      <c r="I573" s="3" t="s">
        <v>247</v>
      </c>
      <c r="J573" t="str">
        <f>+_xlfn.XLOOKUP(B573,INNOVACIÓN!A:A,INNOVACIÓN!B:B,"NO")</f>
        <v>NO</v>
      </c>
    </row>
    <row r="574" spans="1:11" x14ac:dyDescent="0.35">
      <c r="A574">
        <v>100017183</v>
      </c>
      <c r="B574" s="8">
        <v>42230748</v>
      </c>
      <c r="C574" t="s">
        <v>586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16</v>
      </c>
      <c r="J574" t="str">
        <f>+_xlfn.XLOOKUP(B574,INNOVACIÓN!A:A,INNOVACIÓN!B:B,"NO")</f>
        <v>NO</v>
      </c>
    </row>
    <row r="575" spans="1:11" x14ac:dyDescent="0.35">
      <c r="A575">
        <v>100016041</v>
      </c>
      <c r="B575" s="8">
        <v>25900213053</v>
      </c>
      <c r="C575" t="s">
        <v>584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247</v>
      </c>
      <c r="J575" t="str">
        <f>+_xlfn.XLOOKUP(B575,INNOVACIÓN!A:A,INNOVACIÓN!B:B,"NO")</f>
        <v>NO</v>
      </c>
    </row>
    <row r="576" spans="1:11" x14ac:dyDescent="0.35">
      <c r="A576">
        <v>100080949</v>
      </c>
      <c r="B576" s="8">
        <v>7503006684265</v>
      </c>
      <c r="C576" t="s">
        <v>636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2" x14ac:dyDescent="0.35">
      <c r="A577">
        <v>100015384</v>
      </c>
      <c r="B577" s="8">
        <v>85000100</v>
      </c>
      <c r="C577" t="s">
        <v>637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2" x14ac:dyDescent="0.35">
      <c r="A578">
        <v>100024717</v>
      </c>
      <c r="B578" s="8">
        <v>7707200947854</v>
      </c>
      <c r="C578" t="s">
        <v>638</v>
      </c>
      <c r="D578" t="s">
        <v>44</v>
      </c>
      <c r="E578" t="s">
        <v>33</v>
      </c>
      <c r="F578" t="s">
        <v>252</v>
      </c>
      <c r="H578" t="s">
        <v>252</v>
      </c>
      <c r="I578" s="3" t="s">
        <v>247</v>
      </c>
      <c r="J578" t="str">
        <f>+_xlfn.XLOOKUP(B578,INNOVACIÓN!A:A,INNOVACIÓN!B:B,"NO")</f>
        <v>NO</v>
      </c>
    </row>
    <row r="579" spans="1:12" x14ac:dyDescent="0.35">
      <c r="A579">
        <v>100024723</v>
      </c>
      <c r="B579" s="8">
        <v>7707200947311</v>
      </c>
      <c r="C579" t="s">
        <v>639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2" x14ac:dyDescent="0.35">
      <c r="A580">
        <v>100024893</v>
      </c>
      <c r="B580" s="8">
        <v>7707200943825</v>
      </c>
      <c r="C580" t="s">
        <v>640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2" x14ac:dyDescent="0.35">
      <c r="A581">
        <v>100027108</v>
      </c>
      <c r="B581" s="8">
        <v>7502274777471</v>
      </c>
      <c r="C581" t="s">
        <v>641</v>
      </c>
      <c r="D581" t="s">
        <v>642</v>
      </c>
      <c r="E581" t="s">
        <v>643</v>
      </c>
      <c r="F581" t="s">
        <v>13</v>
      </c>
      <c r="H581" s="3" t="s">
        <v>15</v>
      </c>
      <c r="I581" s="3" t="s">
        <v>16</v>
      </c>
      <c r="J581" t="str">
        <f>+_xlfn.XLOOKUP(B581,INNOVACIÓN!A:A,INNOVACIÓN!B:B,"NO")</f>
        <v>SI</v>
      </c>
      <c r="K581">
        <v>10</v>
      </c>
      <c r="L581" t="s">
        <v>674</v>
      </c>
    </row>
    <row r="582" spans="1:12" x14ac:dyDescent="0.35">
      <c r="A582">
        <v>100027109</v>
      </c>
      <c r="B582" s="8">
        <v>7502274777501</v>
      </c>
      <c r="C582" t="s">
        <v>644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>
        <v>10</v>
      </c>
      <c r="L582" t="s">
        <v>675</v>
      </c>
    </row>
    <row r="583" spans="1:12" x14ac:dyDescent="0.35">
      <c r="A583">
        <v>100027110</v>
      </c>
      <c r="B583" s="8">
        <v>7502274777488</v>
      </c>
      <c r="C583" t="s">
        <v>645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>
        <v>10</v>
      </c>
      <c r="L583" t="s">
        <v>674</v>
      </c>
    </row>
    <row r="584" spans="1:12" x14ac:dyDescent="0.35">
      <c r="A584">
        <v>100027111</v>
      </c>
      <c r="B584" s="8">
        <v>7502274777464</v>
      </c>
      <c r="C584" t="s">
        <v>646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>
        <v>10</v>
      </c>
      <c r="L584" t="s">
        <v>674</v>
      </c>
    </row>
    <row r="585" spans="1:12" x14ac:dyDescent="0.35">
      <c r="A585" s="8">
        <v>100027324</v>
      </c>
      <c r="B585" s="8">
        <v>75086145</v>
      </c>
      <c r="C585" t="s">
        <v>660</v>
      </c>
      <c r="D585" s="4" t="s">
        <v>44</v>
      </c>
      <c r="E585" s="30" t="s">
        <v>67</v>
      </c>
      <c r="F585" s="4" t="s">
        <v>608</v>
      </c>
      <c r="G585" s="4" t="s">
        <v>71</v>
      </c>
      <c r="H585" s="3" t="s">
        <v>36</v>
      </c>
      <c r="I585" s="3" t="s">
        <v>16</v>
      </c>
      <c r="J585" t="str">
        <f>+_xlfn.XLOOKUP(B585,INNOVACIÓN!A:A,INNOVACIÓN!B:B,"NO")</f>
        <v>SI</v>
      </c>
      <c r="K585">
        <v>14</v>
      </c>
    </row>
    <row r="586" spans="1:12" x14ac:dyDescent="0.35">
      <c r="A586">
        <v>100027323</v>
      </c>
      <c r="B586" s="8">
        <v>75086176</v>
      </c>
      <c r="C586" t="s">
        <v>668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SI</v>
      </c>
      <c r="K586">
        <v>14</v>
      </c>
    </row>
    <row r="587" spans="1:12" x14ac:dyDescent="0.35">
      <c r="A587" s="8">
        <v>100027464</v>
      </c>
      <c r="B587" s="8">
        <v>7503039738904</v>
      </c>
      <c r="C587" s="8" t="s">
        <v>670</v>
      </c>
      <c r="D587" t="s">
        <v>44</v>
      </c>
      <c r="E587" t="s">
        <v>146</v>
      </c>
      <c r="F587" t="s">
        <v>13</v>
      </c>
      <c r="H587" s="3" t="s">
        <v>15</v>
      </c>
      <c r="I587" s="3" t="s">
        <v>16</v>
      </c>
      <c r="J587" t="str">
        <f>+_xlfn.XLOOKUP(B587,INNOVACIÓN!A:A,INNOVACIÓN!B:B,"NO")</f>
        <v>SI</v>
      </c>
      <c r="K587">
        <v>15</v>
      </c>
      <c r="L587" t="s">
        <v>677</v>
      </c>
    </row>
    <row r="588" spans="1:12" x14ac:dyDescent="0.35">
      <c r="A588" s="8">
        <v>100027462</v>
      </c>
      <c r="B588" s="8">
        <v>7503039738911</v>
      </c>
      <c r="C588" s="8" t="s">
        <v>671</v>
      </c>
      <c r="D588" t="s">
        <v>44</v>
      </c>
      <c r="E588" t="s">
        <v>146</v>
      </c>
      <c r="F588" t="s">
        <v>13</v>
      </c>
      <c r="H588" s="3" t="s">
        <v>15</v>
      </c>
      <c r="I588" s="3" t="s">
        <v>16</v>
      </c>
      <c r="J588" t="str">
        <f>+_xlfn.XLOOKUP(B588,INNOVACIÓN!A:A,INNOVACIÓN!B:B,"NO")</f>
        <v>SI</v>
      </c>
      <c r="K588">
        <v>15</v>
      </c>
      <c r="L588" t="s">
        <v>677</v>
      </c>
    </row>
    <row r="589" spans="1:12" x14ac:dyDescent="0.35">
      <c r="A589" s="8">
        <v>100009965</v>
      </c>
      <c r="B589" s="8">
        <v>9872</v>
      </c>
      <c r="C589" t="s">
        <v>700</v>
      </c>
      <c r="D589" t="s">
        <v>44</v>
      </c>
      <c r="E589" t="s">
        <v>67</v>
      </c>
      <c r="H589" s="3" t="s">
        <v>36</v>
      </c>
      <c r="I589" s="3" t="s">
        <v>247</v>
      </c>
      <c r="J589" t="str">
        <f>+_xlfn.XLOOKUP(B589,INNOVACIÓN!A:A,INNOVACIÓN!B:B,"NO")</f>
        <v>NO</v>
      </c>
    </row>
  </sheetData>
  <conditionalFormatting sqref="A2:A584">
    <cfRule type="duplicateValues" dxfId="18" priority="214"/>
  </conditionalFormatting>
  <conditionalFormatting sqref="I2:I123 I125:I144 I146:I589">
    <cfRule type="containsText" dxfId="17" priority="10" operator="containsText" text="Descontinuado (Con Stock)">
      <formula>NOT(ISERROR(SEARCH("Descontinuado (Con Stock)",I2)))</formula>
    </cfRule>
    <cfRule type="containsText" dxfId="16" priority="11" operator="containsText" text="Inactivo">
      <formula>NOT(ISERROR(SEARCH("Inactivo",I2)))</formula>
    </cfRule>
    <cfRule type="containsText" dxfId="15" priority="12" operator="containsText" text="Activo">
      <formula>NOT(ISERROR(SEARCH("Activo",I2)))</formula>
    </cfRule>
  </conditionalFormatting>
  <conditionalFormatting sqref="I124">
    <cfRule type="containsText" dxfId="14" priority="4" operator="containsText" text="Descontinuado (Con Stock)">
      <formula>NOT(ISERROR(SEARCH("Descontinuado (Con Stock)",I124)))</formula>
    </cfRule>
    <cfRule type="containsText" dxfId="13" priority="5" operator="containsText" text="Inactivo">
      <formula>NOT(ISERROR(SEARCH("Inactivo",I124)))</formula>
    </cfRule>
    <cfRule type="containsText" dxfId="12" priority="6" operator="containsText" text="Activo">
      <formula>NOT(ISERROR(SEARCH("Activo",I124)))</formula>
    </cfRule>
  </conditionalFormatting>
  <conditionalFormatting sqref="I145">
    <cfRule type="containsText" dxfId="11" priority="1" operator="containsText" text="Descontinuado (Con Stock)">
      <formula>NOT(ISERROR(SEARCH("Descontinuado (Con Stock)",I145)))</formula>
    </cfRule>
    <cfRule type="containsText" dxfId="10" priority="2" operator="containsText" text="Inactivo">
      <formula>NOT(ISERROR(SEARCH("Inactivo",I145)))</formula>
    </cfRule>
    <cfRule type="containsText" dxfId="9" priority="3" operator="containsText" text="Activo">
      <formula>NOT(ISERROR(SEARCH("Activo",I145)))</formula>
    </cfRule>
  </conditionalFormatting>
  <dataValidations count="1">
    <dataValidation type="list" allowBlank="1" showInputMessage="1" showErrorMessage="1" sqref="I589 I2:I586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FC955-CEFF-4458-9EDE-4ECBCFC108A6}">
  <dimension ref="A1:A2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s="49">
        <v>75001476</v>
      </c>
    </row>
    <row r="2" spans="1:1" x14ac:dyDescent="0.35">
      <c r="A2" s="49">
        <v>75022266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6FBB-ED11-41C0-A6F6-FFE4FABC37FF}">
  <sheetPr filterMode="1"/>
  <dimension ref="A1:E370"/>
  <sheetViews>
    <sheetView zoomScale="80" zoomScaleNormal="80" workbookViewId="0">
      <selection activeCell="D306" sqref="D306:D360"/>
    </sheetView>
  </sheetViews>
  <sheetFormatPr baseColWidth="10" defaultRowHeight="14.5" x14ac:dyDescent="0.35"/>
  <cols>
    <col min="1" max="2" width="15" bestFit="1" customWidth="1"/>
    <col min="3" max="3" width="49.26953125" bestFit="1" customWidth="1"/>
    <col min="4" max="4" width="12.54296875" bestFit="1" customWidth="1"/>
  </cols>
  <sheetData>
    <row r="1" spans="1:5" ht="48" x14ac:dyDescent="0.35">
      <c r="A1" s="44" t="s">
        <v>572</v>
      </c>
      <c r="B1" s="44" t="s">
        <v>1</v>
      </c>
      <c r="C1" s="44" t="s">
        <v>2</v>
      </c>
      <c r="D1" s="44" t="s">
        <v>686</v>
      </c>
    </row>
    <row r="2" spans="1:5" ht="16" hidden="1" x14ac:dyDescent="0.35">
      <c r="A2" s="45">
        <v>100021813</v>
      </c>
      <c r="B2" s="46">
        <v>7503023959506</v>
      </c>
      <c r="C2" s="45" t="s">
        <v>219</v>
      </c>
      <c r="D2" s="47" t="s">
        <v>687</v>
      </c>
      <c r="E2" t="s">
        <v>588</v>
      </c>
    </row>
    <row r="3" spans="1:5" ht="16" hidden="1" x14ac:dyDescent="0.35">
      <c r="A3" s="45">
        <v>100021813</v>
      </c>
      <c r="B3" s="46">
        <v>7503023959506</v>
      </c>
      <c r="C3" s="45" t="s">
        <v>219</v>
      </c>
      <c r="D3" s="47" t="s">
        <v>688</v>
      </c>
      <c r="E3" t="s">
        <v>588</v>
      </c>
    </row>
    <row r="4" spans="1:5" ht="16" hidden="1" x14ac:dyDescent="0.35">
      <c r="A4" s="45">
        <v>100021813</v>
      </c>
      <c r="B4" s="46">
        <v>7503023959506</v>
      </c>
      <c r="C4" s="45" t="s">
        <v>219</v>
      </c>
      <c r="D4" s="47" t="s">
        <v>656</v>
      </c>
      <c r="E4" t="s">
        <v>588</v>
      </c>
    </row>
    <row r="5" spans="1:5" ht="16" hidden="1" x14ac:dyDescent="0.35">
      <c r="A5" s="45">
        <v>100021813</v>
      </c>
      <c r="B5" s="46">
        <v>7503023959506</v>
      </c>
      <c r="C5" s="45" t="s">
        <v>219</v>
      </c>
      <c r="D5" s="47" t="s">
        <v>689</v>
      </c>
      <c r="E5" t="s">
        <v>588</v>
      </c>
    </row>
    <row r="6" spans="1:5" ht="16" hidden="1" x14ac:dyDescent="0.35">
      <c r="A6" s="45">
        <v>100021813</v>
      </c>
      <c r="B6" s="46">
        <v>7503023959506</v>
      </c>
      <c r="C6" s="45" t="s">
        <v>219</v>
      </c>
      <c r="D6" s="47" t="s">
        <v>690</v>
      </c>
      <c r="E6" t="s">
        <v>588</v>
      </c>
    </row>
    <row r="7" spans="1:5" ht="16" hidden="1" x14ac:dyDescent="0.35">
      <c r="A7" s="45">
        <v>100021813</v>
      </c>
      <c r="B7" s="46">
        <v>7503023959506</v>
      </c>
      <c r="C7" s="45" t="s">
        <v>219</v>
      </c>
      <c r="D7" s="47" t="s">
        <v>691</v>
      </c>
      <c r="E7" t="s">
        <v>588</v>
      </c>
    </row>
    <row r="8" spans="1:5" ht="16" hidden="1" x14ac:dyDescent="0.35">
      <c r="A8" s="45">
        <v>100021813</v>
      </c>
      <c r="B8" s="46">
        <v>7503023959506</v>
      </c>
      <c r="C8" s="45" t="s">
        <v>219</v>
      </c>
      <c r="D8" s="47" t="s">
        <v>692</v>
      </c>
      <c r="E8" t="s">
        <v>588</v>
      </c>
    </row>
    <row r="9" spans="1:5" ht="16" hidden="1" x14ac:dyDescent="0.35">
      <c r="A9" s="45">
        <v>100021813</v>
      </c>
      <c r="B9" s="46">
        <v>7503023959506</v>
      </c>
      <c r="C9" s="45" t="s">
        <v>219</v>
      </c>
      <c r="D9" s="47" t="s">
        <v>693</v>
      </c>
      <c r="E9" t="s">
        <v>588</v>
      </c>
    </row>
    <row r="10" spans="1:5" ht="16" hidden="1" x14ac:dyDescent="0.35">
      <c r="A10" s="45">
        <v>100021813</v>
      </c>
      <c r="B10" s="46">
        <v>7503023959506</v>
      </c>
      <c r="C10" s="45" t="s">
        <v>219</v>
      </c>
      <c r="D10" s="47" t="s">
        <v>694</v>
      </c>
      <c r="E10" t="s">
        <v>588</v>
      </c>
    </row>
    <row r="11" spans="1:5" ht="16" hidden="1" x14ac:dyDescent="0.35">
      <c r="A11" s="45">
        <v>100021813</v>
      </c>
      <c r="B11" s="46">
        <v>7503023959506</v>
      </c>
      <c r="C11" s="45" t="s">
        <v>219</v>
      </c>
      <c r="D11" s="47" t="s">
        <v>695</v>
      </c>
      <c r="E11" t="s">
        <v>588</v>
      </c>
    </row>
    <row r="12" spans="1:5" ht="16" hidden="1" x14ac:dyDescent="0.35">
      <c r="A12" s="45">
        <v>100021813</v>
      </c>
      <c r="B12" s="46">
        <v>7503023959506</v>
      </c>
      <c r="C12" s="45" t="s">
        <v>219</v>
      </c>
      <c r="D12" s="47" t="s">
        <v>696</v>
      </c>
      <c r="E12" t="s">
        <v>588</v>
      </c>
    </row>
    <row r="13" spans="1:5" ht="16" hidden="1" x14ac:dyDescent="0.35">
      <c r="A13" s="45">
        <v>100021813</v>
      </c>
      <c r="B13" s="46">
        <v>7503023959506</v>
      </c>
      <c r="C13" s="45" t="s">
        <v>219</v>
      </c>
      <c r="D13" s="47" t="s">
        <v>697</v>
      </c>
      <c r="E13" t="s">
        <v>588</v>
      </c>
    </row>
    <row r="14" spans="1:5" ht="16" hidden="1" x14ac:dyDescent="0.35">
      <c r="A14" s="45">
        <v>100021813</v>
      </c>
      <c r="B14" s="46">
        <v>7503023959506</v>
      </c>
      <c r="C14" s="45" t="s">
        <v>219</v>
      </c>
      <c r="D14" s="47" t="s">
        <v>698</v>
      </c>
      <c r="E14" t="s">
        <v>588</v>
      </c>
    </row>
    <row r="15" spans="1:5" ht="16" hidden="1" x14ac:dyDescent="0.35">
      <c r="A15" s="45">
        <v>100021813</v>
      </c>
      <c r="B15" s="46">
        <v>7503023959506</v>
      </c>
      <c r="C15" s="45" t="s">
        <v>219</v>
      </c>
      <c r="D15" s="47" t="s">
        <v>657</v>
      </c>
      <c r="E15" t="s">
        <v>588</v>
      </c>
    </row>
    <row r="16" spans="1:5" ht="16" hidden="1" x14ac:dyDescent="0.35">
      <c r="A16" s="45">
        <v>100021813</v>
      </c>
      <c r="B16" s="46">
        <v>7503023959506</v>
      </c>
      <c r="C16" s="45" t="s">
        <v>219</v>
      </c>
      <c r="D16" s="47" t="s">
        <v>699</v>
      </c>
      <c r="E16" t="s">
        <v>588</v>
      </c>
    </row>
    <row r="17" spans="1:5" ht="16" hidden="1" x14ac:dyDescent="0.35">
      <c r="A17" s="45">
        <v>100021814</v>
      </c>
      <c r="B17" s="46">
        <v>7503023959490</v>
      </c>
      <c r="C17" s="45" t="s">
        <v>217</v>
      </c>
      <c r="D17" s="47" t="s">
        <v>687</v>
      </c>
      <c r="E17" t="s">
        <v>588</v>
      </c>
    </row>
    <row r="18" spans="1:5" ht="16" hidden="1" x14ac:dyDescent="0.35">
      <c r="A18" s="45">
        <v>100021814</v>
      </c>
      <c r="B18" s="46">
        <v>7503023959490</v>
      </c>
      <c r="C18" s="45" t="s">
        <v>217</v>
      </c>
      <c r="D18" s="47" t="s">
        <v>688</v>
      </c>
      <c r="E18" t="s">
        <v>588</v>
      </c>
    </row>
    <row r="19" spans="1:5" ht="16" hidden="1" x14ac:dyDescent="0.35">
      <c r="A19" s="45">
        <v>100021814</v>
      </c>
      <c r="B19" s="46">
        <v>7503023959490</v>
      </c>
      <c r="C19" s="45" t="s">
        <v>217</v>
      </c>
      <c r="D19" s="47" t="s">
        <v>656</v>
      </c>
      <c r="E19" t="s">
        <v>588</v>
      </c>
    </row>
    <row r="20" spans="1:5" ht="16" hidden="1" x14ac:dyDescent="0.35">
      <c r="A20" s="45">
        <v>100021814</v>
      </c>
      <c r="B20" s="46">
        <v>7503023959490</v>
      </c>
      <c r="C20" s="45" t="s">
        <v>217</v>
      </c>
      <c r="D20" s="47" t="s">
        <v>689</v>
      </c>
      <c r="E20" t="s">
        <v>588</v>
      </c>
    </row>
    <row r="21" spans="1:5" ht="16" hidden="1" x14ac:dyDescent="0.35">
      <c r="A21" s="45">
        <v>100021814</v>
      </c>
      <c r="B21" s="46">
        <v>7503023959490</v>
      </c>
      <c r="C21" s="45" t="s">
        <v>217</v>
      </c>
      <c r="D21" s="47" t="s">
        <v>690</v>
      </c>
      <c r="E21" t="s">
        <v>588</v>
      </c>
    </row>
    <row r="22" spans="1:5" ht="16" hidden="1" x14ac:dyDescent="0.35">
      <c r="A22" s="45">
        <v>100021814</v>
      </c>
      <c r="B22" s="46">
        <v>7503023959490</v>
      </c>
      <c r="C22" s="45" t="s">
        <v>217</v>
      </c>
      <c r="D22" s="47" t="s">
        <v>691</v>
      </c>
      <c r="E22" t="s">
        <v>588</v>
      </c>
    </row>
    <row r="23" spans="1:5" ht="16" hidden="1" x14ac:dyDescent="0.35">
      <c r="A23" s="45">
        <v>100021814</v>
      </c>
      <c r="B23" s="46">
        <v>7503023959490</v>
      </c>
      <c r="C23" s="45" t="s">
        <v>217</v>
      </c>
      <c r="D23" s="47" t="s">
        <v>692</v>
      </c>
      <c r="E23" t="s">
        <v>588</v>
      </c>
    </row>
    <row r="24" spans="1:5" ht="16" hidden="1" x14ac:dyDescent="0.35">
      <c r="A24" s="45">
        <v>100021814</v>
      </c>
      <c r="B24" s="46">
        <v>7503023959490</v>
      </c>
      <c r="C24" s="45" t="s">
        <v>217</v>
      </c>
      <c r="D24" s="47" t="s">
        <v>693</v>
      </c>
      <c r="E24" t="s">
        <v>588</v>
      </c>
    </row>
    <row r="25" spans="1:5" ht="16" hidden="1" x14ac:dyDescent="0.35">
      <c r="A25" s="45">
        <v>100021814</v>
      </c>
      <c r="B25" s="46">
        <v>7503023959490</v>
      </c>
      <c r="C25" s="45" t="s">
        <v>217</v>
      </c>
      <c r="D25" s="47" t="s">
        <v>694</v>
      </c>
      <c r="E25" t="s">
        <v>588</v>
      </c>
    </row>
    <row r="26" spans="1:5" ht="16" hidden="1" x14ac:dyDescent="0.35">
      <c r="A26" s="45">
        <v>100021814</v>
      </c>
      <c r="B26" s="46">
        <v>7503023959490</v>
      </c>
      <c r="C26" s="45" t="s">
        <v>217</v>
      </c>
      <c r="D26" s="47" t="s">
        <v>695</v>
      </c>
      <c r="E26" t="s">
        <v>588</v>
      </c>
    </row>
    <row r="27" spans="1:5" ht="16" hidden="1" x14ac:dyDescent="0.35">
      <c r="A27" s="45">
        <v>100021814</v>
      </c>
      <c r="B27" s="46">
        <v>7503023959490</v>
      </c>
      <c r="C27" s="45" t="s">
        <v>217</v>
      </c>
      <c r="D27" s="47" t="s">
        <v>696</v>
      </c>
      <c r="E27" t="s">
        <v>588</v>
      </c>
    </row>
    <row r="28" spans="1:5" ht="16" hidden="1" x14ac:dyDescent="0.35">
      <c r="A28" s="45">
        <v>100021814</v>
      </c>
      <c r="B28" s="46">
        <v>7503023959490</v>
      </c>
      <c r="C28" s="45" t="s">
        <v>217</v>
      </c>
      <c r="D28" s="47" t="s">
        <v>697</v>
      </c>
      <c r="E28" t="s">
        <v>588</v>
      </c>
    </row>
    <row r="29" spans="1:5" ht="16" hidden="1" x14ac:dyDescent="0.35">
      <c r="A29" s="45">
        <v>100021814</v>
      </c>
      <c r="B29" s="46">
        <v>7503023959490</v>
      </c>
      <c r="C29" s="45" t="s">
        <v>217</v>
      </c>
      <c r="D29" s="47" t="s">
        <v>698</v>
      </c>
      <c r="E29" t="s">
        <v>588</v>
      </c>
    </row>
    <row r="30" spans="1:5" ht="16" hidden="1" x14ac:dyDescent="0.35">
      <c r="A30" s="45">
        <v>100021814</v>
      </c>
      <c r="B30" s="46">
        <v>7503023959490</v>
      </c>
      <c r="C30" s="45" t="s">
        <v>217</v>
      </c>
      <c r="D30" s="47" t="s">
        <v>657</v>
      </c>
      <c r="E30" t="s">
        <v>588</v>
      </c>
    </row>
    <row r="31" spans="1:5" ht="16" hidden="1" x14ac:dyDescent="0.35">
      <c r="A31" s="45">
        <v>100021814</v>
      </c>
      <c r="B31" s="46">
        <v>7503023959490</v>
      </c>
      <c r="C31" s="45" t="s">
        <v>217</v>
      </c>
      <c r="D31" s="47" t="s">
        <v>699</v>
      </c>
      <c r="E31" t="s">
        <v>588</v>
      </c>
    </row>
    <row r="32" spans="1:5" ht="16" hidden="1" x14ac:dyDescent="0.35">
      <c r="A32" s="45">
        <v>100025152</v>
      </c>
      <c r="B32" s="46">
        <v>7503023959629</v>
      </c>
      <c r="C32" s="45" t="s">
        <v>221</v>
      </c>
      <c r="D32" s="47" t="s">
        <v>687</v>
      </c>
      <c r="E32" t="s">
        <v>588</v>
      </c>
    </row>
    <row r="33" spans="1:5" ht="16" hidden="1" x14ac:dyDescent="0.35">
      <c r="A33" s="45">
        <v>100025152</v>
      </c>
      <c r="B33" s="46">
        <v>7503023959629</v>
      </c>
      <c r="C33" s="45" t="s">
        <v>221</v>
      </c>
      <c r="D33" s="47" t="s">
        <v>688</v>
      </c>
      <c r="E33" t="s">
        <v>588</v>
      </c>
    </row>
    <row r="34" spans="1:5" ht="16" hidden="1" x14ac:dyDescent="0.35">
      <c r="A34" s="45">
        <v>100025152</v>
      </c>
      <c r="B34" s="46">
        <v>7503023959629</v>
      </c>
      <c r="C34" s="45" t="s">
        <v>221</v>
      </c>
      <c r="D34" s="47" t="s">
        <v>656</v>
      </c>
      <c r="E34" t="s">
        <v>588</v>
      </c>
    </row>
    <row r="35" spans="1:5" ht="16" hidden="1" x14ac:dyDescent="0.35">
      <c r="A35" s="45">
        <v>100025152</v>
      </c>
      <c r="B35" s="46">
        <v>7503023959629</v>
      </c>
      <c r="C35" s="45" t="s">
        <v>221</v>
      </c>
      <c r="D35" s="47" t="s">
        <v>689</v>
      </c>
      <c r="E35" t="s">
        <v>588</v>
      </c>
    </row>
    <row r="36" spans="1:5" ht="16" hidden="1" x14ac:dyDescent="0.35">
      <c r="A36" s="45">
        <v>100025152</v>
      </c>
      <c r="B36" s="46">
        <v>7503023959629</v>
      </c>
      <c r="C36" s="45" t="s">
        <v>221</v>
      </c>
      <c r="D36" s="47" t="s">
        <v>690</v>
      </c>
      <c r="E36" t="s">
        <v>588</v>
      </c>
    </row>
    <row r="37" spans="1:5" ht="16" hidden="1" x14ac:dyDescent="0.35">
      <c r="A37" s="45">
        <v>100025152</v>
      </c>
      <c r="B37" s="46">
        <v>7503023959629</v>
      </c>
      <c r="C37" s="45" t="s">
        <v>221</v>
      </c>
      <c r="D37" s="47" t="s">
        <v>691</v>
      </c>
      <c r="E37" t="s">
        <v>588</v>
      </c>
    </row>
    <row r="38" spans="1:5" ht="16" hidden="1" x14ac:dyDescent="0.35">
      <c r="A38" s="45">
        <v>100025152</v>
      </c>
      <c r="B38" s="46">
        <v>7503023959629</v>
      </c>
      <c r="C38" s="45" t="s">
        <v>221</v>
      </c>
      <c r="D38" s="47" t="s">
        <v>692</v>
      </c>
      <c r="E38" t="s">
        <v>588</v>
      </c>
    </row>
    <row r="39" spans="1:5" ht="16" hidden="1" x14ac:dyDescent="0.35">
      <c r="A39" s="45">
        <v>100025152</v>
      </c>
      <c r="B39" s="46">
        <v>7503023959629</v>
      </c>
      <c r="C39" s="45" t="s">
        <v>221</v>
      </c>
      <c r="D39" s="47" t="s">
        <v>693</v>
      </c>
      <c r="E39" t="s">
        <v>588</v>
      </c>
    </row>
    <row r="40" spans="1:5" ht="16" hidden="1" x14ac:dyDescent="0.35">
      <c r="A40" s="45">
        <v>100025152</v>
      </c>
      <c r="B40" s="46">
        <v>7503023959629</v>
      </c>
      <c r="C40" s="45" t="s">
        <v>221</v>
      </c>
      <c r="D40" s="47" t="s">
        <v>694</v>
      </c>
      <c r="E40" t="s">
        <v>588</v>
      </c>
    </row>
    <row r="41" spans="1:5" ht="16" hidden="1" x14ac:dyDescent="0.35">
      <c r="A41" s="45">
        <v>100025152</v>
      </c>
      <c r="B41" s="46">
        <v>7503023959629</v>
      </c>
      <c r="C41" s="45" t="s">
        <v>221</v>
      </c>
      <c r="D41" s="47" t="s">
        <v>695</v>
      </c>
      <c r="E41" t="s">
        <v>588</v>
      </c>
    </row>
    <row r="42" spans="1:5" ht="16" hidden="1" x14ac:dyDescent="0.35">
      <c r="A42" s="45">
        <v>100025152</v>
      </c>
      <c r="B42" s="46">
        <v>7503023959629</v>
      </c>
      <c r="C42" s="45" t="s">
        <v>221</v>
      </c>
      <c r="D42" s="47" t="s">
        <v>696</v>
      </c>
      <c r="E42" t="s">
        <v>588</v>
      </c>
    </row>
    <row r="43" spans="1:5" ht="16" hidden="1" x14ac:dyDescent="0.35">
      <c r="A43" s="45">
        <v>100025152</v>
      </c>
      <c r="B43" s="46">
        <v>7503023959629</v>
      </c>
      <c r="C43" s="45" t="s">
        <v>221</v>
      </c>
      <c r="D43" s="47" t="s">
        <v>697</v>
      </c>
      <c r="E43" t="s">
        <v>588</v>
      </c>
    </row>
    <row r="44" spans="1:5" ht="16" hidden="1" x14ac:dyDescent="0.35">
      <c r="A44" s="45">
        <v>100025152</v>
      </c>
      <c r="B44" s="46">
        <v>7503023959629</v>
      </c>
      <c r="C44" s="45" t="s">
        <v>221</v>
      </c>
      <c r="D44" s="47" t="s">
        <v>698</v>
      </c>
      <c r="E44" t="s">
        <v>588</v>
      </c>
    </row>
    <row r="45" spans="1:5" ht="16" hidden="1" x14ac:dyDescent="0.35">
      <c r="A45" s="45">
        <v>100025152</v>
      </c>
      <c r="B45" s="46">
        <v>7503023959629</v>
      </c>
      <c r="C45" s="45" t="s">
        <v>221</v>
      </c>
      <c r="D45" s="47" t="s">
        <v>657</v>
      </c>
      <c r="E45" t="s">
        <v>588</v>
      </c>
    </row>
    <row r="46" spans="1:5" ht="16" hidden="1" x14ac:dyDescent="0.35">
      <c r="A46" s="45">
        <v>100025152</v>
      </c>
      <c r="B46" s="46">
        <v>7503023959629</v>
      </c>
      <c r="C46" s="45" t="s">
        <v>221</v>
      </c>
      <c r="D46" s="47" t="s">
        <v>699</v>
      </c>
      <c r="E46" t="s">
        <v>588</v>
      </c>
    </row>
    <row r="47" spans="1:5" ht="16" hidden="1" x14ac:dyDescent="0.35">
      <c r="A47" s="45">
        <v>100025162</v>
      </c>
      <c r="B47" s="46">
        <v>7503023959452</v>
      </c>
      <c r="C47" s="45" t="s">
        <v>38</v>
      </c>
      <c r="D47" s="47" t="s">
        <v>687</v>
      </c>
      <c r="E47" t="s">
        <v>588</v>
      </c>
    </row>
    <row r="48" spans="1:5" ht="16" hidden="1" x14ac:dyDescent="0.35">
      <c r="A48" s="45">
        <v>100025162</v>
      </c>
      <c r="B48" s="46">
        <v>7503023959452</v>
      </c>
      <c r="C48" s="45" t="s">
        <v>38</v>
      </c>
      <c r="D48" s="47" t="s">
        <v>688</v>
      </c>
      <c r="E48" t="s">
        <v>588</v>
      </c>
    </row>
    <row r="49" spans="1:5" ht="16" hidden="1" x14ac:dyDescent="0.35">
      <c r="A49" s="45">
        <v>100025162</v>
      </c>
      <c r="B49" s="46">
        <v>7503023959452</v>
      </c>
      <c r="C49" s="45" t="s">
        <v>38</v>
      </c>
      <c r="D49" s="47" t="s">
        <v>656</v>
      </c>
      <c r="E49" t="s">
        <v>588</v>
      </c>
    </row>
    <row r="50" spans="1:5" ht="16" hidden="1" x14ac:dyDescent="0.35">
      <c r="A50" s="45">
        <v>100025162</v>
      </c>
      <c r="B50" s="46">
        <v>7503023959452</v>
      </c>
      <c r="C50" s="45" t="s">
        <v>38</v>
      </c>
      <c r="D50" s="47" t="s">
        <v>689</v>
      </c>
      <c r="E50" t="s">
        <v>588</v>
      </c>
    </row>
    <row r="51" spans="1:5" ht="16" hidden="1" x14ac:dyDescent="0.35">
      <c r="A51" s="45">
        <v>100025162</v>
      </c>
      <c r="B51" s="46">
        <v>7503023959452</v>
      </c>
      <c r="C51" s="45" t="s">
        <v>38</v>
      </c>
      <c r="D51" s="47" t="s">
        <v>690</v>
      </c>
      <c r="E51" t="s">
        <v>588</v>
      </c>
    </row>
    <row r="52" spans="1:5" ht="16" hidden="1" x14ac:dyDescent="0.35">
      <c r="A52" s="45">
        <v>100025162</v>
      </c>
      <c r="B52" s="46">
        <v>7503023959452</v>
      </c>
      <c r="C52" s="45" t="s">
        <v>38</v>
      </c>
      <c r="D52" s="47" t="s">
        <v>691</v>
      </c>
      <c r="E52" t="s">
        <v>588</v>
      </c>
    </row>
    <row r="53" spans="1:5" ht="16" hidden="1" x14ac:dyDescent="0.35">
      <c r="A53" s="45">
        <v>100025162</v>
      </c>
      <c r="B53" s="46">
        <v>7503023959452</v>
      </c>
      <c r="C53" s="45" t="s">
        <v>38</v>
      </c>
      <c r="D53" s="47" t="s">
        <v>692</v>
      </c>
      <c r="E53" t="s">
        <v>588</v>
      </c>
    </row>
    <row r="54" spans="1:5" ht="16" hidden="1" x14ac:dyDescent="0.35">
      <c r="A54" s="45">
        <v>100025162</v>
      </c>
      <c r="B54" s="46">
        <v>7503023959452</v>
      </c>
      <c r="C54" s="45" t="s">
        <v>38</v>
      </c>
      <c r="D54" s="47" t="s">
        <v>693</v>
      </c>
      <c r="E54" t="s">
        <v>588</v>
      </c>
    </row>
    <row r="55" spans="1:5" ht="16" hidden="1" x14ac:dyDescent="0.35">
      <c r="A55" s="45">
        <v>100025162</v>
      </c>
      <c r="B55" s="46">
        <v>7503023959452</v>
      </c>
      <c r="C55" s="45" t="s">
        <v>38</v>
      </c>
      <c r="D55" s="47" t="s">
        <v>694</v>
      </c>
      <c r="E55" t="s">
        <v>588</v>
      </c>
    </row>
    <row r="56" spans="1:5" ht="16" hidden="1" x14ac:dyDescent="0.35">
      <c r="A56" s="45">
        <v>100025162</v>
      </c>
      <c r="B56" s="46">
        <v>7503023959452</v>
      </c>
      <c r="C56" s="45" t="s">
        <v>38</v>
      </c>
      <c r="D56" s="47" t="s">
        <v>695</v>
      </c>
      <c r="E56" t="s">
        <v>588</v>
      </c>
    </row>
    <row r="57" spans="1:5" ht="16" hidden="1" x14ac:dyDescent="0.35">
      <c r="A57" s="45">
        <v>100025162</v>
      </c>
      <c r="B57" s="46">
        <v>7503023959452</v>
      </c>
      <c r="C57" s="45" t="s">
        <v>38</v>
      </c>
      <c r="D57" s="47" t="s">
        <v>696</v>
      </c>
      <c r="E57" t="s">
        <v>588</v>
      </c>
    </row>
    <row r="58" spans="1:5" ht="16" hidden="1" x14ac:dyDescent="0.35">
      <c r="A58" s="45">
        <v>100025162</v>
      </c>
      <c r="B58" s="46">
        <v>7503023959452</v>
      </c>
      <c r="C58" s="45" t="s">
        <v>38</v>
      </c>
      <c r="D58" s="47" t="s">
        <v>697</v>
      </c>
      <c r="E58" t="s">
        <v>588</v>
      </c>
    </row>
    <row r="59" spans="1:5" ht="16" hidden="1" x14ac:dyDescent="0.35">
      <c r="A59" s="45">
        <v>100025162</v>
      </c>
      <c r="B59" s="46">
        <v>7503023959452</v>
      </c>
      <c r="C59" s="45" t="s">
        <v>38</v>
      </c>
      <c r="D59" s="47" t="s">
        <v>698</v>
      </c>
      <c r="E59" t="s">
        <v>588</v>
      </c>
    </row>
    <row r="60" spans="1:5" ht="16" hidden="1" x14ac:dyDescent="0.35">
      <c r="A60" s="45">
        <v>100025162</v>
      </c>
      <c r="B60" s="46">
        <v>7503023959452</v>
      </c>
      <c r="C60" s="45" t="s">
        <v>38</v>
      </c>
      <c r="D60" s="47" t="s">
        <v>657</v>
      </c>
      <c r="E60" t="s">
        <v>588</v>
      </c>
    </row>
    <row r="61" spans="1:5" ht="16" hidden="1" x14ac:dyDescent="0.35">
      <c r="A61" s="45">
        <v>100025162</v>
      </c>
      <c r="B61" s="46">
        <v>7503023959452</v>
      </c>
      <c r="C61" s="45" t="s">
        <v>38</v>
      </c>
      <c r="D61" s="47" t="s">
        <v>699</v>
      </c>
      <c r="E61" t="s">
        <v>588</v>
      </c>
    </row>
    <row r="62" spans="1:5" ht="16" hidden="1" x14ac:dyDescent="0.35">
      <c r="A62" s="47">
        <v>100026306</v>
      </c>
      <c r="B62" s="48">
        <v>7503039738584</v>
      </c>
      <c r="C62" s="47" t="s">
        <v>147</v>
      </c>
      <c r="D62" s="47" t="s">
        <v>687</v>
      </c>
      <c r="E62" t="s">
        <v>588</v>
      </c>
    </row>
    <row r="63" spans="1:5" ht="16" hidden="1" x14ac:dyDescent="0.35">
      <c r="A63" s="47">
        <v>100026306</v>
      </c>
      <c r="B63" s="48">
        <v>7503039738584</v>
      </c>
      <c r="C63" s="47" t="s">
        <v>147</v>
      </c>
      <c r="D63" s="47" t="s">
        <v>688</v>
      </c>
      <c r="E63" t="s">
        <v>588</v>
      </c>
    </row>
    <row r="64" spans="1:5" ht="16" hidden="1" x14ac:dyDescent="0.35">
      <c r="A64" s="47">
        <v>100026306</v>
      </c>
      <c r="B64" s="48">
        <v>7503039738584</v>
      </c>
      <c r="C64" s="47" t="s">
        <v>147</v>
      </c>
      <c r="D64" s="47" t="s">
        <v>656</v>
      </c>
      <c r="E64" t="s">
        <v>588</v>
      </c>
    </row>
    <row r="65" spans="1:5" ht="16" hidden="1" x14ac:dyDescent="0.35">
      <c r="A65" s="47">
        <v>100026306</v>
      </c>
      <c r="B65" s="48">
        <v>7503039738584</v>
      </c>
      <c r="C65" s="47" t="s">
        <v>147</v>
      </c>
      <c r="D65" s="47" t="s">
        <v>689</v>
      </c>
      <c r="E65" t="s">
        <v>588</v>
      </c>
    </row>
    <row r="66" spans="1:5" ht="16" hidden="1" x14ac:dyDescent="0.35">
      <c r="A66" s="47">
        <v>100026306</v>
      </c>
      <c r="B66" s="48">
        <v>7503039738584</v>
      </c>
      <c r="C66" s="47" t="s">
        <v>147</v>
      </c>
      <c r="D66" s="47" t="s">
        <v>690</v>
      </c>
      <c r="E66" t="s">
        <v>588</v>
      </c>
    </row>
    <row r="67" spans="1:5" ht="16" hidden="1" x14ac:dyDescent="0.35">
      <c r="A67" s="47">
        <v>100026306</v>
      </c>
      <c r="B67" s="48">
        <v>7503039738584</v>
      </c>
      <c r="C67" s="47" t="s">
        <v>147</v>
      </c>
      <c r="D67" s="47" t="s">
        <v>691</v>
      </c>
      <c r="E67" t="s">
        <v>588</v>
      </c>
    </row>
    <row r="68" spans="1:5" ht="16" hidden="1" x14ac:dyDescent="0.35">
      <c r="A68" s="47">
        <v>100026306</v>
      </c>
      <c r="B68" s="48">
        <v>7503039738584</v>
      </c>
      <c r="C68" s="47" t="s">
        <v>147</v>
      </c>
      <c r="D68" s="47" t="s">
        <v>692</v>
      </c>
      <c r="E68" t="s">
        <v>588</v>
      </c>
    </row>
    <row r="69" spans="1:5" ht="16" hidden="1" x14ac:dyDescent="0.35">
      <c r="A69" s="47">
        <v>100026306</v>
      </c>
      <c r="B69" s="48">
        <v>7503039738584</v>
      </c>
      <c r="C69" s="47" t="s">
        <v>147</v>
      </c>
      <c r="D69" s="47" t="s">
        <v>693</v>
      </c>
      <c r="E69" t="s">
        <v>588</v>
      </c>
    </row>
    <row r="70" spans="1:5" ht="16" hidden="1" x14ac:dyDescent="0.35">
      <c r="A70" s="47">
        <v>100026306</v>
      </c>
      <c r="B70" s="48">
        <v>7503039738584</v>
      </c>
      <c r="C70" s="47" t="s">
        <v>147</v>
      </c>
      <c r="D70" s="47" t="s">
        <v>694</v>
      </c>
      <c r="E70" t="s">
        <v>588</v>
      </c>
    </row>
    <row r="71" spans="1:5" ht="16" hidden="1" x14ac:dyDescent="0.35">
      <c r="A71" s="47">
        <v>100026306</v>
      </c>
      <c r="B71" s="48">
        <v>7503039738584</v>
      </c>
      <c r="C71" s="47" t="s">
        <v>147</v>
      </c>
      <c r="D71" s="47" t="s">
        <v>695</v>
      </c>
      <c r="E71" t="s">
        <v>588</v>
      </c>
    </row>
    <row r="72" spans="1:5" ht="16" hidden="1" x14ac:dyDescent="0.35">
      <c r="A72" s="47">
        <v>100026306</v>
      </c>
      <c r="B72" s="48">
        <v>7503039738584</v>
      </c>
      <c r="C72" s="47" t="s">
        <v>147</v>
      </c>
      <c r="D72" s="47" t="s">
        <v>696</v>
      </c>
      <c r="E72" t="s">
        <v>588</v>
      </c>
    </row>
    <row r="73" spans="1:5" ht="16" hidden="1" x14ac:dyDescent="0.35">
      <c r="A73" s="47">
        <v>100026306</v>
      </c>
      <c r="B73" s="48">
        <v>7503039738584</v>
      </c>
      <c r="C73" s="47" t="s">
        <v>147</v>
      </c>
      <c r="D73" s="47" t="s">
        <v>697</v>
      </c>
      <c r="E73" t="s">
        <v>588</v>
      </c>
    </row>
    <row r="74" spans="1:5" ht="16" hidden="1" x14ac:dyDescent="0.35">
      <c r="A74" s="47">
        <v>100026306</v>
      </c>
      <c r="B74" s="48">
        <v>7503039738584</v>
      </c>
      <c r="C74" s="47" t="s">
        <v>147</v>
      </c>
      <c r="D74" s="47" t="s">
        <v>698</v>
      </c>
      <c r="E74" t="s">
        <v>588</v>
      </c>
    </row>
    <row r="75" spans="1:5" ht="16" hidden="1" x14ac:dyDescent="0.35">
      <c r="A75" s="47">
        <v>100026306</v>
      </c>
      <c r="B75" s="48">
        <v>7503039738584</v>
      </c>
      <c r="C75" s="47" t="s">
        <v>147</v>
      </c>
      <c r="D75" s="47" t="s">
        <v>657</v>
      </c>
      <c r="E75" t="s">
        <v>588</v>
      </c>
    </row>
    <row r="76" spans="1:5" ht="16" hidden="1" x14ac:dyDescent="0.35">
      <c r="A76" s="47">
        <v>100026306</v>
      </c>
      <c r="B76" s="48">
        <v>7503039738584</v>
      </c>
      <c r="C76" s="47" t="s">
        <v>147</v>
      </c>
      <c r="D76" s="47" t="s">
        <v>699</v>
      </c>
      <c r="E76" t="s">
        <v>588</v>
      </c>
    </row>
    <row r="77" spans="1:5" ht="16" hidden="1" x14ac:dyDescent="0.35">
      <c r="A77" s="47">
        <v>100026305</v>
      </c>
      <c r="B77" s="48">
        <v>7503039738577</v>
      </c>
      <c r="C77" s="47" t="s">
        <v>566</v>
      </c>
      <c r="D77" s="47" t="s">
        <v>687</v>
      </c>
      <c r="E77" t="s">
        <v>588</v>
      </c>
    </row>
    <row r="78" spans="1:5" ht="16" hidden="1" x14ac:dyDescent="0.35">
      <c r="A78" s="47">
        <v>100026305</v>
      </c>
      <c r="B78" s="48">
        <v>7503039738577</v>
      </c>
      <c r="C78" s="47" t="s">
        <v>566</v>
      </c>
      <c r="D78" s="47" t="s">
        <v>688</v>
      </c>
      <c r="E78" t="s">
        <v>588</v>
      </c>
    </row>
    <row r="79" spans="1:5" ht="16" hidden="1" x14ac:dyDescent="0.35">
      <c r="A79" s="47">
        <v>100026305</v>
      </c>
      <c r="B79" s="48">
        <v>7503039738577</v>
      </c>
      <c r="C79" s="47" t="s">
        <v>566</v>
      </c>
      <c r="D79" s="47" t="s">
        <v>656</v>
      </c>
      <c r="E79" t="s">
        <v>588</v>
      </c>
    </row>
    <row r="80" spans="1:5" ht="16" hidden="1" x14ac:dyDescent="0.35">
      <c r="A80" s="47">
        <v>100026305</v>
      </c>
      <c r="B80" s="48">
        <v>7503039738577</v>
      </c>
      <c r="C80" s="47" t="s">
        <v>566</v>
      </c>
      <c r="D80" s="47" t="s">
        <v>689</v>
      </c>
      <c r="E80" t="s">
        <v>588</v>
      </c>
    </row>
    <row r="81" spans="1:5" ht="16" hidden="1" x14ac:dyDescent="0.35">
      <c r="A81" s="47">
        <v>100026305</v>
      </c>
      <c r="B81" s="48">
        <v>7503039738577</v>
      </c>
      <c r="C81" s="47" t="s">
        <v>566</v>
      </c>
      <c r="D81" s="47" t="s">
        <v>690</v>
      </c>
      <c r="E81" t="s">
        <v>588</v>
      </c>
    </row>
    <row r="82" spans="1:5" ht="16" hidden="1" x14ac:dyDescent="0.35">
      <c r="A82" s="47">
        <v>100026305</v>
      </c>
      <c r="B82" s="48">
        <v>7503039738577</v>
      </c>
      <c r="C82" s="47" t="s">
        <v>566</v>
      </c>
      <c r="D82" s="47" t="s">
        <v>691</v>
      </c>
      <c r="E82" t="s">
        <v>588</v>
      </c>
    </row>
    <row r="83" spans="1:5" ht="16" hidden="1" x14ac:dyDescent="0.35">
      <c r="A83" s="47">
        <v>100026305</v>
      </c>
      <c r="B83" s="48">
        <v>7503039738577</v>
      </c>
      <c r="C83" s="47" t="s">
        <v>566</v>
      </c>
      <c r="D83" s="47" t="s">
        <v>692</v>
      </c>
      <c r="E83" t="s">
        <v>588</v>
      </c>
    </row>
    <row r="84" spans="1:5" ht="16" hidden="1" x14ac:dyDescent="0.35">
      <c r="A84" s="47">
        <v>100026305</v>
      </c>
      <c r="B84" s="48">
        <v>7503039738577</v>
      </c>
      <c r="C84" s="47" t="s">
        <v>566</v>
      </c>
      <c r="D84" s="47" t="s">
        <v>693</v>
      </c>
      <c r="E84" t="s">
        <v>588</v>
      </c>
    </row>
    <row r="85" spans="1:5" ht="16" hidden="1" x14ac:dyDescent="0.35">
      <c r="A85" s="47">
        <v>100026305</v>
      </c>
      <c r="B85" s="48">
        <v>7503039738577</v>
      </c>
      <c r="C85" s="47" t="s">
        <v>566</v>
      </c>
      <c r="D85" s="47" t="s">
        <v>694</v>
      </c>
      <c r="E85" t="s">
        <v>588</v>
      </c>
    </row>
    <row r="86" spans="1:5" ht="16" hidden="1" x14ac:dyDescent="0.35">
      <c r="A86" s="47">
        <v>100026305</v>
      </c>
      <c r="B86" s="48">
        <v>7503039738577</v>
      </c>
      <c r="C86" s="47" t="s">
        <v>566</v>
      </c>
      <c r="D86" s="47" t="s">
        <v>695</v>
      </c>
      <c r="E86" t="s">
        <v>588</v>
      </c>
    </row>
    <row r="87" spans="1:5" ht="16" hidden="1" x14ac:dyDescent="0.35">
      <c r="A87" s="47">
        <v>100026305</v>
      </c>
      <c r="B87" s="48">
        <v>7503039738577</v>
      </c>
      <c r="C87" s="47" t="s">
        <v>566</v>
      </c>
      <c r="D87" s="47" t="s">
        <v>696</v>
      </c>
      <c r="E87" t="s">
        <v>588</v>
      </c>
    </row>
    <row r="88" spans="1:5" ht="16" hidden="1" x14ac:dyDescent="0.35">
      <c r="A88" s="47">
        <v>100026305</v>
      </c>
      <c r="B88" s="48">
        <v>7503039738577</v>
      </c>
      <c r="C88" s="47" t="s">
        <v>566</v>
      </c>
      <c r="D88" s="47" t="s">
        <v>697</v>
      </c>
      <c r="E88" t="s">
        <v>588</v>
      </c>
    </row>
    <row r="89" spans="1:5" ht="16" hidden="1" x14ac:dyDescent="0.35">
      <c r="A89" s="47">
        <v>100026305</v>
      </c>
      <c r="B89" s="48">
        <v>7503039738577</v>
      </c>
      <c r="C89" s="47" t="s">
        <v>566</v>
      </c>
      <c r="D89" s="47" t="s">
        <v>698</v>
      </c>
      <c r="E89" t="s">
        <v>588</v>
      </c>
    </row>
    <row r="90" spans="1:5" ht="16" hidden="1" x14ac:dyDescent="0.35">
      <c r="A90" s="47">
        <v>100026305</v>
      </c>
      <c r="B90" s="48">
        <v>7503039738577</v>
      </c>
      <c r="C90" s="47" t="s">
        <v>566</v>
      </c>
      <c r="D90" s="47" t="s">
        <v>657</v>
      </c>
      <c r="E90" t="s">
        <v>588</v>
      </c>
    </row>
    <row r="91" spans="1:5" ht="16" hidden="1" x14ac:dyDescent="0.35">
      <c r="A91" s="47">
        <v>100026305</v>
      </c>
      <c r="B91" s="48">
        <v>7503039738577</v>
      </c>
      <c r="C91" s="47" t="s">
        <v>566</v>
      </c>
      <c r="D91" s="47" t="s">
        <v>699</v>
      </c>
      <c r="E91" t="s">
        <v>588</v>
      </c>
    </row>
    <row r="92" spans="1:5" ht="16" hidden="1" x14ac:dyDescent="0.35">
      <c r="A92" s="47">
        <v>100026302</v>
      </c>
      <c r="B92" s="48">
        <v>7503039738553</v>
      </c>
      <c r="C92" s="47" t="s">
        <v>555</v>
      </c>
      <c r="D92" s="47" t="s">
        <v>687</v>
      </c>
      <c r="E92" t="s">
        <v>588</v>
      </c>
    </row>
    <row r="93" spans="1:5" ht="16" hidden="1" x14ac:dyDescent="0.35">
      <c r="A93" s="47">
        <v>100026302</v>
      </c>
      <c r="B93" s="48">
        <v>7503039738553</v>
      </c>
      <c r="C93" s="47" t="s">
        <v>555</v>
      </c>
      <c r="D93" s="47" t="s">
        <v>688</v>
      </c>
      <c r="E93" t="s">
        <v>588</v>
      </c>
    </row>
    <row r="94" spans="1:5" ht="16" hidden="1" x14ac:dyDescent="0.35">
      <c r="A94" s="47">
        <v>100026302</v>
      </c>
      <c r="B94" s="48">
        <v>7503039738553</v>
      </c>
      <c r="C94" s="47" t="s">
        <v>555</v>
      </c>
      <c r="D94" s="47" t="s">
        <v>656</v>
      </c>
      <c r="E94" t="s">
        <v>588</v>
      </c>
    </row>
    <row r="95" spans="1:5" ht="16" hidden="1" x14ac:dyDescent="0.35">
      <c r="A95" s="47">
        <v>100026302</v>
      </c>
      <c r="B95" s="48">
        <v>7503039738553</v>
      </c>
      <c r="C95" s="47" t="s">
        <v>555</v>
      </c>
      <c r="D95" s="47" t="s">
        <v>689</v>
      </c>
      <c r="E95" t="s">
        <v>588</v>
      </c>
    </row>
    <row r="96" spans="1:5" ht="16" hidden="1" x14ac:dyDescent="0.35">
      <c r="A96" s="47">
        <v>100026302</v>
      </c>
      <c r="B96" s="48">
        <v>7503039738553</v>
      </c>
      <c r="C96" s="47" t="s">
        <v>555</v>
      </c>
      <c r="D96" s="47" t="s">
        <v>690</v>
      </c>
      <c r="E96" t="s">
        <v>588</v>
      </c>
    </row>
    <row r="97" spans="1:5" ht="16" hidden="1" x14ac:dyDescent="0.35">
      <c r="A97" s="47">
        <v>100026302</v>
      </c>
      <c r="B97" s="48">
        <v>7503039738553</v>
      </c>
      <c r="C97" s="47" t="s">
        <v>555</v>
      </c>
      <c r="D97" s="47" t="s">
        <v>691</v>
      </c>
      <c r="E97" t="s">
        <v>588</v>
      </c>
    </row>
    <row r="98" spans="1:5" ht="16" hidden="1" x14ac:dyDescent="0.35">
      <c r="A98" s="47">
        <v>100026302</v>
      </c>
      <c r="B98" s="48">
        <v>7503039738553</v>
      </c>
      <c r="C98" s="47" t="s">
        <v>555</v>
      </c>
      <c r="D98" s="47" t="s">
        <v>692</v>
      </c>
      <c r="E98" t="s">
        <v>588</v>
      </c>
    </row>
    <row r="99" spans="1:5" ht="16" hidden="1" x14ac:dyDescent="0.35">
      <c r="A99" s="47">
        <v>100026302</v>
      </c>
      <c r="B99" s="48">
        <v>7503039738553</v>
      </c>
      <c r="C99" s="47" t="s">
        <v>555</v>
      </c>
      <c r="D99" s="47" t="s">
        <v>693</v>
      </c>
      <c r="E99" t="s">
        <v>588</v>
      </c>
    </row>
    <row r="100" spans="1:5" ht="16" hidden="1" x14ac:dyDescent="0.35">
      <c r="A100" s="47">
        <v>100026302</v>
      </c>
      <c r="B100" s="48">
        <v>7503039738553</v>
      </c>
      <c r="C100" s="47" t="s">
        <v>555</v>
      </c>
      <c r="D100" s="47" t="s">
        <v>694</v>
      </c>
      <c r="E100" t="s">
        <v>588</v>
      </c>
    </row>
    <row r="101" spans="1:5" ht="16" hidden="1" x14ac:dyDescent="0.35">
      <c r="A101" s="47">
        <v>100026302</v>
      </c>
      <c r="B101" s="48">
        <v>7503039738553</v>
      </c>
      <c r="C101" s="47" t="s">
        <v>555</v>
      </c>
      <c r="D101" s="47" t="s">
        <v>695</v>
      </c>
      <c r="E101" t="s">
        <v>588</v>
      </c>
    </row>
    <row r="102" spans="1:5" ht="16" hidden="1" x14ac:dyDescent="0.35">
      <c r="A102" s="47">
        <v>100026302</v>
      </c>
      <c r="B102" s="48">
        <v>7503039738553</v>
      </c>
      <c r="C102" s="47" t="s">
        <v>555</v>
      </c>
      <c r="D102" s="47" t="s">
        <v>696</v>
      </c>
      <c r="E102" t="s">
        <v>588</v>
      </c>
    </row>
    <row r="103" spans="1:5" ht="16" hidden="1" x14ac:dyDescent="0.35">
      <c r="A103" s="47">
        <v>100026302</v>
      </c>
      <c r="B103" s="48">
        <v>7503039738553</v>
      </c>
      <c r="C103" s="47" t="s">
        <v>555</v>
      </c>
      <c r="D103" s="47" t="s">
        <v>697</v>
      </c>
      <c r="E103" t="s">
        <v>588</v>
      </c>
    </row>
    <row r="104" spans="1:5" ht="16" hidden="1" x14ac:dyDescent="0.35">
      <c r="A104" s="47">
        <v>100026302</v>
      </c>
      <c r="B104" s="48">
        <v>7503039738553</v>
      </c>
      <c r="C104" s="47" t="s">
        <v>555</v>
      </c>
      <c r="D104" s="47" t="s">
        <v>698</v>
      </c>
      <c r="E104" t="s">
        <v>588</v>
      </c>
    </row>
    <row r="105" spans="1:5" ht="16" hidden="1" x14ac:dyDescent="0.35">
      <c r="A105" s="47">
        <v>100026302</v>
      </c>
      <c r="B105" s="48">
        <v>7503039738553</v>
      </c>
      <c r="C105" s="47" t="s">
        <v>555</v>
      </c>
      <c r="D105" s="47" t="s">
        <v>657</v>
      </c>
      <c r="E105" t="s">
        <v>588</v>
      </c>
    </row>
    <row r="106" spans="1:5" ht="16" hidden="1" x14ac:dyDescent="0.35">
      <c r="A106" s="47">
        <v>100026302</v>
      </c>
      <c r="B106" s="48">
        <v>7503039738553</v>
      </c>
      <c r="C106" s="47" t="s">
        <v>555</v>
      </c>
      <c r="D106" s="47" t="s">
        <v>699</v>
      </c>
      <c r="E106" t="s">
        <v>588</v>
      </c>
    </row>
    <row r="107" spans="1:5" ht="16" hidden="1" x14ac:dyDescent="0.35">
      <c r="A107" s="47">
        <v>100026301</v>
      </c>
      <c r="B107" s="48">
        <v>7503039738546</v>
      </c>
      <c r="C107" s="47" t="s">
        <v>191</v>
      </c>
      <c r="D107" s="47" t="s">
        <v>687</v>
      </c>
      <c r="E107" t="s">
        <v>588</v>
      </c>
    </row>
    <row r="108" spans="1:5" ht="16" hidden="1" x14ac:dyDescent="0.35">
      <c r="A108" s="47">
        <v>100026301</v>
      </c>
      <c r="B108" s="48">
        <v>7503039738546</v>
      </c>
      <c r="C108" s="47" t="s">
        <v>191</v>
      </c>
      <c r="D108" s="47" t="s">
        <v>688</v>
      </c>
      <c r="E108" t="s">
        <v>588</v>
      </c>
    </row>
    <row r="109" spans="1:5" ht="16" hidden="1" x14ac:dyDescent="0.35">
      <c r="A109" s="47">
        <v>100026301</v>
      </c>
      <c r="B109" s="48">
        <v>7503039738546</v>
      </c>
      <c r="C109" s="47" t="s">
        <v>191</v>
      </c>
      <c r="D109" s="47" t="s">
        <v>656</v>
      </c>
      <c r="E109" t="s">
        <v>588</v>
      </c>
    </row>
    <row r="110" spans="1:5" ht="16" hidden="1" x14ac:dyDescent="0.35">
      <c r="A110" s="47">
        <v>100026301</v>
      </c>
      <c r="B110" s="48">
        <v>7503039738546</v>
      </c>
      <c r="C110" s="47" t="s">
        <v>191</v>
      </c>
      <c r="D110" s="47" t="s">
        <v>689</v>
      </c>
      <c r="E110" t="s">
        <v>588</v>
      </c>
    </row>
    <row r="111" spans="1:5" ht="16" hidden="1" x14ac:dyDescent="0.35">
      <c r="A111" s="47">
        <v>100026301</v>
      </c>
      <c r="B111" s="48">
        <v>7503039738546</v>
      </c>
      <c r="C111" s="47" t="s">
        <v>191</v>
      </c>
      <c r="D111" s="47" t="s">
        <v>690</v>
      </c>
      <c r="E111" t="s">
        <v>588</v>
      </c>
    </row>
    <row r="112" spans="1:5" ht="16" hidden="1" x14ac:dyDescent="0.35">
      <c r="A112" s="47">
        <v>100026301</v>
      </c>
      <c r="B112" s="48">
        <v>7503039738546</v>
      </c>
      <c r="C112" s="47" t="s">
        <v>191</v>
      </c>
      <c r="D112" s="47" t="s">
        <v>691</v>
      </c>
      <c r="E112" t="s">
        <v>588</v>
      </c>
    </row>
    <row r="113" spans="1:5" ht="16" hidden="1" x14ac:dyDescent="0.35">
      <c r="A113" s="47">
        <v>100026301</v>
      </c>
      <c r="B113" s="48">
        <v>7503039738546</v>
      </c>
      <c r="C113" s="47" t="s">
        <v>191</v>
      </c>
      <c r="D113" s="47" t="s">
        <v>692</v>
      </c>
      <c r="E113" t="s">
        <v>588</v>
      </c>
    </row>
    <row r="114" spans="1:5" ht="16" hidden="1" x14ac:dyDescent="0.35">
      <c r="A114" s="47">
        <v>100026301</v>
      </c>
      <c r="B114" s="48">
        <v>7503039738546</v>
      </c>
      <c r="C114" s="47" t="s">
        <v>191</v>
      </c>
      <c r="D114" s="47" t="s">
        <v>693</v>
      </c>
      <c r="E114" t="s">
        <v>588</v>
      </c>
    </row>
    <row r="115" spans="1:5" ht="16" hidden="1" x14ac:dyDescent="0.35">
      <c r="A115" s="47">
        <v>100026301</v>
      </c>
      <c r="B115" s="48">
        <v>7503039738546</v>
      </c>
      <c r="C115" s="47" t="s">
        <v>191</v>
      </c>
      <c r="D115" s="47" t="s">
        <v>694</v>
      </c>
      <c r="E115" t="s">
        <v>588</v>
      </c>
    </row>
    <row r="116" spans="1:5" ht="16" hidden="1" x14ac:dyDescent="0.35">
      <c r="A116" s="47">
        <v>100026301</v>
      </c>
      <c r="B116" s="48">
        <v>7503039738546</v>
      </c>
      <c r="C116" s="47" t="s">
        <v>191</v>
      </c>
      <c r="D116" s="47" t="s">
        <v>695</v>
      </c>
      <c r="E116" t="s">
        <v>588</v>
      </c>
    </row>
    <row r="117" spans="1:5" ht="16" hidden="1" x14ac:dyDescent="0.35">
      <c r="A117" s="47">
        <v>100026301</v>
      </c>
      <c r="B117" s="48">
        <v>7503039738546</v>
      </c>
      <c r="C117" s="47" t="s">
        <v>191</v>
      </c>
      <c r="D117" s="47" t="s">
        <v>696</v>
      </c>
      <c r="E117" t="s">
        <v>588</v>
      </c>
    </row>
    <row r="118" spans="1:5" ht="16" hidden="1" x14ac:dyDescent="0.35">
      <c r="A118" s="47">
        <v>100026301</v>
      </c>
      <c r="B118" s="48">
        <v>7503039738546</v>
      </c>
      <c r="C118" s="47" t="s">
        <v>191</v>
      </c>
      <c r="D118" s="47" t="s">
        <v>697</v>
      </c>
      <c r="E118" t="s">
        <v>588</v>
      </c>
    </row>
    <row r="119" spans="1:5" ht="16" hidden="1" x14ac:dyDescent="0.35">
      <c r="A119" s="47">
        <v>100026301</v>
      </c>
      <c r="B119" s="48">
        <v>7503039738546</v>
      </c>
      <c r="C119" s="47" t="s">
        <v>191</v>
      </c>
      <c r="D119" s="47" t="s">
        <v>698</v>
      </c>
      <c r="E119" t="s">
        <v>588</v>
      </c>
    </row>
    <row r="120" spans="1:5" ht="16" hidden="1" x14ac:dyDescent="0.35">
      <c r="A120" s="47">
        <v>100026301</v>
      </c>
      <c r="B120" s="48">
        <v>7503039738546</v>
      </c>
      <c r="C120" s="47" t="s">
        <v>191</v>
      </c>
      <c r="D120" s="47" t="s">
        <v>657</v>
      </c>
      <c r="E120" t="s">
        <v>588</v>
      </c>
    </row>
    <row r="121" spans="1:5" ht="16" hidden="1" x14ac:dyDescent="0.35">
      <c r="A121" s="47">
        <v>100026301</v>
      </c>
      <c r="B121" s="48">
        <v>7503039738546</v>
      </c>
      <c r="C121" s="47" t="s">
        <v>191</v>
      </c>
      <c r="D121" s="47" t="s">
        <v>699</v>
      </c>
      <c r="E121" t="s">
        <v>588</v>
      </c>
    </row>
    <row r="122" spans="1:5" ht="16" hidden="1" x14ac:dyDescent="0.35">
      <c r="A122" s="47">
        <v>100026300</v>
      </c>
      <c r="B122" s="48">
        <v>7503039738539</v>
      </c>
      <c r="C122" s="47" t="s">
        <v>196</v>
      </c>
      <c r="D122" s="47" t="s">
        <v>687</v>
      </c>
      <c r="E122" t="s">
        <v>588</v>
      </c>
    </row>
    <row r="123" spans="1:5" ht="16" hidden="1" x14ac:dyDescent="0.35">
      <c r="A123" s="47">
        <v>100026300</v>
      </c>
      <c r="B123" s="48">
        <v>7503039738539</v>
      </c>
      <c r="C123" s="47" t="s">
        <v>196</v>
      </c>
      <c r="D123" s="47" t="s">
        <v>688</v>
      </c>
      <c r="E123" t="s">
        <v>588</v>
      </c>
    </row>
    <row r="124" spans="1:5" ht="16" hidden="1" x14ac:dyDescent="0.35">
      <c r="A124" s="47">
        <v>100026300</v>
      </c>
      <c r="B124" s="48">
        <v>7503039738539</v>
      </c>
      <c r="C124" s="47" t="s">
        <v>196</v>
      </c>
      <c r="D124" s="47" t="s">
        <v>656</v>
      </c>
      <c r="E124" t="s">
        <v>588</v>
      </c>
    </row>
    <row r="125" spans="1:5" ht="16" hidden="1" x14ac:dyDescent="0.35">
      <c r="A125" s="47">
        <v>100026300</v>
      </c>
      <c r="B125" s="48">
        <v>7503039738539</v>
      </c>
      <c r="C125" s="47" t="s">
        <v>196</v>
      </c>
      <c r="D125" s="47" t="s">
        <v>689</v>
      </c>
      <c r="E125" t="s">
        <v>588</v>
      </c>
    </row>
    <row r="126" spans="1:5" ht="16" hidden="1" x14ac:dyDescent="0.35">
      <c r="A126" s="47">
        <v>100026300</v>
      </c>
      <c r="B126" s="48">
        <v>7503039738539</v>
      </c>
      <c r="C126" s="47" t="s">
        <v>196</v>
      </c>
      <c r="D126" s="47" t="s">
        <v>690</v>
      </c>
      <c r="E126" t="s">
        <v>588</v>
      </c>
    </row>
    <row r="127" spans="1:5" ht="16" hidden="1" x14ac:dyDescent="0.35">
      <c r="A127" s="47">
        <v>100026300</v>
      </c>
      <c r="B127" s="48">
        <v>7503039738539</v>
      </c>
      <c r="C127" s="47" t="s">
        <v>196</v>
      </c>
      <c r="D127" s="47" t="s">
        <v>691</v>
      </c>
      <c r="E127" t="s">
        <v>588</v>
      </c>
    </row>
    <row r="128" spans="1:5" ht="16" hidden="1" x14ac:dyDescent="0.35">
      <c r="A128" s="47">
        <v>100026300</v>
      </c>
      <c r="B128" s="48">
        <v>7503039738539</v>
      </c>
      <c r="C128" s="47" t="s">
        <v>196</v>
      </c>
      <c r="D128" s="47" t="s">
        <v>692</v>
      </c>
      <c r="E128" t="s">
        <v>588</v>
      </c>
    </row>
    <row r="129" spans="1:5" ht="16" hidden="1" x14ac:dyDescent="0.35">
      <c r="A129" s="47">
        <v>100026300</v>
      </c>
      <c r="B129" s="48">
        <v>7503039738539</v>
      </c>
      <c r="C129" s="47" t="s">
        <v>196</v>
      </c>
      <c r="D129" s="47" t="s">
        <v>693</v>
      </c>
      <c r="E129" t="s">
        <v>588</v>
      </c>
    </row>
    <row r="130" spans="1:5" ht="16" hidden="1" x14ac:dyDescent="0.35">
      <c r="A130" s="47">
        <v>100026300</v>
      </c>
      <c r="B130" s="48">
        <v>7503039738539</v>
      </c>
      <c r="C130" s="47" t="s">
        <v>196</v>
      </c>
      <c r="D130" s="47" t="s">
        <v>694</v>
      </c>
      <c r="E130" t="s">
        <v>588</v>
      </c>
    </row>
    <row r="131" spans="1:5" ht="16" hidden="1" x14ac:dyDescent="0.35">
      <c r="A131" s="47">
        <v>100026300</v>
      </c>
      <c r="B131" s="48">
        <v>7503039738539</v>
      </c>
      <c r="C131" s="47" t="s">
        <v>196</v>
      </c>
      <c r="D131" s="47" t="s">
        <v>695</v>
      </c>
      <c r="E131" t="s">
        <v>588</v>
      </c>
    </row>
    <row r="132" spans="1:5" ht="16" hidden="1" x14ac:dyDescent="0.35">
      <c r="A132" s="47">
        <v>100026300</v>
      </c>
      <c r="B132" s="48">
        <v>7503039738539</v>
      </c>
      <c r="C132" s="47" t="s">
        <v>196</v>
      </c>
      <c r="D132" s="47" t="s">
        <v>696</v>
      </c>
      <c r="E132" t="s">
        <v>588</v>
      </c>
    </row>
    <row r="133" spans="1:5" ht="16" hidden="1" x14ac:dyDescent="0.35">
      <c r="A133" s="47">
        <v>100026300</v>
      </c>
      <c r="B133" s="48">
        <v>7503039738539</v>
      </c>
      <c r="C133" s="47" t="s">
        <v>196</v>
      </c>
      <c r="D133" s="47" t="s">
        <v>697</v>
      </c>
      <c r="E133" t="s">
        <v>588</v>
      </c>
    </row>
    <row r="134" spans="1:5" ht="16" hidden="1" x14ac:dyDescent="0.35">
      <c r="A134" s="47">
        <v>100026300</v>
      </c>
      <c r="B134" s="48">
        <v>7503039738539</v>
      </c>
      <c r="C134" s="47" t="s">
        <v>196</v>
      </c>
      <c r="D134" s="47" t="s">
        <v>698</v>
      </c>
      <c r="E134" t="s">
        <v>588</v>
      </c>
    </row>
    <row r="135" spans="1:5" ht="16" hidden="1" x14ac:dyDescent="0.35">
      <c r="A135" s="47">
        <v>100026300</v>
      </c>
      <c r="B135" s="48">
        <v>7503039738539</v>
      </c>
      <c r="C135" s="47" t="s">
        <v>196</v>
      </c>
      <c r="D135" s="47" t="s">
        <v>657</v>
      </c>
      <c r="E135" t="s">
        <v>588</v>
      </c>
    </row>
    <row r="136" spans="1:5" ht="16" hidden="1" x14ac:dyDescent="0.35">
      <c r="A136" s="47">
        <v>100026300</v>
      </c>
      <c r="B136" s="48">
        <v>7503039738539</v>
      </c>
      <c r="C136" s="47" t="s">
        <v>196</v>
      </c>
      <c r="D136" s="47" t="s">
        <v>699</v>
      </c>
      <c r="E136" t="s">
        <v>588</v>
      </c>
    </row>
    <row r="137" spans="1:5" ht="16" hidden="1" x14ac:dyDescent="0.35">
      <c r="A137" s="47">
        <v>100026307</v>
      </c>
      <c r="B137" s="48">
        <v>7503039738591</v>
      </c>
      <c r="C137" s="47" t="s">
        <v>199</v>
      </c>
      <c r="D137" s="47" t="s">
        <v>687</v>
      </c>
      <c r="E137" t="s">
        <v>588</v>
      </c>
    </row>
    <row r="138" spans="1:5" ht="16" hidden="1" x14ac:dyDescent="0.35">
      <c r="A138" s="47">
        <v>100026307</v>
      </c>
      <c r="B138" s="48">
        <v>7503039738591</v>
      </c>
      <c r="C138" s="47" t="s">
        <v>199</v>
      </c>
      <c r="D138" s="47" t="s">
        <v>688</v>
      </c>
      <c r="E138" t="s">
        <v>588</v>
      </c>
    </row>
    <row r="139" spans="1:5" ht="16" hidden="1" x14ac:dyDescent="0.35">
      <c r="A139" s="47">
        <v>100026307</v>
      </c>
      <c r="B139" s="48">
        <v>7503039738591</v>
      </c>
      <c r="C139" s="47" t="s">
        <v>199</v>
      </c>
      <c r="D139" s="47" t="s">
        <v>656</v>
      </c>
      <c r="E139" t="s">
        <v>588</v>
      </c>
    </row>
    <row r="140" spans="1:5" ht="16" hidden="1" x14ac:dyDescent="0.35">
      <c r="A140" s="47">
        <v>100026307</v>
      </c>
      <c r="B140" s="48">
        <v>7503039738591</v>
      </c>
      <c r="C140" s="47" t="s">
        <v>199</v>
      </c>
      <c r="D140" s="47" t="s">
        <v>689</v>
      </c>
      <c r="E140" t="s">
        <v>588</v>
      </c>
    </row>
    <row r="141" spans="1:5" ht="16" hidden="1" x14ac:dyDescent="0.35">
      <c r="A141" s="47">
        <v>100026307</v>
      </c>
      <c r="B141" s="48">
        <v>7503039738591</v>
      </c>
      <c r="C141" s="47" t="s">
        <v>199</v>
      </c>
      <c r="D141" s="47" t="s">
        <v>690</v>
      </c>
      <c r="E141" t="s">
        <v>588</v>
      </c>
    </row>
    <row r="142" spans="1:5" ht="16" hidden="1" x14ac:dyDescent="0.35">
      <c r="A142" s="47">
        <v>100026307</v>
      </c>
      <c r="B142" s="48">
        <v>7503039738591</v>
      </c>
      <c r="C142" s="47" t="s">
        <v>199</v>
      </c>
      <c r="D142" s="47" t="s">
        <v>691</v>
      </c>
      <c r="E142" t="s">
        <v>588</v>
      </c>
    </row>
    <row r="143" spans="1:5" ht="16" hidden="1" x14ac:dyDescent="0.35">
      <c r="A143" s="47">
        <v>100026307</v>
      </c>
      <c r="B143" s="48">
        <v>7503039738591</v>
      </c>
      <c r="C143" s="47" t="s">
        <v>199</v>
      </c>
      <c r="D143" s="47" t="s">
        <v>692</v>
      </c>
      <c r="E143" t="s">
        <v>588</v>
      </c>
    </row>
    <row r="144" spans="1:5" ht="16" hidden="1" x14ac:dyDescent="0.35">
      <c r="A144" s="47">
        <v>100026307</v>
      </c>
      <c r="B144" s="48">
        <v>7503039738591</v>
      </c>
      <c r="C144" s="47" t="s">
        <v>199</v>
      </c>
      <c r="D144" s="47" t="s">
        <v>693</v>
      </c>
      <c r="E144" t="s">
        <v>588</v>
      </c>
    </row>
    <row r="145" spans="1:5" ht="16" hidden="1" x14ac:dyDescent="0.35">
      <c r="A145" s="47">
        <v>100026307</v>
      </c>
      <c r="B145" s="48">
        <v>7503039738591</v>
      </c>
      <c r="C145" s="47" t="s">
        <v>199</v>
      </c>
      <c r="D145" s="47" t="s">
        <v>694</v>
      </c>
      <c r="E145" t="s">
        <v>588</v>
      </c>
    </row>
    <row r="146" spans="1:5" ht="16" hidden="1" x14ac:dyDescent="0.35">
      <c r="A146" s="47">
        <v>100026307</v>
      </c>
      <c r="B146" s="48">
        <v>7503039738591</v>
      </c>
      <c r="C146" s="47" t="s">
        <v>199</v>
      </c>
      <c r="D146" s="47" t="s">
        <v>695</v>
      </c>
      <c r="E146" t="s">
        <v>588</v>
      </c>
    </row>
    <row r="147" spans="1:5" ht="16" hidden="1" x14ac:dyDescent="0.35">
      <c r="A147" s="47">
        <v>100026307</v>
      </c>
      <c r="B147" s="48">
        <v>7503039738591</v>
      </c>
      <c r="C147" s="47" t="s">
        <v>199</v>
      </c>
      <c r="D147" s="47" t="s">
        <v>696</v>
      </c>
      <c r="E147" t="s">
        <v>588</v>
      </c>
    </row>
    <row r="148" spans="1:5" ht="16" hidden="1" x14ac:dyDescent="0.35">
      <c r="A148" s="47">
        <v>100026307</v>
      </c>
      <c r="B148" s="48">
        <v>7503039738591</v>
      </c>
      <c r="C148" s="47" t="s">
        <v>199</v>
      </c>
      <c r="D148" s="47" t="s">
        <v>697</v>
      </c>
      <c r="E148" t="s">
        <v>588</v>
      </c>
    </row>
    <row r="149" spans="1:5" ht="16" hidden="1" x14ac:dyDescent="0.35">
      <c r="A149" s="47">
        <v>100026307</v>
      </c>
      <c r="B149" s="48">
        <v>7503039738591</v>
      </c>
      <c r="C149" s="47" t="s">
        <v>199</v>
      </c>
      <c r="D149" s="47" t="s">
        <v>698</v>
      </c>
      <c r="E149" t="s">
        <v>588</v>
      </c>
    </row>
    <row r="150" spans="1:5" ht="16" hidden="1" x14ac:dyDescent="0.35">
      <c r="A150" s="47">
        <v>100026307</v>
      </c>
      <c r="B150" s="48">
        <v>7503039738591</v>
      </c>
      <c r="C150" s="47" t="s">
        <v>199</v>
      </c>
      <c r="D150" s="47" t="s">
        <v>657</v>
      </c>
      <c r="E150" t="s">
        <v>588</v>
      </c>
    </row>
    <row r="151" spans="1:5" ht="16" hidden="1" x14ac:dyDescent="0.35">
      <c r="A151" s="47">
        <v>100026307</v>
      </c>
      <c r="B151" s="48">
        <v>7503039738591</v>
      </c>
      <c r="C151" s="47" t="s">
        <v>199</v>
      </c>
      <c r="D151" s="47" t="s">
        <v>699</v>
      </c>
      <c r="E151" t="s">
        <v>588</v>
      </c>
    </row>
    <row r="152" spans="1:5" ht="16" hidden="1" x14ac:dyDescent="0.35">
      <c r="A152" s="47">
        <v>100026304</v>
      </c>
      <c r="B152" s="48">
        <v>7503039738560</v>
      </c>
      <c r="C152" s="47" t="s">
        <v>561</v>
      </c>
      <c r="D152" s="47" t="s">
        <v>687</v>
      </c>
      <c r="E152" t="s">
        <v>588</v>
      </c>
    </row>
    <row r="153" spans="1:5" ht="16" hidden="1" x14ac:dyDescent="0.35">
      <c r="A153" s="47">
        <v>100026304</v>
      </c>
      <c r="B153" s="48">
        <v>7503039738560</v>
      </c>
      <c r="C153" s="47" t="s">
        <v>561</v>
      </c>
      <c r="D153" s="47" t="s">
        <v>688</v>
      </c>
      <c r="E153" t="s">
        <v>588</v>
      </c>
    </row>
    <row r="154" spans="1:5" ht="16" hidden="1" x14ac:dyDescent="0.35">
      <c r="A154" s="47">
        <v>100026304</v>
      </c>
      <c r="B154" s="48">
        <v>7503039738560</v>
      </c>
      <c r="C154" s="47" t="s">
        <v>561</v>
      </c>
      <c r="D154" s="47" t="s">
        <v>656</v>
      </c>
      <c r="E154" t="s">
        <v>588</v>
      </c>
    </row>
    <row r="155" spans="1:5" ht="16" hidden="1" x14ac:dyDescent="0.35">
      <c r="A155" s="47">
        <v>100026304</v>
      </c>
      <c r="B155" s="48">
        <v>7503039738560</v>
      </c>
      <c r="C155" s="47" t="s">
        <v>561</v>
      </c>
      <c r="D155" s="47" t="s">
        <v>689</v>
      </c>
      <c r="E155" t="s">
        <v>588</v>
      </c>
    </row>
    <row r="156" spans="1:5" ht="16" hidden="1" x14ac:dyDescent="0.35">
      <c r="A156" s="47">
        <v>100026304</v>
      </c>
      <c r="B156" s="48">
        <v>7503039738560</v>
      </c>
      <c r="C156" s="47" t="s">
        <v>561</v>
      </c>
      <c r="D156" s="47" t="s">
        <v>690</v>
      </c>
      <c r="E156" t="s">
        <v>588</v>
      </c>
    </row>
    <row r="157" spans="1:5" ht="16" hidden="1" x14ac:dyDescent="0.35">
      <c r="A157" s="47">
        <v>100026304</v>
      </c>
      <c r="B157" s="48">
        <v>7503039738560</v>
      </c>
      <c r="C157" s="47" t="s">
        <v>561</v>
      </c>
      <c r="D157" s="47" t="s">
        <v>691</v>
      </c>
      <c r="E157" t="s">
        <v>588</v>
      </c>
    </row>
    <row r="158" spans="1:5" ht="16" hidden="1" x14ac:dyDescent="0.35">
      <c r="A158" s="47">
        <v>100026304</v>
      </c>
      <c r="B158" s="48">
        <v>7503039738560</v>
      </c>
      <c r="C158" s="47" t="s">
        <v>561</v>
      </c>
      <c r="D158" s="47" t="s">
        <v>692</v>
      </c>
      <c r="E158" t="s">
        <v>588</v>
      </c>
    </row>
    <row r="159" spans="1:5" ht="16" hidden="1" x14ac:dyDescent="0.35">
      <c r="A159" s="47">
        <v>100026304</v>
      </c>
      <c r="B159" s="48">
        <v>7503039738560</v>
      </c>
      <c r="C159" s="47" t="s">
        <v>561</v>
      </c>
      <c r="D159" s="47" t="s">
        <v>693</v>
      </c>
      <c r="E159" t="s">
        <v>588</v>
      </c>
    </row>
    <row r="160" spans="1:5" ht="16" hidden="1" x14ac:dyDescent="0.35">
      <c r="A160" s="47">
        <v>100026304</v>
      </c>
      <c r="B160" s="48">
        <v>7503039738560</v>
      </c>
      <c r="C160" s="47" t="s">
        <v>561</v>
      </c>
      <c r="D160" s="47" t="s">
        <v>694</v>
      </c>
      <c r="E160" t="s">
        <v>588</v>
      </c>
    </row>
    <row r="161" spans="1:5" ht="16" hidden="1" x14ac:dyDescent="0.35">
      <c r="A161" s="47">
        <v>100026304</v>
      </c>
      <c r="B161" s="48">
        <v>7503039738560</v>
      </c>
      <c r="C161" s="47" t="s">
        <v>561</v>
      </c>
      <c r="D161" s="47" t="s">
        <v>695</v>
      </c>
      <c r="E161" t="s">
        <v>588</v>
      </c>
    </row>
    <row r="162" spans="1:5" ht="16" hidden="1" x14ac:dyDescent="0.35">
      <c r="A162" s="47">
        <v>100026304</v>
      </c>
      <c r="B162" s="48">
        <v>7503039738560</v>
      </c>
      <c r="C162" s="47" t="s">
        <v>561</v>
      </c>
      <c r="D162" s="47" t="s">
        <v>696</v>
      </c>
      <c r="E162" t="s">
        <v>588</v>
      </c>
    </row>
    <row r="163" spans="1:5" ht="16" hidden="1" x14ac:dyDescent="0.35">
      <c r="A163" s="47">
        <v>100026304</v>
      </c>
      <c r="B163" s="48">
        <v>7503039738560</v>
      </c>
      <c r="C163" s="47" t="s">
        <v>561</v>
      </c>
      <c r="D163" s="47" t="s">
        <v>697</v>
      </c>
      <c r="E163" t="s">
        <v>588</v>
      </c>
    </row>
    <row r="164" spans="1:5" ht="16" hidden="1" x14ac:dyDescent="0.35">
      <c r="A164" s="47">
        <v>100026304</v>
      </c>
      <c r="B164" s="48">
        <v>7503039738560</v>
      </c>
      <c r="C164" s="47" t="s">
        <v>561</v>
      </c>
      <c r="D164" s="47" t="s">
        <v>698</v>
      </c>
      <c r="E164" t="s">
        <v>588</v>
      </c>
    </row>
    <row r="165" spans="1:5" ht="16" hidden="1" x14ac:dyDescent="0.35">
      <c r="A165" s="47">
        <v>100026304</v>
      </c>
      <c r="B165" s="48">
        <v>7503039738560</v>
      </c>
      <c r="C165" s="47" t="s">
        <v>561</v>
      </c>
      <c r="D165" s="47" t="s">
        <v>657</v>
      </c>
      <c r="E165" t="s">
        <v>588</v>
      </c>
    </row>
    <row r="166" spans="1:5" ht="16" hidden="1" x14ac:dyDescent="0.35">
      <c r="A166" s="47">
        <v>100026304</v>
      </c>
      <c r="B166" s="48">
        <v>7503039738560</v>
      </c>
      <c r="C166" s="47" t="s">
        <v>561</v>
      </c>
      <c r="D166" s="47" t="s">
        <v>699</v>
      </c>
      <c r="E166" t="s">
        <v>588</v>
      </c>
    </row>
    <row r="167" spans="1:5" ht="16" hidden="1" x14ac:dyDescent="0.35">
      <c r="A167" s="47">
        <v>100025292</v>
      </c>
      <c r="B167" s="48">
        <v>7503039738386</v>
      </c>
      <c r="C167" s="47" t="s">
        <v>563</v>
      </c>
      <c r="D167" s="47" t="s">
        <v>687</v>
      </c>
      <c r="E167" t="s">
        <v>588</v>
      </c>
    </row>
    <row r="168" spans="1:5" ht="16" hidden="1" x14ac:dyDescent="0.35">
      <c r="A168" s="47">
        <v>100025292</v>
      </c>
      <c r="B168" s="48">
        <v>7503039738386</v>
      </c>
      <c r="C168" s="47" t="s">
        <v>563</v>
      </c>
      <c r="D168" s="47" t="s">
        <v>688</v>
      </c>
      <c r="E168" t="s">
        <v>588</v>
      </c>
    </row>
    <row r="169" spans="1:5" ht="16" hidden="1" x14ac:dyDescent="0.35">
      <c r="A169" s="47">
        <v>100025292</v>
      </c>
      <c r="B169" s="48">
        <v>7503039738386</v>
      </c>
      <c r="C169" s="47" t="s">
        <v>563</v>
      </c>
      <c r="D169" s="47" t="s">
        <v>656</v>
      </c>
      <c r="E169" t="s">
        <v>588</v>
      </c>
    </row>
    <row r="170" spans="1:5" ht="16" hidden="1" x14ac:dyDescent="0.35">
      <c r="A170" s="47">
        <v>100025292</v>
      </c>
      <c r="B170" s="48">
        <v>7503039738386</v>
      </c>
      <c r="C170" s="47" t="s">
        <v>563</v>
      </c>
      <c r="D170" s="47" t="s">
        <v>689</v>
      </c>
      <c r="E170" t="s">
        <v>588</v>
      </c>
    </row>
    <row r="171" spans="1:5" ht="16" hidden="1" x14ac:dyDescent="0.35">
      <c r="A171" s="47">
        <v>100025292</v>
      </c>
      <c r="B171" s="48">
        <v>7503039738386</v>
      </c>
      <c r="C171" s="47" t="s">
        <v>563</v>
      </c>
      <c r="D171" s="47" t="s">
        <v>690</v>
      </c>
      <c r="E171" t="s">
        <v>588</v>
      </c>
    </row>
    <row r="172" spans="1:5" ht="16" hidden="1" x14ac:dyDescent="0.35">
      <c r="A172" s="47">
        <v>100025292</v>
      </c>
      <c r="B172" s="48">
        <v>7503039738386</v>
      </c>
      <c r="C172" s="47" t="s">
        <v>563</v>
      </c>
      <c r="D172" s="47" t="s">
        <v>691</v>
      </c>
      <c r="E172" t="s">
        <v>588</v>
      </c>
    </row>
    <row r="173" spans="1:5" ht="16" hidden="1" x14ac:dyDescent="0.35">
      <c r="A173" s="47">
        <v>100025292</v>
      </c>
      <c r="B173" s="48">
        <v>7503039738386</v>
      </c>
      <c r="C173" s="47" t="s">
        <v>563</v>
      </c>
      <c r="D173" s="47" t="s">
        <v>692</v>
      </c>
      <c r="E173" t="s">
        <v>588</v>
      </c>
    </row>
    <row r="174" spans="1:5" ht="16" hidden="1" x14ac:dyDescent="0.35">
      <c r="A174" s="47">
        <v>100025292</v>
      </c>
      <c r="B174" s="48">
        <v>7503039738386</v>
      </c>
      <c r="C174" s="47" t="s">
        <v>563</v>
      </c>
      <c r="D174" s="47" t="s">
        <v>693</v>
      </c>
      <c r="E174" t="s">
        <v>588</v>
      </c>
    </row>
    <row r="175" spans="1:5" ht="16" hidden="1" x14ac:dyDescent="0.35">
      <c r="A175" s="47">
        <v>100025292</v>
      </c>
      <c r="B175" s="48">
        <v>7503039738386</v>
      </c>
      <c r="C175" s="47" t="s">
        <v>563</v>
      </c>
      <c r="D175" s="47" t="s">
        <v>694</v>
      </c>
      <c r="E175" t="s">
        <v>588</v>
      </c>
    </row>
    <row r="176" spans="1:5" ht="16" hidden="1" x14ac:dyDescent="0.35">
      <c r="A176" s="47">
        <v>100025292</v>
      </c>
      <c r="B176" s="48">
        <v>7503039738386</v>
      </c>
      <c r="C176" s="47" t="s">
        <v>563</v>
      </c>
      <c r="D176" s="47" t="s">
        <v>695</v>
      </c>
      <c r="E176" t="s">
        <v>588</v>
      </c>
    </row>
    <row r="177" spans="1:5" ht="16" hidden="1" x14ac:dyDescent="0.35">
      <c r="A177" s="47">
        <v>100025292</v>
      </c>
      <c r="B177" s="48">
        <v>7503039738386</v>
      </c>
      <c r="C177" s="47" t="s">
        <v>563</v>
      </c>
      <c r="D177" s="47" t="s">
        <v>696</v>
      </c>
      <c r="E177" t="s">
        <v>588</v>
      </c>
    </row>
    <row r="178" spans="1:5" ht="16" hidden="1" x14ac:dyDescent="0.35">
      <c r="A178" s="47">
        <v>100025292</v>
      </c>
      <c r="B178" s="48">
        <v>7503039738386</v>
      </c>
      <c r="C178" s="47" t="s">
        <v>563</v>
      </c>
      <c r="D178" s="47" t="s">
        <v>697</v>
      </c>
      <c r="E178" t="s">
        <v>588</v>
      </c>
    </row>
    <row r="179" spans="1:5" ht="16" hidden="1" x14ac:dyDescent="0.35">
      <c r="A179" s="47">
        <v>100025292</v>
      </c>
      <c r="B179" s="48">
        <v>7503039738386</v>
      </c>
      <c r="C179" s="47" t="s">
        <v>563</v>
      </c>
      <c r="D179" s="47" t="s">
        <v>698</v>
      </c>
      <c r="E179" t="s">
        <v>588</v>
      </c>
    </row>
    <row r="180" spans="1:5" ht="16" hidden="1" x14ac:dyDescent="0.35">
      <c r="A180" s="47">
        <v>100025292</v>
      </c>
      <c r="B180" s="48">
        <v>7503039738386</v>
      </c>
      <c r="C180" s="47" t="s">
        <v>563</v>
      </c>
      <c r="D180" s="47" t="s">
        <v>657</v>
      </c>
      <c r="E180" t="s">
        <v>588</v>
      </c>
    </row>
    <row r="181" spans="1:5" ht="16" hidden="1" x14ac:dyDescent="0.35">
      <c r="A181" s="47">
        <v>100025292</v>
      </c>
      <c r="B181" s="48">
        <v>7503039738386</v>
      </c>
      <c r="C181" s="47" t="s">
        <v>563</v>
      </c>
      <c r="D181" s="47" t="s">
        <v>699</v>
      </c>
      <c r="E181" t="s">
        <v>588</v>
      </c>
    </row>
    <row r="182" spans="1:5" ht="16" hidden="1" x14ac:dyDescent="0.35">
      <c r="A182" s="47">
        <v>100025297</v>
      </c>
      <c r="B182" s="48">
        <v>7503039738393</v>
      </c>
      <c r="C182" s="47" t="s">
        <v>192</v>
      </c>
      <c r="D182" s="47" t="s">
        <v>687</v>
      </c>
      <c r="E182" t="s">
        <v>588</v>
      </c>
    </row>
    <row r="183" spans="1:5" ht="16" hidden="1" x14ac:dyDescent="0.35">
      <c r="A183" s="47">
        <v>100025297</v>
      </c>
      <c r="B183" s="48">
        <v>7503039738393</v>
      </c>
      <c r="C183" s="47" t="s">
        <v>192</v>
      </c>
      <c r="D183" s="47" t="s">
        <v>688</v>
      </c>
      <c r="E183" t="s">
        <v>588</v>
      </c>
    </row>
    <row r="184" spans="1:5" ht="16" hidden="1" x14ac:dyDescent="0.35">
      <c r="A184" s="47">
        <v>100025297</v>
      </c>
      <c r="B184" s="48">
        <v>7503039738393</v>
      </c>
      <c r="C184" s="47" t="s">
        <v>192</v>
      </c>
      <c r="D184" s="47" t="s">
        <v>656</v>
      </c>
      <c r="E184" t="s">
        <v>588</v>
      </c>
    </row>
    <row r="185" spans="1:5" ht="16" hidden="1" x14ac:dyDescent="0.35">
      <c r="A185" s="47">
        <v>100025297</v>
      </c>
      <c r="B185" s="48">
        <v>7503039738393</v>
      </c>
      <c r="C185" s="47" t="s">
        <v>192</v>
      </c>
      <c r="D185" s="47" t="s">
        <v>689</v>
      </c>
      <c r="E185" t="s">
        <v>588</v>
      </c>
    </row>
    <row r="186" spans="1:5" ht="16" hidden="1" x14ac:dyDescent="0.35">
      <c r="A186" s="47">
        <v>100025297</v>
      </c>
      <c r="B186" s="48">
        <v>7503039738393</v>
      </c>
      <c r="C186" s="47" t="s">
        <v>192</v>
      </c>
      <c r="D186" s="47" t="s">
        <v>690</v>
      </c>
      <c r="E186" t="s">
        <v>588</v>
      </c>
    </row>
    <row r="187" spans="1:5" ht="16" hidden="1" x14ac:dyDescent="0.35">
      <c r="A187" s="47">
        <v>100025297</v>
      </c>
      <c r="B187" s="48">
        <v>7503039738393</v>
      </c>
      <c r="C187" s="47" t="s">
        <v>192</v>
      </c>
      <c r="D187" s="47" t="s">
        <v>691</v>
      </c>
      <c r="E187" t="s">
        <v>588</v>
      </c>
    </row>
    <row r="188" spans="1:5" ht="16" hidden="1" x14ac:dyDescent="0.35">
      <c r="A188" s="47">
        <v>100025297</v>
      </c>
      <c r="B188" s="48">
        <v>7503039738393</v>
      </c>
      <c r="C188" s="47" t="s">
        <v>192</v>
      </c>
      <c r="D188" s="47" t="s">
        <v>692</v>
      </c>
      <c r="E188" t="s">
        <v>588</v>
      </c>
    </row>
    <row r="189" spans="1:5" ht="16" hidden="1" x14ac:dyDescent="0.35">
      <c r="A189" s="47">
        <v>100025297</v>
      </c>
      <c r="B189" s="48">
        <v>7503039738393</v>
      </c>
      <c r="C189" s="47" t="s">
        <v>192</v>
      </c>
      <c r="D189" s="47" t="s">
        <v>693</v>
      </c>
      <c r="E189" t="s">
        <v>588</v>
      </c>
    </row>
    <row r="190" spans="1:5" ht="16" hidden="1" x14ac:dyDescent="0.35">
      <c r="A190" s="47">
        <v>100025297</v>
      </c>
      <c r="B190" s="48">
        <v>7503039738393</v>
      </c>
      <c r="C190" s="47" t="s">
        <v>192</v>
      </c>
      <c r="D190" s="47" t="s">
        <v>694</v>
      </c>
      <c r="E190" t="s">
        <v>588</v>
      </c>
    </row>
    <row r="191" spans="1:5" ht="16" hidden="1" x14ac:dyDescent="0.35">
      <c r="A191" s="47">
        <v>100025297</v>
      </c>
      <c r="B191" s="48">
        <v>7503039738393</v>
      </c>
      <c r="C191" s="47" t="s">
        <v>192</v>
      </c>
      <c r="D191" s="47" t="s">
        <v>695</v>
      </c>
      <c r="E191" t="s">
        <v>588</v>
      </c>
    </row>
    <row r="192" spans="1:5" ht="16" hidden="1" x14ac:dyDescent="0.35">
      <c r="A192" s="47">
        <v>100025297</v>
      </c>
      <c r="B192" s="48">
        <v>7503039738393</v>
      </c>
      <c r="C192" s="47" t="s">
        <v>192</v>
      </c>
      <c r="D192" s="47" t="s">
        <v>696</v>
      </c>
      <c r="E192" t="s">
        <v>588</v>
      </c>
    </row>
    <row r="193" spans="1:5" ht="16" hidden="1" x14ac:dyDescent="0.35">
      <c r="A193" s="47">
        <v>100025297</v>
      </c>
      <c r="B193" s="48">
        <v>7503039738393</v>
      </c>
      <c r="C193" s="47" t="s">
        <v>192</v>
      </c>
      <c r="D193" s="47" t="s">
        <v>697</v>
      </c>
      <c r="E193" t="s">
        <v>588</v>
      </c>
    </row>
    <row r="194" spans="1:5" ht="16" hidden="1" x14ac:dyDescent="0.35">
      <c r="A194" s="47">
        <v>100025297</v>
      </c>
      <c r="B194" s="48">
        <v>7503039738393</v>
      </c>
      <c r="C194" s="47" t="s">
        <v>192</v>
      </c>
      <c r="D194" s="47" t="s">
        <v>698</v>
      </c>
      <c r="E194" t="s">
        <v>588</v>
      </c>
    </row>
    <row r="195" spans="1:5" ht="16" hidden="1" x14ac:dyDescent="0.35">
      <c r="A195" s="47">
        <v>100025297</v>
      </c>
      <c r="B195" s="48">
        <v>7503039738393</v>
      </c>
      <c r="C195" s="47" t="s">
        <v>192</v>
      </c>
      <c r="D195" s="47" t="s">
        <v>657</v>
      </c>
      <c r="E195" t="s">
        <v>588</v>
      </c>
    </row>
    <row r="196" spans="1:5" ht="16" hidden="1" x14ac:dyDescent="0.35">
      <c r="A196" s="47">
        <v>100025297</v>
      </c>
      <c r="B196" s="48">
        <v>7503039738393</v>
      </c>
      <c r="C196" s="47" t="s">
        <v>192</v>
      </c>
      <c r="D196" s="47" t="s">
        <v>699</v>
      </c>
      <c r="E196" t="s">
        <v>588</v>
      </c>
    </row>
    <row r="197" spans="1:5" ht="16" hidden="1" x14ac:dyDescent="0.35">
      <c r="A197" s="47">
        <v>100025298</v>
      </c>
      <c r="B197" s="48">
        <v>7503039738416</v>
      </c>
      <c r="C197" s="47" t="s">
        <v>197</v>
      </c>
      <c r="D197" s="47" t="s">
        <v>687</v>
      </c>
      <c r="E197" t="s">
        <v>588</v>
      </c>
    </row>
    <row r="198" spans="1:5" ht="16" hidden="1" x14ac:dyDescent="0.35">
      <c r="A198" s="47">
        <v>100025298</v>
      </c>
      <c r="B198" s="48">
        <v>7503039738416</v>
      </c>
      <c r="C198" s="47" t="s">
        <v>197</v>
      </c>
      <c r="D198" s="47" t="s">
        <v>688</v>
      </c>
      <c r="E198" t="s">
        <v>588</v>
      </c>
    </row>
    <row r="199" spans="1:5" ht="16" hidden="1" x14ac:dyDescent="0.35">
      <c r="A199" s="47">
        <v>100025298</v>
      </c>
      <c r="B199" s="48">
        <v>7503039738416</v>
      </c>
      <c r="C199" s="47" t="s">
        <v>197</v>
      </c>
      <c r="D199" s="47" t="s">
        <v>656</v>
      </c>
      <c r="E199" t="s">
        <v>588</v>
      </c>
    </row>
    <row r="200" spans="1:5" ht="16" hidden="1" x14ac:dyDescent="0.35">
      <c r="A200" s="47">
        <v>100025298</v>
      </c>
      <c r="B200" s="48">
        <v>7503039738416</v>
      </c>
      <c r="C200" s="47" t="s">
        <v>197</v>
      </c>
      <c r="D200" s="47" t="s">
        <v>689</v>
      </c>
      <c r="E200" t="s">
        <v>588</v>
      </c>
    </row>
    <row r="201" spans="1:5" ht="16" hidden="1" x14ac:dyDescent="0.35">
      <c r="A201" s="47">
        <v>100025298</v>
      </c>
      <c r="B201" s="48">
        <v>7503039738416</v>
      </c>
      <c r="C201" s="47" t="s">
        <v>197</v>
      </c>
      <c r="D201" s="47" t="s">
        <v>690</v>
      </c>
      <c r="E201" t="s">
        <v>588</v>
      </c>
    </row>
    <row r="202" spans="1:5" ht="16" hidden="1" x14ac:dyDescent="0.35">
      <c r="A202" s="47">
        <v>100025298</v>
      </c>
      <c r="B202" s="48">
        <v>7503039738416</v>
      </c>
      <c r="C202" s="47" t="s">
        <v>197</v>
      </c>
      <c r="D202" s="47" t="s">
        <v>691</v>
      </c>
      <c r="E202" t="s">
        <v>588</v>
      </c>
    </row>
    <row r="203" spans="1:5" ht="16" hidden="1" x14ac:dyDescent="0.35">
      <c r="A203" s="47">
        <v>100025298</v>
      </c>
      <c r="B203" s="48">
        <v>7503039738416</v>
      </c>
      <c r="C203" s="47" t="s">
        <v>197</v>
      </c>
      <c r="D203" s="47" t="s">
        <v>692</v>
      </c>
      <c r="E203" t="s">
        <v>588</v>
      </c>
    </row>
    <row r="204" spans="1:5" ht="16" hidden="1" x14ac:dyDescent="0.35">
      <c r="A204" s="47">
        <v>100025298</v>
      </c>
      <c r="B204" s="48">
        <v>7503039738416</v>
      </c>
      <c r="C204" s="47" t="s">
        <v>197</v>
      </c>
      <c r="D204" s="47" t="s">
        <v>693</v>
      </c>
      <c r="E204" t="s">
        <v>588</v>
      </c>
    </row>
    <row r="205" spans="1:5" ht="16" hidden="1" x14ac:dyDescent="0.35">
      <c r="A205" s="47">
        <v>100025298</v>
      </c>
      <c r="B205" s="48">
        <v>7503039738416</v>
      </c>
      <c r="C205" s="47" t="s">
        <v>197</v>
      </c>
      <c r="D205" s="47" t="s">
        <v>694</v>
      </c>
      <c r="E205" t="s">
        <v>588</v>
      </c>
    </row>
    <row r="206" spans="1:5" ht="16" hidden="1" x14ac:dyDescent="0.35">
      <c r="A206" s="47">
        <v>100025298</v>
      </c>
      <c r="B206" s="48">
        <v>7503039738416</v>
      </c>
      <c r="C206" s="47" t="s">
        <v>197</v>
      </c>
      <c r="D206" s="47" t="s">
        <v>695</v>
      </c>
      <c r="E206" t="s">
        <v>588</v>
      </c>
    </row>
    <row r="207" spans="1:5" ht="16" hidden="1" x14ac:dyDescent="0.35">
      <c r="A207" s="47">
        <v>100025298</v>
      </c>
      <c r="B207" s="48">
        <v>7503039738416</v>
      </c>
      <c r="C207" s="47" t="s">
        <v>197</v>
      </c>
      <c r="D207" s="47" t="s">
        <v>696</v>
      </c>
      <c r="E207" t="s">
        <v>588</v>
      </c>
    </row>
    <row r="208" spans="1:5" ht="16" hidden="1" x14ac:dyDescent="0.35">
      <c r="A208" s="47">
        <v>100025298</v>
      </c>
      <c r="B208" s="48">
        <v>7503039738416</v>
      </c>
      <c r="C208" s="47" t="s">
        <v>197</v>
      </c>
      <c r="D208" s="47" t="s">
        <v>697</v>
      </c>
      <c r="E208" t="s">
        <v>588</v>
      </c>
    </row>
    <row r="209" spans="1:5" ht="16" hidden="1" x14ac:dyDescent="0.35">
      <c r="A209" s="47">
        <v>100025298</v>
      </c>
      <c r="B209" s="48">
        <v>7503039738416</v>
      </c>
      <c r="C209" s="47" t="s">
        <v>197</v>
      </c>
      <c r="D209" s="47" t="s">
        <v>698</v>
      </c>
      <c r="E209" t="s">
        <v>588</v>
      </c>
    </row>
    <row r="210" spans="1:5" ht="16" hidden="1" x14ac:dyDescent="0.35">
      <c r="A210" s="47">
        <v>100025298</v>
      </c>
      <c r="B210" s="48">
        <v>7503039738416</v>
      </c>
      <c r="C210" s="47" t="s">
        <v>197</v>
      </c>
      <c r="D210" s="47" t="s">
        <v>657</v>
      </c>
      <c r="E210" t="s">
        <v>588</v>
      </c>
    </row>
    <row r="211" spans="1:5" ht="16" hidden="1" x14ac:dyDescent="0.35">
      <c r="A211" s="47">
        <v>100025298</v>
      </c>
      <c r="B211" s="48">
        <v>7503039738416</v>
      </c>
      <c r="C211" s="47" t="s">
        <v>197</v>
      </c>
      <c r="D211" s="47" t="s">
        <v>699</v>
      </c>
      <c r="E211" t="s">
        <v>588</v>
      </c>
    </row>
    <row r="212" spans="1:5" ht="16" hidden="1" x14ac:dyDescent="0.35">
      <c r="A212" s="47">
        <v>100025296</v>
      </c>
      <c r="B212" s="48">
        <v>7503039738409</v>
      </c>
      <c r="C212" s="47" t="s">
        <v>556</v>
      </c>
      <c r="D212" s="47" t="s">
        <v>687</v>
      </c>
      <c r="E212" t="s">
        <v>588</v>
      </c>
    </row>
    <row r="213" spans="1:5" ht="16" hidden="1" x14ac:dyDescent="0.35">
      <c r="A213" s="47">
        <v>100025296</v>
      </c>
      <c r="B213" s="48">
        <v>7503039738409</v>
      </c>
      <c r="C213" s="47" t="s">
        <v>556</v>
      </c>
      <c r="D213" s="47" t="s">
        <v>688</v>
      </c>
      <c r="E213" t="s">
        <v>588</v>
      </c>
    </row>
    <row r="214" spans="1:5" ht="16" hidden="1" x14ac:dyDescent="0.35">
      <c r="A214" s="47">
        <v>100025296</v>
      </c>
      <c r="B214" s="48">
        <v>7503039738409</v>
      </c>
      <c r="C214" s="47" t="s">
        <v>556</v>
      </c>
      <c r="D214" s="47" t="s">
        <v>656</v>
      </c>
      <c r="E214" t="s">
        <v>588</v>
      </c>
    </row>
    <row r="215" spans="1:5" ht="16" hidden="1" x14ac:dyDescent="0.35">
      <c r="A215" s="47">
        <v>100025296</v>
      </c>
      <c r="B215" s="48">
        <v>7503039738409</v>
      </c>
      <c r="C215" s="47" t="s">
        <v>556</v>
      </c>
      <c r="D215" s="47" t="s">
        <v>689</v>
      </c>
      <c r="E215" t="s">
        <v>588</v>
      </c>
    </row>
    <row r="216" spans="1:5" ht="16" hidden="1" x14ac:dyDescent="0.35">
      <c r="A216" s="47">
        <v>100025296</v>
      </c>
      <c r="B216" s="48">
        <v>7503039738409</v>
      </c>
      <c r="C216" s="47" t="s">
        <v>556</v>
      </c>
      <c r="D216" s="47" t="s">
        <v>690</v>
      </c>
      <c r="E216" t="s">
        <v>588</v>
      </c>
    </row>
    <row r="217" spans="1:5" ht="16" hidden="1" x14ac:dyDescent="0.35">
      <c r="A217" s="47">
        <v>100025296</v>
      </c>
      <c r="B217" s="48">
        <v>7503039738409</v>
      </c>
      <c r="C217" s="47" t="s">
        <v>556</v>
      </c>
      <c r="D217" s="47" t="s">
        <v>691</v>
      </c>
      <c r="E217" t="s">
        <v>588</v>
      </c>
    </row>
    <row r="218" spans="1:5" ht="16" hidden="1" x14ac:dyDescent="0.35">
      <c r="A218" s="47">
        <v>100025296</v>
      </c>
      <c r="B218" s="48">
        <v>7503039738409</v>
      </c>
      <c r="C218" s="47" t="s">
        <v>556</v>
      </c>
      <c r="D218" s="47" t="s">
        <v>692</v>
      </c>
      <c r="E218" t="s">
        <v>588</v>
      </c>
    </row>
    <row r="219" spans="1:5" ht="16" hidden="1" x14ac:dyDescent="0.35">
      <c r="A219" s="47">
        <v>100025296</v>
      </c>
      <c r="B219" s="48">
        <v>7503039738409</v>
      </c>
      <c r="C219" s="47" t="s">
        <v>556</v>
      </c>
      <c r="D219" s="47" t="s">
        <v>693</v>
      </c>
      <c r="E219" t="s">
        <v>588</v>
      </c>
    </row>
    <row r="220" spans="1:5" ht="16" hidden="1" x14ac:dyDescent="0.35">
      <c r="A220" s="47">
        <v>100025296</v>
      </c>
      <c r="B220" s="48">
        <v>7503039738409</v>
      </c>
      <c r="C220" s="47" t="s">
        <v>556</v>
      </c>
      <c r="D220" s="47" t="s">
        <v>694</v>
      </c>
      <c r="E220" t="s">
        <v>588</v>
      </c>
    </row>
    <row r="221" spans="1:5" ht="16" hidden="1" x14ac:dyDescent="0.35">
      <c r="A221" s="47">
        <v>100025296</v>
      </c>
      <c r="B221" s="48">
        <v>7503039738409</v>
      </c>
      <c r="C221" s="47" t="s">
        <v>556</v>
      </c>
      <c r="D221" s="47" t="s">
        <v>695</v>
      </c>
      <c r="E221" t="s">
        <v>588</v>
      </c>
    </row>
    <row r="222" spans="1:5" ht="16" hidden="1" x14ac:dyDescent="0.35">
      <c r="A222" s="47">
        <v>100025296</v>
      </c>
      <c r="B222" s="48">
        <v>7503039738409</v>
      </c>
      <c r="C222" s="47" t="s">
        <v>556</v>
      </c>
      <c r="D222" s="47" t="s">
        <v>696</v>
      </c>
      <c r="E222" t="s">
        <v>588</v>
      </c>
    </row>
    <row r="223" spans="1:5" ht="16" hidden="1" x14ac:dyDescent="0.35">
      <c r="A223" s="47">
        <v>100025296</v>
      </c>
      <c r="B223" s="48">
        <v>7503039738409</v>
      </c>
      <c r="C223" s="47" t="s">
        <v>556</v>
      </c>
      <c r="D223" s="47" t="s">
        <v>697</v>
      </c>
      <c r="E223" t="s">
        <v>588</v>
      </c>
    </row>
    <row r="224" spans="1:5" ht="16" hidden="1" x14ac:dyDescent="0.35">
      <c r="A224" s="47">
        <v>100025296</v>
      </c>
      <c r="B224" s="48">
        <v>7503039738409</v>
      </c>
      <c r="C224" s="47" t="s">
        <v>556</v>
      </c>
      <c r="D224" s="47" t="s">
        <v>698</v>
      </c>
      <c r="E224" t="s">
        <v>588</v>
      </c>
    </row>
    <row r="225" spans="1:5" ht="16" hidden="1" x14ac:dyDescent="0.35">
      <c r="A225" s="47">
        <v>100025296</v>
      </c>
      <c r="B225" s="48">
        <v>7503039738409</v>
      </c>
      <c r="C225" s="47" t="s">
        <v>556</v>
      </c>
      <c r="D225" s="47" t="s">
        <v>657</v>
      </c>
      <c r="E225" t="s">
        <v>588</v>
      </c>
    </row>
    <row r="226" spans="1:5" ht="16" hidden="1" x14ac:dyDescent="0.35">
      <c r="A226" s="47">
        <v>100025296</v>
      </c>
      <c r="B226" s="48">
        <v>7503039738409</v>
      </c>
      <c r="C226" s="47" t="s">
        <v>556</v>
      </c>
      <c r="D226" s="47" t="s">
        <v>699</v>
      </c>
      <c r="E226" t="s">
        <v>588</v>
      </c>
    </row>
    <row r="227" spans="1:5" ht="16" hidden="1" x14ac:dyDescent="0.35">
      <c r="A227" s="48">
        <v>7311250044441</v>
      </c>
      <c r="B227" s="48">
        <v>100024400</v>
      </c>
      <c r="C227" s="48" t="s">
        <v>21</v>
      </c>
      <c r="D227" s="47" t="s">
        <v>687</v>
      </c>
      <c r="E227" t="s">
        <v>588</v>
      </c>
    </row>
    <row r="228" spans="1:5" ht="16" hidden="1" x14ac:dyDescent="0.35">
      <c r="A228" s="48">
        <v>7311250044441</v>
      </c>
      <c r="B228" s="48">
        <v>100024400</v>
      </c>
      <c r="C228" s="48" t="s">
        <v>21</v>
      </c>
      <c r="D228" s="47" t="s">
        <v>688</v>
      </c>
      <c r="E228" t="s">
        <v>588</v>
      </c>
    </row>
    <row r="229" spans="1:5" ht="16" hidden="1" x14ac:dyDescent="0.35">
      <c r="A229" s="48">
        <v>7311250044441</v>
      </c>
      <c r="B229" s="48">
        <v>100024400</v>
      </c>
      <c r="C229" s="48" t="s">
        <v>21</v>
      </c>
      <c r="D229" s="47" t="s">
        <v>656</v>
      </c>
      <c r="E229" t="s">
        <v>588</v>
      </c>
    </row>
    <row r="230" spans="1:5" ht="16" hidden="1" x14ac:dyDescent="0.35">
      <c r="A230" s="48">
        <v>7311250044441</v>
      </c>
      <c r="B230" s="48">
        <v>100024400</v>
      </c>
      <c r="C230" s="48" t="s">
        <v>21</v>
      </c>
      <c r="D230" s="47" t="s">
        <v>689</v>
      </c>
      <c r="E230" t="s">
        <v>588</v>
      </c>
    </row>
    <row r="231" spans="1:5" ht="16" hidden="1" x14ac:dyDescent="0.35">
      <c r="A231" s="48">
        <v>7311250044441</v>
      </c>
      <c r="B231" s="48">
        <v>100024400</v>
      </c>
      <c r="C231" s="48" t="s">
        <v>21</v>
      </c>
      <c r="D231" s="47" t="s">
        <v>690</v>
      </c>
      <c r="E231" t="s">
        <v>588</v>
      </c>
    </row>
    <row r="232" spans="1:5" ht="16" hidden="1" x14ac:dyDescent="0.35">
      <c r="A232" s="48">
        <v>7311250044441</v>
      </c>
      <c r="B232" s="48">
        <v>100024400</v>
      </c>
      <c r="C232" s="48" t="s">
        <v>21</v>
      </c>
      <c r="D232" s="47" t="s">
        <v>691</v>
      </c>
      <c r="E232" t="s">
        <v>588</v>
      </c>
    </row>
    <row r="233" spans="1:5" ht="16" hidden="1" x14ac:dyDescent="0.35">
      <c r="A233" s="48">
        <v>7311250044441</v>
      </c>
      <c r="B233" s="48">
        <v>100024400</v>
      </c>
      <c r="C233" s="48" t="s">
        <v>21</v>
      </c>
      <c r="D233" s="47" t="s">
        <v>692</v>
      </c>
      <c r="E233" t="s">
        <v>588</v>
      </c>
    </row>
    <row r="234" spans="1:5" ht="16" hidden="1" x14ac:dyDescent="0.35">
      <c r="A234" s="48">
        <v>7311250044441</v>
      </c>
      <c r="B234" s="48">
        <v>100024400</v>
      </c>
      <c r="C234" s="48" t="s">
        <v>21</v>
      </c>
      <c r="D234" s="47" t="s">
        <v>693</v>
      </c>
      <c r="E234" t="s">
        <v>588</v>
      </c>
    </row>
    <row r="235" spans="1:5" ht="16" hidden="1" x14ac:dyDescent="0.35">
      <c r="A235" s="48">
        <v>7311250044441</v>
      </c>
      <c r="B235" s="48">
        <v>100024400</v>
      </c>
      <c r="C235" s="48" t="s">
        <v>21</v>
      </c>
      <c r="D235" s="47" t="s">
        <v>694</v>
      </c>
      <c r="E235" t="s">
        <v>588</v>
      </c>
    </row>
    <row r="236" spans="1:5" ht="16" hidden="1" x14ac:dyDescent="0.35">
      <c r="A236" s="48">
        <v>7311250044441</v>
      </c>
      <c r="B236" s="48">
        <v>100024400</v>
      </c>
      <c r="C236" s="48" t="s">
        <v>21</v>
      </c>
      <c r="D236" s="47" t="s">
        <v>695</v>
      </c>
      <c r="E236" t="s">
        <v>588</v>
      </c>
    </row>
    <row r="237" spans="1:5" ht="16" hidden="1" x14ac:dyDescent="0.35">
      <c r="A237" s="48">
        <v>7311250044441</v>
      </c>
      <c r="B237" s="48">
        <v>100024400</v>
      </c>
      <c r="C237" s="48" t="s">
        <v>21</v>
      </c>
      <c r="D237" s="47" t="s">
        <v>696</v>
      </c>
      <c r="E237" t="s">
        <v>588</v>
      </c>
    </row>
    <row r="238" spans="1:5" ht="16" hidden="1" x14ac:dyDescent="0.35">
      <c r="A238" s="48">
        <v>7311250044441</v>
      </c>
      <c r="B238" s="48">
        <v>100024400</v>
      </c>
      <c r="C238" s="48" t="s">
        <v>21</v>
      </c>
      <c r="D238" s="47" t="s">
        <v>697</v>
      </c>
      <c r="E238" t="s">
        <v>588</v>
      </c>
    </row>
    <row r="239" spans="1:5" ht="16" hidden="1" x14ac:dyDescent="0.35">
      <c r="A239" s="48">
        <v>7311250044441</v>
      </c>
      <c r="B239" s="48">
        <v>100024400</v>
      </c>
      <c r="C239" s="48" t="s">
        <v>21</v>
      </c>
      <c r="D239" s="47" t="s">
        <v>698</v>
      </c>
      <c r="E239" t="s">
        <v>588</v>
      </c>
    </row>
    <row r="240" spans="1:5" ht="16" hidden="1" x14ac:dyDescent="0.35">
      <c r="A240" s="48">
        <v>7311250044441</v>
      </c>
      <c r="B240" s="48">
        <v>100024400</v>
      </c>
      <c r="C240" s="48" t="s">
        <v>21</v>
      </c>
      <c r="D240" s="47" t="s">
        <v>657</v>
      </c>
      <c r="E240" t="s">
        <v>588</v>
      </c>
    </row>
    <row r="241" spans="1:5" ht="16" hidden="1" x14ac:dyDescent="0.35">
      <c r="A241" s="48">
        <v>7311250044441</v>
      </c>
      <c r="B241" s="48">
        <v>100024400</v>
      </c>
      <c r="C241" s="48" t="s">
        <v>21</v>
      </c>
      <c r="D241" s="47" t="s">
        <v>699</v>
      </c>
      <c r="E241" t="s">
        <v>588</v>
      </c>
    </row>
    <row r="242" spans="1:5" ht="16" hidden="1" x14ac:dyDescent="0.35">
      <c r="A242" s="48">
        <v>7311250044434</v>
      </c>
      <c r="B242" s="48">
        <v>100024295</v>
      </c>
      <c r="C242" s="48" t="s">
        <v>22</v>
      </c>
      <c r="D242" s="47" t="s">
        <v>687</v>
      </c>
      <c r="E242" t="s">
        <v>588</v>
      </c>
    </row>
    <row r="243" spans="1:5" ht="16" hidden="1" x14ac:dyDescent="0.35">
      <c r="A243" s="48">
        <v>7311250044434</v>
      </c>
      <c r="B243" s="48">
        <v>100024295</v>
      </c>
      <c r="C243" s="48" t="s">
        <v>22</v>
      </c>
      <c r="D243" s="47" t="s">
        <v>688</v>
      </c>
      <c r="E243" t="s">
        <v>588</v>
      </c>
    </row>
    <row r="244" spans="1:5" ht="16" hidden="1" x14ac:dyDescent="0.35">
      <c r="A244" s="48">
        <v>7311250044434</v>
      </c>
      <c r="B244" s="48">
        <v>100024295</v>
      </c>
      <c r="C244" s="48" t="s">
        <v>22</v>
      </c>
      <c r="D244" s="47" t="s">
        <v>656</v>
      </c>
      <c r="E244" t="s">
        <v>588</v>
      </c>
    </row>
    <row r="245" spans="1:5" ht="16" hidden="1" x14ac:dyDescent="0.35">
      <c r="A245" s="48">
        <v>7311250044434</v>
      </c>
      <c r="B245" s="48">
        <v>100024295</v>
      </c>
      <c r="C245" s="48" t="s">
        <v>22</v>
      </c>
      <c r="D245" s="47" t="s">
        <v>689</v>
      </c>
      <c r="E245" t="s">
        <v>588</v>
      </c>
    </row>
    <row r="246" spans="1:5" ht="16" hidden="1" x14ac:dyDescent="0.35">
      <c r="A246" s="48">
        <v>7311250044434</v>
      </c>
      <c r="B246" s="48">
        <v>100024295</v>
      </c>
      <c r="C246" s="48" t="s">
        <v>22</v>
      </c>
      <c r="D246" s="47" t="s">
        <v>690</v>
      </c>
      <c r="E246" t="s">
        <v>588</v>
      </c>
    </row>
    <row r="247" spans="1:5" ht="16" hidden="1" x14ac:dyDescent="0.35">
      <c r="A247" s="48">
        <v>7311250044434</v>
      </c>
      <c r="B247" s="48">
        <v>100024295</v>
      </c>
      <c r="C247" s="48" t="s">
        <v>22</v>
      </c>
      <c r="D247" s="47" t="s">
        <v>691</v>
      </c>
      <c r="E247" t="s">
        <v>588</v>
      </c>
    </row>
    <row r="248" spans="1:5" ht="16" hidden="1" x14ac:dyDescent="0.35">
      <c r="A248" s="48">
        <v>7311250044434</v>
      </c>
      <c r="B248" s="48">
        <v>100024295</v>
      </c>
      <c r="C248" s="48" t="s">
        <v>22</v>
      </c>
      <c r="D248" s="47" t="s">
        <v>692</v>
      </c>
      <c r="E248" t="s">
        <v>588</v>
      </c>
    </row>
    <row r="249" spans="1:5" ht="16" hidden="1" x14ac:dyDescent="0.35">
      <c r="A249" s="48">
        <v>7311250044434</v>
      </c>
      <c r="B249" s="48">
        <v>100024295</v>
      </c>
      <c r="C249" s="48" t="s">
        <v>22</v>
      </c>
      <c r="D249" s="47" t="s">
        <v>693</v>
      </c>
      <c r="E249" t="s">
        <v>588</v>
      </c>
    </row>
    <row r="250" spans="1:5" ht="16" hidden="1" x14ac:dyDescent="0.35">
      <c r="A250" s="48">
        <v>7311250044434</v>
      </c>
      <c r="B250" s="48">
        <v>100024295</v>
      </c>
      <c r="C250" s="48" t="s">
        <v>22</v>
      </c>
      <c r="D250" s="47" t="s">
        <v>694</v>
      </c>
      <c r="E250" t="s">
        <v>588</v>
      </c>
    </row>
    <row r="251" spans="1:5" ht="16" hidden="1" x14ac:dyDescent="0.35">
      <c r="A251" s="48">
        <v>7311250044434</v>
      </c>
      <c r="B251" s="48">
        <v>100024295</v>
      </c>
      <c r="C251" s="48" t="s">
        <v>22</v>
      </c>
      <c r="D251" s="47" t="s">
        <v>695</v>
      </c>
      <c r="E251" t="s">
        <v>588</v>
      </c>
    </row>
    <row r="252" spans="1:5" ht="16" hidden="1" x14ac:dyDescent="0.35">
      <c r="A252" s="48">
        <v>7311250044434</v>
      </c>
      <c r="B252" s="48">
        <v>100024295</v>
      </c>
      <c r="C252" s="48" t="s">
        <v>22</v>
      </c>
      <c r="D252" s="47" t="s">
        <v>696</v>
      </c>
      <c r="E252" t="s">
        <v>588</v>
      </c>
    </row>
    <row r="253" spans="1:5" ht="16" hidden="1" x14ac:dyDescent="0.35">
      <c r="A253" s="48">
        <v>7311250044434</v>
      </c>
      <c r="B253" s="48">
        <v>100024295</v>
      </c>
      <c r="C253" s="48" t="s">
        <v>22</v>
      </c>
      <c r="D253" s="47" t="s">
        <v>697</v>
      </c>
      <c r="E253" t="s">
        <v>588</v>
      </c>
    </row>
    <row r="254" spans="1:5" ht="16" hidden="1" x14ac:dyDescent="0.35">
      <c r="A254" s="48">
        <v>7311250044434</v>
      </c>
      <c r="B254" s="48">
        <v>100024295</v>
      </c>
      <c r="C254" s="48" t="s">
        <v>22</v>
      </c>
      <c r="D254" s="47" t="s">
        <v>698</v>
      </c>
      <c r="E254" t="s">
        <v>588</v>
      </c>
    </row>
    <row r="255" spans="1:5" ht="16" hidden="1" x14ac:dyDescent="0.35">
      <c r="A255" s="48">
        <v>7311250044434</v>
      </c>
      <c r="B255" s="48">
        <v>100024295</v>
      </c>
      <c r="C255" s="48" t="s">
        <v>22</v>
      </c>
      <c r="D255" s="47" t="s">
        <v>657</v>
      </c>
      <c r="E255" t="s">
        <v>588</v>
      </c>
    </row>
    <row r="256" spans="1:5" ht="16" hidden="1" x14ac:dyDescent="0.35">
      <c r="A256" s="48">
        <v>7311250044434</v>
      </c>
      <c r="B256" s="48">
        <v>100024295</v>
      </c>
      <c r="C256" s="48" t="s">
        <v>22</v>
      </c>
      <c r="D256" s="47" t="s">
        <v>699</v>
      </c>
      <c r="E256" t="s">
        <v>588</v>
      </c>
    </row>
    <row r="257" spans="1:5" ht="16" hidden="1" x14ac:dyDescent="0.35">
      <c r="A257" s="48">
        <v>75006372</v>
      </c>
      <c r="B257" s="48">
        <v>101000062</v>
      </c>
      <c r="C257" s="48" t="s">
        <v>176</v>
      </c>
      <c r="D257" s="47" t="s">
        <v>687</v>
      </c>
      <c r="E257" t="s">
        <v>588</v>
      </c>
    </row>
    <row r="258" spans="1:5" ht="16" hidden="1" x14ac:dyDescent="0.35">
      <c r="A258" s="48">
        <v>75006372</v>
      </c>
      <c r="B258" s="48">
        <v>101000062</v>
      </c>
      <c r="C258" s="48" t="s">
        <v>176</v>
      </c>
      <c r="D258" s="47" t="s">
        <v>688</v>
      </c>
      <c r="E258" t="s">
        <v>588</v>
      </c>
    </row>
    <row r="259" spans="1:5" ht="16" hidden="1" x14ac:dyDescent="0.35">
      <c r="A259" s="48">
        <v>75006372</v>
      </c>
      <c r="B259" s="48">
        <v>101000062</v>
      </c>
      <c r="C259" s="48" t="s">
        <v>176</v>
      </c>
      <c r="D259" s="47" t="s">
        <v>656</v>
      </c>
      <c r="E259" t="s">
        <v>588</v>
      </c>
    </row>
    <row r="260" spans="1:5" ht="16" hidden="1" x14ac:dyDescent="0.35">
      <c r="A260" s="48">
        <v>75006372</v>
      </c>
      <c r="B260" s="48">
        <v>101000062</v>
      </c>
      <c r="C260" s="48" t="s">
        <v>176</v>
      </c>
      <c r="D260" s="47" t="s">
        <v>689</v>
      </c>
      <c r="E260" t="s">
        <v>588</v>
      </c>
    </row>
    <row r="261" spans="1:5" ht="16" hidden="1" x14ac:dyDescent="0.35">
      <c r="A261" s="48">
        <v>75006372</v>
      </c>
      <c r="B261" s="48">
        <v>101000062</v>
      </c>
      <c r="C261" s="48" t="s">
        <v>176</v>
      </c>
      <c r="D261" s="47" t="s">
        <v>690</v>
      </c>
      <c r="E261" t="s">
        <v>588</v>
      </c>
    </row>
    <row r="262" spans="1:5" ht="16" hidden="1" x14ac:dyDescent="0.35">
      <c r="A262" s="48">
        <v>75006372</v>
      </c>
      <c r="B262" s="48">
        <v>101000062</v>
      </c>
      <c r="C262" s="48" t="s">
        <v>176</v>
      </c>
      <c r="D262" s="47" t="s">
        <v>691</v>
      </c>
      <c r="E262" t="s">
        <v>588</v>
      </c>
    </row>
    <row r="263" spans="1:5" ht="16" hidden="1" x14ac:dyDescent="0.35">
      <c r="A263" s="48">
        <v>75006372</v>
      </c>
      <c r="B263" s="48">
        <v>101000062</v>
      </c>
      <c r="C263" s="48" t="s">
        <v>176</v>
      </c>
      <c r="D263" s="47" t="s">
        <v>692</v>
      </c>
      <c r="E263" t="s">
        <v>588</v>
      </c>
    </row>
    <row r="264" spans="1:5" ht="16" hidden="1" x14ac:dyDescent="0.35">
      <c r="A264" s="48">
        <v>75006372</v>
      </c>
      <c r="B264" s="48">
        <v>101000062</v>
      </c>
      <c r="C264" s="48" t="s">
        <v>176</v>
      </c>
      <c r="D264" s="47" t="s">
        <v>693</v>
      </c>
      <c r="E264" t="s">
        <v>588</v>
      </c>
    </row>
    <row r="265" spans="1:5" ht="16" hidden="1" x14ac:dyDescent="0.35">
      <c r="A265" s="48">
        <v>75006372</v>
      </c>
      <c r="B265" s="48">
        <v>101000062</v>
      </c>
      <c r="C265" s="48" t="s">
        <v>176</v>
      </c>
      <c r="D265" s="47" t="s">
        <v>694</v>
      </c>
      <c r="E265" t="s">
        <v>588</v>
      </c>
    </row>
    <row r="266" spans="1:5" ht="16" hidden="1" x14ac:dyDescent="0.35">
      <c r="A266" s="48">
        <v>75006372</v>
      </c>
      <c r="B266" s="48">
        <v>101000062</v>
      </c>
      <c r="C266" s="48" t="s">
        <v>176</v>
      </c>
      <c r="D266" s="47" t="s">
        <v>695</v>
      </c>
      <c r="E266" t="s">
        <v>588</v>
      </c>
    </row>
    <row r="267" spans="1:5" ht="16" hidden="1" x14ac:dyDescent="0.35">
      <c r="A267" s="48">
        <v>75006372</v>
      </c>
      <c r="B267" s="48">
        <v>101000062</v>
      </c>
      <c r="C267" s="48" t="s">
        <v>176</v>
      </c>
      <c r="D267" s="47" t="s">
        <v>696</v>
      </c>
      <c r="E267" t="s">
        <v>588</v>
      </c>
    </row>
    <row r="268" spans="1:5" ht="16" hidden="1" x14ac:dyDescent="0.35">
      <c r="A268" s="48">
        <v>75006372</v>
      </c>
      <c r="B268" s="48">
        <v>101000062</v>
      </c>
      <c r="C268" s="48" t="s">
        <v>176</v>
      </c>
      <c r="D268" s="47" t="s">
        <v>697</v>
      </c>
      <c r="E268" t="s">
        <v>588</v>
      </c>
    </row>
    <row r="269" spans="1:5" ht="16" hidden="1" x14ac:dyDescent="0.35">
      <c r="A269" s="48">
        <v>75006372</v>
      </c>
      <c r="B269" s="48">
        <v>101000062</v>
      </c>
      <c r="C269" s="48" t="s">
        <v>176</v>
      </c>
      <c r="D269" s="47" t="s">
        <v>698</v>
      </c>
      <c r="E269" t="s">
        <v>588</v>
      </c>
    </row>
    <row r="270" spans="1:5" ht="16" hidden="1" x14ac:dyDescent="0.35">
      <c r="A270" s="48">
        <v>75006372</v>
      </c>
      <c r="B270" s="48">
        <v>101000062</v>
      </c>
      <c r="C270" s="48" t="s">
        <v>176</v>
      </c>
      <c r="D270" s="47" t="s">
        <v>657</v>
      </c>
      <c r="E270" t="s">
        <v>588</v>
      </c>
    </row>
    <row r="271" spans="1:5" ht="16" hidden="1" x14ac:dyDescent="0.35">
      <c r="A271" s="48">
        <v>75006372</v>
      </c>
      <c r="B271" s="48">
        <v>101000062</v>
      </c>
      <c r="C271" s="48" t="s">
        <v>176</v>
      </c>
      <c r="D271" s="47" t="s">
        <v>699</v>
      </c>
      <c r="E271" t="s">
        <v>588</v>
      </c>
    </row>
    <row r="272" spans="1:5" ht="16" hidden="1" x14ac:dyDescent="0.35">
      <c r="A272" s="48">
        <v>75001476</v>
      </c>
      <c r="B272" s="48">
        <v>100080034</v>
      </c>
      <c r="C272" s="48" t="s">
        <v>216</v>
      </c>
      <c r="D272" s="47" t="s">
        <v>687</v>
      </c>
      <c r="E272" t="s">
        <v>588</v>
      </c>
    </row>
    <row r="273" spans="1:5" ht="16" hidden="1" x14ac:dyDescent="0.35">
      <c r="A273" s="48">
        <v>75001476</v>
      </c>
      <c r="B273" s="48">
        <v>100080034</v>
      </c>
      <c r="C273" s="48" t="s">
        <v>216</v>
      </c>
      <c r="D273" s="47" t="s">
        <v>688</v>
      </c>
      <c r="E273" t="s">
        <v>588</v>
      </c>
    </row>
    <row r="274" spans="1:5" ht="16" hidden="1" x14ac:dyDescent="0.35">
      <c r="A274" s="48">
        <v>75001476</v>
      </c>
      <c r="B274" s="48">
        <v>100080034</v>
      </c>
      <c r="C274" s="48" t="s">
        <v>216</v>
      </c>
      <c r="D274" s="47" t="s">
        <v>656</v>
      </c>
      <c r="E274" t="s">
        <v>588</v>
      </c>
    </row>
    <row r="275" spans="1:5" ht="16" hidden="1" x14ac:dyDescent="0.35">
      <c r="A275" s="48">
        <v>75001476</v>
      </c>
      <c r="B275" s="48">
        <v>100080034</v>
      </c>
      <c r="C275" s="48" t="s">
        <v>216</v>
      </c>
      <c r="D275" s="47" t="s">
        <v>689</v>
      </c>
      <c r="E275" t="s">
        <v>588</v>
      </c>
    </row>
    <row r="276" spans="1:5" ht="16" hidden="1" x14ac:dyDescent="0.35">
      <c r="A276" s="48">
        <v>75001476</v>
      </c>
      <c r="B276" s="48">
        <v>100080034</v>
      </c>
      <c r="C276" s="48" t="s">
        <v>216</v>
      </c>
      <c r="D276" s="47" t="s">
        <v>690</v>
      </c>
      <c r="E276" t="s">
        <v>588</v>
      </c>
    </row>
    <row r="277" spans="1:5" ht="16" hidden="1" x14ac:dyDescent="0.35">
      <c r="A277" s="48">
        <v>75001476</v>
      </c>
      <c r="B277" s="48">
        <v>100080034</v>
      </c>
      <c r="C277" s="48" t="s">
        <v>216</v>
      </c>
      <c r="D277" s="47" t="s">
        <v>691</v>
      </c>
      <c r="E277" t="s">
        <v>588</v>
      </c>
    </row>
    <row r="278" spans="1:5" ht="16" hidden="1" x14ac:dyDescent="0.35">
      <c r="A278" s="48">
        <v>75001476</v>
      </c>
      <c r="B278" s="48">
        <v>100080034</v>
      </c>
      <c r="C278" s="48" t="s">
        <v>216</v>
      </c>
      <c r="D278" s="47" t="s">
        <v>692</v>
      </c>
      <c r="E278" t="s">
        <v>588</v>
      </c>
    </row>
    <row r="279" spans="1:5" ht="16" hidden="1" x14ac:dyDescent="0.35">
      <c r="A279" s="48">
        <v>75001476</v>
      </c>
      <c r="B279" s="48">
        <v>100080034</v>
      </c>
      <c r="C279" s="48" t="s">
        <v>216</v>
      </c>
      <c r="D279" s="47" t="s">
        <v>693</v>
      </c>
      <c r="E279" t="s">
        <v>588</v>
      </c>
    </row>
    <row r="280" spans="1:5" ht="16" hidden="1" x14ac:dyDescent="0.35">
      <c r="A280" s="48">
        <v>75001476</v>
      </c>
      <c r="B280" s="48">
        <v>100080034</v>
      </c>
      <c r="C280" s="48" t="s">
        <v>216</v>
      </c>
      <c r="D280" s="47" t="s">
        <v>694</v>
      </c>
      <c r="E280" t="s">
        <v>588</v>
      </c>
    </row>
    <row r="281" spans="1:5" ht="16" hidden="1" x14ac:dyDescent="0.35">
      <c r="A281" s="48">
        <v>75001476</v>
      </c>
      <c r="B281" s="48">
        <v>100080034</v>
      </c>
      <c r="C281" s="48" t="s">
        <v>216</v>
      </c>
      <c r="D281" s="47" t="s">
        <v>695</v>
      </c>
      <c r="E281" t="s">
        <v>588</v>
      </c>
    </row>
    <row r="282" spans="1:5" ht="16" hidden="1" x14ac:dyDescent="0.35">
      <c r="A282" s="48">
        <v>75001476</v>
      </c>
      <c r="B282" s="48">
        <v>100080034</v>
      </c>
      <c r="C282" s="48" t="s">
        <v>216</v>
      </c>
      <c r="D282" s="47" t="s">
        <v>696</v>
      </c>
      <c r="E282" t="s">
        <v>588</v>
      </c>
    </row>
    <row r="283" spans="1:5" ht="16" hidden="1" x14ac:dyDescent="0.35">
      <c r="A283" s="48">
        <v>75001476</v>
      </c>
      <c r="B283" s="48">
        <v>100080034</v>
      </c>
      <c r="C283" s="48" t="s">
        <v>216</v>
      </c>
      <c r="D283" s="47" t="s">
        <v>697</v>
      </c>
      <c r="E283" t="s">
        <v>588</v>
      </c>
    </row>
    <row r="284" spans="1:5" ht="16" hidden="1" x14ac:dyDescent="0.35">
      <c r="A284" s="48">
        <v>75001476</v>
      </c>
      <c r="B284" s="48">
        <v>100080034</v>
      </c>
      <c r="C284" s="48" t="s">
        <v>216</v>
      </c>
      <c r="D284" s="47" t="s">
        <v>698</v>
      </c>
      <c r="E284" t="s">
        <v>588</v>
      </c>
    </row>
    <row r="285" spans="1:5" ht="16" hidden="1" x14ac:dyDescent="0.35">
      <c r="A285" s="48">
        <v>75001476</v>
      </c>
      <c r="B285" s="48">
        <v>100080034</v>
      </c>
      <c r="C285" s="48" t="s">
        <v>216</v>
      </c>
      <c r="D285" s="47" t="s">
        <v>657</v>
      </c>
      <c r="E285" t="s">
        <v>588</v>
      </c>
    </row>
    <row r="286" spans="1:5" ht="16" hidden="1" x14ac:dyDescent="0.35">
      <c r="A286" s="48">
        <v>75001476</v>
      </c>
      <c r="B286" s="48">
        <v>100080034</v>
      </c>
      <c r="C286" s="48" t="s">
        <v>216</v>
      </c>
      <c r="D286" s="47" t="s">
        <v>699</v>
      </c>
      <c r="E286" t="s">
        <v>588</v>
      </c>
    </row>
    <row r="287" spans="1:5" ht="16" hidden="1" x14ac:dyDescent="0.35">
      <c r="A287" s="48">
        <v>75022266</v>
      </c>
      <c r="B287" s="48">
        <v>100020945</v>
      </c>
      <c r="C287" s="48" t="s">
        <v>204</v>
      </c>
      <c r="D287" s="47" t="s">
        <v>687</v>
      </c>
      <c r="E287" t="s">
        <v>588</v>
      </c>
    </row>
    <row r="288" spans="1:5" ht="16" hidden="1" x14ac:dyDescent="0.35">
      <c r="A288" s="48">
        <v>75022266</v>
      </c>
      <c r="B288" s="48">
        <v>100020945</v>
      </c>
      <c r="C288" s="48" t="s">
        <v>204</v>
      </c>
      <c r="D288" s="47" t="s">
        <v>688</v>
      </c>
      <c r="E288" t="s">
        <v>588</v>
      </c>
    </row>
    <row r="289" spans="1:5" ht="16" hidden="1" x14ac:dyDescent="0.35">
      <c r="A289" s="48">
        <v>75022266</v>
      </c>
      <c r="B289" s="48">
        <v>100020945</v>
      </c>
      <c r="C289" s="48" t="s">
        <v>204</v>
      </c>
      <c r="D289" s="47" t="s">
        <v>656</v>
      </c>
      <c r="E289" t="s">
        <v>588</v>
      </c>
    </row>
    <row r="290" spans="1:5" ht="16" hidden="1" x14ac:dyDescent="0.35">
      <c r="A290" s="48">
        <v>75022266</v>
      </c>
      <c r="B290" s="48">
        <v>100020945</v>
      </c>
      <c r="C290" s="48" t="s">
        <v>204</v>
      </c>
      <c r="D290" s="47" t="s">
        <v>689</v>
      </c>
      <c r="E290" t="s">
        <v>588</v>
      </c>
    </row>
    <row r="291" spans="1:5" ht="16" hidden="1" x14ac:dyDescent="0.35">
      <c r="A291" s="48">
        <v>75022266</v>
      </c>
      <c r="B291" s="48">
        <v>100020945</v>
      </c>
      <c r="C291" s="48" t="s">
        <v>204</v>
      </c>
      <c r="D291" s="47" t="s">
        <v>690</v>
      </c>
      <c r="E291" t="s">
        <v>588</v>
      </c>
    </row>
    <row r="292" spans="1:5" ht="16" hidden="1" x14ac:dyDescent="0.35">
      <c r="A292" s="48">
        <v>75022266</v>
      </c>
      <c r="B292" s="48">
        <v>100020945</v>
      </c>
      <c r="C292" s="48" t="s">
        <v>204</v>
      </c>
      <c r="D292" s="47" t="s">
        <v>691</v>
      </c>
      <c r="E292" t="s">
        <v>588</v>
      </c>
    </row>
    <row r="293" spans="1:5" ht="16" hidden="1" x14ac:dyDescent="0.35">
      <c r="A293" s="48">
        <v>75022266</v>
      </c>
      <c r="B293" s="48">
        <v>100020945</v>
      </c>
      <c r="C293" s="48" t="s">
        <v>204</v>
      </c>
      <c r="D293" s="47" t="s">
        <v>692</v>
      </c>
      <c r="E293" t="s">
        <v>588</v>
      </c>
    </row>
    <row r="294" spans="1:5" ht="16" hidden="1" x14ac:dyDescent="0.35">
      <c r="A294" s="48">
        <v>75022266</v>
      </c>
      <c r="B294" s="48">
        <v>100020945</v>
      </c>
      <c r="C294" s="48" t="s">
        <v>204</v>
      </c>
      <c r="D294" s="47" t="s">
        <v>693</v>
      </c>
      <c r="E294" t="s">
        <v>588</v>
      </c>
    </row>
    <row r="295" spans="1:5" ht="16" hidden="1" x14ac:dyDescent="0.35">
      <c r="A295" s="48">
        <v>75022266</v>
      </c>
      <c r="B295" s="48">
        <v>100020945</v>
      </c>
      <c r="C295" s="48" t="s">
        <v>204</v>
      </c>
      <c r="D295" s="47" t="s">
        <v>694</v>
      </c>
      <c r="E295" t="s">
        <v>588</v>
      </c>
    </row>
    <row r="296" spans="1:5" ht="16" hidden="1" x14ac:dyDescent="0.35">
      <c r="A296" s="48">
        <v>75022266</v>
      </c>
      <c r="B296" s="48">
        <v>100020945</v>
      </c>
      <c r="C296" s="48" t="s">
        <v>204</v>
      </c>
      <c r="D296" s="47" t="s">
        <v>695</v>
      </c>
      <c r="E296" t="s">
        <v>588</v>
      </c>
    </row>
    <row r="297" spans="1:5" ht="16" hidden="1" x14ac:dyDescent="0.35">
      <c r="A297" s="48">
        <v>75022266</v>
      </c>
      <c r="B297" s="48">
        <v>100020945</v>
      </c>
      <c r="C297" s="48" t="s">
        <v>204</v>
      </c>
      <c r="D297" s="47" t="s">
        <v>696</v>
      </c>
      <c r="E297" t="s">
        <v>588</v>
      </c>
    </row>
    <row r="298" spans="1:5" ht="16" hidden="1" x14ac:dyDescent="0.35">
      <c r="A298" s="48">
        <v>75022266</v>
      </c>
      <c r="B298" s="48">
        <v>100020945</v>
      </c>
      <c r="C298" s="48" t="s">
        <v>204</v>
      </c>
      <c r="D298" s="47" t="s">
        <v>697</v>
      </c>
      <c r="E298" t="s">
        <v>588</v>
      </c>
    </row>
    <row r="299" spans="1:5" ht="16" hidden="1" x14ac:dyDescent="0.35">
      <c r="A299" s="48">
        <v>75022266</v>
      </c>
      <c r="B299" s="48">
        <v>100020945</v>
      </c>
      <c r="C299" s="48" t="s">
        <v>204</v>
      </c>
      <c r="D299" s="47" t="s">
        <v>698</v>
      </c>
      <c r="E299" t="s">
        <v>588</v>
      </c>
    </row>
    <row r="300" spans="1:5" ht="16" hidden="1" x14ac:dyDescent="0.35">
      <c r="A300" s="48">
        <v>75022266</v>
      </c>
      <c r="B300" s="48">
        <v>100020945</v>
      </c>
      <c r="C300" s="48" t="s">
        <v>204</v>
      </c>
      <c r="D300" s="47" t="s">
        <v>657</v>
      </c>
      <c r="E300" t="s">
        <v>588</v>
      </c>
    </row>
    <row r="301" spans="1:5" ht="16" hidden="1" x14ac:dyDescent="0.35">
      <c r="A301" s="48">
        <v>75022266</v>
      </c>
      <c r="B301" s="48">
        <v>100020945</v>
      </c>
      <c r="C301" s="48" t="s">
        <v>204</v>
      </c>
      <c r="D301" s="47" t="s">
        <v>699</v>
      </c>
      <c r="E301" t="s">
        <v>588</v>
      </c>
    </row>
    <row r="302" spans="1:5" ht="16" hidden="1" x14ac:dyDescent="0.35">
      <c r="A302" s="47">
        <f>+_xlfn.XLOOKUP(C302,[1]master!C:C,[1]master!A:A)</f>
        <v>100019232</v>
      </c>
      <c r="B302" s="47">
        <f>+_xlfn.XLOOKUP(C302,[1]master!C:C,[1]master!B:B)</f>
        <v>75074876</v>
      </c>
      <c r="C302" s="47" t="s">
        <v>326</v>
      </c>
      <c r="D302" s="47" t="s">
        <v>656</v>
      </c>
      <c r="E302" t="s">
        <v>588</v>
      </c>
    </row>
    <row r="303" spans="1:5" ht="16" hidden="1" x14ac:dyDescent="0.35">
      <c r="A303" s="47">
        <f>+_xlfn.XLOOKUP(C303,[1]master!C:C,[1]master!A:A)</f>
        <v>100019228</v>
      </c>
      <c r="B303" s="47">
        <f>+_xlfn.XLOOKUP(C303,[1]master!C:C,[1]master!B:B)</f>
        <v>75074883</v>
      </c>
      <c r="C303" s="47" t="s">
        <v>323</v>
      </c>
      <c r="D303" s="47" t="s">
        <v>656</v>
      </c>
      <c r="E303" t="s">
        <v>588</v>
      </c>
    </row>
    <row r="304" spans="1:5" ht="16" hidden="1" x14ac:dyDescent="0.35">
      <c r="A304" s="47">
        <f>+_xlfn.XLOOKUP(C304,[1]master!C:C,[1]master!A:A)</f>
        <v>100080892</v>
      </c>
      <c r="B304" s="47">
        <f>+_xlfn.XLOOKUP(C304,[1]master!C:C,[1]master!B:B)</f>
        <v>75042943</v>
      </c>
      <c r="C304" s="47" t="s">
        <v>338</v>
      </c>
      <c r="D304" s="47" t="s">
        <v>656</v>
      </c>
      <c r="E304" t="s">
        <v>588</v>
      </c>
    </row>
    <row r="305" spans="1:5" ht="16" hidden="1" x14ac:dyDescent="0.35">
      <c r="A305" s="47">
        <f>+_xlfn.XLOOKUP(C305,[1]master!C:C,[1]master!A:A)</f>
        <v>100080878</v>
      </c>
      <c r="B305" s="47">
        <f>+_xlfn.XLOOKUP(C305,[1]master!C:C,[1]master!B:B)</f>
        <v>75039875</v>
      </c>
      <c r="C305" s="47" t="s">
        <v>335</v>
      </c>
      <c r="D305" s="47" t="s">
        <v>656</v>
      </c>
      <c r="E305" t="s">
        <v>588</v>
      </c>
    </row>
    <row r="306" spans="1:5" ht="16" x14ac:dyDescent="0.35">
      <c r="A306" s="47">
        <f>+_xlfn.XLOOKUP(C306,[1]master!C:C,[1]master!A:A)</f>
        <v>100020970</v>
      </c>
      <c r="B306" s="47">
        <f>+_xlfn.XLOOKUP(C306,[1]master!C:C,[1]master!B:B)</f>
        <v>75076405</v>
      </c>
      <c r="C306" s="47" t="s">
        <v>60</v>
      </c>
      <c r="D306" s="47" t="s">
        <v>698</v>
      </c>
      <c r="E306" t="s">
        <v>588</v>
      </c>
    </row>
    <row r="307" spans="1:5" ht="16" hidden="1" x14ac:dyDescent="0.35">
      <c r="A307" s="47">
        <f>+_xlfn.XLOOKUP(C307,[1]master!C:C,[1]master!A:A)</f>
        <v>100020969</v>
      </c>
      <c r="B307" s="47">
        <f>+_xlfn.XLOOKUP(C307,[1]master!C:C,[1]master!B:B)</f>
        <v>75076740</v>
      </c>
      <c r="C307" s="47" t="s">
        <v>62</v>
      </c>
      <c r="D307" s="47" t="s">
        <v>698</v>
      </c>
      <c r="E307" t="s">
        <v>588</v>
      </c>
    </row>
    <row r="308" spans="1:5" ht="16" hidden="1" x14ac:dyDescent="0.35">
      <c r="A308" s="47">
        <f>+_xlfn.XLOOKUP(C308,[1]master!C:C,[1]master!A:A)</f>
        <v>100023317</v>
      </c>
      <c r="B308" s="47">
        <f>+_xlfn.XLOOKUP(C308,[1]master!C:C,[1]master!B:B)</f>
        <v>75078843</v>
      </c>
      <c r="C308" s="47" t="s">
        <v>65</v>
      </c>
      <c r="D308" s="47" t="s">
        <v>698</v>
      </c>
      <c r="E308" t="s">
        <v>588</v>
      </c>
    </row>
    <row r="309" spans="1:5" ht="16" hidden="1" x14ac:dyDescent="0.35">
      <c r="A309" s="47">
        <f>+_xlfn.XLOOKUP(C309,[1]master!C:C,[1]master!A:A)</f>
        <v>100019232</v>
      </c>
      <c r="B309" s="47">
        <f>+_xlfn.XLOOKUP(C309,[1]master!C:C,[1]master!B:B)</f>
        <v>75074876</v>
      </c>
      <c r="C309" s="47" t="s">
        <v>326</v>
      </c>
      <c r="D309" s="47" t="s">
        <v>698</v>
      </c>
      <c r="E309" t="s">
        <v>588</v>
      </c>
    </row>
    <row r="310" spans="1:5" ht="16" hidden="1" x14ac:dyDescent="0.35">
      <c r="A310" s="47">
        <f>+_xlfn.XLOOKUP(C310,[1]master!C:C,[1]master!A:A)</f>
        <v>100019228</v>
      </c>
      <c r="B310" s="47">
        <f>+_xlfn.XLOOKUP(C310,[1]master!C:C,[1]master!B:B)</f>
        <v>75074883</v>
      </c>
      <c r="C310" s="47" t="s">
        <v>323</v>
      </c>
      <c r="D310" s="47" t="s">
        <v>698</v>
      </c>
      <c r="E310" t="s">
        <v>588</v>
      </c>
    </row>
    <row r="311" spans="1:5" ht="16" hidden="1" x14ac:dyDescent="0.35">
      <c r="A311" s="47">
        <f>+_xlfn.XLOOKUP(C311,[1]master!C:C,[1]master!A:A)</f>
        <v>100019232</v>
      </c>
      <c r="B311" s="47">
        <f>+_xlfn.XLOOKUP(C311,[1]master!C:C,[1]master!B:B)</f>
        <v>75074876</v>
      </c>
      <c r="C311" s="47" t="s">
        <v>326</v>
      </c>
      <c r="D311" s="47" t="s">
        <v>699</v>
      </c>
      <c r="E311" t="s">
        <v>588</v>
      </c>
    </row>
    <row r="312" spans="1:5" ht="16" hidden="1" x14ac:dyDescent="0.35">
      <c r="A312" s="47">
        <f>+_xlfn.XLOOKUP(C312,[1]master!C:C,[1]master!A:A)</f>
        <v>100019228</v>
      </c>
      <c r="B312" s="47">
        <f>+_xlfn.XLOOKUP(C312,[1]master!C:C,[1]master!B:B)</f>
        <v>75074883</v>
      </c>
      <c r="C312" s="47" t="s">
        <v>323</v>
      </c>
      <c r="D312" s="47" t="s">
        <v>699</v>
      </c>
      <c r="E312" t="s">
        <v>588</v>
      </c>
    </row>
    <row r="313" spans="1:5" ht="16" hidden="1" x14ac:dyDescent="0.35">
      <c r="A313" s="47">
        <f>+_xlfn.XLOOKUP(C313,[1]master!C:C,[1]master!A:A)</f>
        <v>100080892</v>
      </c>
      <c r="B313" s="47">
        <f>+_xlfn.XLOOKUP(C313,[1]master!C:C,[1]master!B:B)</f>
        <v>75042943</v>
      </c>
      <c r="C313" s="47" t="s">
        <v>338</v>
      </c>
      <c r="D313" s="47" t="s">
        <v>699</v>
      </c>
      <c r="E313" t="s">
        <v>588</v>
      </c>
    </row>
    <row r="314" spans="1:5" ht="16" hidden="1" x14ac:dyDescent="0.35">
      <c r="A314" s="47">
        <f>+_xlfn.XLOOKUP(C314,[1]master!C:C,[1]master!A:A)</f>
        <v>100080878</v>
      </c>
      <c r="B314" s="47">
        <f>+_xlfn.XLOOKUP(C314,[1]master!C:C,[1]master!B:B)</f>
        <v>75039875</v>
      </c>
      <c r="C314" s="47" t="s">
        <v>335</v>
      </c>
      <c r="D314" s="47" t="s">
        <v>699</v>
      </c>
      <c r="E314" t="s">
        <v>588</v>
      </c>
    </row>
    <row r="315" spans="1:5" ht="16" x14ac:dyDescent="0.35">
      <c r="A315" s="47">
        <f>+_xlfn.XLOOKUP(C315,[1]master!C:C,[1]master!A:A)</f>
        <v>100020970</v>
      </c>
      <c r="B315" s="47">
        <f>+_xlfn.XLOOKUP(C315,[1]master!C:C,[1]master!B:B)</f>
        <v>75076405</v>
      </c>
      <c r="C315" s="47" t="s">
        <v>60</v>
      </c>
      <c r="D315" s="47" t="s">
        <v>692</v>
      </c>
      <c r="E315" t="s">
        <v>588</v>
      </c>
    </row>
    <row r="316" spans="1:5" ht="16" hidden="1" x14ac:dyDescent="0.35">
      <c r="A316" s="47">
        <f>+_xlfn.XLOOKUP(C316,[1]master!C:C,[1]master!A:A)</f>
        <v>100020969</v>
      </c>
      <c r="B316" s="47">
        <f>+_xlfn.XLOOKUP(C316,[1]master!C:C,[1]master!B:B)</f>
        <v>75076740</v>
      </c>
      <c r="C316" s="47" t="s">
        <v>62</v>
      </c>
      <c r="D316" s="47" t="s">
        <v>692</v>
      </c>
      <c r="E316" t="s">
        <v>588</v>
      </c>
    </row>
    <row r="317" spans="1:5" ht="16" hidden="1" x14ac:dyDescent="0.35">
      <c r="A317" s="47">
        <f>+_xlfn.XLOOKUP(C317,[1]master!C:C,[1]master!A:A)</f>
        <v>100019232</v>
      </c>
      <c r="B317" s="47">
        <f>+_xlfn.XLOOKUP(C317,[1]master!C:C,[1]master!B:B)</f>
        <v>75074876</v>
      </c>
      <c r="C317" s="47" t="s">
        <v>326</v>
      </c>
      <c r="D317" s="47" t="s">
        <v>692</v>
      </c>
      <c r="E317" t="s">
        <v>588</v>
      </c>
    </row>
    <row r="318" spans="1:5" ht="16" hidden="1" x14ac:dyDescent="0.35">
      <c r="A318" s="47">
        <f>+_xlfn.XLOOKUP(C318,[1]master!C:C,[1]master!A:A)</f>
        <v>100019228</v>
      </c>
      <c r="B318" s="47">
        <f>+_xlfn.XLOOKUP(C318,[1]master!C:C,[1]master!B:B)</f>
        <v>75074883</v>
      </c>
      <c r="C318" s="47" t="s">
        <v>323</v>
      </c>
      <c r="D318" s="47" t="s">
        <v>692</v>
      </c>
      <c r="E318" t="s">
        <v>588</v>
      </c>
    </row>
    <row r="319" spans="1:5" ht="16" hidden="1" x14ac:dyDescent="0.35">
      <c r="A319" s="47">
        <f>+_xlfn.XLOOKUP(C319,[1]master!C:C,[1]master!A:A)</f>
        <v>100080892</v>
      </c>
      <c r="B319" s="47">
        <f>+_xlfn.XLOOKUP(C319,[1]master!C:C,[1]master!B:B)</f>
        <v>75042943</v>
      </c>
      <c r="C319" s="47" t="s">
        <v>338</v>
      </c>
      <c r="D319" s="47" t="s">
        <v>692</v>
      </c>
      <c r="E319" t="s">
        <v>588</v>
      </c>
    </row>
    <row r="320" spans="1:5" ht="16" hidden="1" x14ac:dyDescent="0.35">
      <c r="A320" s="47">
        <f>+_xlfn.XLOOKUP(C320,[1]master!C:C,[1]master!A:A)</f>
        <v>100080878</v>
      </c>
      <c r="B320" s="47">
        <f>+_xlfn.XLOOKUP(C320,[1]master!C:C,[1]master!B:B)</f>
        <v>75039875</v>
      </c>
      <c r="C320" s="47" t="s">
        <v>335</v>
      </c>
      <c r="D320" s="47" t="s">
        <v>692</v>
      </c>
      <c r="E320" t="s">
        <v>588</v>
      </c>
    </row>
    <row r="321" spans="1:5" ht="16" hidden="1" x14ac:dyDescent="0.35">
      <c r="A321" s="47">
        <f>+_xlfn.XLOOKUP(C321,[1]master!C:C,[1]master!A:A)</f>
        <v>100019232</v>
      </c>
      <c r="B321" s="47">
        <f>+_xlfn.XLOOKUP(C321,[1]master!C:C,[1]master!B:B)</f>
        <v>75074876</v>
      </c>
      <c r="C321" s="47" t="s">
        <v>326</v>
      </c>
      <c r="D321" s="47" t="s">
        <v>694</v>
      </c>
      <c r="E321" t="s">
        <v>588</v>
      </c>
    </row>
    <row r="322" spans="1:5" ht="16" hidden="1" x14ac:dyDescent="0.35">
      <c r="A322" s="47">
        <f>+_xlfn.XLOOKUP(C322,[1]master!C:C,[1]master!A:A)</f>
        <v>100019228</v>
      </c>
      <c r="B322" s="47">
        <f>+_xlfn.XLOOKUP(C322,[1]master!C:C,[1]master!B:B)</f>
        <v>75074883</v>
      </c>
      <c r="C322" s="47" t="s">
        <v>323</v>
      </c>
      <c r="D322" s="47" t="s">
        <v>694</v>
      </c>
      <c r="E322" t="s">
        <v>588</v>
      </c>
    </row>
    <row r="323" spans="1:5" ht="16" hidden="1" x14ac:dyDescent="0.35">
      <c r="A323" s="47">
        <f>+_xlfn.XLOOKUP(C323,[1]master!C:C,[1]master!A:A)</f>
        <v>100080892</v>
      </c>
      <c r="B323" s="47">
        <f>+_xlfn.XLOOKUP(C323,[1]master!C:C,[1]master!B:B)</f>
        <v>75042943</v>
      </c>
      <c r="C323" s="47" t="s">
        <v>338</v>
      </c>
      <c r="D323" s="47" t="s">
        <v>694</v>
      </c>
      <c r="E323" t="s">
        <v>588</v>
      </c>
    </row>
    <row r="324" spans="1:5" ht="16" hidden="1" x14ac:dyDescent="0.35">
      <c r="A324" s="47">
        <f>+_xlfn.XLOOKUP(C324,[1]master!C:C,[1]master!A:A)</f>
        <v>100080878</v>
      </c>
      <c r="B324" s="47">
        <f>+_xlfn.XLOOKUP(C324,[1]master!C:C,[1]master!B:B)</f>
        <v>75039875</v>
      </c>
      <c r="C324" s="47" t="s">
        <v>335</v>
      </c>
      <c r="D324" s="47" t="s">
        <v>694</v>
      </c>
      <c r="E324" t="s">
        <v>588</v>
      </c>
    </row>
    <row r="325" spans="1:5" ht="16" hidden="1" x14ac:dyDescent="0.35">
      <c r="A325" s="47">
        <f>+_xlfn.XLOOKUP(C325,[1]master!C:C,[1]master!A:A)</f>
        <v>100019232</v>
      </c>
      <c r="B325" s="47">
        <f>+_xlfn.XLOOKUP(C325,[1]master!C:C,[1]master!B:B)</f>
        <v>75074876</v>
      </c>
      <c r="C325" s="47" t="s">
        <v>326</v>
      </c>
      <c r="D325" s="47" t="s">
        <v>696</v>
      </c>
      <c r="E325" t="s">
        <v>588</v>
      </c>
    </row>
    <row r="326" spans="1:5" ht="16" hidden="1" x14ac:dyDescent="0.35">
      <c r="A326" s="47">
        <f>+_xlfn.XLOOKUP(C326,[1]master!C:C,[1]master!A:A)</f>
        <v>100080892</v>
      </c>
      <c r="B326" s="47">
        <f>+_xlfn.XLOOKUP(C326,[1]master!C:C,[1]master!B:B)</f>
        <v>75042943</v>
      </c>
      <c r="C326" s="47" t="s">
        <v>338</v>
      </c>
      <c r="D326" s="47" t="s">
        <v>696</v>
      </c>
      <c r="E326" t="s">
        <v>588</v>
      </c>
    </row>
    <row r="327" spans="1:5" ht="16" hidden="1" x14ac:dyDescent="0.35">
      <c r="A327" s="47">
        <f>+_xlfn.XLOOKUP(C327,[1]master!C:C,[1]master!A:A)</f>
        <v>100019232</v>
      </c>
      <c r="B327" s="47">
        <f>+_xlfn.XLOOKUP(C327,[1]master!C:C,[1]master!B:B)</f>
        <v>75074876</v>
      </c>
      <c r="C327" s="47" t="s">
        <v>326</v>
      </c>
      <c r="D327" s="47" t="s">
        <v>689</v>
      </c>
      <c r="E327" t="s">
        <v>588</v>
      </c>
    </row>
    <row r="328" spans="1:5" ht="16" hidden="1" x14ac:dyDescent="0.35">
      <c r="A328" s="47">
        <f>+_xlfn.XLOOKUP(C328,[1]master!C:C,[1]master!A:A)</f>
        <v>100019228</v>
      </c>
      <c r="B328" s="47">
        <f>+_xlfn.XLOOKUP(C328,[1]master!C:C,[1]master!B:B)</f>
        <v>75074883</v>
      </c>
      <c r="C328" s="47" t="s">
        <v>323</v>
      </c>
      <c r="D328" s="47" t="s">
        <v>689</v>
      </c>
      <c r="E328" t="s">
        <v>588</v>
      </c>
    </row>
    <row r="329" spans="1:5" ht="16" hidden="1" x14ac:dyDescent="0.35">
      <c r="A329" s="47">
        <f>+_xlfn.XLOOKUP(C329,[1]master!C:C,[1]master!A:A)</f>
        <v>100019232</v>
      </c>
      <c r="B329" s="47">
        <f>+_xlfn.XLOOKUP(C329,[1]master!C:C,[1]master!B:B)</f>
        <v>75074876</v>
      </c>
      <c r="C329" s="47" t="s">
        <v>326</v>
      </c>
      <c r="D329" s="47" t="s">
        <v>695</v>
      </c>
      <c r="E329" t="s">
        <v>588</v>
      </c>
    </row>
    <row r="330" spans="1:5" ht="16" hidden="1" x14ac:dyDescent="0.35">
      <c r="A330" s="47">
        <f>+_xlfn.XLOOKUP(C330,[1]master!C:C,[1]master!A:A)</f>
        <v>100019228</v>
      </c>
      <c r="B330" s="47">
        <f>+_xlfn.XLOOKUP(C330,[1]master!C:C,[1]master!B:B)</f>
        <v>75074883</v>
      </c>
      <c r="C330" s="47" t="s">
        <v>323</v>
      </c>
      <c r="D330" s="47" t="s">
        <v>695</v>
      </c>
      <c r="E330" t="s">
        <v>588</v>
      </c>
    </row>
    <row r="331" spans="1:5" ht="16" hidden="1" x14ac:dyDescent="0.35">
      <c r="A331" s="47">
        <f>+_xlfn.XLOOKUP(C331,[1]master!C:C,[1]master!A:A)</f>
        <v>100080892</v>
      </c>
      <c r="B331" s="47">
        <f>+_xlfn.XLOOKUP(C331,[1]master!C:C,[1]master!B:B)</f>
        <v>75042943</v>
      </c>
      <c r="C331" s="47" t="s">
        <v>338</v>
      </c>
      <c r="D331" s="47" t="s">
        <v>695</v>
      </c>
      <c r="E331" t="s">
        <v>588</v>
      </c>
    </row>
    <row r="332" spans="1:5" ht="16" hidden="1" x14ac:dyDescent="0.35">
      <c r="A332" s="47">
        <f>+_xlfn.XLOOKUP(C332,[1]master!C:C,[1]master!A:A)</f>
        <v>100080878</v>
      </c>
      <c r="B332" s="47">
        <f>+_xlfn.XLOOKUP(C332,[1]master!C:C,[1]master!B:B)</f>
        <v>75039875</v>
      </c>
      <c r="C332" s="47" t="s">
        <v>335</v>
      </c>
      <c r="D332" s="47" t="s">
        <v>695</v>
      </c>
      <c r="E332" t="s">
        <v>588</v>
      </c>
    </row>
    <row r="333" spans="1:5" ht="16" x14ac:dyDescent="0.35">
      <c r="A333" s="47">
        <f>+_xlfn.XLOOKUP(C333,[1]master!C:C,[1]master!A:A)</f>
        <v>100020970</v>
      </c>
      <c r="B333" s="47">
        <f>+_xlfn.XLOOKUP(C333,[1]master!C:C,[1]master!B:B)</f>
        <v>75076405</v>
      </c>
      <c r="C333" s="47" t="s">
        <v>60</v>
      </c>
      <c r="D333" s="47" t="s">
        <v>693</v>
      </c>
      <c r="E333" t="s">
        <v>588</v>
      </c>
    </row>
    <row r="334" spans="1:5" ht="16" hidden="1" x14ac:dyDescent="0.35">
      <c r="A334" s="47">
        <f>+_xlfn.XLOOKUP(C334,[1]master!C:C,[1]master!A:A)</f>
        <v>100019232</v>
      </c>
      <c r="B334" s="47">
        <f>+_xlfn.XLOOKUP(C334,[1]master!C:C,[1]master!B:B)</f>
        <v>75074876</v>
      </c>
      <c r="C334" s="47" t="s">
        <v>326</v>
      </c>
      <c r="D334" s="47" t="s">
        <v>693</v>
      </c>
      <c r="E334" t="s">
        <v>588</v>
      </c>
    </row>
    <row r="335" spans="1:5" ht="16" hidden="1" x14ac:dyDescent="0.35">
      <c r="A335" s="47">
        <f>+_xlfn.XLOOKUP(C335,[1]master!C:C,[1]master!A:A)</f>
        <v>100019228</v>
      </c>
      <c r="B335" s="47">
        <f>+_xlfn.XLOOKUP(C335,[1]master!C:C,[1]master!B:B)</f>
        <v>75074883</v>
      </c>
      <c r="C335" s="47" t="s">
        <v>323</v>
      </c>
      <c r="D335" s="47" t="s">
        <v>693</v>
      </c>
      <c r="E335" t="s">
        <v>588</v>
      </c>
    </row>
    <row r="336" spans="1:5" ht="16" hidden="1" x14ac:dyDescent="0.35">
      <c r="A336" s="47">
        <f>+_xlfn.XLOOKUP(C336,[1]master!C:C,[1]master!A:A)</f>
        <v>100080892</v>
      </c>
      <c r="B336" s="47">
        <f>+_xlfn.XLOOKUP(C336,[1]master!C:C,[1]master!B:B)</f>
        <v>75042943</v>
      </c>
      <c r="C336" s="47" t="s">
        <v>338</v>
      </c>
      <c r="D336" s="47" t="s">
        <v>693</v>
      </c>
      <c r="E336" t="s">
        <v>588</v>
      </c>
    </row>
    <row r="337" spans="1:5" ht="16" hidden="1" x14ac:dyDescent="0.35">
      <c r="A337" s="47">
        <f>+_xlfn.XLOOKUP(C337,[1]master!C:C,[1]master!A:A)</f>
        <v>100080878</v>
      </c>
      <c r="B337" s="47">
        <f>+_xlfn.XLOOKUP(C337,[1]master!C:C,[1]master!B:B)</f>
        <v>75039875</v>
      </c>
      <c r="C337" s="47" t="s">
        <v>335</v>
      </c>
      <c r="D337" s="47" t="s">
        <v>693</v>
      </c>
      <c r="E337" t="s">
        <v>588</v>
      </c>
    </row>
    <row r="338" spans="1:5" ht="16" hidden="1" x14ac:dyDescent="0.35">
      <c r="A338" s="47">
        <f>+_xlfn.XLOOKUP(C338,[1]master!C:C,[1]master!A:A)</f>
        <v>100019232</v>
      </c>
      <c r="B338" s="47">
        <f>+_xlfn.XLOOKUP(C338,[1]master!C:C,[1]master!B:B)</f>
        <v>75074876</v>
      </c>
      <c r="C338" s="47" t="s">
        <v>326</v>
      </c>
      <c r="D338" s="47" t="s">
        <v>688</v>
      </c>
      <c r="E338" t="s">
        <v>588</v>
      </c>
    </row>
    <row r="339" spans="1:5" ht="16" hidden="1" x14ac:dyDescent="0.35">
      <c r="A339" s="47">
        <f>+_xlfn.XLOOKUP(C339,[1]master!C:C,[1]master!A:A)</f>
        <v>100080892</v>
      </c>
      <c r="B339" s="47">
        <f>+_xlfn.XLOOKUP(C339,[1]master!C:C,[1]master!B:B)</f>
        <v>75042943</v>
      </c>
      <c r="C339" s="47" t="s">
        <v>338</v>
      </c>
      <c r="D339" s="47" t="s">
        <v>688</v>
      </c>
      <c r="E339" t="s">
        <v>588</v>
      </c>
    </row>
    <row r="340" spans="1:5" ht="16" hidden="1" x14ac:dyDescent="0.35">
      <c r="A340" s="47">
        <f>+_xlfn.XLOOKUP(C340,[1]master!C:C,[1]master!A:A)</f>
        <v>100080878</v>
      </c>
      <c r="B340" s="47">
        <f>+_xlfn.XLOOKUP(C340,[1]master!C:C,[1]master!B:B)</f>
        <v>75039875</v>
      </c>
      <c r="C340" s="47" t="s">
        <v>335</v>
      </c>
      <c r="D340" s="47" t="s">
        <v>688</v>
      </c>
      <c r="E340" t="s">
        <v>588</v>
      </c>
    </row>
    <row r="341" spans="1:5" ht="16" x14ac:dyDescent="0.35">
      <c r="A341" s="47">
        <f>+_xlfn.XLOOKUP(C341,[1]master!C:C,[1]master!A:A)</f>
        <v>100020970</v>
      </c>
      <c r="B341" s="47">
        <f>+_xlfn.XLOOKUP(C341,[1]master!C:C,[1]master!B:B)</f>
        <v>75076405</v>
      </c>
      <c r="C341" s="47" t="s">
        <v>60</v>
      </c>
      <c r="D341" s="47" t="s">
        <v>687</v>
      </c>
      <c r="E341" t="s">
        <v>588</v>
      </c>
    </row>
    <row r="342" spans="1:5" ht="16" hidden="1" x14ac:dyDescent="0.35">
      <c r="A342" s="47">
        <f>+_xlfn.XLOOKUP(C342,[1]master!C:C,[1]master!A:A)</f>
        <v>100020969</v>
      </c>
      <c r="B342" s="47">
        <f>+_xlfn.XLOOKUP(C342,[1]master!C:C,[1]master!B:B)</f>
        <v>75076740</v>
      </c>
      <c r="C342" s="47" t="s">
        <v>62</v>
      </c>
      <c r="D342" s="47" t="s">
        <v>687</v>
      </c>
      <c r="E342" t="s">
        <v>588</v>
      </c>
    </row>
    <row r="343" spans="1:5" ht="16" hidden="1" x14ac:dyDescent="0.35">
      <c r="A343" s="47">
        <f>+_xlfn.XLOOKUP(C343,[1]master!C:C,[1]master!A:A)</f>
        <v>100019232</v>
      </c>
      <c r="B343" s="47">
        <f>+_xlfn.XLOOKUP(C343,[1]master!C:C,[1]master!B:B)</f>
        <v>75074876</v>
      </c>
      <c r="C343" s="47" t="s">
        <v>326</v>
      </c>
      <c r="D343" s="47" t="s">
        <v>687</v>
      </c>
      <c r="E343" t="s">
        <v>588</v>
      </c>
    </row>
    <row r="344" spans="1:5" ht="16" hidden="1" x14ac:dyDescent="0.35">
      <c r="A344" s="47">
        <f>+_xlfn.XLOOKUP(C344,[1]master!C:C,[1]master!A:A)</f>
        <v>100080892</v>
      </c>
      <c r="B344" s="47">
        <f>+_xlfn.XLOOKUP(C344,[1]master!C:C,[1]master!B:B)</f>
        <v>75042943</v>
      </c>
      <c r="C344" s="47" t="s">
        <v>338</v>
      </c>
      <c r="D344" s="47" t="s">
        <v>687</v>
      </c>
      <c r="E344" t="s">
        <v>588</v>
      </c>
    </row>
    <row r="345" spans="1:5" ht="16" hidden="1" x14ac:dyDescent="0.35">
      <c r="A345" s="47">
        <f>+_xlfn.XLOOKUP(C345,[1]master!C:C,[1]master!A:A)</f>
        <v>100080878</v>
      </c>
      <c r="B345" s="47">
        <f>+_xlfn.XLOOKUP(C345,[1]master!C:C,[1]master!B:B)</f>
        <v>75039875</v>
      </c>
      <c r="C345" s="47" t="s">
        <v>335</v>
      </c>
      <c r="D345" s="47" t="s">
        <v>687</v>
      </c>
      <c r="E345" t="s">
        <v>588</v>
      </c>
    </row>
    <row r="346" spans="1:5" ht="16" x14ac:dyDescent="0.35">
      <c r="A346" s="47">
        <f>+_xlfn.XLOOKUP(C346,[1]master!C:C,[1]master!A:A)</f>
        <v>100020970</v>
      </c>
      <c r="B346" s="47">
        <f>+_xlfn.XLOOKUP(C346,[1]master!C:C,[1]master!B:B)</f>
        <v>75076405</v>
      </c>
      <c r="C346" s="47" t="s">
        <v>60</v>
      </c>
      <c r="D346" s="47" t="s">
        <v>690</v>
      </c>
      <c r="E346" t="s">
        <v>588</v>
      </c>
    </row>
    <row r="347" spans="1:5" ht="16" hidden="1" x14ac:dyDescent="0.35">
      <c r="A347" s="47">
        <f>+_xlfn.XLOOKUP(C347,[1]master!C:C,[1]master!A:A)</f>
        <v>100020969</v>
      </c>
      <c r="B347" s="47">
        <f>+_xlfn.XLOOKUP(C347,[1]master!C:C,[1]master!B:B)</f>
        <v>75076740</v>
      </c>
      <c r="C347" s="47" t="s">
        <v>62</v>
      </c>
      <c r="D347" s="47" t="s">
        <v>690</v>
      </c>
      <c r="E347" t="s">
        <v>588</v>
      </c>
    </row>
    <row r="348" spans="1:5" ht="16" hidden="1" x14ac:dyDescent="0.35">
      <c r="A348" s="47">
        <f>+_xlfn.XLOOKUP(C348,[1]master!C:C,[1]master!A:A)</f>
        <v>100023317</v>
      </c>
      <c r="B348" s="47">
        <f>+_xlfn.XLOOKUP(C348,[1]master!C:C,[1]master!B:B)</f>
        <v>75078843</v>
      </c>
      <c r="C348" s="47" t="s">
        <v>65</v>
      </c>
      <c r="D348" s="47" t="s">
        <v>690</v>
      </c>
      <c r="E348" t="s">
        <v>588</v>
      </c>
    </row>
    <row r="349" spans="1:5" ht="16" hidden="1" x14ac:dyDescent="0.35">
      <c r="A349" s="47">
        <f>+_xlfn.XLOOKUP(C349,[1]master!C:C,[1]master!A:A)</f>
        <v>100019232</v>
      </c>
      <c r="B349" s="47">
        <f>+_xlfn.XLOOKUP(C349,[1]master!C:C,[1]master!B:B)</f>
        <v>75074876</v>
      </c>
      <c r="C349" s="47" t="s">
        <v>326</v>
      </c>
      <c r="D349" s="47" t="s">
        <v>690</v>
      </c>
      <c r="E349" t="s">
        <v>588</v>
      </c>
    </row>
    <row r="350" spans="1:5" ht="16" hidden="1" x14ac:dyDescent="0.35">
      <c r="A350" s="47">
        <f>+_xlfn.XLOOKUP(C350,[1]master!C:C,[1]master!A:A)</f>
        <v>100019228</v>
      </c>
      <c r="B350" s="47">
        <f>+_xlfn.XLOOKUP(C350,[1]master!C:C,[1]master!B:B)</f>
        <v>75074883</v>
      </c>
      <c r="C350" s="47" t="s">
        <v>323</v>
      </c>
      <c r="D350" s="47" t="s">
        <v>690</v>
      </c>
      <c r="E350" t="s">
        <v>588</v>
      </c>
    </row>
    <row r="351" spans="1:5" ht="16" hidden="1" x14ac:dyDescent="0.35">
      <c r="A351" s="47">
        <f>+_xlfn.XLOOKUP(C351,[1]master!C:C,[1]master!A:A)</f>
        <v>100080892</v>
      </c>
      <c r="B351" s="47">
        <f>+_xlfn.XLOOKUP(C351,[1]master!C:C,[1]master!B:B)</f>
        <v>75042943</v>
      </c>
      <c r="C351" s="47" t="s">
        <v>338</v>
      </c>
      <c r="D351" s="47" t="s">
        <v>690</v>
      </c>
      <c r="E351" t="s">
        <v>588</v>
      </c>
    </row>
    <row r="352" spans="1:5" ht="16" hidden="1" x14ac:dyDescent="0.35">
      <c r="A352" s="47">
        <f>+_xlfn.XLOOKUP(C352,[1]master!C:C,[1]master!A:A)</f>
        <v>100080878</v>
      </c>
      <c r="B352" s="47">
        <f>+_xlfn.XLOOKUP(C352,[1]master!C:C,[1]master!B:B)</f>
        <v>75039875</v>
      </c>
      <c r="C352" s="47" t="s">
        <v>335</v>
      </c>
      <c r="D352" s="47" t="s">
        <v>690</v>
      </c>
      <c r="E352" t="s">
        <v>588</v>
      </c>
    </row>
    <row r="353" spans="1:5" ht="16" x14ac:dyDescent="0.35">
      <c r="A353" s="47">
        <f>+_xlfn.XLOOKUP(C353,[1]master!C:C,[1]master!A:A)</f>
        <v>100020970</v>
      </c>
      <c r="B353" s="47">
        <f>+_xlfn.XLOOKUP(C353,[1]master!C:C,[1]master!B:B)</f>
        <v>75076405</v>
      </c>
      <c r="C353" s="47" t="s">
        <v>60</v>
      </c>
      <c r="D353" s="47" t="s">
        <v>691</v>
      </c>
      <c r="E353" t="s">
        <v>588</v>
      </c>
    </row>
    <row r="354" spans="1:5" ht="16" hidden="1" x14ac:dyDescent="0.35">
      <c r="A354" s="47">
        <f>+_xlfn.XLOOKUP(C354,[1]master!C:C,[1]master!A:A)</f>
        <v>100020969</v>
      </c>
      <c r="B354" s="47">
        <f>+_xlfn.XLOOKUP(C354,[1]master!C:C,[1]master!B:B)</f>
        <v>75076740</v>
      </c>
      <c r="C354" s="47" t="s">
        <v>62</v>
      </c>
      <c r="D354" s="47" t="s">
        <v>691</v>
      </c>
      <c r="E354" t="s">
        <v>588</v>
      </c>
    </row>
    <row r="355" spans="1:5" ht="16" hidden="1" x14ac:dyDescent="0.35">
      <c r="A355" s="47">
        <f>+_xlfn.XLOOKUP(C355,[1]master!C:C,[1]master!A:A)</f>
        <v>100023317</v>
      </c>
      <c r="B355" s="47">
        <f>+_xlfn.XLOOKUP(C355,[1]master!C:C,[1]master!B:B)</f>
        <v>75078843</v>
      </c>
      <c r="C355" s="47" t="s">
        <v>65</v>
      </c>
      <c r="D355" s="47" t="s">
        <v>691</v>
      </c>
      <c r="E355" t="s">
        <v>588</v>
      </c>
    </row>
    <row r="356" spans="1:5" ht="16" hidden="1" x14ac:dyDescent="0.35">
      <c r="A356" s="47">
        <f>+_xlfn.XLOOKUP(C356,[1]master!C:C,[1]master!A:A)</f>
        <v>100019232</v>
      </c>
      <c r="B356" s="47">
        <f>+_xlfn.XLOOKUP(C356,[1]master!C:C,[1]master!B:B)</f>
        <v>75074876</v>
      </c>
      <c r="C356" s="47" t="s">
        <v>326</v>
      </c>
      <c r="D356" s="47" t="s">
        <v>691</v>
      </c>
      <c r="E356" t="s">
        <v>588</v>
      </c>
    </row>
    <row r="357" spans="1:5" ht="16" hidden="1" x14ac:dyDescent="0.35">
      <c r="A357" s="47">
        <f>+_xlfn.XLOOKUP(C357,[1]master!C:C,[1]master!A:A)</f>
        <v>100019228</v>
      </c>
      <c r="B357" s="47">
        <f>+_xlfn.XLOOKUP(C357,[1]master!C:C,[1]master!B:B)</f>
        <v>75074883</v>
      </c>
      <c r="C357" s="47" t="s">
        <v>323</v>
      </c>
      <c r="D357" s="47" t="s">
        <v>691</v>
      </c>
      <c r="E357" t="s">
        <v>588</v>
      </c>
    </row>
    <row r="358" spans="1:5" ht="16" hidden="1" x14ac:dyDescent="0.35">
      <c r="A358" s="47">
        <f>+_xlfn.XLOOKUP(C358,[1]master!C:C,[1]master!A:A)</f>
        <v>100080892</v>
      </c>
      <c r="B358" s="47">
        <f>+_xlfn.XLOOKUP(C358,[1]master!C:C,[1]master!B:B)</f>
        <v>75042943</v>
      </c>
      <c r="C358" s="47" t="s">
        <v>338</v>
      </c>
      <c r="D358" s="47" t="s">
        <v>691</v>
      </c>
      <c r="E358" t="s">
        <v>588</v>
      </c>
    </row>
    <row r="359" spans="1:5" ht="16" hidden="1" x14ac:dyDescent="0.35">
      <c r="A359" s="47">
        <f>+_xlfn.XLOOKUP(C359,[1]master!C:C,[1]master!A:A)</f>
        <v>100080878</v>
      </c>
      <c r="B359" s="47">
        <f>+_xlfn.XLOOKUP(C359,[1]master!C:C,[1]master!B:B)</f>
        <v>75039875</v>
      </c>
      <c r="C359" s="47" t="s">
        <v>335</v>
      </c>
      <c r="D359" s="47" t="s">
        <v>691</v>
      </c>
      <c r="E359" t="s">
        <v>588</v>
      </c>
    </row>
    <row r="360" spans="1:5" ht="16" x14ac:dyDescent="0.35">
      <c r="A360" s="47">
        <f>+_xlfn.XLOOKUP(C360,[1]master!C:C,[1]master!A:A)</f>
        <v>100020970</v>
      </c>
      <c r="B360" s="47">
        <f>+_xlfn.XLOOKUP(C360,[1]master!C:C,[1]master!B:B)</f>
        <v>75076405</v>
      </c>
      <c r="C360" s="47" t="s">
        <v>60</v>
      </c>
      <c r="D360" s="47" t="s">
        <v>697</v>
      </c>
      <c r="E360" t="s">
        <v>588</v>
      </c>
    </row>
    <row r="361" spans="1:5" ht="16" hidden="1" x14ac:dyDescent="0.35">
      <c r="A361" s="47">
        <f>+_xlfn.XLOOKUP(C361,[1]master!C:C,[1]master!A:A)</f>
        <v>100020969</v>
      </c>
      <c r="B361" s="47">
        <f>+_xlfn.XLOOKUP(C361,[1]master!C:C,[1]master!B:B)</f>
        <v>75076740</v>
      </c>
      <c r="C361" s="47" t="s">
        <v>62</v>
      </c>
      <c r="D361" s="47" t="s">
        <v>697</v>
      </c>
      <c r="E361" t="s">
        <v>588</v>
      </c>
    </row>
    <row r="362" spans="1:5" ht="16" hidden="1" x14ac:dyDescent="0.35">
      <c r="A362" s="47">
        <f>+_xlfn.XLOOKUP(C362,[1]master!C:C,[1]master!A:A)</f>
        <v>100023317</v>
      </c>
      <c r="B362" s="47">
        <f>+_xlfn.XLOOKUP(C362,[1]master!C:C,[1]master!B:B)</f>
        <v>75078843</v>
      </c>
      <c r="C362" s="47" t="s">
        <v>65</v>
      </c>
      <c r="D362" s="47" t="s">
        <v>697</v>
      </c>
      <c r="E362" t="s">
        <v>588</v>
      </c>
    </row>
    <row r="363" spans="1:5" ht="16" hidden="1" x14ac:dyDescent="0.35">
      <c r="A363" s="47">
        <f>+_xlfn.XLOOKUP(C363,[1]master!C:C,[1]master!A:A)</f>
        <v>100019232</v>
      </c>
      <c r="B363" s="47">
        <f>+_xlfn.XLOOKUP(C363,[1]master!C:C,[1]master!B:B)</f>
        <v>75074876</v>
      </c>
      <c r="C363" s="47" t="s">
        <v>326</v>
      </c>
      <c r="D363" s="47" t="s">
        <v>697</v>
      </c>
      <c r="E363" t="s">
        <v>588</v>
      </c>
    </row>
    <row r="364" spans="1:5" ht="16" hidden="1" x14ac:dyDescent="0.35">
      <c r="A364" s="47">
        <f>+_xlfn.XLOOKUP(C364,[1]master!C:C,[1]master!A:A)</f>
        <v>100019228</v>
      </c>
      <c r="B364" s="47">
        <f>+_xlfn.XLOOKUP(C364,[1]master!C:C,[1]master!B:B)</f>
        <v>75074883</v>
      </c>
      <c r="C364" s="47" t="s">
        <v>323</v>
      </c>
      <c r="D364" s="47" t="s">
        <v>697</v>
      </c>
      <c r="E364" t="s">
        <v>588</v>
      </c>
    </row>
    <row r="365" spans="1:5" ht="16" hidden="1" x14ac:dyDescent="0.35">
      <c r="A365" s="47">
        <f>+_xlfn.XLOOKUP(C365,[1]master!C:C,[1]master!A:A)</f>
        <v>100080892</v>
      </c>
      <c r="B365" s="47">
        <f>+_xlfn.XLOOKUP(C365,[1]master!C:C,[1]master!B:B)</f>
        <v>75042943</v>
      </c>
      <c r="C365" s="47" t="s">
        <v>338</v>
      </c>
      <c r="D365" s="47" t="s">
        <v>697</v>
      </c>
      <c r="E365" t="s">
        <v>588</v>
      </c>
    </row>
    <row r="366" spans="1:5" ht="16" hidden="1" x14ac:dyDescent="0.35">
      <c r="A366" s="47">
        <f>+_xlfn.XLOOKUP(C366,[1]master!C:C,[1]master!A:A)</f>
        <v>100080878</v>
      </c>
      <c r="B366" s="47">
        <f>+_xlfn.XLOOKUP(C366,[1]master!C:C,[1]master!B:B)</f>
        <v>75039875</v>
      </c>
      <c r="C366" s="47" t="s">
        <v>335</v>
      </c>
      <c r="D366" s="47" t="s">
        <v>697</v>
      </c>
      <c r="E366" t="s">
        <v>588</v>
      </c>
    </row>
    <row r="367" spans="1:5" ht="16" hidden="1" x14ac:dyDescent="0.35">
      <c r="A367" s="47">
        <f>+_xlfn.XLOOKUP(C367,[1]master!C:C,[1]master!A:A)</f>
        <v>100019232</v>
      </c>
      <c r="B367" s="47">
        <f>+_xlfn.XLOOKUP(C367,[1]master!C:C,[1]master!B:B)</f>
        <v>75074876</v>
      </c>
      <c r="C367" s="47" t="s">
        <v>326</v>
      </c>
      <c r="D367" s="47" t="s">
        <v>657</v>
      </c>
      <c r="E367" t="s">
        <v>588</v>
      </c>
    </row>
    <row r="368" spans="1:5" ht="16" hidden="1" x14ac:dyDescent="0.35">
      <c r="A368" s="47">
        <f>+_xlfn.XLOOKUP(C368,[1]master!C:C,[1]master!A:A)</f>
        <v>100019228</v>
      </c>
      <c r="B368" s="47">
        <f>+_xlfn.XLOOKUP(C368,[1]master!C:C,[1]master!B:B)</f>
        <v>75074883</v>
      </c>
      <c r="C368" s="47" t="s">
        <v>323</v>
      </c>
      <c r="D368" s="47" t="s">
        <v>657</v>
      </c>
      <c r="E368" t="s">
        <v>588</v>
      </c>
    </row>
    <row r="369" spans="1:5" ht="16" hidden="1" x14ac:dyDescent="0.35">
      <c r="A369" s="47">
        <f>+_xlfn.XLOOKUP(C369,[1]master!C:C,[1]master!A:A)</f>
        <v>100080892</v>
      </c>
      <c r="B369" s="47">
        <f>+_xlfn.XLOOKUP(C369,[1]master!C:C,[1]master!B:B)</f>
        <v>75042943</v>
      </c>
      <c r="C369" s="47" t="s">
        <v>338</v>
      </c>
      <c r="D369" s="47" t="s">
        <v>657</v>
      </c>
      <c r="E369" t="s">
        <v>588</v>
      </c>
    </row>
    <row r="370" spans="1:5" ht="16" hidden="1" x14ac:dyDescent="0.35">
      <c r="A370" s="47">
        <f>+_xlfn.XLOOKUP(C370,[1]master!C:C,[1]master!A:A)</f>
        <v>100080878</v>
      </c>
      <c r="B370" s="47">
        <f>+_xlfn.XLOOKUP(C370,[1]master!C:C,[1]master!B:B)</f>
        <v>75039875</v>
      </c>
      <c r="C370" s="47" t="s">
        <v>335</v>
      </c>
      <c r="D370" s="47" t="s">
        <v>657</v>
      </c>
      <c r="E370" t="s">
        <v>588</v>
      </c>
    </row>
  </sheetData>
  <autoFilter ref="A1:E370" xr:uid="{BCD06FBB-ED11-41C0-A6F6-FFE4FABC37FF}">
    <filterColumn colId="2">
      <filters>
        <filter val="MONTANA CLASSI 14S 1 CAJETILLA"/>
      </filters>
    </filterColumn>
  </autoFilter>
  <conditionalFormatting sqref="A17:A31">
    <cfRule type="duplicateValues" dxfId="8" priority="1"/>
    <cfRule type="duplicateValues" dxfId="7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1EF5-5225-4129-A9CE-E6DF9EB260B3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44"/>
  <sheetViews>
    <sheetView topLeftCell="A7" zoomScale="90" zoomScaleNormal="90" workbookViewId="0">
      <selection activeCell="C2" sqref="C2:C37"/>
    </sheetView>
  </sheetViews>
  <sheetFormatPr baseColWidth="10" defaultColWidth="11.453125" defaultRowHeight="14.5" x14ac:dyDescent="0.35"/>
  <cols>
    <col min="1" max="1" width="16.453125" bestFit="1" customWidth="1"/>
    <col min="3" max="3" width="50.81640625" bestFit="1" customWidth="1"/>
  </cols>
  <sheetData>
    <row r="1" spans="1:4" x14ac:dyDescent="0.35">
      <c r="A1" t="s">
        <v>1</v>
      </c>
      <c r="B1" t="s">
        <v>9</v>
      </c>
    </row>
    <row r="2" spans="1:4" x14ac:dyDescent="0.35">
      <c r="A2" s="43">
        <v>7503023959148</v>
      </c>
      <c r="B2" t="s">
        <v>588</v>
      </c>
      <c r="C2" s="42" t="s">
        <v>672</v>
      </c>
      <c r="D2" t="str">
        <f>+_xlfn.XLOOKUP(A2,MASTER!B:B,MASTER!C:C)</f>
        <v xml:space="preserve">CAMEL NATURAL FLAVOR 20						</v>
      </c>
    </row>
    <row r="3" spans="1:4" x14ac:dyDescent="0.35">
      <c r="A3" s="43">
        <v>7503023959438</v>
      </c>
      <c r="B3" t="s">
        <v>588</v>
      </c>
      <c r="C3" s="42" t="s">
        <v>679</v>
      </c>
      <c r="D3" t="str">
        <f>+_xlfn.XLOOKUP(A3,MASTER!B:B,MASTER!C:C)</f>
        <v xml:space="preserve"> WINSTON OASIS FRES 27.4 G	</v>
      </c>
    </row>
    <row r="4" spans="1:4" x14ac:dyDescent="0.35">
      <c r="A4" s="43">
        <v>75083762</v>
      </c>
      <c r="B4" t="s">
        <v>588</v>
      </c>
      <c r="C4" s="42" t="s">
        <v>120</v>
      </c>
      <c r="D4" t="str">
        <f>+_xlfn.XLOOKUP(A4,MASTER!B:B,MASTER!C:C)</f>
        <v>PALL MALL PALL MALL SELECT 14 PZ</v>
      </c>
    </row>
    <row r="5" spans="1:4" x14ac:dyDescent="0.35">
      <c r="A5" s="43">
        <v>75083755</v>
      </c>
      <c r="B5" t="s">
        <v>588</v>
      </c>
      <c r="C5" s="42" t="s">
        <v>121</v>
      </c>
      <c r="D5" t="str">
        <f>+_xlfn.XLOOKUP(A5,MASTER!B:B,MASTER!C:C)</f>
        <v>PALL MALL PALL MALL SELECT 20 PZ</v>
      </c>
    </row>
    <row r="6" spans="1:4" x14ac:dyDescent="0.35">
      <c r="A6" s="43">
        <v>75087142</v>
      </c>
      <c r="B6" t="s">
        <v>588</v>
      </c>
      <c r="C6" s="42" t="s">
        <v>597</v>
      </c>
      <c r="D6" t="str">
        <f>+_xlfn.XLOOKUP(A6,MASTER!B:B,MASTER!C:C)</f>
        <v>PALL MALL SUMMER ALASKA 20 PZ</v>
      </c>
    </row>
    <row r="7" spans="1:4" x14ac:dyDescent="0.35">
      <c r="A7" s="43">
        <v>75087159</v>
      </c>
      <c r="B7" t="s">
        <v>588</v>
      </c>
      <c r="C7" s="42" t="s">
        <v>598</v>
      </c>
      <c r="D7" t="str">
        <f>+_xlfn.XLOOKUP(A7,MASTER!B:B,MASTER!C:C)</f>
        <v>PALL MALL SUMMER TOKYO 20 PZ</v>
      </c>
    </row>
    <row r="8" spans="1:4" x14ac:dyDescent="0.35">
      <c r="A8" s="43">
        <v>75087166</v>
      </c>
      <c r="B8" t="s">
        <v>588</v>
      </c>
      <c r="C8" s="42" t="s">
        <v>599</v>
      </c>
      <c r="D8" t="str">
        <f>+_xlfn.XLOOKUP(A8,MASTER!B:B,MASTER!C:C)</f>
        <v>PALL MALL SUMMER MYKONOS 20 PZ</v>
      </c>
    </row>
    <row r="9" spans="1:4" x14ac:dyDescent="0.35">
      <c r="A9" s="43">
        <v>75087173</v>
      </c>
      <c r="B9" t="s">
        <v>588</v>
      </c>
      <c r="C9" s="42" t="s">
        <v>600</v>
      </c>
      <c r="D9" t="str">
        <f>+_xlfn.XLOOKUP(A9,MASTER!B:B,MASTER!C:C)</f>
        <v>PALL MALL SUMMER HAWAII 20 PZ</v>
      </c>
    </row>
    <row r="10" spans="1:4" x14ac:dyDescent="0.35">
      <c r="A10" s="43">
        <v>75087180</v>
      </c>
      <c r="B10" t="s">
        <v>588</v>
      </c>
      <c r="C10" s="42" t="s">
        <v>601</v>
      </c>
      <c r="D10" t="str">
        <f>+_xlfn.XLOOKUP(A10,MASTER!B:B,MASTER!C:C)</f>
        <v>PALL MALL SUMMER MANILA 20 PZ</v>
      </c>
    </row>
    <row r="11" spans="1:4" x14ac:dyDescent="0.35">
      <c r="A11" s="43">
        <v>75087197</v>
      </c>
      <c r="B11" t="s">
        <v>588</v>
      </c>
      <c r="C11" s="42" t="s">
        <v>603</v>
      </c>
      <c r="D11" t="str">
        <f>+_xlfn.XLOOKUP(A11,MASTER!B:B,MASTER!C:C)</f>
        <v>PALL MALL SUMMER SELECT RED 25 PZ</v>
      </c>
    </row>
    <row r="12" spans="1:4" x14ac:dyDescent="0.35">
      <c r="A12" s="43">
        <v>75087203</v>
      </c>
      <c r="B12" t="s">
        <v>588</v>
      </c>
      <c r="C12" s="42" t="s">
        <v>604</v>
      </c>
      <c r="D12" t="str">
        <f>+_xlfn.XLOOKUP(A12,MASTER!B:B,MASTER!C:C)</f>
        <v>PALL MALL SUMMER SELECT GOLD 14 PZ</v>
      </c>
    </row>
    <row r="13" spans="1:4" x14ac:dyDescent="0.35">
      <c r="A13" s="43">
        <v>75087210</v>
      </c>
      <c r="B13" t="s">
        <v>588</v>
      </c>
      <c r="C13" s="42" t="s">
        <v>605</v>
      </c>
      <c r="D13" t="str">
        <f>+_xlfn.XLOOKUP(A13,MASTER!B:B,MASTER!C:C)</f>
        <v>SHOTS CLASSICS SUMMER 25 PZ</v>
      </c>
    </row>
    <row r="14" spans="1:4" x14ac:dyDescent="0.35">
      <c r="A14" s="43">
        <v>75084493</v>
      </c>
      <c r="B14" t="s">
        <v>588</v>
      </c>
      <c r="C14" s="42" t="s">
        <v>602</v>
      </c>
      <c r="D14" t="str">
        <f>+_xlfn.XLOOKUP(A14,MASTER!B:B,MASTER!C:C)</f>
        <v>PALL MALL AMALFI 20 PZ</v>
      </c>
    </row>
    <row r="15" spans="1:4" x14ac:dyDescent="0.35">
      <c r="A15" s="43">
        <v>75087586</v>
      </c>
      <c r="B15" t="s">
        <v>588</v>
      </c>
      <c r="C15" s="42" t="s">
        <v>665</v>
      </c>
      <c r="D15" t="str">
        <f>+_xlfn.XLOOKUP(A15,MASTER!B:B,MASTER!C:C)</f>
        <v>MARLBORO CRAFTED POLAR MIX 100 BOX 20  CAJETILLA PZ</v>
      </c>
    </row>
    <row r="16" spans="1:4" x14ac:dyDescent="0.35">
      <c r="A16" s="43">
        <v>7311250035586</v>
      </c>
      <c r="B16" t="s">
        <v>588</v>
      </c>
      <c r="C16" s="42" t="s">
        <v>611</v>
      </c>
      <c r="D16" t="str">
        <f>+_xlfn.XLOOKUP(A16,MASTER!B:B,MASTER!C:C)</f>
        <v>ZYN APPLE MINT 3MG CAJETILLA PZ</v>
      </c>
    </row>
    <row r="17" spans="1:4" x14ac:dyDescent="0.35">
      <c r="A17" s="43">
        <v>7311250035609</v>
      </c>
      <c r="B17" t="s">
        <v>588</v>
      </c>
      <c r="C17" s="42" t="s">
        <v>612</v>
      </c>
      <c r="D17" t="str">
        <f>+_xlfn.XLOOKUP(A17,MASTER!B:B,MASTER!C:C)</f>
        <v>ZYN APPLE MINT 6MG CAJETILLA PZ</v>
      </c>
    </row>
    <row r="18" spans="1:4" x14ac:dyDescent="0.35">
      <c r="A18" s="43">
        <v>7503039738843</v>
      </c>
      <c r="B18" t="s">
        <v>588</v>
      </c>
      <c r="C18" s="42" t="s">
        <v>667</v>
      </c>
      <c r="D18" t="str">
        <f>+_xlfn.XLOOKUP(A18,MASTER!B:B,MASTER!C:C)</f>
        <v>VELO MANGO ICE 4MG  15 PZ</v>
      </c>
    </row>
    <row r="19" spans="1:4" x14ac:dyDescent="0.35">
      <c r="A19" s="43">
        <v>7503039738867</v>
      </c>
      <c r="B19" t="s">
        <v>588</v>
      </c>
      <c r="C19" s="42" t="s">
        <v>618</v>
      </c>
      <c r="D19" t="str">
        <f>+_xlfn.XLOOKUP(A19,MASTER!B:B,MASTER!C:C)</f>
        <v>VELO MANGO FLAME 10MG 15 PZ</v>
      </c>
    </row>
    <row r="20" spans="1:4" x14ac:dyDescent="0.35">
      <c r="A20" s="43">
        <v>7503039738874</v>
      </c>
      <c r="B20" t="s">
        <v>588</v>
      </c>
      <c r="C20" s="42" t="s">
        <v>669</v>
      </c>
      <c r="D20" t="str">
        <f>+_xlfn.XLOOKUP(A20,MASTER!B:B,MASTER!C:C)</f>
        <v>VELO PEPPERMINT STORM 10.9 MG 15 PZ</v>
      </c>
    </row>
    <row r="21" spans="1:4" x14ac:dyDescent="0.35">
      <c r="A21" s="43">
        <v>75086176</v>
      </c>
      <c r="B21" t="s">
        <v>588</v>
      </c>
      <c r="C21" s="42" t="s">
        <v>668</v>
      </c>
      <c r="D21" t="str">
        <f>+_xlfn.XLOOKUP(A21,MASTER!B:B,MASTER!C:C)</f>
        <v>PALL MALL HONOLULU 14 PZ</v>
      </c>
    </row>
    <row r="22" spans="1:4" x14ac:dyDescent="0.35">
      <c r="A22" s="43">
        <v>75086145</v>
      </c>
      <c r="B22" t="s">
        <v>588</v>
      </c>
      <c r="C22" s="42" t="s">
        <v>660</v>
      </c>
      <c r="D22" t="str">
        <f>+_xlfn.XLOOKUP(A22,MASTER!B:B,MASTER!C:C)</f>
        <v>PALL MALL ICELAND 14 PZ</v>
      </c>
    </row>
    <row r="23" spans="1:4" x14ac:dyDescent="0.35">
      <c r="A23" s="43">
        <v>7503039738911</v>
      </c>
      <c r="B23" t="s">
        <v>588</v>
      </c>
      <c r="C23" s="42" t="s">
        <v>671</v>
      </c>
      <c r="D23" t="str">
        <f>+_xlfn.XLOOKUP(A23,MASTER!B:B,MASTER!C:C)</f>
        <v>VELO PEACH ICE 8MG 15 PZ</v>
      </c>
    </row>
    <row r="24" spans="1:4" x14ac:dyDescent="0.35">
      <c r="A24" s="43">
        <v>7503039738904</v>
      </c>
      <c r="B24" t="s">
        <v>588</v>
      </c>
      <c r="C24" s="42" t="s">
        <v>670</v>
      </c>
      <c r="D24" t="str">
        <f>+_xlfn.XLOOKUP(A24,MASTER!B:B,MASTER!C:C)</f>
        <v>VELO PURPLE GRAPE 8MG 15 PZ</v>
      </c>
    </row>
    <row r="25" spans="1:4" x14ac:dyDescent="0.35">
      <c r="A25" s="43">
        <v>7503039738966</v>
      </c>
      <c r="B25" t="s">
        <v>588</v>
      </c>
      <c r="C25" s="42" t="s">
        <v>680</v>
      </c>
      <c r="D25" t="e">
        <f>+_xlfn.XLOOKUP(A25,MASTER!B:B,MASTER!C:C)</f>
        <v>#N/A</v>
      </c>
    </row>
    <row r="26" spans="1:4" x14ac:dyDescent="0.35">
      <c r="A26" s="43">
        <v>75086152</v>
      </c>
      <c r="B26" t="s">
        <v>588</v>
      </c>
      <c r="C26" s="42" t="s">
        <v>681</v>
      </c>
      <c r="D26" t="e">
        <f>+_xlfn.XLOOKUP(A26,MASTER!B:B,MASTER!C:C)</f>
        <v>#N/A</v>
      </c>
    </row>
    <row r="27" spans="1:4" x14ac:dyDescent="0.35">
      <c r="A27" s="43">
        <v>75087517</v>
      </c>
      <c r="B27" t="s">
        <v>588</v>
      </c>
      <c r="C27" s="42" t="s">
        <v>682</v>
      </c>
      <c r="D27" t="e">
        <f>+_xlfn.XLOOKUP(A27,MASTER!B:B,MASTER!C:C)</f>
        <v>#N/A</v>
      </c>
    </row>
    <row r="28" spans="1:4" x14ac:dyDescent="0.35">
      <c r="A28" s="43">
        <v>75087524</v>
      </c>
      <c r="B28" t="s">
        <v>588</v>
      </c>
      <c r="C28" s="42" t="s">
        <v>683</v>
      </c>
      <c r="D28" t="e">
        <f>+_xlfn.XLOOKUP(A28,MASTER!B:B,MASTER!C:C)</f>
        <v>#N/A</v>
      </c>
    </row>
    <row r="29" spans="1:4" x14ac:dyDescent="0.35">
      <c r="A29" s="43">
        <v>75088347</v>
      </c>
      <c r="B29" t="s">
        <v>588</v>
      </c>
      <c r="C29" s="42" t="s">
        <v>684</v>
      </c>
      <c r="D29" t="e">
        <f>+_xlfn.XLOOKUP(A29,MASTER!B:B,MASTER!C:C)</f>
        <v>#N/A</v>
      </c>
    </row>
    <row r="30" spans="1:4" x14ac:dyDescent="0.35">
      <c r="A30" s="43">
        <v>75088354</v>
      </c>
      <c r="B30" t="s">
        <v>588</v>
      </c>
      <c r="C30" s="42" t="s">
        <v>685</v>
      </c>
      <c r="D30" t="e">
        <f>+_xlfn.XLOOKUP(A30,MASTER!B:B,MASTER!C:C)</f>
        <v>#N/A</v>
      </c>
    </row>
    <row r="31" spans="1:4" x14ac:dyDescent="0.35">
      <c r="A31" s="43">
        <v>7502274777471</v>
      </c>
      <c r="B31" t="s">
        <v>588</v>
      </c>
      <c r="C31" s="42" t="s">
        <v>641</v>
      </c>
      <c r="D31" t="str">
        <f>+_xlfn.XLOOKUP(A31,MASTER!B:B,MASTER!C:C)</f>
        <v>SESH MINT 10 2MG 1 PZ</v>
      </c>
    </row>
    <row r="32" spans="1:4" x14ac:dyDescent="0.35">
      <c r="A32" s="43">
        <v>7502274777471</v>
      </c>
      <c r="B32" t="s">
        <v>588</v>
      </c>
      <c r="C32" s="42" t="s">
        <v>641</v>
      </c>
      <c r="D32" t="str">
        <f>+_xlfn.XLOOKUP(A32,MASTER!B:B,MASTER!C:C)</f>
        <v>SESH MINT 10 2MG 1 PZ</v>
      </c>
    </row>
    <row r="33" spans="1:4" x14ac:dyDescent="0.35">
      <c r="A33" s="43">
        <v>7502274777501</v>
      </c>
      <c r="B33" t="s">
        <v>588</v>
      </c>
      <c r="C33" s="42" t="s">
        <v>644</v>
      </c>
      <c r="D33" t="str">
        <f>+_xlfn.XLOOKUP(A33,MASTER!B:B,MASTER!C:C)</f>
        <v>SESH MINT 10 4MG 1 PZ</v>
      </c>
    </row>
    <row r="34" spans="1:4" x14ac:dyDescent="0.35">
      <c r="A34" s="43">
        <v>7502274777488</v>
      </c>
      <c r="B34" t="s">
        <v>588</v>
      </c>
      <c r="C34" s="42" t="s">
        <v>645</v>
      </c>
      <c r="D34" t="str">
        <f>+_xlfn.XLOOKUP(A34,MASTER!B:B,MASTER!C:C)</f>
        <v>SESH MANGO 10S 2MG 1 PZ</v>
      </c>
    </row>
    <row r="35" spans="1:4" x14ac:dyDescent="0.35">
      <c r="A35" s="43">
        <v>7502274777488</v>
      </c>
      <c r="B35" t="s">
        <v>588</v>
      </c>
      <c r="C35" s="42" t="s">
        <v>645</v>
      </c>
      <c r="D35" t="str">
        <f>+_xlfn.XLOOKUP(A35,MASTER!B:B,MASTER!C:C)</f>
        <v>SESH MANGO 10S 2MG 1 PZ</v>
      </c>
    </row>
    <row r="36" spans="1:4" x14ac:dyDescent="0.35">
      <c r="A36" s="43">
        <v>7502274777464</v>
      </c>
      <c r="B36" t="s">
        <v>588</v>
      </c>
      <c r="C36" s="42" t="s">
        <v>646</v>
      </c>
      <c r="D36" t="str">
        <f>+_xlfn.XLOOKUP(A36,MASTER!B:B,MASTER!C:C)</f>
        <v>SESH CLEAR 10S 2MG 1 PZ</v>
      </c>
    </row>
    <row r="37" spans="1:4" x14ac:dyDescent="0.35">
      <c r="A37" s="43">
        <v>7502274777464</v>
      </c>
      <c r="B37" t="s">
        <v>588</v>
      </c>
      <c r="C37" s="42" t="s">
        <v>646</v>
      </c>
      <c r="D37" t="str">
        <f>+_xlfn.XLOOKUP(A37,MASTER!B:B,MASTER!C:C)</f>
        <v>SESH CLEAR 10S 2MG 1 PZ</v>
      </c>
    </row>
    <row r="38" spans="1:4" x14ac:dyDescent="0.35">
      <c r="A38" s="21"/>
      <c r="C38" s="36"/>
    </row>
    <row r="39" spans="1:4" x14ac:dyDescent="0.35">
      <c r="A39" s="21"/>
      <c r="C39" s="36"/>
    </row>
    <row r="40" spans="1:4" x14ac:dyDescent="0.35">
      <c r="A40" s="21"/>
      <c r="C40" s="36"/>
    </row>
    <row r="41" spans="1:4" x14ac:dyDescent="0.35">
      <c r="A41" s="21"/>
      <c r="C41" s="36"/>
    </row>
    <row r="42" spans="1:4" x14ac:dyDescent="0.35">
      <c r="A42" s="21"/>
      <c r="C42" s="36"/>
    </row>
    <row r="43" spans="1:4" x14ac:dyDescent="0.35">
      <c r="A43" s="21"/>
      <c r="C43" s="36"/>
    </row>
    <row r="44" spans="1:4" x14ac:dyDescent="0.35">
      <c r="A44" s="21"/>
      <c r="C44" s="36"/>
    </row>
  </sheetData>
  <autoFilter ref="A1:D44" xr:uid="{B4A8CEA0-0626-4FB4-8112-AC8F739EFD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topLeftCell="A74"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sheetPr filterMode="1"/>
  <dimension ref="A1:M585"/>
  <sheetViews>
    <sheetView topLeftCell="C1"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hidden="1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hidden="1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hidden="1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hidden="1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hidden="1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hidden="1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hidden="1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hidden="1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hidden="1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hidden="1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hidden="1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hidden="1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hidden="1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hidden="1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hidden="1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hidden="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hidden="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hidden="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hidden="1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hidden="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hidden="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hidden="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hidden="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hidden="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hidden="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hidden="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hidden="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hidden="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hidden="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hidden="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hidden="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hidden="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hidden="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hidden="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hidden="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hidden="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hidden="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hidden="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hidden="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hidden="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hidden="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hidden="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hidden="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hidden="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hidden="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hidden="1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hidden="1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hidden="1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hidden="1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hidden="1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hidden="1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hidden="1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hidden="1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hidden="1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hidden="1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hidden="1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hidden="1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hidden="1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hidden="1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hidden="1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hidden="1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hidden="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hidden="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hidden="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hidden="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hidden="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hidden="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hidden="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hidden="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hidden="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hidden="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hidden="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hidden="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hidden="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hidden="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hidden="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hidden="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hidden="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hidden="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hidden="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hidden="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hidden="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hidden="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hidden="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hidden="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hidden="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hidden="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hidden="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hidden="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hidden="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hidden="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hidden="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hidden="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hidden="1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hidden="1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hidden="1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hidden="1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hidden="1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hidden="1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hidden="1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hidden="1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hidden="1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hidden="1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hidden="1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hidden="1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NO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hidden="1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hidden="1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hidden="1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hidden="1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hidden="1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hidden="1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hidden="1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hidden="1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hidden="1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hidden="1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hidden="1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hidden="1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hidden="1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hidden="1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hidden="1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hidden="1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hidden="1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hidden="1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hidden="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hidden="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hidden="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hidden="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hidden="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hidden="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hidden="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hidden="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hidden="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hidden="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hidden="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hidden="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hidden="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hidden="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hidden="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hidden="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hidden="1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hidden="1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hidden="1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hidden="1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hidden="1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hidden="1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hidden="1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NO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hidden="1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hidden="1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hidden="1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hidden="1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hidden="1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NO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hidden="1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hidden="1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hidden="1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NO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hidden="1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hidden="1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hidden="1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hidden="1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hidden="1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hidden="1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hidden="1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hidden="1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hidden="1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hidden="1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hidden="1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hidden="1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hidden="1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hidden="1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hidden="1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hidden="1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hidden="1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hidden="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hidden="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hidden="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hidden="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hidden="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hidden="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hidden="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hidden="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hidden="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hidden="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hidden="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hidden="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hidden="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hidden="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hidden="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hidden="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hidden="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hidden="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hidden="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hidden="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hidden="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hidden="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hidden="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hidden="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hidden="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hidden="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hidden="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hidden="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hidden="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hidden="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hidden="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hidden="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hidden="1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hidden="1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hidden="1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hidden="1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hidden="1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hidden="1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hidden="1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hidden="1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hidden="1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hidden="1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hidden="1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hidden="1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hidden="1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hidden="1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hidden="1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hidden="1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hidden="1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hidden="1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hidden="1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hidden="1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hidden="1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hidden="1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hidden="1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hidden="1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hidden="1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hidden="1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hidden="1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hidden="1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hidden="1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hidden="1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hidden="1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hidden="1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hidden="1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hidden="1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hidden="1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hidden="1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hidden="1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hidden="1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hidden="1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hidden="1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hidden="1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hidden="1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hidden="1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hidden="1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hidden="1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hidden="1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hidden="1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hidden="1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hidden="1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hidden="1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hidden="1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hidden="1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hidden="1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hidden="1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hidden="1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hidden="1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hidden="1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hidden="1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hidden="1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hidden="1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hidden="1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hidden="1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hidden="1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hidden="1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hidden="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hidden="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hidden="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hidden="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hidden="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hidden="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hidden="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hidden="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hidden="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hidden="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hidden="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hidden="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hidden="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hidden="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hidden="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hidden="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hidden="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hidden="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hidden="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hidden="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hidden="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hidden="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hidden="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hidden="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hidden="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hidden="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hidden="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hidden="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hidden="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hidden="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hidden="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hidden="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hidden="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hidden="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hidden="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hidden="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hidden="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hidden="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hidden="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hidden="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hidden="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hidden="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hidden="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hidden="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hidden="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hidden="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hidden="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hidden="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hidden="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hidden="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hidden="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hidden="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hidden="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hidden="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hidden="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hidden="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hidden="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hidden="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hidden="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hidden="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hidden="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hidden="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hidden="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hidden="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hidden="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hidden="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hidden="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hidden="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hidden="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hidden="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hidden="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hidden="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hidden="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hidden="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hidden="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hidden="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hidden="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hidden="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hidden="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hidden="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hidden="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hidden="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hidden="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hidden="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hidden="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hidden="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hidden="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hidden="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hidden="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hidden="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hidden="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hidden="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hidden="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hidden="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hidden="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hidden="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hidden="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hidden="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hidden="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hidden="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hidden="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hidden="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hidden="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hidden="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hidden="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hidden="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hidden="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hidden="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hidden="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hidden="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hidden="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hidden="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hidden="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hidden="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hidden="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hidden="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hidden="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hidden="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hidden="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hidden="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hidden="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hidden="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hidden="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hidden="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hidden="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hidden="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hidden="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hidden="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hidden="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hidden="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hidden="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hidden="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hidden="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hidden="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hidden="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hidden="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hidden="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hidden="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hidden="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hidden="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hidden="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hidden="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hidden="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hidden="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hidden="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hidden="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hidden="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hidden="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hidden="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hidden="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hidden="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hidden="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hidden="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hidden="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hidden="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hidden="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hidden="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hidden="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hidden="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hidden="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hidden="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hidden="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hidden="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hidden="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hidden="1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hidden="1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hidden="1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hidden="1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hidden="1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hidden="1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hidden="1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hidden="1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hidden="1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hidden="1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hidden="1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hidden="1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hidden="1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hidden="1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hidden="1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hidden="1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hidden="1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hidden="1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hidden="1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hidden="1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hidden="1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hidden="1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hidden="1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hidden="1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hidden="1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hidden="1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hidden="1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hidden="1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hidden="1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hidden="1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hidden="1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hidden="1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hidden="1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hidden="1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hidden="1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hidden="1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hidden="1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hidden="1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hidden="1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hidden="1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hidden="1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hidden="1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hidden="1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hidden="1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hidden="1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hidden="1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hidden="1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hidden="1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hidden="1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hidden="1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hidden="1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hidden="1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hidden="1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hidden="1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hidden="1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hidden="1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hidden="1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hidden="1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hidden="1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hidden="1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hidden="1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hidden="1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hidden="1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hidden="1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hidden="1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hidden="1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hidden="1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hidden="1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hidden="1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hidden="1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hidden="1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hidden="1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SI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hidden="1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hidden="1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hidden="1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NO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hidden="1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hidden="1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hidden="1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hidden="1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hidden="1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hidden="1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NO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hidden="1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hidden="1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hidden="1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hidden="1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hidden="1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NO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hidden="1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hidden="1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hidden="1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hidden="1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hidden="1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hidden="1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NO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hidden="1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NO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hidden="1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NO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hidden="1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NO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hidden="1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NO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hidden="1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NO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hidden="1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hidden="1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hidden="1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hidden="1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hidden="1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hidden="1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hidden="1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hidden="1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hidden="1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NO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hidden="1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NO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hidden="1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hidden="1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hidden="1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hidden="1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NO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hidden="1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NO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hidden="1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NO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hidden="1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NO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hidden="1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hidden="1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hidden="1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hidden="1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hidden="1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hidden="1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hidden="1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hidden="1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hidden="1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hidden="1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hidden="1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hidden="1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hidden="1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hidden="1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hidden="1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hidden="1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hidden="1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hidden="1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hidden="1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hidden="1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hidden="1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hidden="1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hidden="1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hidden="1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hidden="1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hidden="1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hidden="1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hidden="1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hidden="1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autoFilter ref="A1:M585" xr:uid="{BD754D6A-9EA9-4EE7-AC8A-EAEF58532C37}">
    <filterColumn colId="2">
      <filters>
        <filter val="PALL MALL 125 AÑOS CASE ALASKA 20 PZ"/>
        <filter val="PALL MALL AIRLINES ALASKA 20 PZ"/>
        <filter val="PALL MALL ALASKA DUSK 15"/>
        <filter val="PALL MALL ALASKA DUSK 20"/>
        <filter val="PALL MALL ALASKA ROADTRIP CAN 20 PZ"/>
        <filter val="PALL MALL ALASKA STRESS RELIEVER 15 PZ"/>
        <filter val="PALL MALL ALASKA STRESS RELIEVER 20 PZ"/>
        <filter val="PALL MALL ALASKA SUNSHINE LATA 20 PZ"/>
        <filter val="PALL MALL SUMMER ALASKA 20 PZ"/>
        <filter val="PALL MALL XL ALASKA 15S 1 CAJETILLA"/>
      </filters>
    </filterColumn>
  </autoFilter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>
        <f>+_xlfn.XLOOKUP(G2,MASTER!B:B,MASTER!A:A)</f>
        <v>100009965</v>
      </c>
      <c r="I2" t="str">
        <f>+_xlfn.XLOOKUP(G2,MASTER!B:B,MASTER!C:C)</f>
        <v>TOKIO MIDNIGHT PALL MALL 20PZ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Descontinuado (con stock)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Descontinuado (con stock)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Descontinuado (con stock)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Activo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Descontinuado (con stock)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Descontinuado (con stock)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Descontinuado (con stock)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Descontinuado (con stock)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Descontinuado (con stock)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Descontinuado (con stock)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Descontinuado (con stock)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Descontinuado (con stock)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Descontinuado (con stock)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Descontinuado (con stock)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Descontinuado (con stock)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Descontinuado (con stock)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Descontinuado (con stock)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Descontinuado (con stock)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Descontinuado (con stock)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VLOOKUP(A2,[2]Hoja1!$B:$D,3,0)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VLOOKUP(A3,[2]Hoja1!$B:$D,3,0)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VLOOKUP(A4,[2]Hoja1!$B:$D,3,0)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VLOOKUP(A5,[2]Hoja1!$B:$D,3,0)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VLOOKUP(A6,[2]Hoja1!$B:$D,3,0)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VLOOKUP(A7,[2]Hoja1!$B:$D,3,0)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VLOOKUP(A8,[2]Hoja1!$B:$D,3,0)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VLOOKUP(A9,[2]Hoja1!$B:$D,3,0)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VLOOKUP(A10,[2]Hoja1!$B:$D,3,0)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VLOOKUP(A11,[2]Hoja1!$B:$D,3,0)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VLOOKUP(A12,[2]Hoja1!$B:$D,3,0)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VLOOKUP(A13,[2]Hoja1!$B:$D,3,0)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VLOOKUP(A14,[2]Hoja1!$B:$D,3,0)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VLOOKUP(A15,[2]Hoja1!$B:$D,3,0)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VLOOKUP(A16,[2]Hoja1!$B:$D,3,0)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VLOOKUP(A17,[2]Hoja1!$B:$D,3,0)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VLOOKUP(A18,[2]Hoja1!$B:$D,3,0)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VLOOKUP(A19,[2]Hoja1!$B:$D,3,0)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VLOOKUP(A20,[2]Hoja1!$B:$D,3,0)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VLOOKUP(A21,[2]Hoja1!$B:$D,3,0)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VLOOKUP(A22,[2]Hoja1!$B:$D,3,0)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VLOOKUP(A23,[2]Hoja1!$B:$D,3,0)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VLOOKUP(A24,[2]Hoja1!$B:$D,3,0)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VLOOKUP(A25,[2]Hoja1!$B:$D,3,0)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VLOOKUP(A26,[2]Hoja1!$B:$D,3,0)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VLOOKUP(A27,[2]Hoja1!$B:$D,3,0)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VLOOKUP(A28,[2]Hoja1!$B:$D,3,0)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VLOOKUP(A29,[2]Hoja1!$B:$D,3,0)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VLOOKUP(A30,[2]Hoja1!$B:$D,3,0)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VLOOKUP(A31,[2]Hoja1!$B:$D,3,0)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VLOOKUP(A32,[2]Hoja1!$B:$D,3,0)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VLOOKUP(A33,[2]Hoja1!$B:$D,3,0)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VLOOKUP(A34,[2]Hoja1!$B:$D,3,0)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VLOOKUP(A35,[2]Hoja1!$B:$D,3,0)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VLOOKUP(A36,[2]Hoja1!$B:$D,3,0)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VLOOKUP(A37,[2]Hoja1!$B:$D,3,0)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VLOOKUP(A38,[2]Hoja1!$B:$D,3,0)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VLOOKUP(A39,[2]Hoja1!$B:$D,3,0)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VLOOKUP(A40,[2]Hoja1!$B:$D,3,0)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VLOOKUP(A41,[2]Hoja1!$B:$D,3,0)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VLOOKUP(A42,[2]Hoja1!$B:$D,3,0)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VLOOKUP(A43,[2]Hoja1!$B:$D,3,0)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VLOOKUP(A44,[2]Hoja1!$B:$D,3,0)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VLOOKUP(A45,[2]Hoja1!$B:$D,3,0)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VLOOKUP(A46,[2]Hoja1!$B:$D,3,0)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VLOOKUP(A47,[2]Hoja1!$B:$D,3,0)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VLOOKUP(A48,[2]Hoja1!$B:$D,3,0)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VLOOKUP(A49,[2]Hoja1!$B:$D,3,0)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VLOOKUP(A50,[2]Hoja1!$B:$D,3,0)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VLOOKUP(A51,[2]Hoja1!$B:$D,3,0)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VLOOKUP(A52,[2]Hoja1!$B:$D,3,0)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VLOOKUP(A53,[2]Hoja1!$B:$D,3,0)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VLOOKUP(A54,[2]Hoja1!$B:$D,3,0)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VLOOKUP(A55,[2]Hoja1!$B:$D,3,0)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VLOOKUP(A56,[2]Hoja1!$B:$D,3,0)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VLOOKUP(A57,[2]Hoja1!$B:$D,3,0)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VLOOKUP(A58,[2]Hoja1!$B:$D,3,0)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VLOOKUP(A59,[2]Hoja1!$B:$D,3,0)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VLOOKUP(A60,[2]Hoja1!$B:$D,3,0)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VLOOKUP(A61,[2]Hoja1!$B:$D,3,0)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VLOOKUP(A62,[2]Hoja1!$B:$D,3,0)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VLOOKUP(A63,[2]Hoja1!$B:$D,3,0)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VLOOKUP(A64,[2]Hoja1!$B:$D,3,0)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VLOOKUP(A65,[2]Hoja1!$B:$D,3,0)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VLOOKUP(A66,[2]Hoja1!$B:$D,3,0)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VLOOKUP(A67,[2]Hoja1!$B:$D,3,0)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VLOOKUP(A68,[2]Hoja1!$B:$D,3,0)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VLOOKUP(A69,[2]Hoja1!$B:$D,3,0)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VLOOKUP(A70,[2]Hoja1!$B:$D,3,0)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VLOOKUP(A71,[2]Hoja1!$B:$D,3,0)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VLOOKUP(A72,[2]Hoja1!$B:$D,3,0)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VLOOKUP(A73,[2]Hoja1!$B:$D,3,0)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VLOOKUP(A74,[2]Hoja1!$B:$D,3,0)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VLOOKUP(A75,[2]Hoja1!$B:$D,3,0)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VLOOKUP(A76,[2]Hoja1!$B:$D,3,0)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VLOOKUP(A77,[2]Hoja1!$B:$D,3,0)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VLOOKUP(A78,[2]Hoja1!$B:$D,3,0)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VLOOKUP(A79,[2]Hoja1!$B:$D,3,0)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VLOOKUP(A80,[2]Hoja1!$B:$D,3,0)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VLOOKUP(A81,[2]Hoja1!$B:$D,3,0)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VLOOKUP(A82,[2]Hoja1!$B:$D,3,0)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VLOOKUP(A83,[2]Hoja1!$B:$D,3,0)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VLOOKUP(A84,[2]Hoja1!$B:$D,3,0)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VLOOKUP(A85,[2]Hoja1!$B:$D,3,0)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VLOOKUP(A86,[2]Hoja1!$B:$D,3,0)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VLOOKUP(A87,[2]Hoja1!$B:$D,3,0)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VLOOKUP(A88,[2]Hoja1!$B:$D,3,0)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VLOOKUP(A89,[2]Hoja1!$B:$D,3,0)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VLOOKUP(A90,[2]Hoja1!$B:$D,3,0)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VLOOKUP(A91,[2]Hoja1!$B:$D,3,0)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VLOOKUP(A92,[2]Hoja1!$B:$D,3,0)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VLOOKUP(A93,[2]Hoja1!$B:$D,3,0)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VLOOKUP(A94,[2]Hoja1!$B:$D,3,0)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VLOOKUP(A95,[2]Hoja1!$B:$D,3,0)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VLOOKUP(A96,[2]Hoja1!$B:$D,3,0)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VLOOKUP(A97,[2]Hoja1!$B:$D,3,0)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VLOOKUP(A98,[2]Hoja1!$B:$D,3,0)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VLOOKUP(A99,[2]Hoja1!$B:$D,3,0)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VLOOKUP(A100,[2]Hoja1!$B:$D,3,0)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VLOOKUP(A101,[2]Hoja1!$B:$D,3,0)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VLOOKUP(A102,[2]Hoja1!$B:$D,3,0)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VLOOKUP(A103,[2]Hoja1!$B:$D,3,0)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VLOOKUP(A104,[2]Hoja1!$B:$D,3,0)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VLOOKUP(A105,[2]Hoja1!$B:$D,3,0)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VLOOKUP(A106,[2]Hoja1!$B:$D,3,0)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VLOOKUP(A107,[2]Hoja1!$B:$D,3,0)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VLOOKUP(A108,[2]Hoja1!$B:$D,3,0)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VLOOKUP(A109,[2]Hoja1!$B:$D,3,0)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VLOOKUP(A110,[2]Hoja1!$B:$D,3,0)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VLOOKUP(A111,[2]Hoja1!$B:$D,3,0)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VLOOKUP(A112,[2]Hoja1!$B:$D,3,0)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VLOOKUP(A113,[2]Hoja1!$B:$D,3,0)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VLOOKUP(A114,[2]Hoja1!$B:$D,3,0)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VLOOKUP(A115,[2]Hoja1!$B:$D,3,0)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VLOOKUP(A116,[2]Hoja1!$B:$D,3,0)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VLOOKUP(A117,[2]Hoja1!$B:$D,3,0)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VLOOKUP(A118,[2]Hoja1!$B:$D,3,0)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VLOOKUP(A119,[2]Hoja1!$B:$D,3,0)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VLOOKUP(A120,[2]Hoja1!$B:$D,3,0)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VLOOKUP(A121,[2]Hoja1!$B:$D,3,0)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VLOOKUP(A122,[2]Hoja1!$B:$D,3,0)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VLOOKUP(A123,[2]Hoja1!$B:$D,3,0)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VLOOKUP(A124,[2]Hoja1!$B:$D,3,0)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VLOOKUP(A125,[2]Hoja1!$B:$D,3,0)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VLOOKUP(A126,[2]Hoja1!$B:$D,3,0)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VLOOKUP(A127,[2]Hoja1!$B:$D,3,0)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VLOOKUP(A128,[2]Hoja1!$B:$D,3,0)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VLOOKUP(A129,[2]Hoja1!$B:$D,3,0)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VLOOKUP(A130,[2]Hoja1!$B:$D,3,0)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VLOOKUP(A131,[2]Hoja1!$B:$D,3,0)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VLOOKUP(A132,[2]Hoja1!$B:$D,3,0)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VLOOKUP(A133,[2]Hoja1!$B:$D,3,0)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VLOOKUP(A134,[2]Hoja1!$B:$D,3,0)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VLOOKUP(A135,[2]Hoja1!$B:$D,3,0)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VLOOKUP(A136,[2]Hoja1!$B:$D,3,0)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VLOOKUP(A137,[2]Hoja1!$B:$D,3,0)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VLOOKUP(A138,[2]Hoja1!$B:$D,3,0)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VLOOKUP(A139,[2]Hoja1!$B:$D,3,0)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VLOOKUP(A140,[2]Hoja1!$B:$D,3,0)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VLOOKUP(A141,[2]Hoja1!$B:$D,3,0)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VLOOKUP(A142,[2]Hoja1!$B:$D,3,0)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VLOOKUP(A143,[2]Hoja1!$B:$D,3,0)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VLOOKUP(A144,[2]Hoja1!$B:$D,3,0)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VLOOKUP(A145,[2]Hoja1!$B:$D,3,0)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VLOOKUP(A146,[2]Hoja1!$B:$D,3,0)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VLOOKUP(A147,[2]Hoja1!$B:$D,3,0)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VLOOKUP(A148,[2]Hoja1!$B:$D,3,0)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VLOOKUP(A149,[2]Hoja1!$B:$D,3,0)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VLOOKUP(A150,[2]Hoja1!$B:$D,3,0)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VLOOKUP(A151,[2]Hoja1!$B:$D,3,0)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VLOOKUP(A152,[2]Hoja1!$B:$D,3,0)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VLOOKUP(A153,[2]Hoja1!$B:$D,3,0)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VLOOKUP(A154,[2]Hoja1!$B:$D,3,0)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VLOOKUP(A155,[2]Hoja1!$B:$D,3,0)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VLOOKUP(A156,[2]Hoja1!$B:$D,3,0)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VLOOKUP(A157,[2]Hoja1!$B:$D,3,0)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VLOOKUP(A158,[2]Hoja1!$B:$D,3,0)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VLOOKUP(A159,[2]Hoja1!$B:$D,3,0)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VLOOKUP(A160,[2]Hoja1!$B:$D,3,0)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VLOOKUP(A161,[2]Hoja1!$B:$D,3,0)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VLOOKUP(A162,[2]Hoja1!$B:$D,3,0)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VLOOKUP(A163,[2]Hoja1!$B:$D,3,0)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VLOOKUP(A164,[2]Hoja1!$B:$D,3,0)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VLOOKUP(A165,[2]Hoja1!$B:$D,3,0)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VLOOKUP(A166,[2]Hoja1!$B:$D,3,0)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VLOOKUP(A167,[2]Hoja1!$B:$D,3,0)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VLOOKUP(A168,[2]Hoja1!$B:$D,3,0)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VLOOKUP(A169,[2]Hoja1!$B:$D,3,0)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VLOOKUP(A170,[2]Hoja1!$B:$D,3,0)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VLOOKUP(A171,[2]Hoja1!$B:$D,3,0)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VLOOKUP(A172,[2]Hoja1!$B:$D,3,0)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VLOOKUP(A173,[2]Hoja1!$B:$D,3,0)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VLOOKUP(A174,[2]Hoja1!$B:$D,3,0)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VLOOKUP(A175,[2]Hoja1!$B:$D,3,0)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VLOOKUP(A176,[2]Hoja1!$B:$D,3,0)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VLOOKUP(A177,[2]Hoja1!$B:$D,3,0)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VLOOKUP(A178,[2]Hoja1!$B:$D,3,0)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VLOOKUP(A179,[2]Hoja1!$B:$D,3,0)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VLOOKUP(A180,[2]Hoja1!$B:$D,3,0)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VLOOKUP(A181,[2]Hoja1!$B:$D,3,0)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VLOOKUP(A182,[2]Hoja1!$B:$D,3,0)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VLOOKUP(A183,[2]Hoja1!$B:$D,3,0)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VLOOKUP(A184,[2]Hoja1!$B:$D,3,0)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VLOOKUP(A185,[2]Hoja1!$B:$D,3,0)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VLOOKUP(A186,[2]Hoja1!$B:$D,3,0)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VLOOKUP(A187,[2]Hoja1!$B:$D,3,0)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VLOOKUP(A188,[2]Hoja1!$B:$D,3,0)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VLOOKUP(A189,[2]Hoja1!$B:$D,3,0)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VLOOKUP(A190,[2]Hoja1!$B:$D,3,0)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VLOOKUP(A191,[2]Hoja1!$B:$D,3,0)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VLOOKUP(A192,[2]Hoja1!$B:$D,3,0)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VLOOKUP(A193,[2]Hoja1!$B:$D,3,0)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VLOOKUP(A194,[2]Hoja1!$B:$D,3,0)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VLOOKUP(A195,[2]Hoja1!$B:$D,3,0)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VLOOKUP(A196,[2]Hoja1!$B:$D,3,0)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VLOOKUP(A197,[2]Hoja1!$B:$D,3,0)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VLOOKUP(A198,[2]Hoja1!$B:$D,3,0)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VLOOKUP(A199,[2]Hoja1!$B:$D,3,0)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VLOOKUP(A200,[2]Hoja1!$B:$D,3,0)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VLOOKUP(A201,[2]Hoja1!$B:$D,3,0)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VLOOKUP(A202,[2]Hoja1!$B:$D,3,0)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VLOOKUP(A203,[2]Hoja1!$B:$D,3,0)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VLOOKUP(A204,[2]Hoja1!$B:$D,3,0)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VLOOKUP(A205,[2]Hoja1!$B:$D,3,0)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VLOOKUP(A206,[2]Hoja1!$B:$D,3,0)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VLOOKUP(A207,[2]Hoja1!$B:$D,3,0)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VLOOKUP(A208,[2]Hoja1!$B:$D,3,0)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VLOOKUP(A209,[2]Hoja1!$B:$D,3,0)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VLOOKUP(A210,[2]Hoja1!$B:$D,3,0)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VLOOKUP(A211,[2]Hoja1!$B:$D,3,0)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VLOOKUP(A212,[2]Hoja1!$B:$D,3,0)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VLOOKUP(A213,[2]Hoja1!$B:$D,3,0)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VLOOKUP(A214,[2]Hoja1!$B:$D,3,0)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VLOOKUP(A215,[2]Hoja1!$B:$D,3,0)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VLOOKUP(A216,[2]Hoja1!$B:$D,3,0)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VLOOKUP(A217,[2]Hoja1!$B:$D,3,0)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VLOOKUP(A218,[2]Hoja1!$B:$D,3,0)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VLOOKUP(A219,[2]Hoja1!$B:$D,3,0)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VLOOKUP(A220,[2]Hoja1!$B:$D,3,0)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VLOOKUP(A221,[2]Hoja1!$B:$D,3,0)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VLOOKUP(A222,[2]Hoja1!$B:$D,3,0)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VLOOKUP(A223,[2]Hoja1!$B:$D,3,0)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VLOOKUP(A224,[2]Hoja1!$B:$D,3,0)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VLOOKUP(A225,[2]Hoja1!$B:$D,3,0)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VLOOKUP(A226,[2]Hoja1!$B:$D,3,0)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VLOOKUP(A227,[2]Hoja1!$B:$D,3,0)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VLOOKUP(A228,[2]Hoja1!$B:$D,3,0)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VLOOKUP(A229,[2]Hoja1!$B:$D,3,0)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VLOOKUP(A230,[2]Hoja1!$B:$D,3,0)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VLOOKUP(A231,[2]Hoja1!$B:$D,3,0)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VLOOKUP(A232,[2]Hoja1!$B:$D,3,0)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VLOOKUP(A233,[2]Hoja1!$B:$D,3,0)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VLOOKUP(A234,[2]Hoja1!$B:$D,3,0)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VLOOKUP(A235,[2]Hoja1!$B:$D,3,0)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VLOOKUP(A236,[2]Hoja1!$B:$D,3,0)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VLOOKUP(A237,[2]Hoja1!$B:$D,3,0)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VLOOKUP(A238,[2]Hoja1!$B:$D,3,0)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VLOOKUP(A239,[2]Hoja1!$B:$D,3,0)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VLOOKUP(A240,[2]Hoja1!$B:$D,3,0)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VLOOKUP(A241,[2]Hoja1!$B:$D,3,0)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VLOOKUP(A242,[2]Hoja1!$B:$D,3,0)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VLOOKUP(A243,[2]Hoja1!$B:$D,3,0)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VLOOKUP(A244,[2]Hoja1!$B:$D,3,0)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VLOOKUP(A245,[2]Hoja1!$B:$D,3,0)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VLOOKUP(A246,[2]Hoja1!$B:$D,3,0)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VLOOKUP(A247,[2]Hoja1!$B:$D,3,0)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VLOOKUP(A248,[2]Hoja1!$B:$D,3,0)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VLOOKUP(A249,[2]Hoja1!$B:$D,3,0)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VLOOKUP(A250,[2]Hoja1!$B:$D,3,0)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VLOOKUP(A251,[2]Hoja1!$B:$D,3,0)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VLOOKUP(A252,[2]Hoja1!$B:$D,3,0)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VLOOKUP(A253,[2]Hoja1!$B:$D,3,0)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VLOOKUP(A254,[2]Hoja1!$B:$D,3,0)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VLOOKUP(A255,[2]Hoja1!$B:$D,3,0)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VLOOKUP(A256,[2]Hoja1!$B:$D,3,0)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VLOOKUP(A257,[2]Hoja1!$B:$D,3,0)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VLOOKUP(A258,[2]Hoja1!$B:$D,3,0)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VLOOKUP(A259,[2]Hoja1!$B:$D,3,0)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VLOOKUP(A260,[2]Hoja1!$B:$D,3,0)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VLOOKUP(A261,[2]Hoja1!$B:$D,3,0)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VLOOKUP(A262,[2]Hoja1!$B:$D,3,0)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VLOOKUP(A263,[2]Hoja1!$B:$D,3,0)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VLOOKUP(A264,[2]Hoja1!$B:$D,3,0)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VLOOKUP(A265,[2]Hoja1!$B:$D,3,0)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VLOOKUP(A266,[2]Hoja1!$B:$D,3,0)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VLOOKUP(A267,[2]Hoja1!$B:$D,3,0)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VLOOKUP(A268,[2]Hoja1!$B:$D,3,0)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VLOOKUP(A269,[2]Hoja1!$B:$D,3,0)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VLOOKUP(A270,[2]Hoja1!$B:$D,3,0)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VLOOKUP(A271,[2]Hoja1!$B:$D,3,0)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VLOOKUP(A272,[2]Hoja1!$B:$D,3,0)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VLOOKUP(A273,[2]Hoja1!$B:$D,3,0)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VLOOKUP(A274,[2]Hoja1!$B:$D,3,0)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VLOOKUP(A275,[2]Hoja1!$B:$D,3,0)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VLOOKUP(A276,[2]Hoja1!$B:$D,3,0)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VLOOKUP(A277,[2]Hoja1!$B:$D,3,0)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VLOOKUP(A278,[2]Hoja1!$B:$D,3,0)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VLOOKUP(A279,[2]Hoja1!$B:$D,3,0)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VLOOKUP(A280,[2]Hoja1!$B:$D,3,0)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VLOOKUP(A281,[2]Hoja1!$B:$D,3,0)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VLOOKUP(A282,[2]Hoja1!$B:$D,3,0)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VLOOKUP(A283,[2]Hoja1!$B:$D,3,0)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VLOOKUP(A284,[2]Hoja1!$B:$D,3,0)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VLOOKUP(A285,[2]Hoja1!$B:$D,3,0)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VLOOKUP(A286,[2]Hoja1!$B:$D,3,0)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VLOOKUP(A287,[2]Hoja1!$B:$D,3,0)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VLOOKUP(A288,[2]Hoja1!$B:$D,3,0)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4" sqref="B4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MASTER</vt:lpstr>
      <vt:lpstr>Hoja6</vt:lpstr>
      <vt:lpstr>Hoja4</vt:lpstr>
      <vt:lpstr>Hoja3</vt:lpstr>
      <vt:lpstr>INNOVACIÓN</vt:lpstr>
      <vt:lpstr>Hoja2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2026-09-30T21:58:24Z</dcterms:modified>
  <cp:category/>
  <cp:contentStatus/>
</cp:coreProperties>
</file>