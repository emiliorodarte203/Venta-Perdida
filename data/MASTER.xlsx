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7eleven-my.sharepoint.com/personal/emilio_rodarte_7-eleven_com_mx/Documents/Cigarros 2026/Inv/"/>
    </mc:Choice>
  </mc:AlternateContent>
  <xr:revisionPtr revIDLastSave="4038" documentId="13_ncr:1_{8952FF5F-C77A-4B5B-B655-62227BFE6363}" xr6:coauthVersionLast="47" xr6:coauthVersionMax="47" xr10:uidLastSave="{D5F0D3E1-1F3A-44DB-BE04-B528B7284761}"/>
  <bookViews>
    <workbookView xWindow="-110" yWindow="-110" windowWidth="19420" windowHeight="10300" xr2:uid="{6F075128-D8C5-4571-938A-D8C5FF991224}"/>
  </bookViews>
  <sheets>
    <sheet name="MASTER" sheetId="12" r:id="rId1"/>
    <sheet name="COSTO Y PRECIO" sheetId="33" r:id="rId2"/>
    <sheet name="Hoja8" sheetId="32" r:id="rId3"/>
    <sheet name="Hoja4" sheetId="29" r:id="rId4"/>
    <sheet name="INNOVACIÓN" sheetId="15" r:id="rId5"/>
    <sheet name="Hoja2" sheetId="27" r:id="rId6"/>
    <sheet name="Hoja1" sheetId="26" r:id="rId7"/>
    <sheet name="MERMA" sheetId="25" r:id="rId8"/>
    <sheet name="Hoja5" sheetId="22" r:id="rId9"/>
    <sheet name="Inactivos" sheetId="13" r:id="rId10"/>
    <sheet name="Catálogo" sheetId="14" r:id="rId11"/>
    <sheet name="Papeles" sheetId="5" state="hidden" r:id="rId12"/>
  </sheets>
  <externalReferences>
    <externalReference r:id="rId13"/>
    <externalReference r:id="rId14"/>
  </externalReferences>
  <definedNames>
    <definedName name="_xlnm._FilterDatabase" localSheetId="10" hidden="1">Catálogo!$A$1:$D$380</definedName>
    <definedName name="_xlnm._FilterDatabase" localSheetId="6" hidden="1">Hoja1!$A$1:$M$585</definedName>
    <definedName name="_xlnm._FilterDatabase" localSheetId="5" hidden="1">Hoja2!$E$1:$G$47</definedName>
    <definedName name="_xlnm._FilterDatabase" localSheetId="3" hidden="1">Hoja4!$A$1:$E$370</definedName>
    <definedName name="_xlnm._FilterDatabase" localSheetId="8" hidden="1">Hoja5!$N$1:$S$41</definedName>
    <definedName name="_xlnm._FilterDatabase" localSheetId="9" hidden="1">Inactivos!$A$1:$N$288</definedName>
    <definedName name="_xlnm._FilterDatabase" localSheetId="4" hidden="1">INNOVACIÓN!$A$1:$D$44</definedName>
    <definedName name="_xlnm._FilterDatabase" localSheetId="0" hidden="1">MASTER!$A$1:$N$590</definedName>
    <definedName name="_xlnm._FilterDatabase" localSheetId="7" hidden="1">MERMA!$A$1:$E$121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2" l="1"/>
  <c r="N3" i="12"/>
  <c r="M4" i="12"/>
  <c r="N4" i="12"/>
  <c r="M5" i="12"/>
  <c r="N5" i="12"/>
  <c r="M6" i="12"/>
  <c r="N6" i="12"/>
  <c r="M7" i="12"/>
  <c r="N7" i="12"/>
  <c r="M8" i="12"/>
  <c r="N8" i="12"/>
  <c r="M9" i="12"/>
  <c r="N9" i="12"/>
  <c r="M10" i="12"/>
  <c r="N10" i="12"/>
  <c r="M11" i="12"/>
  <c r="N11" i="12"/>
  <c r="M12" i="12"/>
  <c r="N12" i="12"/>
  <c r="M13" i="12"/>
  <c r="N13" i="12"/>
  <c r="M14" i="12"/>
  <c r="N14" i="12"/>
  <c r="M15" i="12"/>
  <c r="N15" i="12"/>
  <c r="M16" i="12"/>
  <c r="N16" i="12"/>
  <c r="M17" i="12"/>
  <c r="N17" i="12"/>
  <c r="M18" i="12"/>
  <c r="N18" i="12"/>
  <c r="M19" i="12"/>
  <c r="N19" i="12"/>
  <c r="M20" i="12"/>
  <c r="N20" i="12"/>
  <c r="M21" i="12"/>
  <c r="N21" i="12"/>
  <c r="M22" i="12"/>
  <c r="N22" i="12"/>
  <c r="M23" i="12"/>
  <c r="N23" i="12"/>
  <c r="M24" i="12"/>
  <c r="N24" i="12"/>
  <c r="M25" i="12"/>
  <c r="N25" i="12"/>
  <c r="M26" i="12"/>
  <c r="N26" i="12"/>
  <c r="M27" i="12"/>
  <c r="N27" i="12"/>
  <c r="M28" i="12"/>
  <c r="N28" i="12"/>
  <c r="M29" i="12"/>
  <c r="N29" i="12"/>
  <c r="M30" i="12"/>
  <c r="N30" i="12"/>
  <c r="M31" i="12"/>
  <c r="N31" i="12"/>
  <c r="M32" i="12"/>
  <c r="N32" i="12"/>
  <c r="M33" i="12"/>
  <c r="N33" i="12"/>
  <c r="M34" i="12"/>
  <c r="N34" i="12"/>
  <c r="M35" i="12"/>
  <c r="N35" i="12"/>
  <c r="M36" i="12"/>
  <c r="N36" i="12"/>
  <c r="M37" i="12"/>
  <c r="N37" i="12"/>
  <c r="M38" i="12"/>
  <c r="N38" i="12"/>
  <c r="M39" i="12"/>
  <c r="N39" i="12"/>
  <c r="M40" i="12"/>
  <c r="N40" i="12"/>
  <c r="M41" i="12"/>
  <c r="N41" i="12"/>
  <c r="M42" i="12"/>
  <c r="N42" i="12"/>
  <c r="M43" i="12"/>
  <c r="N43" i="12"/>
  <c r="M44" i="12"/>
  <c r="N44" i="12"/>
  <c r="M45" i="12"/>
  <c r="N45" i="12"/>
  <c r="M46" i="12"/>
  <c r="N46" i="12"/>
  <c r="M47" i="12"/>
  <c r="N47" i="12"/>
  <c r="M48" i="12"/>
  <c r="N48" i="12"/>
  <c r="M49" i="12"/>
  <c r="N49" i="12"/>
  <c r="M50" i="12"/>
  <c r="N50" i="12"/>
  <c r="M51" i="12"/>
  <c r="N51" i="12"/>
  <c r="M52" i="12"/>
  <c r="N52" i="12"/>
  <c r="M53" i="12"/>
  <c r="N53" i="12"/>
  <c r="M54" i="12"/>
  <c r="N54" i="12"/>
  <c r="M55" i="12"/>
  <c r="N55" i="12"/>
  <c r="M56" i="12"/>
  <c r="N56" i="12"/>
  <c r="M57" i="12"/>
  <c r="N57" i="12"/>
  <c r="M58" i="12"/>
  <c r="N58" i="12"/>
  <c r="M59" i="12"/>
  <c r="N59" i="12"/>
  <c r="M60" i="12"/>
  <c r="N60" i="12"/>
  <c r="M61" i="12"/>
  <c r="N61" i="12"/>
  <c r="M62" i="12"/>
  <c r="N62" i="12"/>
  <c r="M63" i="12"/>
  <c r="N63" i="12"/>
  <c r="M64" i="12"/>
  <c r="N64" i="12"/>
  <c r="M65" i="12"/>
  <c r="N65" i="12"/>
  <c r="M66" i="12"/>
  <c r="N66" i="12"/>
  <c r="M67" i="12"/>
  <c r="N67" i="12"/>
  <c r="M68" i="12"/>
  <c r="N68" i="12"/>
  <c r="M69" i="12"/>
  <c r="N69" i="12"/>
  <c r="M70" i="12"/>
  <c r="N70" i="12"/>
  <c r="M71" i="12"/>
  <c r="N71" i="12"/>
  <c r="M72" i="12"/>
  <c r="N72" i="12"/>
  <c r="M73" i="12"/>
  <c r="N73" i="12"/>
  <c r="M74" i="12"/>
  <c r="N74" i="12"/>
  <c r="M75" i="12"/>
  <c r="N75" i="12"/>
  <c r="M76" i="12"/>
  <c r="N76" i="12"/>
  <c r="M77" i="12"/>
  <c r="N77" i="12"/>
  <c r="M78" i="12"/>
  <c r="N78" i="12"/>
  <c r="M79" i="12"/>
  <c r="N79" i="12"/>
  <c r="M80" i="12"/>
  <c r="N80" i="12"/>
  <c r="M81" i="12"/>
  <c r="N81" i="12"/>
  <c r="M82" i="12"/>
  <c r="N82" i="12"/>
  <c r="M83" i="12"/>
  <c r="N83" i="12"/>
  <c r="M84" i="12"/>
  <c r="N84" i="12"/>
  <c r="M85" i="12"/>
  <c r="N85" i="12"/>
  <c r="M86" i="12"/>
  <c r="N86" i="12"/>
  <c r="M87" i="12"/>
  <c r="N87" i="12"/>
  <c r="M88" i="12"/>
  <c r="N88" i="12"/>
  <c r="M89" i="12"/>
  <c r="N89" i="12"/>
  <c r="M90" i="12"/>
  <c r="N90" i="12"/>
  <c r="M91" i="12"/>
  <c r="N91" i="12"/>
  <c r="M92" i="12"/>
  <c r="N92" i="12"/>
  <c r="M93" i="12"/>
  <c r="N93" i="12"/>
  <c r="M94" i="12"/>
  <c r="N94" i="12"/>
  <c r="M95" i="12"/>
  <c r="N95" i="12"/>
  <c r="M96" i="12"/>
  <c r="N96" i="12"/>
  <c r="M97" i="12"/>
  <c r="N97" i="12"/>
  <c r="M98" i="12"/>
  <c r="N98" i="12"/>
  <c r="M99" i="12"/>
  <c r="N99" i="12"/>
  <c r="M100" i="12"/>
  <c r="N100" i="12"/>
  <c r="M101" i="12"/>
  <c r="N101" i="12"/>
  <c r="M102" i="12"/>
  <c r="N102" i="12"/>
  <c r="M103" i="12"/>
  <c r="N103" i="12"/>
  <c r="M104" i="12"/>
  <c r="N104" i="12"/>
  <c r="M105" i="12"/>
  <c r="N105" i="12"/>
  <c r="M106" i="12"/>
  <c r="N106" i="12"/>
  <c r="M107" i="12"/>
  <c r="N107" i="12"/>
  <c r="M108" i="12"/>
  <c r="N108" i="12"/>
  <c r="M109" i="12"/>
  <c r="N109" i="12"/>
  <c r="M110" i="12"/>
  <c r="N110" i="12"/>
  <c r="M111" i="12"/>
  <c r="N111" i="12"/>
  <c r="M112" i="12"/>
  <c r="N112" i="12"/>
  <c r="M113" i="12"/>
  <c r="N113" i="12"/>
  <c r="M114" i="12"/>
  <c r="N114" i="12"/>
  <c r="M115" i="12"/>
  <c r="N115" i="12"/>
  <c r="M116" i="12"/>
  <c r="N116" i="12"/>
  <c r="M117" i="12"/>
  <c r="N117" i="12"/>
  <c r="M118" i="12"/>
  <c r="N118" i="12"/>
  <c r="M119" i="12"/>
  <c r="N119" i="12"/>
  <c r="M120" i="12"/>
  <c r="N120" i="12"/>
  <c r="M121" i="12"/>
  <c r="N121" i="12"/>
  <c r="M122" i="12"/>
  <c r="N122" i="12"/>
  <c r="M123" i="12"/>
  <c r="N123" i="12"/>
  <c r="M124" i="12"/>
  <c r="N124" i="12"/>
  <c r="M125" i="12"/>
  <c r="N125" i="12"/>
  <c r="M126" i="12"/>
  <c r="N126" i="12"/>
  <c r="M127" i="12"/>
  <c r="N127" i="12"/>
  <c r="M128" i="12"/>
  <c r="N128" i="12"/>
  <c r="M129" i="12"/>
  <c r="N129" i="12"/>
  <c r="M130" i="12"/>
  <c r="N130" i="12"/>
  <c r="M131" i="12"/>
  <c r="N131" i="12"/>
  <c r="M132" i="12"/>
  <c r="N132" i="12"/>
  <c r="M133" i="12"/>
  <c r="N133" i="12"/>
  <c r="M134" i="12"/>
  <c r="N134" i="12"/>
  <c r="M135" i="12"/>
  <c r="N135" i="12"/>
  <c r="M136" i="12"/>
  <c r="N136" i="12"/>
  <c r="M137" i="12"/>
  <c r="N137" i="12"/>
  <c r="M138" i="12"/>
  <c r="N138" i="12"/>
  <c r="M139" i="12"/>
  <c r="N139" i="12"/>
  <c r="M140" i="12"/>
  <c r="N140" i="12"/>
  <c r="M141" i="12"/>
  <c r="N141" i="12"/>
  <c r="M142" i="12"/>
  <c r="N142" i="12"/>
  <c r="M143" i="12"/>
  <c r="N143" i="12"/>
  <c r="M144" i="12"/>
  <c r="N144" i="12"/>
  <c r="M145" i="12"/>
  <c r="N145" i="12"/>
  <c r="M146" i="12"/>
  <c r="N146" i="12"/>
  <c r="M147" i="12"/>
  <c r="N147" i="12"/>
  <c r="M148" i="12"/>
  <c r="N148" i="12"/>
  <c r="M149" i="12"/>
  <c r="N149" i="12"/>
  <c r="M150" i="12"/>
  <c r="N150" i="12"/>
  <c r="M151" i="12"/>
  <c r="N151" i="12"/>
  <c r="M152" i="12"/>
  <c r="N152" i="12"/>
  <c r="M153" i="12"/>
  <c r="N153" i="12"/>
  <c r="M154" i="12"/>
  <c r="N154" i="12"/>
  <c r="M155" i="12"/>
  <c r="N155" i="12"/>
  <c r="M156" i="12"/>
  <c r="N156" i="12"/>
  <c r="M157" i="12"/>
  <c r="N157" i="12"/>
  <c r="M158" i="12"/>
  <c r="N158" i="12"/>
  <c r="M159" i="12"/>
  <c r="N159" i="12"/>
  <c r="M160" i="12"/>
  <c r="N160" i="12"/>
  <c r="M161" i="12"/>
  <c r="N161" i="12"/>
  <c r="M162" i="12"/>
  <c r="N162" i="12"/>
  <c r="M163" i="12"/>
  <c r="N163" i="12"/>
  <c r="M164" i="12"/>
  <c r="N164" i="12"/>
  <c r="M165" i="12"/>
  <c r="N165" i="12"/>
  <c r="M166" i="12"/>
  <c r="N166" i="12"/>
  <c r="M167" i="12"/>
  <c r="N167" i="12"/>
  <c r="M168" i="12"/>
  <c r="N168" i="12"/>
  <c r="M169" i="12"/>
  <c r="N169" i="12"/>
  <c r="M170" i="12"/>
  <c r="N170" i="12"/>
  <c r="M171" i="12"/>
  <c r="N171" i="12"/>
  <c r="M172" i="12"/>
  <c r="N172" i="12"/>
  <c r="M173" i="12"/>
  <c r="N173" i="12"/>
  <c r="M174" i="12"/>
  <c r="N174" i="12"/>
  <c r="M175" i="12"/>
  <c r="N175" i="12"/>
  <c r="M176" i="12"/>
  <c r="N176" i="12"/>
  <c r="M177" i="12"/>
  <c r="N177" i="12"/>
  <c r="M178" i="12"/>
  <c r="N178" i="12"/>
  <c r="M179" i="12"/>
  <c r="N179" i="12"/>
  <c r="M180" i="12"/>
  <c r="N180" i="12"/>
  <c r="M181" i="12"/>
  <c r="N181" i="12"/>
  <c r="M182" i="12"/>
  <c r="N182" i="12"/>
  <c r="M183" i="12"/>
  <c r="N183" i="12"/>
  <c r="M184" i="12"/>
  <c r="N184" i="12"/>
  <c r="M185" i="12"/>
  <c r="N185" i="12"/>
  <c r="M186" i="12"/>
  <c r="N186" i="12"/>
  <c r="M187" i="12"/>
  <c r="N187" i="12"/>
  <c r="M188" i="12"/>
  <c r="N188" i="12"/>
  <c r="M189" i="12"/>
  <c r="N189" i="12"/>
  <c r="M190" i="12"/>
  <c r="N190" i="12"/>
  <c r="M191" i="12"/>
  <c r="N191" i="12"/>
  <c r="M192" i="12"/>
  <c r="N192" i="12"/>
  <c r="M193" i="12"/>
  <c r="N193" i="12"/>
  <c r="M194" i="12"/>
  <c r="N194" i="12"/>
  <c r="M195" i="12"/>
  <c r="N195" i="12"/>
  <c r="M196" i="12"/>
  <c r="N196" i="12"/>
  <c r="M197" i="12"/>
  <c r="N197" i="12"/>
  <c r="M198" i="12"/>
  <c r="N198" i="12"/>
  <c r="M199" i="12"/>
  <c r="N199" i="12"/>
  <c r="M200" i="12"/>
  <c r="N200" i="12"/>
  <c r="M201" i="12"/>
  <c r="N201" i="12"/>
  <c r="M202" i="12"/>
  <c r="N202" i="12"/>
  <c r="M203" i="12"/>
  <c r="N203" i="12"/>
  <c r="M204" i="12"/>
  <c r="N204" i="12"/>
  <c r="M205" i="12"/>
  <c r="N205" i="12"/>
  <c r="M206" i="12"/>
  <c r="N206" i="12"/>
  <c r="M207" i="12"/>
  <c r="N207" i="12"/>
  <c r="M208" i="12"/>
  <c r="N208" i="12"/>
  <c r="M209" i="12"/>
  <c r="N209" i="12"/>
  <c r="M210" i="12"/>
  <c r="N210" i="12"/>
  <c r="M211" i="12"/>
  <c r="N211" i="12"/>
  <c r="M212" i="12"/>
  <c r="N212" i="12"/>
  <c r="M213" i="12"/>
  <c r="N213" i="12"/>
  <c r="M214" i="12"/>
  <c r="N214" i="12"/>
  <c r="M215" i="12"/>
  <c r="N215" i="12"/>
  <c r="M216" i="12"/>
  <c r="N216" i="12"/>
  <c r="M217" i="12"/>
  <c r="N217" i="12"/>
  <c r="M218" i="12"/>
  <c r="N218" i="12"/>
  <c r="M219" i="12"/>
  <c r="N219" i="12"/>
  <c r="M220" i="12"/>
  <c r="N220" i="12"/>
  <c r="M221" i="12"/>
  <c r="N221" i="12"/>
  <c r="M222" i="12"/>
  <c r="N222" i="12"/>
  <c r="M223" i="12"/>
  <c r="N223" i="12"/>
  <c r="M224" i="12"/>
  <c r="N224" i="12"/>
  <c r="M225" i="12"/>
  <c r="N225" i="12"/>
  <c r="M226" i="12"/>
  <c r="N226" i="12"/>
  <c r="M227" i="12"/>
  <c r="N227" i="12"/>
  <c r="M228" i="12"/>
  <c r="N228" i="12"/>
  <c r="M229" i="12"/>
  <c r="N229" i="12"/>
  <c r="M230" i="12"/>
  <c r="N230" i="12"/>
  <c r="M231" i="12"/>
  <c r="N231" i="12"/>
  <c r="M232" i="12"/>
  <c r="N232" i="12"/>
  <c r="M233" i="12"/>
  <c r="N233" i="12"/>
  <c r="M234" i="12"/>
  <c r="N234" i="12"/>
  <c r="M235" i="12"/>
  <c r="N235" i="12"/>
  <c r="M236" i="12"/>
  <c r="N236" i="12"/>
  <c r="M237" i="12"/>
  <c r="N237" i="12"/>
  <c r="M238" i="12"/>
  <c r="N238" i="12"/>
  <c r="M239" i="12"/>
  <c r="N239" i="12"/>
  <c r="M240" i="12"/>
  <c r="N240" i="12"/>
  <c r="M241" i="12"/>
  <c r="N241" i="12"/>
  <c r="M242" i="12"/>
  <c r="N242" i="12"/>
  <c r="M243" i="12"/>
  <c r="N243" i="12"/>
  <c r="M244" i="12"/>
  <c r="N244" i="12"/>
  <c r="M245" i="12"/>
  <c r="N245" i="12"/>
  <c r="M246" i="12"/>
  <c r="N246" i="12"/>
  <c r="M247" i="12"/>
  <c r="N247" i="12"/>
  <c r="M248" i="12"/>
  <c r="N248" i="12"/>
  <c r="M249" i="12"/>
  <c r="N249" i="12"/>
  <c r="M250" i="12"/>
  <c r="N250" i="12"/>
  <c r="M251" i="12"/>
  <c r="N251" i="12"/>
  <c r="M252" i="12"/>
  <c r="N252" i="12"/>
  <c r="M253" i="12"/>
  <c r="N253" i="12"/>
  <c r="M254" i="12"/>
  <c r="N254" i="12"/>
  <c r="M255" i="12"/>
  <c r="N255" i="12"/>
  <c r="M256" i="12"/>
  <c r="N256" i="12"/>
  <c r="M257" i="12"/>
  <c r="N257" i="12"/>
  <c r="M258" i="12"/>
  <c r="N258" i="12"/>
  <c r="M259" i="12"/>
  <c r="N259" i="12"/>
  <c r="M260" i="12"/>
  <c r="N260" i="12"/>
  <c r="M261" i="12"/>
  <c r="N261" i="12"/>
  <c r="M262" i="12"/>
  <c r="N262" i="12"/>
  <c r="M263" i="12"/>
  <c r="N263" i="12"/>
  <c r="M264" i="12"/>
  <c r="N264" i="12"/>
  <c r="M265" i="12"/>
  <c r="N265" i="12"/>
  <c r="M266" i="12"/>
  <c r="N266" i="12"/>
  <c r="M267" i="12"/>
  <c r="N267" i="12"/>
  <c r="M268" i="12"/>
  <c r="N268" i="12"/>
  <c r="M269" i="12"/>
  <c r="N269" i="12"/>
  <c r="M270" i="12"/>
  <c r="N270" i="12"/>
  <c r="M271" i="12"/>
  <c r="N271" i="12"/>
  <c r="M272" i="12"/>
  <c r="N272" i="12"/>
  <c r="M273" i="12"/>
  <c r="N273" i="12"/>
  <c r="M274" i="12"/>
  <c r="N274" i="12"/>
  <c r="M275" i="12"/>
  <c r="N275" i="12"/>
  <c r="M276" i="12"/>
  <c r="N276" i="12"/>
  <c r="M277" i="12"/>
  <c r="N277" i="12"/>
  <c r="M278" i="12"/>
  <c r="N278" i="12"/>
  <c r="M279" i="12"/>
  <c r="N279" i="12"/>
  <c r="M280" i="12"/>
  <c r="N280" i="12"/>
  <c r="M281" i="12"/>
  <c r="N281" i="12"/>
  <c r="M282" i="12"/>
  <c r="N282" i="12"/>
  <c r="M283" i="12"/>
  <c r="N283" i="12"/>
  <c r="M284" i="12"/>
  <c r="N284" i="12"/>
  <c r="M285" i="12"/>
  <c r="N285" i="12"/>
  <c r="M286" i="12"/>
  <c r="N286" i="12"/>
  <c r="M287" i="12"/>
  <c r="N287" i="12"/>
  <c r="M288" i="12"/>
  <c r="N288" i="12"/>
  <c r="M289" i="12"/>
  <c r="N289" i="12"/>
  <c r="M290" i="12"/>
  <c r="N290" i="12"/>
  <c r="M291" i="12"/>
  <c r="N291" i="12"/>
  <c r="M292" i="12"/>
  <c r="N292" i="12"/>
  <c r="M293" i="12"/>
  <c r="N293" i="12"/>
  <c r="M294" i="12"/>
  <c r="N294" i="12"/>
  <c r="M295" i="12"/>
  <c r="N295" i="12"/>
  <c r="M296" i="12"/>
  <c r="N296" i="12"/>
  <c r="M297" i="12"/>
  <c r="N297" i="12"/>
  <c r="M298" i="12"/>
  <c r="N298" i="12"/>
  <c r="M299" i="12"/>
  <c r="N299" i="12"/>
  <c r="M300" i="12"/>
  <c r="N300" i="12"/>
  <c r="M301" i="12"/>
  <c r="N301" i="12"/>
  <c r="M302" i="12"/>
  <c r="N302" i="12"/>
  <c r="M303" i="12"/>
  <c r="N303" i="12"/>
  <c r="M304" i="12"/>
  <c r="N304" i="12"/>
  <c r="M305" i="12"/>
  <c r="N305" i="12"/>
  <c r="M306" i="12"/>
  <c r="N306" i="12"/>
  <c r="M307" i="12"/>
  <c r="N307" i="12"/>
  <c r="M308" i="12"/>
  <c r="N308" i="12"/>
  <c r="M309" i="12"/>
  <c r="N309" i="12"/>
  <c r="M310" i="12"/>
  <c r="N310" i="12"/>
  <c r="M311" i="12"/>
  <c r="N311" i="12"/>
  <c r="M312" i="12"/>
  <c r="N312" i="12"/>
  <c r="M313" i="12"/>
  <c r="N313" i="12"/>
  <c r="M314" i="12"/>
  <c r="N314" i="12"/>
  <c r="M315" i="12"/>
  <c r="N315" i="12"/>
  <c r="M316" i="12"/>
  <c r="N316" i="12"/>
  <c r="M317" i="12"/>
  <c r="N317" i="12"/>
  <c r="M318" i="12"/>
  <c r="N318" i="12"/>
  <c r="M319" i="12"/>
  <c r="N319" i="12"/>
  <c r="M320" i="12"/>
  <c r="N320" i="12"/>
  <c r="M321" i="12"/>
  <c r="N321" i="12"/>
  <c r="M322" i="12"/>
  <c r="N322" i="12"/>
  <c r="M323" i="12"/>
  <c r="N323" i="12"/>
  <c r="M324" i="12"/>
  <c r="N324" i="12"/>
  <c r="M325" i="12"/>
  <c r="N325" i="12"/>
  <c r="M326" i="12"/>
  <c r="N326" i="12"/>
  <c r="M327" i="12"/>
  <c r="N327" i="12"/>
  <c r="M328" i="12"/>
  <c r="N328" i="12"/>
  <c r="M329" i="12"/>
  <c r="N329" i="12"/>
  <c r="M330" i="12"/>
  <c r="N330" i="12"/>
  <c r="M331" i="12"/>
  <c r="N331" i="12"/>
  <c r="M332" i="12"/>
  <c r="N332" i="12"/>
  <c r="M333" i="12"/>
  <c r="N333" i="12"/>
  <c r="M334" i="12"/>
  <c r="N334" i="12"/>
  <c r="M335" i="12"/>
  <c r="N335" i="12"/>
  <c r="M336" i="12"/>
  <c r="N336" i="12"/>
  <c r="M337" i="12"/>
  <c r="N337" i="12"/>
  <c r="M338" i="12"/>
  <c r="N338" i="12"/>
  <c r="M339" i="12"/>
  <c r="N339" i="12"/>
  <c r="M340" i="12"/>
  <c r="N340" i="12"/>
  <c r="M341" i="12"/>
  <c r="N341" i="12"/>
  <c r="M342" i="12"/>
  <c r="N342" i="12"/>
  <c r="M343" i="12"/>
  <c r="N343" i="12"/>
  <c r="M344" i="12"/>
  <c r="N344" i="12"/>
  <c r="M345" i="12"/>
  <c r="N345" i="12"/>
  <c r="M346" i="12"/>
  <c r="N346" i="12"/>
  <c r="M347" i="12"/>
  <c r="N347" i="12"/>
  <c r="M348" i="12"/>
  <c r="N348" i="12"/>
  <c r="M349" i="12"/>
  <c r="N349" i="12"/>
  <c r="M350" i="12"/>
  <c r="N350" i="12"/>
  <c r="M351" i="12"/>
  <c r="N351" i="12"/>
  <c r="M352" i="12"/>
  <c r="N352" i="12"/>
  <c r="M353" i="12"/>
  <c r="N353" i="12"/>
  <c r="M354" i="12"/>
  <c r="N354" i="12"/>
  <c r="M355" i="12"/>
  <c r="N355" i="12"/>
  <c r="M356" i="12"/>
  <c r="N356" i="12"/>
  <c r="M357" i="12"/>
  <c r="N357" i="12"/>
  <c r="M358" i="12"/>
  <c r="N358" i="12"/>
  <c r="M359" i="12"/>
  <c r="N359" i="12"/>
  <c r="M360" i="12"/>
  <c r="N360" i="12"/>
  <c r="M361" i="12"/>
  <c r="N361" i="12"/>
  <c r="M362" i="12"/>
  <c r="N362" i="12"/>
  <c r="M363" i="12"/>
  <c r="N363" i="12"/>
  <c r="M364" i="12"/>
  <c r="N364" i="12"/>
  <c r="M365" i="12"/>
  <c r="N365" i="12"/>
  <c r="M366" i="12"/>
  <c r="N366" i="12"/>
  <c r="M367" i="12"/>
  <c r="N367" i="12"/>
  <c r="M368" i="12"/>
  <c r="N368" i="12"/>
  <c r="M369" i="12"/>
  <c r="N369" i="12"/>
  <c r="M370" i="12"/>
  <c r="N370" i="12"/>
  <c r="M371" i="12"/>
  <c r="N371" i="12"/>
  <c r="M372" i="12"/>
  <c r="N372" i="12"/>
  <c r="M373" i="12"/>
  <c r="N373" i="12"/>
  <c r="M374" i="12"/>
  <c r="N374" i="12"/>
  <c r="M375" i="12"/>
  <c r="N375" i="12"/>
  <c r="M376" i="12"/>
  <c r="N376" i="12"/>
  <c r="M377" i="12"/>
  <c r="N377" i="12"/>
  <c r="M378" i="12"/>
  <c r="N378" i="12"/>
  <c r="M379" i="12"/>
  <c r="N379" i="12"/>
  <c r="M380" i="12"/>
  <c r="N380" i="12"/>
  <c r="M381" i="12"/>
  <c r="N381" i="12"/>
  <c r="M382" i="12"/>
  <c r="N382" i="12"/>
  <c r="M383" i="12"/>
  <c r="N383" i="12"/>
  <c r="M384" i="12"/>
  <c r="N384" i="12"/>
  <c r="M385" i="12"/>
  <c r="N385" i="12"/>
  <c r="M386" i="12"/>
  <c r="N386" i="12"/>
  <c r="M387" i="12"/>
  <c r="N387" i="12"/>
  <c r="M388" i="12"/>
  <c r="N388" i="12"/>
  <c r="M389" i="12"/>
  <c r="N389" i="12"/>
  <c r="M390" i="12"/>
  <c r="N390" i="12"/>
  <c r="M391" i="12"/>
  <c r="N391" i="12"/>
  <c r="M392" i="12"/>
  <c r="N392" i="12"/>
  <c r="M393" i="12"/>
  <c r="N393" i="12"/>
  <c r="M394" i="12"/>
  <c r="N394" i="12"/>
  <c r="M395" i="12"/>
  <c r="N395" i="12"/>
  <c r="M396" i="12"/>
  <c r="N396" i="12"/>
  <c r="M397" i="12"/>
  <c r="N397" i="12"/>
  <c r="M398" i="12"/>
  <c r="N398" i="12"/>
  <c r="M399" i="12"/>
  <c r="N399" i="12"/>
  <c r="M400" i="12"/>
  <c r="N400" i="12"/>
  <c r="M401" i="12"/>
  <c r="N401" i="12"/>
  <c r="M402" i="12"/>
  <c r="N402" i="12"/>
  <c r="M403" i="12"/>
  <c r="N403" i="12"/>
  <c r="M404" i="12"/>
  <c r="N404" i="12"/>
  <c r="M405" i="12"/>
  <c r="N405" i="12"/>
  <c r="M406" i="12"/>
  <c r="N406" i="12"/>
  <c r="M407" i="12"/>
  <c r="N407" i="12"/>
  <c r="M408" i="12"/>
  <c r="N408" i="12"/>
  <c r="M409" i="12"/>
  <c r="N409" i="12"/>
  <c r="M410" i="12"/>
  <c r="N410" i="12"/>
  <c r="M411" i="12"/>
  <c r="N411" i="12"/>
  <c r="M412" i="12"/>
  <c r="N412" i="12"/>
  <c r="M413" i="12"/>
  <c r="N413" i="12"/>
  <c r="M414" i="12"/>
  <c r="N414" i="12"/>
  <c r="M415" i="12"/>
  <c r="N415" i="12"/>
  <c r="M416" i="12"/>
  <c r="N416" i="12"/>
  <c r="M417" i="12"/>
  <c r="N417" i="12"/>
  <c r="M418" i="12"/>
  <c r="N418" i="12"/>
  <c r="M419" i="12"/>
  <c r="N419" i="12"/>
  <c r="M420" i="12"/>
  <c r="N420" i="12"/>
  <c r="M421" i="12"/>
  <c r="N421" i="12"/>
  <c r="M422" i="12"/>
  <c r="N422" i="12"/>
  <c r="M423" i="12"/>
  <c r="N423" i="12"/>
  <c r="M424" i="12"/>
  <c r="N424" i="12"/>
  <c r="M425" i="12"/>
  <c r="N425" i="12"/>
  <c r="M426" i="12"/>
  <c r="N426" i="12"/>
  <c r="M427" i="12"/>
  <c r="N427" i="12"/>
  <c r="M428" i="12"/>
  <c r="N428" i="12"/>
  <c r="M429" i="12"/>
  <c r="N429" i="12"/>
  <c r="M430" i="12"/>
  <c r="N430" i="12"/>
  <c r="M431" i="12"/>
  <c r="N431" i="12"/>
  <c r="M432" i="12"/>
  <c r="N432" i="12"/>
  <c r="M433" i="12"/>
  <c r="N433" i="12"/>
  <c r="M434" i="12"/>
  <c r="N434" i="12"/>
  <c r="M435" i="12"/>
  <c r="N435" i="12"/>
  <c r="M436" i="12"/>
  <c r="N436" i="12"/>
  <c r="M437" i="12"/>
  <c r="N437" i="12"/>
  <c r="M438" i="12"/>
  <c r="N438" i="12"/>
  <c r="M439" i="12"/>
  <c r="N439" i="12"/>
  <c r="M440" i="12"/>
  <c r="N440" i="12"/>
  <c r="M441" i="12"/>
  <c r="N441" i="12"/>
  <c r="M442" i="12"/>
  <c r="N442" i="12"/>
  <c r="M443" i="12"/>
  <c r="N443" i="12"/>
  <c r="M444" i="12"/>
  <c r="N444" i="12"/>
  <c r="M445" i="12"/>
  <c r="N445" i="12"/>
  <c r="M446" i="12"/>
  <c r="N446" i="12"/>
  <c r="M447" i="12"/>
  <c r="N447" i="12"/>
  <c r="M448" i="12"/>
  <c r="N448" i="12"/>
  <c r="M449" i="12"/>
  <c r="N449" i="12"/>
  <c r="M450" i="12"/>
  <c r="N450" i="12"/>
  <c r="M451" i="12"/>
  <c r="N451" i="12"/>
  <c r="M452" i="12"/>
  <c r="N452" i="12"/>
  <c r="M453" i="12"/>
  <c r="N453" i="12"/>
  <c r="M454" i="12"/>
  <c r="N454" i="12"/>
  <c r="M455" i="12"/>
  <c r="N455" i="12"/>
  <c r="M456" i="12"/>
  <c r="N456" i="12"/>
  <c r="M457" i="12"/>
  <c r="N457" i="12"/>
  <c r="M458" i="12"/>
  <c r="N458" i="12"/>
  <c r="M459" i="12"/>
  <c r="N459" i="12"/>
  <c r="M460" i="12"/>
  <c r="N460" i="12"/>
  <c r="M461" i="12"/>
  <c r="N461" i="12"/>
  <c r="M462" i="12"/>
  <c r="N462" i="12"/>
  <c r="M463" i="12"/>
  <c r="N463" i="12"/>
  <c r="M464" i="12"/>
  <c r="N464" i="12"/>
  <c r="M465" i="12"/>
  <c r="N465" i="12"/>
  <c r="M466" i="12"/>
  <c r="N466" i="12"/>
  <c r="M467" i="12"/>
  <c r="N467" i="12"/>
  <c r="M468" i="12"/>
  <c r="N468" i="12"/>
  <c r="M469" i="12"/>
  <c r="N469" i="12"/>
  <c r="M470" i="12"/>
  <c r="N470" i="12"/>
  <c r="M471" i="12"/>
  <c r="N471" i="12"/>
  <c r="M472" i="12"/>
  <c r="N472" i="12"/>
  <c r="M473" i="12"/>
  <c r="N473" i="12"/>
  <c r="M474" i="12"/>
  <c r="N474" i="12"/>
  <c r="M475" i="12"/>
  <c r="N475" i="12"/>
  <c r="M476" i="12"/>
  <c r="N476" i="12"/>
  <c r="M477" i="12"/>
  <c r="N477" i="12"/>
  <c r="M478" i="12"/>
  <c r="N478" i="12"/>
  <c r="M479" i="12"/>
  <c r="N479" i="12"/>
  <c r="M480" i="12"/>
  <c r="N480" i="12"/>
  <c r="M481" i="12"/>
  <c r="N481" i="12"/>
  <c r="M482" i="12"/>
  <c r="N482" i="12"/>
  <c r="M483" i="12"/>
  <c r="N483" i="12"/>
  <c r="M484" i="12"/>
  <c r="N484" i="12"/>
  <c r="M485" i="12"/>
  <c r="N485" i="12"/>
  <c r="M486" i="12"/>
  <c r="N486" i="12"/>
  <c r="M487" i="12"/>
  <c r="N487" i="12"/>
  <c r="M488" i="12"/>
  <c r="N488" i="12"/>
  <c r="M489" i="12"/>
  <c r="N489" i="12"/>
  <c r="M490" i="12"/>
  <c r="N490" i="12"/>
  <c r="M491" i="12"/>
  <c r="N491" i="12"/>
  <c r="M492" i="12"/>
  <c r="N492" i="12"/>
  <c r="M493" i="12"/>
  <c r="N493" i="12"/>
  <c r="M494" i="12"/>
  <c r="N494" i="12"/>
  <c r="M495" i="12"/>
  <c r="N495" i="12"/>
  <c r="M496" i="12"/>
  <c r="N496" i="12"/>
  <c r="M497" i="12"/>
  <c r="N497" i="12"/>
  <c r="M498" i="12"/>
  <c r="N498" i="12"/>
  <c r="M499" i="12"/>
  <c r="N499" i="12"/>
  <c r="M500" i="12"/>
  <c r="N500" i="12"/>
  <c r="M501" i="12"/>
  <c r="N501" i="12"/>
  <c r="M502" i="12"/>
  <c r="N502" i="12"/>
  <c r="M503" i="12"/>
  <c r="N503" i="12"/>
  <c r="M504" i="12"/>
  <c r="N504" i="12"/>
  <c r="M505" i="12"/>
  <c r="N505" i="12"/>
  <c r="M506" i="12"/>
  <c r="N506" i="12"/>
  <c r="M507" i="12"/>
  <c r="N507" i="12"/>
  <c r="M508" i="12"/>
  <c r="N508" i="12"/>
  <c r="M509" i="12"/>
  <c r="N509" i="12"/>
  <c r="M510" i="12"/>
  <c r="N510" i="12"/>
  <c r="M511" i="12"/>
  <c r="N511" i="12"/>
  <c r="M512" i="12"/>
  <c r="N512" i="12"/>
  <c r="M513" i="12"/>
  <c r="N513" i="12"/>
  <c r="M514" i="12"/>
  <c r="N514" i="12"/>
  <c r="M515" i="12"/>
  <c r="N515" i="12"/>
  <c r="M516" i="12"/>
  <c r="N516" i="12"/>
  <c r="M517" i="12"/>
  <c r="N517" i="12"/>
  <c r="M518" i="12"/>
  <c r="N518" i="12"/>
  <c r="M519" i="12"/>
  <c r="N519" i="12"/>
  <c r="M520" i="12"/>
  <c r="N520" i="12"/>
  <c r="M521" i="12"/>
  <c r="N521" i="12"/>
  <c r="M522" i="12"/>
  <c r="N522" i="12"/>
  <c r="M523" i="12"/>
  <c r="N523" i="12"/>
  <c r="M524" i="12"/>
  <c r="N524" i="12"/>
  <c r="M525" i="12"/>
  <c r="N525" i="12"/>
  <c r="M526" i="12"/>
  <c r="N526" i="12"/>
  <c r="M527" i="12"/>
  <c r="N527" i="12"/>
  <c r="M528" i="12"/>
  <c r="N528" i="12"/>
  <c r="M529" i="12"/>
  <c r="N529" i="12"/>
  <c r="M530" i="12"/>
  <c r="N530" i="12"/>
  <c r="M531" i="12"/>
  <c r="N531" i="12"/>
  <c r="M532" i="12"/>
  <c r="N532" i="12"/>
  <c r="M533" i="12"/>
  <c r="N533" i="12"/>
  <c r="M534" i="12"/>
  <c r="N534" i="12"/>
  <c r="M535" i="12"/>
  <c r="N535" i="12"/>
  <c r="M536" i="12"/>
  <c r="N536" i="12"/>
  <c r="M537" i="12"/>
  <c r="N537" i="12"/>
  <c r="M538" i="12"/>
  <c r="N538" i="12"/>
  <c r="M539" i="12"/>
  <c r="N539" i="12"/>
  <c r="M540" i="12"/>
  <c r="N540" i="12"/>
  <c r="M541" i="12"/>
  <c r="N541" i="12"/>
  <c r="M542" i="12"/>
  <c r="N542" i="12"/>
  <c r="M543" i="12"/>
  <c r="N543" i="12"/>
  <c r="M544" i="12"/>
  <c r="N544" i="12"/>
  <c r="M545" i="12"/>
  <c r="N545" i="12"/>
  <c r="M546" i="12"/>
  <c r="N546" i="12"/>
  <c r="M547" i="12"/>
  <c r="N547" i="12"/>
  <c r="M548" i="12"/>
  <c r="N548" i="12"/>
  <c r="M549" i="12"/>
  <c r="N549" i="12"/>
  <c r="M550" i="12"/>
  <c r="N550" i="12"/>
  <c r="M551" i="12"/>
  <c r="N551" i="12"/>
  <c r="M552" i="12"/>
  <c r="N552" i="12"/>
  <c r="M553" i="12"/>
  <c r="N553" i="12"/>
  <c r="M554" i="12"/>
  <c r="N554" i="12"/>
  <c r="M555" i="12"/>
  <c r="N555" i="12"/>
  <c r="M556" i="12"/>
  <c r="N556" i="12"/>
  <c r="M557" i="12"/>
  <c r="N557" i="12"/>
  <c r="M558" i="12"/>
  <c r="N558" i="12"/>
  <c r="M559" i="12"/>
  <c r="N559" i="12"/>
  <c r="M560" i="12"/>
  <c r="N560" i="12"/>
  <c r="M561" i="12"/>
  <c r="N561" i="12"/>
  <c r="M562" i="12"/>
  <c r="N562" i="12"/>
  <c r="M563" i="12"/>
  <c r="N563" i="12"/>
  <c r="M564" i="12"/>
  <c r="N564" i="12"/>
  <c r="M565" i="12"/>
  <c r="N565" i="12"/>
  <c r="M566" i="12"/>
  <c r="N566" i="12"/>
  <c r="M567" i="12"/>
  <c r="N567" i="12"/>
  <c r="M568" i="12"/>
  <c r="N568" i="12"/>
  <c r="M569" i="12"/>
  <c r="N569" i="12"/>
  <c r="M570" i="12"/>
  <c r="N570" i="12"/>
  <c r="M571" i="12"/>
  <c r="N571" i="12"/>
  <c r="M572" i="12"/>
  <c r="N572" i="12"/>
  <c r="M573" i="12"/>
  <c r="N573" i="12"/>
  <c r="M574" i="12"/>
  <c r="N574" i="12"/>
  <c r="M575" i="12"/>
  <c r="N575" i="12"/>
  <c r="M576" i="12"/>
  <c r="N576" i="12"/>
  <c r="M577" i="12"/>
  <c r="N577" i="12"/>
  <c r="M578" i="12"/>
  <c r="N578" i="12"/>
  <c r="M579" i="12"/>
  <c r="N579" i="12"/>
  <c r="M580" i="12"/>
  <c r="N580" i="12"/>
  <c r="M581" i="12"/>
  <c r="N581" i="12"/>
  <c r="M582" i="12"/>
  <c r="N582" i="12"/>
  <c r="M583" i="12"/>
  <c r="N583" i="12"/>
  <c r="M584" i="12"/>
  <c r="N584" i="12"/>
  <c r="M585" i="12"/>
  <c r="N585" i="12"/>
  <c r="M586" i="12"/>
  <c r="N586" i="12"/>
  <c r="M587" i="12"/>
  <c r="N587" i="12"/>
  <c r="M588" i="12"/>
  <c r="N588" i="12"/>
  <c r="M589" i="12"/>
  <c r="N589" i="12"/>
  <c r="M590" i="12"/>
  <c r="N590" i="12"/>
  <c r="N2" i="12"/>
  <c r="M2" i="12"/>
  <c r="J589" i="12"/>
  <c r="B370" i="29" l="1"/>
  <c r="A370" i="29"/>
  <c r="B369" i="29"/>
  <c r="A369" i="29"/>
  <c r="B368" i="29"/>
  <c r="A368" i="29"/>
  <c r="B367" i="29"/>
  <c r="A367" i="29"/>
  <c r="B366" i="29"/>
  <c r="A366" i="29"/>
  <c r="B365" i="29"/>
  <c r="A365" i="29"/>
  <c r="B364" i="29"/>
  <c r="A364" i="29"/>
  <c r="B363" i="29"/>
  <c r="A363" i="29"/>
  <c r="B362" i="29"/>
  <c r="A362" i="29"/>
  <c r="B361" i="29"/>
  <c r="A361" i="29"/>
  <c r="B360" i="29"/>
  <c r="A360" i="29"/>
  <c r="B359" i="29"/>
  <c r="A359" i="29"/>
  <c r="B358" i="29"/>
  <c r="A358" i="29"/>
  <c r="B357" i="29"/>
  <c r="A357" i="29"/>
  <c r="B356" i="29"/>
  <c r="A356" i="29"/>
  <c r="B355" i="29"/>
  <c r="A355" i="29"/>
  <c r="B354" i="29"/>
  <c r="A354" i="29"/>
  <c r="B353" i="29"/>
  <c r="A353" i="29"/>
  <c r="B352" i="29"/>
  <c r="A352" i="29"/>
  <c r="B351" i="29"/>
  <c r="A351" i="29"/>
  <c r="B350" i="29"/>
  <c r="A350" i="29"/>
  <c r="B349" i="29"/>
  <c r="A349" i="29"/>
  <c r="B348" i="29"/>
  <c r="A348" i="29"/>
  <c r="B347" i="29"/>
  <c r="A347" i="29"/>
  <c r="B346" i="29"/>
  <c r="A346" i="29"/>
  <c r="B345" i="29"/>
  <c r="A345" i="29"/>
  <c r="B344" i="29"/>
  <c r="A344" i="29"/>
  <c r="B343" i="29"/>
  <c r="A343" i="29"/>
  <c r="B342" i="29"/>
  <c r="A342" i="29"/>
  <c r="B341" i="29"/>
  <c r="A341" i="29"/>
  <c r="B340" i="29"/>
  <c r="A340" i="29"/>
  <c r="B339" i="29"/>
  <c r="A339" i="29"/>
  <c r="B338" i="29"/>
  <c r="A338" i="29"/>
  <c r="B337" i="29"/>
  <c r="A337" i="29"/>
  <c r="B336" i="29"/>
  <c r="A336" i="29"/>
  <c r="B335" i="29"/>
  <c r="A335" i="29"/>
  <c r="B334" i="29"/>
  <c r="A334" i="29"/>
  <c r="B333" i="29"/>
  <c r="A333" i="29"/>
  <c r="B332" i="29"/>
  <c r="A332" i="29"/>
  <c r="B331" i="29"/>
  <c r="A331" i="29"/>
  <c r="B330" i="29"/>
  <c r="A330" i="29"/>
  <c r="B329" i="29"/>
  <c r="A329" i="29"/>
  <c r="B328" i="29"/>
  <c r="A328" i="29"/>
  <c r="B327" i="29"/>
  <c r="A327" i="29"/>
  <c r="B326" i="29"/>
  <c r="A326" i="29"/>
  <c r="B325" i="29"/>
  <c r="A325" i="29"/>
  <c r="B324" i="29"/>
  <c r="A324" i="29"/>
  <c r="B323" i="29"/>
  <c r="A323" i="29"/>
  <c r="B322" i="29"/>
  <c r="A322" i="29"/>
  <c r="B321" i="29"/>
  <c r="A321" i="29"/>
  <c r="B320" i="29"/>
  <c r="A320" i="29"/>
  <c r="B319" i="29"/>
  <c r="A319" i="29"/>
  <c r="B318" i="29"/>
  <c r="A318" i="29"/>
  <c r="B317" i="29"/>
  <c r="A317" i="29"/>
  <c r="B316" i="29"/>
  <c r="A316" i="29"/>
  <c r="B315" i="29"/>
  <c r="A315" i="29"/>
  <c r="B314" i="29"/>
  <c r="A314" i="29"/>
  <c r="B313" i="29"/>
  <c r="A313" i="29"/>
  <c r="B312" i="29"/>
  <c r="A312" i="29"/>
  <c r="B311" i="29"/>
  <c r="A311" i="29"/>
  <c r="B310" i="29"/>
  <c r="A310" i="29"/>
  <c r="B309" i="29"/>
  <c r="A309" i="29"/>
  <c r="B308" i="29"/>
  <c r="A308" i="29"/>
  <c r="B307" i="29"/>
  <c r="A307" i="29"/>
  <c r="B306" i="29"/>
  <c r="A306" i="29"/>
  <c r="B305" i="29"/>
  <c r="A305" i="29"/>
  <c r="B304" i="29"/>
  <c r="A304" i="29"/>
  <c r="B303" i="29"/>
  <c r="A303" i="29"/>
  <c r="B302" i="29"/>
  <c r="A302" i="29"/>
  <c r="J3" i="12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J38" i="12"/>
  <c r="J39" i="12"/>
  <c r="J40" i="12"/>
  <c r="J41" i="12"/>
  <c r="J42" i="12"/>
  <c r="J43" i="12"/>
  <c r="J44" i="12"/>
  <c r="J45" i="12"/>
  <c r="J46" i="12"/>
  <c r="J47" i="12"/>
  <c r="J48" i="12"/>
  <c r="J49" i="12"/>
  <c r="J50" i="12"/>
  <c r="J51" i="12"/>
  <c r="J52" i="12"/>
  <c r="J53" i="12"/>
  <c r="J54" i="12"/>
  <c r="J55" i="12"/>
  <c r="J56" i="12"/>
  <c r="J57" i="12"/>
  <c r="J58" i="12"/>
  <c r="J59" i="12"/>
  <c r="J60" i="12"/>
  <c r="J61" i="12"/>
  <c r="J62" i="12"/>
  <c r="J63" i="12"/>
  <c r="J64" i="12"/>
  <c r="J65" i="12"/>
  <c r="J66" i="12"/>
  <c r="J67" i="12"/>
  <c r="J68" i="12"/>
  <c r="J69" i="12"/>
  <c r="J70" i="12"/>
  <c r="J71" i="12"/>
  <c r="J72" i="12"/>
  <c r="J73" i="12"/>
  <c r="J74" i="12"/>
  <c r="J75" i="12"/>
  <c r="J76" i="12"/>
  <c r="J77" i="12"/>
  <c r="J78" i="12"/>
  <c r="J79" i="12"/>
  <c r="J80" i="12"/>
  <c r="J81" i="12"/>
  <c r="J82" i="12"/>
  <c r="J83" i="12"/>
  <c r="J84" i="12"/>
  <c r="J85" i="12"/>
  <c r="J86" i="12"/>
  <c r="J87" i="12"/>
  <c r="J88" i="12"/>
  <c r="J89" i="12"/>
  <c r="J90" i="12"/>
  <c r="J91" i="12"/>
  <c r="J92" i="12"/>
  <c r="J93" i="12"/>
  <c r="J94" i="12"/>
  <c r="J95" i="12"/>
  <c r="J96" i="12"/>
  <c r="J97" i="12"/>
  <c r="J98" i="12"/>
  <c r="J99" i="12"/>
  <c r="J100" i="12"/>
  <c r="J101" i="12"/>
  <c r="J102" i="12"/>
  <c r="J103" i="12"/>
  <c r="J104" i="12"/>
  <c r="J105" i="12"/>
  <c r="J106" i="12"/>
  <c r="J107" i="12"/>
  <c r="J108" i="12"/>
  <c r="J109" i="12"/>
  <c r="J110" i="12"/>
  <c r="J111" i="12"/>
  <c r="J112" i="12"/>
  <c r="J113" i="12"/>
  <c r="J114" i="12"/>
  <c r="J115" i="12"/>
  <c r="J116" i="12"/>
  <c r="J117" i="12"/>
  <c r="J118" i="12"/>
  <c r="J119" i="12"/>
  <c r="J120" i="12"/>
  <c r="J121" i="12"/>
  <c r="J122" i="12"/>
  <c r="J123" i="12"/>
  <c r="J124" i="12"/>
  <c r="J125" i="12"/>
  <c r="J126" i="12"/>
  <c r="J127" i="12"/>
  <c r="J128" i="12"/>
  <c r="J129" i="12"/>
  <c r="J130" i="12"/>
  <c r="J131" i="12"/>
  <c r="J132" i="12"/>
  <c r="J133" i="12"/>
  <c r="J134" i="12"/>
  <c r="J135" i="12"/>
  <c r="J136" i="12"/>
  <c r="J137" i="12"/>
  <c r="J138" i="12"/>
  <c r="J139" i="12"/>
  <c r="J140" i="12"/>
  <c r="J141" i="12"/>
  <c r="J142" i="12"/>
  <c r="J143" i="12"/>
  <c r="J144" i="12"/>
  <c r="J145" i="12"/>
  <c r="J146" i="12"/>
  <c r="J147" i="12"/>
  <c r="J148" i="12"/>
  <c r="J149" i="12"/>
  <c r="J150" i="12"/>
  <c r="J151" i="12"/>
  <c r="J152" i="12"/>
  <c r="J153" i="12"/>
  <c r="J154" i="12"/>
  <c r="J155" i="12"/>
  <c r="J156" i="12"/>
  <c r="J157" i="12"/>
  <c r="J158" i="12"/>
  <c r="J159" i="12"/>
  <c r="J160" i="12"/>
  <c r="J161" i="12"/>
  <c r="J162" i="12"/>
  <c r="J163" i="12"/>
  <c r="J164" i="12"/>
  <c r="J165" i="12"/>
  <c r="J166" i="12"/>
  <c r="J167" i="12"/>
  <c r="J168" i="12"/>
  <c r="J169" i="12"/>
  <c r="J170" i="12"/>
  <c r="J171" i="12"/>
  <c r="J172" i="12"/>
  <c r="J173" i="12"/>
  <c r="J174" i="12"/>
  <c r="J175" i="12"/>
  <c r="J176" i="12"/>
  <c r="J177" i="12"/>
  <c r="J178" i="12"/>
  <c r="J179" i="12"/>
  <c r="J180" i="12"/>
  <c r="J181" i="12"/>
  <c r="J182" i="12"/>
  <c r="J183" i="12"/>
  <c r="J184" i="12"/>
  <c r="J185" i="12"/>
  <c r="J186" i="12"/>
  <c r="J187" i="12"/>
  <c r="J188" i="12"/>
  <c r="J189" i="12"/>
  <c r="J190" i="12"/>
  <c r="J191" i="12"/>
  <c r="J192" i="12"/>
  <c r="J193" i="12"/>
  <c r="J194" i="12"/>
  <c r="J195" i="12"/>
  <c r="J196" i="12"/>
  <c r="J197" i="12"/>
  <c r="J198" i="12"/>
  <c r="J199" i="12"/>
  <c r="J200" i="12"/>
  <c r="J201" i="12"/>
  <c r="J202" i="12"/>
  <c r="J203" i="12"/>
  <c r="J204" i="12"/>
  <c r="J205" i="12"/>
  <c r="J206" i="12"/>
  <c r="J207" i="12"/>
  <c r="J208" i="12"/>
  <c r="J209" i="12"/>
  <c r="J210" i="12"/>
  <c r="J211" i="12"/>
  <c r="J212" i="12"/>
  <c r="J213" i="12"/>
  <c r="J214" i="12"/>
  <c r="J215" i="12"/>
  <c r="J216" i="12"/>
  <c r="J217" i="12"/>
  <c r="J218" i="12"/>
  <c r="J219" i="12"/>
  <c r="J220" i="12"/>
  <c r="J221" i="12"/>
  <c r="J222" i="12"/>
  <c r="J223" i="12"/>
  <c r="J224" i="12"/>
  <c r="J225" i="12"/>
  <c r="J226" i="12"/>
  <c r="J227" i="12"/>
  <c r="J228" i="12"/>
  <c r="J229" i="12"/>
  <c r="J230" i="12"/>
  <c r="J231" i="12"/>
  <c r="J232" i="12"/>
  <c r="J233" i="12"/>
  <c r="J234" i="12"/>
  <c r="J235" i="12"/>
  <c r="J236" i="12"/>
  <c r="J237" i="12"/>
  <c r="J238" i="12"/>
  <c r="J239" i="12"/>
  <c r="J240" i="12"/>
  <c r="J241" i="12"/>
  <c r="J242" i="12"/>
  <c r="J243" i="12"/>
  <c r="J244" i="12"/>
  <c r="J245" i="12"/>
  <c r="J246" i="12"/>
  <c r="J247" i="12"/>
  <c r="J248" i="12"/>
  <c r="J249" i="12"/>
  <c r="J250" i="12"/>
  <c r="J251" i="12"/>
  <c r="J252" i="12"/>
  <c r="J253" i="12"/>
  <c r="J254" i="12"/>
  <c r="J255" i="12"/>
  <c r="J256" i="12"/>
  <c r="J257" i="12"/>
  <c r="J258" i="12"/>
  <c r="J259" i="12"/>
  <c r="J260" i="12"/>
  <c r="J261" i="12"/>
  <c r="J262" i="12"/>
  <c r="J263" i="12"/>
  <c r="J264" i="12"/>
  <c r="J265" i="12"/>
  <c r="J266" i="12"/>
  <c r="J267" i="12"/>
  <c r="J268" i="12"/>
  <c r="J269" i="12"/>
  <c r="J270" i="12"/>
  <c r="J271" i="12"/>
  <c r="J272" i="12"/>
  <c r="J273" i="12"/>
  <c r="J274" i="12"/>
  <c r="J275" i="12"/>
  <c r="J276" i="12"/>
  <c r="J277" i="12"/>
  <c r="J278" i="12"/>
  <c r="J279" i="12"/>
  <c r="J280" i="12"/>
  <c r="J281" i="12"/>
  <c r="J282" i="12"/>
  <c r="J283" i="12"/>
  <c r="J284" i="12"/>
  <c r="J285" i="12"/>
  <c r="J286" i="12"/>
  <c r="J287" i="12"/>
  <c r="J288" i="12"/>
  <c r="J289" i="12"/>
  <c r="J290" i="12"/>
  <c r="J291" i="12"/>
  <c r="J292" i="12"/>
  <c r="J293" i="12"/>
  <c r="J294" i="12"/>
  <c r="J295" i="12"/>
  <c r="J296" i="12"/>
  <c r="J297" i="12"/>
  <c r="J298" i="12"/>
  <c r="J299" i="12"/>
  <c r="J300" i="12"/>
  <c r="J301" i="12"/>
  <c r="J302" i="12"/>
  <c r="J303" i="12"/>
  <c r="J304" i="12"/>
  <c r="J305" i="12"/>
  <c r="J306" i="12"/>
  <c r="J307" i="12"/>
  <c r="J308" i="12"/>
  <c r="J309" i="12"/>
  <c r="J310" i="12"/>
  <c r="J311" i="12"/>
  <c r="J312" i="12"/>
  <c r="J313" i="12"/>
  <c r="J314" i="12"/>
  <c r="J315" i="12"/>
  <c r="J316" i="12"/>
  <c r="J317" i="12"/>
  <c r="J318" i="12"/>
  <c r="J319" i="12"/>
  <c r="J320" i="12"/>
  <c r="J321" i="12"/>
  <c r="J322" i="12"/>
  <c r="J323" i="12"/>
  <c r="J324" i="12"/>
  <c r="J325" i="12"/>
  <c r="J326" i="12"/>
  <c r="J327" i="12"/>
  <c r="J328" i="12"/>
  <c r="J329" i="12"/>
  <c r="J330" i="12"/>
  <c r="J331" i="12"/>
  <c r="J332" i="12"/>
  <c r="J333" i="12"/>
  <c r="J334" i="12"/>
  <c r="J335" i="12"/>
  <c r="J336" i="12"/>
  <c r="J337" i="12"/>
  <c r="J338" i="12"/>
  <c r="J339" i="12"/>
  <c r="J340" i="12"/>
  <c r="J341" i="12"/>
  <c r="J342" i="12"/>
  <c r="J343" i="12"/>
  <c r="J344" i="12"/>
  <c r="J345" i="12"/>
  <c r="J346" i="12"/>
  <c r="J347" i="12"/>
  <c r="J348" i="12"/>
  <c r="J349" i="12"/>
  <c r="J350" i="12"/>
  <c r="J351" i="12"/>
  <c r="J352" i="12"/>
  <c r="J353" i="12"/>
  <c r="J354" i="12"/>
  <c r="J355" i="12"/>
  <c r="J356" i="12"/>
  <c r="J357" i="12"/>
  <c r="J358" i="12"/>
  <c r="J359" i="12"/>
  <c r="J360" i="12"/>
  <c r="J361" i="12"/>
  <c r="J362" i="12"/>
  <c r="J363" i="12"/>
  <c r="J364" i="12"/>
  <c r="J365" i="12"/>
  <c r="J366" i="12"/>
  <c r="J367" i="12"/>
  <c r="J368" i="12"/>
  <c r="J369" i="12"/>
  <c r="J370" i="12"/>
  <c r="J371" i="12"/>
  <c r="J372" i="12"/>
  <c r="J373" i="12"/>
  <c r="J374" i="12"/>
  <c r="J375" i="12"/>
  <c r="J376" i="12"/>
  <c r="J377" i="12"/>
  <c r="J378" i="12"/>
  <c r="J379" i="12"/>
  <c r="J380" i="12"/>
  <c r="J381" i="12"/>
  <c r="J382" i="12"/>
  <c r="J383" i="12"/>
  <c r="J384" i="12"/>
  <c r="J385" i="12"/>
  <c r="J386" i="12"/>
  <c r="J387" i="12"/>
  <c r="J388" i="12"/>
  <c r="J389" i="12"/>
  <c r="J390" i="12"/>
  <c r="J391" i="12"/>
  <c r="J392" i="12"/>
  <c r="J393" i="12"/>
  <c r="J394" i="12"/>
  <c r="J395" i="12"/>
  <c r="J396" i="12"/>
  <c r="J397" i="12"/>
  <c r="J398" i="12"/>
  <c r="J399" i="12"/>
  <c r="J400" i="12"/>
  <c r="J401" i="12"/>
  <c r="J402" i="12"/>
  <c r="J403" i="12"/>
  <c r="J404" i="12"/>
  <c r="J405" i="12"/>
  <c r="J406" i="12"/>
  <c r="J407" i="12"/>
  <c r="J408" i="12"/>
  <c r="J409" i="12"/>
  <c r="J410" i="12"/>
  <c r="J411" i="12"/>
  <c r="J412" i="12"/>
  <c r="J413" i="12"/>
  <c r="J414" i="12"/>
  <c r="J415" i="12"/>
  <c r="J416" i="12"/>
  <c r="J417" i="12"/>
  <c r="J418" i="12"/>
  <c r="J419" i="12"/>
  <c r="J420" i="12"/>
  <c r="J421" i="12"/>
  <c r="J422" i="12"/>
  <c r="J423" i="12"/>
  <c r="J424" i="12"/>
  <c r="J425" i="12"/>
  <c r="J426" i="12"/>
  <c r="J427" i="12"/>
  <c r="J428" i="12"/>
  <c r="J429" i="12"/>
  <c r="J430" i="12"/>
  <c r="J431" i="12"/>
  <c r="J432" i="12"/>
  <c r="J433" i="12"/>
  <c r="J434" i="12"/>
  <c r="J435" i="12"/>
  <c r="J436" i="12"/>
  <c r="J437" i="12"/>
  <c r="J438" i="12"/>
  <c r="J439" i="12"/>
  <c r="J440" i="12"/>
  <c r="J441" i="12"/>
  <c r="J442" i="12"/>
  <c r="J443" i="12"/>
  <c r="J444" i="12"/>
  <c r="J445" i="12"/>
  <c r="J446" i="12"/>
  <c r="J447" i="12"/>
  <c r="J448" i="12"/>
  <c r="J449" i="12"/>
  <c r="J450" i="12"/>
  <c r="J451" i="12"/>
  <c r="J452" i="12"/>
  <c r="J453" i="12"/>
  <c r="J454" i="12"/>
  <c r="J455" i="12"/>
  <c r="J456" i="12"/>
  <c r="J457" i="12"/>
  <c r="J458" i="12"/>
  <c r="J459" i="12"/>
  <c r="J460" i="12"/>
  <c r="J461" i="12"/>
  <c r="J462" i="12"/>
  <c r="J463" i="12"/>
  <c r="J464" i="12"/>
  <c r="J465" i="12"/>
  <c r="J466" i="12"/>
  <c r="J467" i="12"/>
  <c r="J468" i="12"/>
  <c r="J469" i="12"/>
  <c r="J470" i="12"/>
  <c r="J471" i="12"/>
  <c r="J472" i="12"/>
  <c r="J473" i="12"/>
  <c r="J474" i="12"/>
  <c r="J475" i="12"/>
  <c r="J476" i="12"/>
  <c r="J477" i="12"/>
  <c r="J478" i="12"/>
  <c r="J479" i="12"/>
  <c r="J480" i="12"/>
  <c r="J481" i="12"/>
  <c r="J482" i="12"/>
  <c r="J483" i="12"/>
  <c r="J484" i="12"/>
  <c r="J485" i="12"/>
  <c r="J486" i="12"/>
  <c r="J487" i="12"/>
  <c r="J488" i="12"/>
  <c r="J489" i="12"/>
  <c r="J490" i="12"/>
  <c r="J491" i="12"/>
  <c r="J492" i="12"/>
  <c r="J493" i="12"/>
  <c r="J494" i="12"/>
  <c r="J495" i="12"/>
  <c r="J496" i="12"/>
  <c r="J497" i="12"/>
  <c r="J498" i="12"/>
  <c r="J499" i="12"/>
  <c r="J500" i="12"/>
  <c r="J501" i="12"/>
  <c r="J502" i="12"/>
  <c r="J503" i="12"/>
  <c r="J504" i="12"/>
  <c r="J505" i="12"/>
  <c r="J506" i="12"/>
  <c r="J507" i="12"/>
  <c r="J508" i="12"/>
  <c r="J509" i="12"/>
  <c r="J510" i="12"/>
  <c r="J511" i="12"/>
  <c r="J512" i="12"/>
  <c r="J513" i="12"/>
  <c r="J514" i="12"/>
  <c r="J515" i="12"/>
  <c r="J516" i="12"/>
  <c r="J517" i="12"/>
  <c r="J518" i="12"/>
  <c r="J519" i="12"/>
  <c r="J520" i="12"/>
  <c r="J521" i="12"/>
  <c r="J522" i="12"/>
  <c r="J523" i="12"/>
  <c r="J524" i="12"/>
  <c r="J525" i="12"/>
  <c r="J526" i="12"/>
  <c r="J527" i="12"/>
  <c r="J528" i="12"/>
  <c r="J529" i="12"/>
  <c r="J530" i="12"/>
  <c r="J531" i="12"/>
  <c r="J532" i="12"/>
  <c r="J533" i="12"/>
  <c r="J534" i="12"/>
  <c r="J535" i="12"/>
  <c r="J536" i="12"/>
  <c r="J537" i="12"/>
  <c r="J538" i="12"/>
  <c r="J539" i="12"/>
  <c r="J540" i="12"/>
  <c r="J541" i="12"/>
  <c r="J542" i="12"/>
  <c r="J543" i="12"/>
  <c r="J544" i="12"/>
  <c r="J545" i="12"/>
  <c r="J546" i="12"/>
  <c r="J547" i="12"/>
  <c r="J548" i="12"/>
  <c r="J549" i="12"/>
  <c r="J550" i="12"/>
  <c r="J551" i="12"/>
  <c r="J552" i="12"/>
  <c r="J553" i="12"/>
  <c r="J554" i="12"/>
  <c r="J555" i="12"/>
  <c r="J556" i="12"/>
  <c r="J557" i="12"/>
  <c r="J558" i="12"/>
  <c r="J559" i="12"/>
  <c r="J560" i="12"/>
  <c r="J561" i="12"/>
  <c r="J562" i="12"/>
  <c r="J563" i="12"/>
  <c r="J564" i="12"/>
  <c r="J565" i="12"/>
  <c r="J566" i="12"/>
  <c r="J567" i="12"/>
  <c r="J568" i="12"/>
  <c r="J569" i="12"/>
  <c r="J570" i="12"/>
  <c r="J571" i="12"/>
  <c r="J572" i="12"/>
  <c r="J573" i="12"/>
  <c r="J574" i="12"/>
  <c r="J575" i="12"/>
  <c r="J576" i="12"/>
  <c r="J577" i="12"/>
  <c r="J578" i="12"/>
  <c r="J579" i="12"/>
  <c r="J580" i="12"/>
  <c r="J581" i="12"/>
  <c r="J582" i="12"/>
  <c r="J583" i="12"/>
  <c r="J584" i="12"/>
  <c r="J585" i="12"/>
  <c r="J586" i="12"/>
  <c r="J587" i="12"/>
  <c r="J588" i="12"/>
  <c r="J2" i="12"/>
  <c r="D3" i="15"/>
  <c r="D4" i="15"/>
  <c r="D5" i="15"/>
  <c r="D6" i="15"/>
  <c r="D7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20" i="15"/>
  <c r="D21" i="15"/>
  <c r="D22" i="15"/>
  <c r="D23" i="15"/>
  <c r="D24" i="15"/>
  <c r="D25" i="15"/>
  <c r="D26" i="15"/>
  <c r="D27" i="15"/>
  <c r="D28" i="15"/>
  <c r="D29" i="15"/>
  <c r="D30" i="15"/>
  <c r="D31" i="15"/>
  <c r="D32" i="15"/>
  <c r="D33" i="15"/>
  <c r="D34" i="15"/>
  <c r="D35" i="15"/>
  <c r="D36" i="15"/>
  <c r="D37" i="15"/>
  <c r="D2" i="15"/>
  <c r="G10" i="27"/>
  <c r="G13" i="27"/>
  <c r="G14" i="27"/>
  <c r="G22" i="27"/>
  <c r="G25" i="27"/>
  <c r="G26" i="27"/>
  <c r="G34" i="27"/>
  <c r="G37" i="27"/>
  <c r="G38" i="27"/>
  <c r="G46" i="27"/>
  <c r="E3" i="27"/>
  <c r="E4" i="27"/>
  <c r="E12" i="27"/>
  <c r="E15" i="27"/>
  <c r="E16" i="27"/>
  <c r="E24" i="27"/>
  <c r="E27" i="27"/>
  <c r="E28" i="27"/>
  <c r="E36" i="27"/>
  <c r="E39" i="27"/>
  <c r="E40" i="27"/>
  <c r="E2" i="27"/>
  <c r="F2" i="27" a="1"/>
  <c r="G2" i="27"/>
  <c r="A3" i="27"/>
  <c r="A4" i="27"/>
  <c r="A5" i="27"/>
  <c r="A6" i="27"/>
  <c r="A7" i="27"/>
  <c r="A8" i="27"/>
  <c r="A9" i="27"/>
  <c r="A10" i="27"/>
  <c r="A11" i="27"/>
  <c r="A12" i="27"/>
  <c r="A13" i="27"/>
  <c r="A14" i="27"/>
  <c r="A15" i="27"/>
  <c r="A16" i="27"/>
  <c r="A17" i="27"/>
  <c r="A18" i="27"/>
  <c r="A19" i="27"/>
  <c r="A20" i="27"/>
  <c r="A21" i="27"/>
  <c r="A22" i="27"/>
  <c r="A23" i="27"/>
  <c r="A24" i="27"/>
  <c r="A25" i="27"/>
  <c r="A26" i="27"/>
  <c r="A27" i="27"/>
  <c r="A28" i="27"/>
  <c r="A29" i="27"/>
  <c r="A30" i="27"/>
  <c r="A31" i="27"/>
  <c r="A32" i="27"/>
  <c r="A33" i="27"/>
  <c r="A34" i="27"/>
  <c r="A35" i="27"/>
  <c r="A36" i="27"/>
  <c r="A37" i="27"/>
  <c r="A38" i="27"/>
  <c r="A39" i="27"/>
  <c r="A40" i="27"/>
  <c r="A41" i="27"/>
  <c r="A42" i="27"/>
  <c r="A43" i="27"/>
  <c r="A44" i="27"/>
  <c r="A45" i="27"/>
  <c r="A46" i="27"/>
  <c r="A47" i="27"/>
  <c r="A48" i="27"/>
  <c r="A49" i="27"/>
  <c r="A50" i="27"/>
  <c r="A51" i="27"/>
  <c r="A52" i="27"/>
  <c r="A53" i="27"/>
  <c r="A54" i="27"/>
  <c r="A55" i="27"/>
  <c r="A56" i="27"/>
  <c r="A57" i="27"/>
  <c r="A58" i="27"/>
  <c r="A59" i="27"/>
  <c r="A60" i="27"/>
  <c r="A61" i="27"/>
  <c r="A62" i="27"/>
  <c r="A63" i="27"/>
  <c r="A64" i="27"/>
  <c r="A65" i="27"/>
  <c r="A66" i="27"/>
  <c r="A67" i="27"/>
  <c r="A68" i="27"/>
  <c r="A69" i="27"/>
  <c r="A70" i="27"/>
  <c r="A71" i="27"/>
  <c r="A72" i="27"/>
  <c r="A73" i="27"/>
  <c r="A74" i="27"/>
  <c r="A75" i="27"/>
  <c r="A76" i="27"/>
  <c r="A77" i="27"/>
  <c r="A78" i="27"/>
  <c r="A79" i="27"/>
  <c r="A80" i="27"/>
  <c r="A81" i="27"/>
  <c r="A82" i="27"/>
  <c r="A83" i="27"/>
  <c r="A84" i="27"/>
  <c r="A85" i="27"/>
  <c r="A86" i="27"/>
  <c r="A87" i="27"/>
  <c r="A88" i="27"/>
  <c r="A2" i="27"/>
  <c r="C3" i="27"/>
  <c r="C4" i="27"/>
  <c r="C5" i="27"/>
  <c r="C6" i="27"/>
  <c r="C7" i="27"/>
  <c r="C8" i="27"/>
  <c r="C9" i="27"/>
  <c r="C10" i="27"/>
  <c r="C11" i="27"/>
  <c r="C12" i="27"/>
  <c r="C13" i="27"/>
  <c r="C14" i="27"/>
  <c r="C15" i="27"/>
  <c r="C16" i="27"/>
  <c r="C17" i="27"/>
  <c r="C18" i="27"/>
  <c r="C19" i="27"/>
  <c r="C20" i="27"/>
  <c r="C21" i="27"/>
  <c r="C22" i="27"/>
  <c r="C23" i="27"/>
  <c r="C24" i="27"/>
  <c r="C25" i="27"/>
  <c r="C26" i="27"/>
  <c r="C27" i="27"/>
  <c r="C28" i="27"/>
  <c r="C29" i="27"/>
  <c r="C30" i="27"/>
  <c r="C31" i="27"/>
  <c r="C32" i="27"/>
  <c r="C33" i="27"/>
  <c r="C34" i="27"/>
  <c r="C35" i="27"/>
  <c r="C36" i="27"/>
  <c r="C37" i="27"/>
  <c r="C38" i="27"/>
  <c r="C39" i="27"/>
  <c r="C40" i="27"/>
  <c r="C41" i="27"/>
  <c r="C42" i="27"/>
  <c r="C43" i="27"/>
  <c r="C44" i="27"/>
  <c r="C45" i="27"/>
  <c r="C46" i="27"/>
  <c r="C47" i="27"/>
  <c r="C48" i="27"/>
  <c r="C49" i="27"/>
  <c r="C50" i="27"/>
  <c r="C51" i="27"/>
  <c r="C52" i="27"/>
  <c r="C53" i="27"/>
  <c r="C54" i="27"/>
  <c r="C55" i="27"/>
  <c r="C56" i="27"/>
  <c r="C57" i="27"/>
  <c r="C58" i="27"/>
  <c r="C59" i="27"/>
  <c r="C60" i="27"/>
  <c r="C61" i="27"/>
  <c r="C62" i="27"/>
  <c r="C63" i="27"/>
  <c r="C64" i="27"/>
  <c r="C65" i="27"/>
  <c r="C66" i="27"/>
  <c r="C67" i="27"/>
  <c r="C68" i="27"/>
  <c r="C69" i="27"/>
  <c r="C70" i="27"/>
  <c r="C71" i="27"/>
  <c r="C72" i="27"/>
  <c r="C73" i="27"/>
  <c r="C74" i="27"/>
  <c r="C75" i="27"/>
  <c r="C76" i="27"/>
  <c r="C77" i="27"/>
  <c r="C78" i="27"/>
  <c r="C79" i="27"/>
  <c r="C80" i="27"/>
  <c r="C81" i="27"/>
  <c r="C82" i="27"/>
  <c r="C83" i="27"/>
  <c r="C84" i="27"/>
  <c r="C85" i="27"/>
  <c r="C86" i="27"/>
  <c r="C87" i="27"/>
  <c r="C88" i="27"/>
  <c r="C2" i="27"/>
  <c r="L585" i="26"/>
  <c r="K585" i="26"/>
  <c r="J585" i="26"/>
  <c r="L584" i="26"/>
  <c r="K584" i="26"/>
  <c r="J584" i="26"/>
  <c r="L583" i="26"/>
  <c r="K583" i="26"/>
  <c r="J583" i="26"/>
  <c r="L582" i="26"/>
  <c r="K582" i="26"/>
  <c r="J582" i="26"/>
  <c r="L581" i="26"/>
  <c r="K581" i="26"/>
  <c r="J581" i="26"/>
  <c r="L580" i="26"/>
  <c r="K580" i="26"/>
  <c r="J580" i="26"/>
  <c r="L579" i="26"/>
  <c r="K579" i="26"/>
  <c r="J579" i="26"/>
  <c r="L578" i="26"/>
  <c r="K578" i="26"/>
  <c r="J578" i="26"/>
  <c r="L577" i="26"/>
  <c r="K577" i="26"/>
  <c r="J577" i="26"/>
  <c r="L576" i="26"/>
  <c r="K576" i="26"/>
  <c r="J576" i="26"/>
  <c r="L575" i="26"/>
  <c r="K575" i="26"/>
  <c r="J575" i="26"/>
  <c r="L574" i="26"/>
  <c r="K574" i="26"/>
  <c r="J574" i="26"/>
  <c r="L573" i="26"/>
  <c r="K573" i="26"/>
  <c r="J573" i="26"/>
  <c r="L572" i="26"/>
  <c r="K572" i="26"/>
  <c r="J572" i="26"/>
  <c r="L571" i="26"/>
  <c r="K571" i="26"/>
  <c r="J571" i="26"/>
  <c r="L570" i="26"/>
  <c r="K570" i="26"/>
  <c r="J570" i="26"/>
  <c r="L569" i="26"/>
  <c r="K569" i="26"/>
  <c r="J569" i="26"/>
  <c r="L568" i="26"/>
  <c r="K568" i="26"/>
  <c r="J568" i="26"/>
  <c r="L567" i="26"/>
  <c r="K567" i="26"/>
  <c r="J567" i="26"/>
  <c r="L566" i="26"/>
  <c r="K566" i="26"/>
  <c r="J566" i="26"/>
  <c r="L565" i="26"/>
  <c r="K565" i="26"/>
  <c r="J565" i="26"/>
  <c r="L564" i="26"/>
  <c r="K564" i="26"/>
  <c r="J564" i="26"/>
  <c r="L563" i="26"/>
  <c r="K563" i="26"/>
  <c r="J563" i="26"/>
  <c r="L562" i="26"/>
  <c r="K562" i="26"/>
  <c r="J562" i="26"/>
  <c r="L561" i="26"/>
  <c r="K561" i="26"/>
  <c r="J561" i="26"/>
  <c r="L560" i="26"/>
  <c r="K560" i="26"/>
  <c r="J560" i="26"/>
  <c r="L559" i="26"/>
  <c r="K559" i="26"/>
  <c r="J559" i="26"/>
  <c r="L558" i="26"/>
  <c r="K558" i="26"/>
  <c r="J558" i="26"/>
  <c r="L557" i="26"/>
  <c r="K557" i="26"/>
  <c r="J557" i="26"/>
  <c r="L556" i="26"/>
  <c r="K556" i="26"/>
  <c r="J556" i="26"/>
  <c r="L555" i="26"/>
  <c r="K555" i="26"/>
  <c r="J555" i="26"/>
  <c r="L554" i="26"/>
  <c r="K554" i="26"/>
  <c r="J554" i="26"/>
  <c r="L553" i="26"/>
  <c r="K553" i="26"/>
  <c r="J553" i="26"/>
  <c r="L552" i="26"/>
  <c r="K552" i="26"/>
  <c r="J552" i="26"/>
  <c r="L551" i="26"/>
  <c r="K551" i="26"/>
  <c r="J551" i="26"/>
  <c r="L550" i="26"/>
  <c r="K550" i="26"/>
  <c r="J550" i="26"/>
  <c r="L549" i="26"/>
  <c r="K549" i="26"/>
  <c r="J549" i="26"/>
  <c r="L548" i="26"/>
  <c r="K548" i="26"/>
  <c r="J548" i="26"/>
  <c r="L547" i="26"/>
  <c r="K547" i="26"/>
  <c r="J547" i="26"/>
  <c r="L546" i="26"/>
  <c r="K546" i="26"/>
  <c r="J546" i="26"/>
  <c r="L545" i="26"/>
  <c r="K545" i="26"/>
  <c r="J545" i="26"/>
  <c r="L544" i="26"/>
  <c r="K544" i="26"/>
  <c r="J544" i="26"/>
  <c r="L543" i="26"/>
  <c r="K543" i="26"/>
  <c r="J543" i="26"/>
  <c r="L542" i="26"/>
  <c r="K542" i="26"/>
  <c r="J542" i="26"/>
  <c r="L541" i="26"/>
  <c r="K541" i="26"/>
  <c r="J541" i="26"/>
  <c r="L540" i="26"/>
  <c r="K540" i="26"/>
  <c r="J540" i="26"/>
  <c r="L539" i="26"/>
  <c r="K539" i="26"/>
  <c r="J539" i="26"/>
  <c r="L538" i="26"/>
  <c r="K538" i="26"/>
  <c r="J538" i="26"/>
  <c r="L537" i="26"/>
  <c r="K537" i="26"/>
  <c r="J537" i="26"/>
  <c r="L536" i="26"/>
  <c r="K536" i="26"/>
  <c r="J536" i="26"/>
  <c r="L535" i="26"/>
  <c r="K535" i="26"/>
  <c r="J535" i="26"/>
  <c r="L534" i="26"/>
  <c r="K534" i="26"/>
  <c r="J534" i="26"/>
  <c r="L533" i="26"/>
  <c r="K533" i="26"/>
  <c r="J533" i="26"/>
  <c r="L532" i="26"/>
  <c r="K532" i="26"/>
  <c r="J532" i="26"/>
  <c r="L531" i="26"/>
  <c r="K531" i="26"/>
  <c r="J531" i="26"/>
  <c r="L530" i="26"/>
  <c r="K530" i="26"/>
  <c r="J530" i="26"/>
  <c r="L529" i="26"/>
  <c r="K529" i="26"/>
  <c r="J529" i="26"/>
  <c r="L528" i="26"/>
  <c r="K528" i="26"/>
  <c r="J528" i="26"/>
  <c r="L527" i="26"/>
  <c r="K527" i="26"/>
  <c r="J527" i="26"/>
  <c r="L526" i="26"/>
  <c r="K526" i="26"/>
  <c r="J526" i="26"/>
  <c r="L525" i="26"/>
  <c r="K525" i="26"/>
  <c r="J525" i="26"/>
  <c r="L524" i="26"/>
  <c r="K524" i="26"/>
  <c r="J524" i="26"/>
  <c r="L523" i="26"/>
  <c r="K523" i="26"/>
  <c r="J523" i="26"/>
  <c r="L522" i="26"/>
  <c r="K522" i="26"/>
  <c r="J522" i="26"/>
  <c r="L521" i="26"/>
  <c r="K521" i="26"/>
  <c r="J521" i="26"/>
  <c r="L520" i="26"/>
  <c r="K520" i="26"/>
  <c r="J520" i="26"/>
  <c r="L519" i="26"/>
  <c r="K519" i="26"/>
  <c r="J519" i="26"/>
  <c r="L518" i="26"/>
  <c r="K518" i="26"/>
  <c r="J518" i="26"/>
  <c r="L517" i="26"/>
  <c r="K517" i="26"/>
  <c r="J517" i="26"/>
  <c r="L516" i="26"/>
  <c r="K516" i="26"/>
  <c r="J516" i="26"/>
  <c r="L515" i="26"/>
  <c r="K515" i="26"/>
  <c r="J515" i="26"/>
  <c r="L514" i="26"/>
  <c r="K514" i="26"/>
  <c r="J514" i="26"/>
  <c r="L513" i="26"/>
  <c r="K513" i="26"/>
  <c r="J513" i="26"/>
  <c r="L512" i="26"/>
  <c r="K512" i="26"/>
  <c r="J512" i="26"/>
  <c r="L511" i="26"/>
  <c r="K511" i="26"/>
  <c r="J511" i="26"/>
  <c r="L510" i="26"/>
  <c r="K510" i="26"/>
  <c r="J510" i="26"/>
  <c r="L509" i="26"/>
  <c r="K509" i="26"/>
  <c r="J509" i="26"/>
  <c r="L508" i="26"/>
  <c r="K508" i="26"/>
  <c r="J508" i="26"/>
  <c r="L507" i="26"/>
  <c r="K507" i="26"/>
  <c r="J507" i="26"/>
  <c r="L506" i="26"/>
  <c r="K506" i="26"/>
  <c r="J506" i="26"/>
  <c r="L505" i="26"/>
  <c r="K505" i="26"/>
  <c r="J505" i="26"/>
  <c r="L504" i="26"/>
  <c r="K504" i="26"/>
  <c r="J504" i="26"/>
  <c r="L503" i="26"/>
  <c r="K503" i="26"/>
  <c r="J503" i="26"/>
  <c r="L502" i="26"/>
  <c r="K502" i="26"/>
  <c r="J502" i="26"/>
  <c r="L501" i="26"/>
  <c r="K501" i="26"/>
  <c r="J501" i="26"/>
  <c r="L500" i="26"/>
  <c r="K500" i="26"/>
  <c r="J500" i="26"/>
  <c r="L499" i="26"/>
  <c r="K499" i="26"/>
  <c r="J499" i="26"/>
  <c r="L498" i="26"/>
  <c r="K498" i="26"/>
  <c r="J498" i="26"/>
  <c r="L497" i="26"/>
  <c r="K497" i="26"/>
  <c r="J497" i="26"/>
  <c r="L496" i="26"/>
  <c r="K496" i="26"/>
  <c r="J496" i="26"/>
  <c r="L495" i="26"/>
  <c r="K495" i="26"/>
  <c r="J495" i="26"/>
  <c r="L494" i="26"/>
  <c r="K494" i="26"/>
  <c r="J494" i="26"/>
  <c r="L493" i="26"/>
  <c r="K493" i="26"/>
  <c r="J493" i="26"/>
  <c r="L492" i="26"/>
  <c r="K492" i="26"/>
  <c r="J492" i="26"/>
  <c r="L491" i="26"/>
  <c r="K491" i="26"/>
  <c r="J491" i="26"/>
  <c r="L490" i="26"/>
  <c r="K490" i="26"/>
  <c r="J490" i="26"/>
  <c r="L489" i="26"/>
  <c r="K489" i="26"/>
  <c r="J489" i="26"/>
  <c r="L488" i="26"/>
  <c r="K488" i="26"/>
  <c r="J488" i="26"/>
  <c r="L487" i="26"/>
  <c r="K487" i="26"/>
  <c r="J487" i="26"/>
  <c r="L486" i="26"/>
  <c r="K486" i="26"/>
  <c r="J486" i="26"/>
  <c r="L485" i="26"/>
  <c r="K485" i="26"/>
  <c r="J485" i="26"/>
  <c r="L484" i="26"/>
  <c r="K484" i="26"/>
  <c r="J484" i="26"/>
  <c r="L483" i="26"/>
  <c r="K483" i="26"/>
  <c r="J483" i="26"/>
  <c r="L482" i="26"/>
  <c r="K482" i="26"/>
  <c r="J482" i="26"/>
  <c r="L481" i="26"/>
  <c r="K481" i="26"/>
  <c r="J481" i="26"/>
  <c r="L480" i="26"/>
  <c r="K480" i="26"/>
  <c r="J480" i="26"/>
  <c r="L479" i="26"/>
  <c r="K479" i="26"/>
  <c r="J479" i="26"/>
  <c r="L478" i="26"/>
  <c r="K478" i="26"/>
  <c r="J478" i="26"/>
  <c r="L477" i="26"/>
  <c r="K477" i="26"/>
  <c r="J477" i="26"/>
  <c r="L476" i="26"/>
  <c r="K476" i="26"/>
  <c r="J476" i="26"/>
  <c r="L475" i="26"/>
  <c r="K475" i="26"/>
  <c r="J475" i="26"/>
  <c r="L474" i="26"/>
  <c r="K474" i="26"/>
  <c r="J474" i="26"/>
  <c r="L473" i="26"/>
  <c r="K473" i="26"/>
  <c r="J473" i="26"/>
  <c r="L472" i="26"/>
  <c r="K472" i="26"/>
  <c r="J472" i="26"/>
  <c r="L471" i="26"/>
  <c r="K471" i="26"/>
  <c r="J471" i="26"/>
  <c r="L470" i="26"/>
  <c r="K470" i="26"/>
  <c r="J470" i="26"/>
  <c r="L469" i="26"/>
  <c r="K469" i="26"/>
  <c r="J469" i="26"/>
  <c r="L468" i="26"/>
  <c r="K468" i="26"/>
  <c r="J468" i="26"/>
  <c r="L467" i="26"/>
  <c r="K467" i="26"/>
  <c r="J467" i="26"/>
  <c r="L466" i="26"/>
  <c r="K466" i="26"/>
  <c r="J466" i="26"/>
  <c r="L465" i="26"/>
  <c r="K465" i="26"/>
  <c r="J465" i="26"/>
  <c r="L464" i="26"/>
  <c r="K464" i="26"/>
  <c r="J464" i="26"/>
  <c r="L463" i="26"/>
  <c r="K463" i="26"/>
  <c r="J463" i="26"/>
  <c r="L462" i="26"/>
  <c r="K462" i="26"/>
  <c r="J462" i="26"/>
  <c r="L461" i="26"/>
  <c r="K461" i="26"/>
  <c r="J461" i="26"/>
  <c r="L460" i="26"/>
  <c r="K460" i="26"/>
  <c r="J460" i="26"/>
  <c r="L459" i="26"/>
  <c r="K459" i="26"/>
  <c r="J459" i="26"/>
  <c r="L458" i="26"/>
  <c r="K458" i="26"/>
  <c r="J458" i="26"/>
  <c r="L457" i="26"/>
  <c r="K457" i="26"/>
  <c r="J457" i="26"/>
  <c r="L456" i="26"/>
  <c r="K456" i="26"/>
  <c r="J456" i="26"/>
  <c r="L455" i="26"/>
  <c r="K455" i="26"/>
  <c r="J455" i="26"/>
  <c r="L454" i="26"/>
  <c r="K454" i="26"/>
  <c r="J454" i="26"/>
  <c r="L453" i="26"/>
  <c r="K453" i="26"/>
  <c r="J453" i="26"/>
  <c r="L452" i="26"/>
  <c r="K452" i="26"/>
  <c r="J452" i="26"/>
  <c r="L451" i="26"/>
  <c r="K451" i="26"/>
  <c r="J451" i="26"/>
  <c r="L450" i="26"/>
  <c r="K450" i="26"/>
  <c r="J450" i="26"/>
  <c r="L449" i="26"/>
  <c r="K449" i="26"/>
  <c r="J449" i="26"/>
  <c r="L448" i="26"/>
  <c r="K448" i="26"/>
  <c r="J448" i="26"/>
  <c r="L447" i="26"/>
  <c r="K447" i="26"/>
  <c r="J447" i="26"/>
  <c r="L446" i="26"/>
  <c r="K446" i="26"/>
  <c r="J446" i="26"/>
  <c r="L445" i="26"/>
  <c r="K445" i="26"/>
  <c r="J445" i="26"/>
  <c r="L444" i="26"/>
  <c r="K444" i="26"/>
  <c r="J444" i="26"/>
  <c r="L443" i="26"/>
  <c r="K443" i="26"/>
  <c r="J443" i="26"/>
  <c r="L442" i="26"/>
  <c r="K442" i="26"/>
  <c r="J442" i="26"/>
  <c r="L441" i="26"/>
  <c r="K441" i="26"/>
  <c r="J441" i="26"/>
  <c r="L440" i="26"/>
  <c r="K440" i="26"/>
  <c r="J440" i="26"/>
  <c r="L439" i="26"/>
  <c r="K439" i="26"/>
  <c r="J439" i="26"/>
  <c r="L438" i="26"/>
  <c r="K438" i="26"/>
  <c r="J438" i="26"/>
  <c r="L437" i="26"/>
  <c r="K437" i="26"/>
  <c r="J437" i="26"/>
  <c r="L436" i="26"/>
  <c r="K436" i="26"/>
  <c r="J436" i="26"/>
  <c r="L435" i="26"/>
  <c r="K435" i="26"/>
  <c r="J435" i="26"/>
  <c r="L434" i="26"/>
  <c r="K434" i="26"/>
  <c r="J434" i="26"/>
  <c r="L433" i="26"/>
  <c r="K433" i="26"/>
  <c r="J433" i="26"/>
  <c r="L432" i="26"/>
  <c r="K432" i="26"/>
  <c r="J432" i="26"/>
  <c r="L431" i="26"/>
  <c r="K431" i="26"/>
  <c r="J431" i="26"/>
  <c r="L430" i="26"/>
  <c r="K430" i="26"/>
  <c r="J430" i="26"/>
  <c r="L429" i="26"/>
  <c r="K429" i="26"/>
  <c r="J429" i="26"/>
  <c r="L428" i="26"/>
  <c r="K428" i="26"/>
  <c r="J428" i="26"/>
  <c r="L427" i="26"/>
  <c r="K427" i="26"/>
  <c r="J427" i="26"/>
  <c r="L426" i="26"/>
  <c r="K426" i="26"/>
  <c r="J426" i="26"/>
  <c r="L425" i="26"/>
  <c r="K425" i="26"/>
  <c r="J425" i="26"/>
  <c r="L424" i="26"/>
  <c r="K424" i="26"/>
  <c r="J424" i="26"/>
  <c r="L423" i="26"/>
  <c r="K423" i="26"/>
  <c r="J423" i="26"/>
  <c r="L422" i="26"/>
  <c r="K422" i="26"/>
  <c r="J422" i="26"/>
  <c r="L421" i="26"/>
  <c r="K421" i="26"/>
  <c r="J421" i="26"/>
  <c r="L420" i="26"/>
  <c r="K420" i="26"/>
  <c r="J420" i="26"/>
  <c r="L419" i="26"/>
  <c r="K419" i="26"/>
  <c r="J419" i="26"/>
  <c r="L418" i="26"/>
  <c r="K418" i="26"/>
  <c r="J418" i="26"/>
  <c r="L417" i="26"/>
  <c r="K417" i="26"/>
  <c r="J417" i="26"/>
  <c r="L416" i="26"/>
  <c r="K416" i="26"/>
  <c r="J416" i="26"/>
  <c r="L415" i="26"/>
  <c r="K415" i="26"/>
  <c r="J415" i="26"/>
  <c r="L414" i="26"/>
  <c r="K414" i="26"/>
  <c r="J414" i="26"/>
  <c r="L413" i="26"/>
  <c r="K413" i="26"/>
  <c r="J413" i="26"/>
  <c r="L412" i="26"/>
  <c r="K412" i="26"/>
  <c r="J412" i="26"/>
  <c r="L411" i="26"/>
  <c r="K411" i="26"/>
  <c r="J411" i="26"/>
  <c r="L410" i="26"/>
  <c r="K410" i="26"/>
  <c r="J410" i="26"/>
  <c r="L409" i="26"/>
  <c r="K409" i="26"/>
  <c r="J409" i="26"/>
  <c r="L408" i="26"/>
  <c r="K408" i="26"/>
  <c r="J408" i="26"/>
  <c r="L407" i="26"/>
  <c r="K407" i="26"/>
  <c r="J407" i="26"/>
  <c r="L406" i="26"/>
  <c r="K406" i="26"/>
  <c r="J406" i="26"/>
  <c r="L405" i="26"/>
  <c r="K405" i="26"/>
  <c r="J405" i="26"/>
  <c r="L404" i="26"/>
  <c r="K404" i="26"/>
  <c r="J404" i="26"/>
  <c r="L403" i="26"/>
  <c r="K403" i="26"/>
  <c r="J403" i="26"/>
  <c r="L402" i="26"/>
  <c r="K402" i="26"/>
  <c r="J402" i="26"/>
  <c r="L401" i="26"/>
  <c r="K401" i="26"/>
  <c r="J401" i="26"/>
  <c r="L400" i="26"/>
  <c r="K400" i="26"/>
  <c r="J400" i="26"/>
  <c r="L399" i="26"/>
  <c r="K399" i="26"/>
  <c r="J399" i="26"/>
  <c r="L398" i="26"/>
  <c r="K398" i="26"/>
  <c r="J398" i="26"/>
  <c r="L397" i="26"/>
  <c r="K397" i="26"/>
  <c r="J397" i="26"/>
  <c r="L396" i="26"/>
  <c r="K396" i="26"/>
  <c r="J396" i="26"/>
  <c r="L395" i="26"/>
  <c r="K395" i="26"/>
  <c r="J395" i="26"/>
  <c r="L394" i="26"/>
  <c r="K394" i="26"/>
  <c r="J394" i="26"/>
  <c r="L393" i="26"/>
  <c r="K393" i="26"/>
  <c r="J393" i="26"/>
  <c r="L392" i="26"/>
  <c r="K392" i="26"/>
  <c r="J392" i="26"/>
  <c r="L391" i="26"/>
  <c r="K391" i="26"/>
  <c r="J391" i="26"/>
  <c r="L390" i="26"/>
  <c r="K390" i="26"/>
  <c r="J390" i="26"/>
  <c r="L389" i="26"/>
  <c r="K389" i="26"/>
  <c r="J389" i="26"/>
  <c r="L388" i="26"/>
  <c r="K388" i="26"/>
  <c r="J388" i="26"/>
  <c r="L387" i="26"/>
  <c r="K387" i="26"/>
  <c r="J387" i="26"/>
  <c r="L386" i="26"/>
  <c r="K386" i="26"/>
  <c r="J386" i="26"/>
  <c r="L385" i="26"/>
  <c r="K385" i="26"/>
  <c r="J385" i="26"/>
  <c r="L384" i="26"/>
  <c r="K384" i="26"/>
  <c r="J384" i="26"/>
  <c r="L383" i="26"/>
  <c r="K383" i="26"/>
  <c r="J383" i="26"/>
  <c r="L382" i="26"/>
  <c r="K382" i="26"/>
  <c r="J382" i="26"/>
  <c r="L381" i="26"/>
  <c r="K381" i="26"/>
  <c r="J381" i="26"/>
  <c r="L380" i="26"/>
  <c r="K380" i="26"/>
  <c r="J380" i="26"/>
  <c r="L379" i="26"/>
  <c r="K379" i="26"/>
  <c r="J379" i="26"/>
  <c r="L378" i="26"/>
  <c r="K378" i="26"/>
  <c r="J378" i="26"/>
  <c r="L377" i="26"/>
  <c r="K377" i="26"/>
  <c r="J377" i="26"/>
  <c r="L376" i="26"/>
  <c r="K376" i="26"/>
  <c r="J376" i="26"/>
  <c r="L375" i="26"/>
  <c r="K375" i="26"/>
  <c r="J375" i="26"/>
  <c r="L374" i="26"/>
  <c r="K374" i="26"/>
  <c r="J374" i="26"/>
  <c r="L373" i="26"/>
  <c r="K373" i="26"/>
  <c r="J373" i="26"/>
  <c r="L372" i="26"/>
  <c r="K372" i="26"/>
  <c r="J372" i="26"/>
  <c r="L371" i="26"/>
  <c r="K371" i="26"/>
  <c r="J371" i="26"/>
  <c r="L370" i="26"/>
  <c r="K370" i="26"/>
  <c r="J370" i="26"/>
  <c r="L369" i="26"/>
  <c r="K369" i="26"/>
  <c r="J369" i="26"/>
  <c r="L368" i="26"/>
  <c r="K368" i="26"/>
  <c r="J368" i="26"/>
  <c r="L367" i="26"/>
  <c r="K367" i="26"/>
  <c r="J367" i="26"/>
  <c r="L366" i="26"/>
  <c r="K366" i="26"/>
  <c r="J366" i="26"/>
  <c r="L365" i="26"/>
  <c r="K365" i="26"/>
  <c r="J365" i="26"/>
  <c r="L364" i="26"/>
  <c r="K364" i="26"/>
  <c r="J364" i="26"/>
  <c r="L363" i="26"/>
  <c r="K363" i="26"/>
  <c r="J363" i="26"/>
  <c r="L362" i="26"/>
  <c r="K362" i="26"/>
  <c r="J362" i="26"/>
  <c r="L361" i="26"/>
  <c r="K361" i="26"/>
  <c r="J361" i="26"/>
  <c r="L360" i="26"/>
  <c r="K360" i="26"/>
  <c r="J360" i="26"/>
  <c r="L359" i="26"/>
  <c r="K359" i="26"/>
  <c r="J359" i="26"/>
  <c r="L358" i="26"/>
  <c r="K358" i="26"/>
  <c r="J358" i="26"/>
  <c r="L357" i="26"/>
  <c r="K357" i="26"/>
  <c r="J357" i="26"/>
  <c r="L356" i="26"/>
  <c r="K356" i="26"/>
  <c r="J356" i="26"/>
  <c r="L355" i="26"/>
  <c r="K355" i="26"/>
  <c r="J355" i="26"/>
  <c r="L354" i="26"/>
  <c r="K354" i="26"/>
  <c r="J354" i="26"/>
  <c r="L353" i="26"/>
  <c r="K353" i="26"/>
  <c r="J353" i="26"/>
  <c r="L352" i="26"/>
  <c r="K352" i="26"/>
  <c r="J352" i="26"/>
  <c r="L351" i="26"/>
  <c r="K351" i="26"/>
  <c r="J351" i="26"/>
  <c r="L350" i="26"/>
  <c r="K350" i="26"/>
  <c r="J350" i="26"/>
  <c r="L349" i="26"/>
  <c r="K349" i="26"/>
  <c r="J349" i="26"/>
  <c r="L348" i="26"/>
  <c r="K348" i="26"/>
  <c r="J348" i="26"/>
  <c r="L347" i="26"/>
  <c r="K347" i="26"/>
  <c r="J347" i="26"/>
  <c r="L346" i="26"/>
  <c r="K346" i="26"/>
  <c r="J346" i="26"/>
  <c r="L345" i="26"/>
  <c r="K345" i="26"/>
  <c r="J345" i="26"/>
  <c r="L344" i="26"/>
  <c r="K344" i="26"/>
  <c r="J344" i="26"/>
  <c r="L343" i="26"/>
  <c r="K343" i="26"/>
  <c r="J343" i="26"/>
  <c r="L342" i="26"/>
  <c r="K342" i="26"/>
  <c r="J342" i="26"/>
  <c r="L341" i="26"/>
  <c r="K341" i="26"/>
  <c r="J341" i="26"/>
  <c r="L340" i="26"/>
  <c r="K340" i="26"/>
  <c r="J340" i="26"/>
  <c r="L339" i="26"/>
  <c r="K339" i="26"/>
  <c r="J339" i="26"/>
  <c r="L338" i="26"/>
  <c r="K338" i="26"/>
  <c r="J338" i="26"/>
  <c r="L337" i="26"/>
  <c r="K337" i="26"/>
  <c r="J337" i="26"/>
  <c r="L336" i="26"/>
  <c r="K336" i="26"/>
  <c r="J336" i="26"/>
  <c r="L335" i="26"/>
  <c r="K335" i="26"/>
  <c r="J335" i="26"/>
  <c r="L334" i="26"/>
  <c r="K334" i="26"/>
  <c r="J334" i="26"/>
  <c r="L333" i="26"/>
  <c r="K333" i="26"/>
  <c r="J333" i="26"/>
  <c r="L332" i="26"/>
  <c r="K332" i="26"/>
  <c r="J332" i="26"/>
  <c r="L331" i="26"/>
  <c r="K331" i="26"/>
  <c r="J331" i="26"/>
  <c r="L330" i="26"/>
  <c r="K330" i="26"/>
  <c r="J330" i="26"/>
  <c r="L329" i="26"/>
  <c r="K329" i="26"/>
  <c r="J329" i="26"/>
  <c r="L328" i="26"/>
  <c r="K328" i="26"/>
  <c r="J328" i="26"/>
  <c r="L327" i="26"/>
  <c r="K327" i="26"/>
  <c r="J327" i="26"/>
  <c r="L326" i="26"/>
  <c r="K326" i="26"/>
  <c r="J326" i="26"/>
  <c r="L325" i="26"/>
  <c r="K325" i="26"/>
  <c r="J325" i="26"/>
  <c r="L324" i="26"/>
  <c r="K324" i="26"/>
  <c r="J324" i="26"/>
  <c r="L323" i="26"/>
  <c r="K323" i="26"/>
  <c r="J323" i="26"/>
  <c r="L322" i="26"/>
  <c r="K322" i="26"/>
  <c r="J322" i="26"/>
  <c r="L321" i="26"/>
  <c r="K321" i="26"/>
  <c r="J321" i="26"/>
  <c r="L320" i="26"/>
  <c r="K320" i="26"/>
  <c r="J320" i="26"/>
  <c r="L319" i="26"/>
  <c r="K319" i="26"/>
  <c r="J319" i="26"/>
  <c r="L318" i="26"/>
  <c r="K318" i="26"/>
  <c r="J318" i="26"/>
  <c r="L317" i="26"/>
  <c r="K317" i="26"/>
  <c r="J317" i="26"/>
  <c r="L316" i="26"/>
  <c r="K316" i="26"/>
  <c r="J316" i="26"/>
  <c r="L315" i="26"/>
  <c r="K315" i="26"/>
  <c r="J315" i="26"/>
  <c r="L314" i="26"/>
  <c r="K314" i="26"/>
  <c r="J314" i="26"/>
  <c r="L313" i="26"/>
  <c r="K313" i="26"/>
  <c r="J313" i="26"/>
  <c r="L312" i="26"/>
  <c r="K312" i="26"/>
  <c r="J312" i="26"/>
  <c r="L311" i="26"/>
  <c r="K311" i="26"/>
  <c r="J311" i="26"/>
  <c r="L310" i="26"/>
  <c r="K310" i="26"/>
  <c r="J310" i="26"/>
  <c r="L309" i="26"/>
  <c r="K309" i="26"/>
  <c r="J309" i="26"/>
  <c r="L308" i="26"/>
  <c r="K308" i="26"/>
  <c r="J308" i="26"/>
  <c r="L307" i="26"/>
  <c r="K307" i="26"/>
  <c r="J307" i="26"/>
  <c r="L306" i="26"/>
  <c r="K306" i="26"/>
  <c r="J306" i="26"/>
  <c r="L305" i="26"/>
  <c r="K305" i="26"/>
  <c r="J305" i="26"/>
  <c r="L304" i="26"/>
  <c r="K304" i="26"/>
  <c r="J304" i="26"/>
  <c r="L303" i="26"/>
  <c r="K303" i="26"/>
  <c r="J303" i="26"/>
  <c r="L302" i="26"/>
  <c r="K302" i="26"/>
  <c r="J302" i="26"/>
  <c r="L301" i="26"/>
  <c r="K301" i="26"/>
  <c r="J301" i="26"/>
  <c r="L300" i="26"/>
  <c r="K300" i="26"/>
  <c r="J300" i="26"/>
  <c r="L299" i="26"/>
  <c r="K299" i="26"/>
  <c r="J299" i="26"/>
  <c r="L298" i="26"/>
  <c r="K298" i="26"/>
  <c r="J298" i="26"/>
  <c r="L297" i="26"/>
  <c r="K297" i="26"/>
  <c r="J297" i="26"/>
  <c r="L296" i="26"/>
  <c r="K296" i="26"/>
  <c r="J296" i="26"/>
  <c r="L295" i="26"/>
  <c r="K295" i="26"/>
  <c r="J295" i="26"/>
  <c r="L294" i="26"/>
  <c r="K294" i="26"/>
  <c r="J294" i="26"/>
  <c r="L293" i="26"/>
  <c r="K293" i="26"/>
  <c r="J293" i="26"/>
  <c r="L292" i="26"/>
  <c r="K292" i="26"/>
  <c r="J292" i="26"/>
  <c r="L291" i="26"/>
  <c r="K291" i="26"/>
  <c r="J291" i="26"/>
  <c r="L290" i="26"/>
  <c r="K290" i="26"/>
  <c r="J290" i="26"/>
  <c r="L289" i="26"/>
  <c r="K289" i="26"/>
  <c r="J289" i="26"/>
  <c r="L288" i="26"/>
  <c r="K288" i="26"/>
  <c r="J288" i="26"/>
  <c r="L287" i="26"/>
  <c r="K287" i="26"/>
  <c r="J287" i="26"/>
  <c r="L286" i="26"/>
  <c r="K286" i="26"/>
  <c r="J286" i="26"/>
  <c r="L285" i="26"/>
  <c r="K285" i="26"/>
  <c r="J285" i="26"/>
  <c r="L284" i="26"/>
  <c r="K284" i="26"/>
  <c r="J284" i="26"/>
  <c r="L283" i="26"/>
  <c r="K283" i="26"/>
  <c r="J283" i="26"/>
  <c r="L282" i="26"/>
  <c r="K282" i="26"/>
  <c r="J282" i="26"/>
  <c r="L281" i="26"/>
  <c r="K281" i="26"/>
  <c r="J281" i="26"/>
  <c r="L280" i="26"/>
  <c r="K280" i="26"/>
  <c r="J280" i="26"/>
  <c r="L279" i="26"/>
  <c r="K279" i="26"/>
  <c r="J279" i="26"/>
  <c r="L278" i="26"/>
  <c r="K278" i="26"/>
  <c r="J278" i="26"/>
  <c r="L277" i="26"/>
  <c r="K277" i="26"/>
  <c r="J277" i="26"/>
  <c r="L276" i="26"/>
  <c r="K276" i="26"/>
  <c r="J276" i="26"/>
  <c r="L275" i="26"/>
  <c r="K275" i="26"/>
  <c r="J275" i="26"/>
  <c r="L274" i="26"/>
  <c r="K274" i="26"/>
  <c r="J274" i="26"/>
  <c r="L273" i="26"/>
  <c r="K273" i="26"/>
  <c r="J273" i="26"/>
  <c r="L272" i="26"/>
  <c r="K272" i="26"/>
  <c r="J272" i="26"/>
  <c r="L271" i="26"/>
  <c r="K271" i="26"/>
  <c r="J271" i="26"/>
  <c r="L270" i="26"/>
  <c r="K270" i="26"/>
  <c r="J270" i="26"/>
  <c r="L269" i="26"/>
  <c r="K269" i="26"/>
  <c r="J269" i="26"/>
  <c r="L268" i="26"/>
  <c r="K268" i="26"/>
  <c r="J268" i="26"/>
  <c r="L267" i="26"/>
  <c r="K267" i="26"/>
  <c r="J267" i="26"/>
  <c r="L266" i="26"/>
  <c r="K266" i="26"/>
  <c r="J266" i="26"/>
  <c r="L265" i="26"/>
  <c r="K265" i="26"/>
  <c r="J265" i="26"/>
  <c r="L264" i="26"/>
  <c r="K264" i="26"/>
  <c r="J264" i="26"/>
  <c r="L263" i="26"/>
  <c r="K263" i="26"/>
  <c r="J263" i="26"/>
  <c r="L262" i="26"/>
  <c r="K262" i="26"/>
  <c r="J262" i="26"/>
  <c r="L261" i="26"/>
  <c r="K261" i="26"/>
  <c r="J261" i="26"/>
  <c r="L260" i="26"/>
  <c r="K260" i="26"/>
  <c r="J260" i="26"/>
  <c r="L259" i="26"/>
  <c r="K259" i="26"/>
  <c r="J259" i="26"/>
  <c r="L258" i="26"/>
  <c r="K258" i="26"/>
  <c r="J258" i="26"/>
  <c r="L257" i="26"/>
  <c r="K257" i="26"/>
  <c r="J257" i="26"/>
  <c r="L256" i="26"/>
  <c r="K256" i="26"/>
  <c r="J256" i="26"/>
  <c r="L255" i="26"/>
  <c r="K255" i="26"/>
  <c r="J255" i="26"/>
  <c r="L254" i="26"/>
  <c r="K254" i="26"/>
  <c r="J254" i="26"/>
  <c r="L253" i="26"/>
  <c r="K253" i="26"/>
  <c r="J253" i="26"/>
  <c r="L252" i="26"/>
  <c r="K252" i="26"/>
  <c r="J252" i="26"/>
  <c r="L251" i="26"/>
  <c r="K251" i="26"/>
  <c r="J251" i="26"/>
  <c r="L250" i="26"/>
  <c r="K250" i="26"/>
  <c r="J250" i="26"/>
  <c r="L249" i="26"/>
  <c r="K249" i="26"/>
  <c r="J249" i="26"/>
  <c r="L248" i="26"/>
  <c r="K248" i="26"/>
  <c r="J248" i="26"/>
  <c r="L247" i="26"/>
  <c r="K247" i="26"/>
  <c r="J247" i="26"/>
  <c r="L246" i="26"/>
  <c r="K246" i="26"/>
  <c r="J246" i="26"/>
  <c r="L245" i="26"/>
  <c r="K245" i="26"/>
  <c r="J245" i="26"/>
  <c r="L244" i="26"/>
  <c r="K244" i="26"/>
  <c r="J244" i="26"/>
  <c r="L243" i="26"/>
  <c r="K243" i="26"/>
  <c r="J243" i="26"/>
  <c r="L242" i="26"/>
  <c r="K242" i="26"/>
  <c r="J242" i="26"/>
  <c r="L241" i="26"/>
  <c r="K241" i="26"/>
  <c r="J241" i="26"/>
  <c r="L240" i="26"/>
  <c r="K240" i="26"/>
  <c r="J240" i="26"/>
  <c r="L239" i="26"/>
  <c r="K239" i="26"/>
  <c r="J239" i="26"/>
  <c r="L238" i="26"/>
  <c r="K238" i="26"/>
  <c r="J238" i="26"/>
  <c r="L237" i="26"/>
  <c r="K237" i="26"/>
  <c r="J237" i="26"/>
  <c r="L236" i="26"/>
  <c r="K236" i="26"/>
  <c r="J236" i="26"/>
  <c r="L235" i="26"/>
  <c r="K235" i="26"/>
  <c r="J235" i="26"/>
  <c r="L234" i="26"/>
  <c r="K234" i="26"/>
  <c r="J234" i="26"/>
  <c r="L233" i="26"/>
  <c r="K233" i="26"/>
  <c r="J233" i="26"/>
  <c r="L232" i="26"/>
  <c r="K232" i="26"/>
  <c r="J232" i="26"/>
  <c r="L231" i="26"/>
  <c r="K231" i="26"/>
  <c r="J231" i="26"/>
  <c r="L230" i="26"/>
  <c r="K230" i="26"/>
  <c r="J230" i="26"/>
  <c r="L229" i="26"/>
  <c r="K229" i="26"/>
  <c r="J229" i="26"/>
  <c r="L228" i="26"/>
  <c r="K228" i="26"/>
  <c r="J228" i="26"/>
  <c r="L227" i="26"/>
  <c r="K227" i="26"/>
  <c r="J227" i="26"/>
  <c r="L226" i="26"/>
  <c r="K226" i="26"/>
  <c r="J226" i="26"/>
  <c r="L225" i="26"/>
  <c r="K225" i="26"/>
  <c r="J225" i="26"/>
  <c r="L224" i="26"/>
  <c r="K224" i="26"/>
  <c r="J224" i="26"/>
  <c r="L223" i="26"/>
  <c r="K223" i="26"/>
  <c r="J223" i="26"/>
  <c r="L222" i="26"/>
  <c r="K222" i="26"/>
  <c r="J222" i="26"/>
  <c r="L221" i="26"/>
  <c r="K221" i="26"/>
  <c r="J221" i="26"/>
  <c r="L220" i="26"/>
  <c r="K220" i="26"/>
  <c r="J220" i="26"/>
  <c r="L219" i="26"/>
  <c r="K219" i="26"/>
  <c r="J219" i="26"/>
  <c r="L218" i="26"/>
  <c r="K218" i="26"/>
  <c r="J218" i="26"/>
  <c r="L217" i="26"/>
  <c r="K217" i="26"/>
  <c r="J217" i="26"/>
  <c r="L216" i="26"/>
  <c r="K216" i="26"/>
  <c r="J216" i="26"/>
  <c r="L215" i="26"/>
  <c r="K215" i="26"/>
  <c r="J215" i="26"/>
  <c r="L214" i="26"/>
  <c r="K214" i="26"/>
  <c r="J214" i="26"/>
  <c r="L213" i="26"/>
  <c r="K213" i="26"/>
  <c r="J213" i="26"/>
  <c r="L212" i="26"/>
  <c r="K212" i="26"/>
  <c r="J212" i="26"/>
  <c r="L211" i="26"/>
  <c r="K211" i="26"/>
  <c r="J211" i="26"/>
  <c r="L210" i="26"/>
  <c r="K210" i="26"/>
  <c r="J210" i="26"/>
  <c r="L209" i="26"/>
  <c r="K209" i="26"/>
  <c r="J209" i="26"/>
  <c r="L208" i="26"/>
  <c r="K208" i="26"/>
  <c r="J208" i="26"/>
  <c r="L207" i="26"/>
  <c r="K207" i="26"/>
  <c r="J207" i="26"/>
  <c r="L206" i="26"/>
  <c r="K206" i="26"/>
  <c r="J206" i="26"/>
  <c r="L205" i="26"/>
  <c r="K205" i="26"/>
  <c r="J205" i="26"/>
  <c r="L204" i="26"/>
  <c r="K204" i="26"/>
  <c r="J204" i="26"/>
  <c r="L203" i="26"/>
  <c r="K203" i="26"/>
  <c r="J203" i="26"/>
  <c r="L202" i="26"/>
  <c r="K202" i="26"/>
  <c r="J202" i="26"/>
  <c r="L201" i="26"/>
  <c r="K201" i="26"/>
  <c r="J201" i="26"/>
  <c r="L200" i="26"/>
  <c r="K200" i="26"/>
  <c r="J200" i="26"/>
  <c r="L199" i="26"/>
  <c r="K199" i="26"/>
  <c r="J199" i="26"/>
  <c r="L198" i="26"/>
  <c r="K198" i="26"/>
  <c r="J198" i="26"/>
  <c r="L197" i="26"/>
  <c r="K197" i="26"/>
  <c r="J197" i="26"/>
  <c r="L196" i="26"/>
  <c r="K196" i="26"/>
  <c r="J196" i="26"/>
  <c r="L195" i="26"/>
  <c r="K195" i="26"/>
  <c r="J195" i="26"/>
  <c r="L194" i="26"/>
  <c r="K194" i="26"/>
  <c r="J194" i="26"/>
  <c r="L193" i="26"/>
  <c r="K193" i="26"/>
  <c r="J193" i="26"/>
  <c r="L192" i="26"/>
  <c r="K192" i="26"/>
  <c r="J192" i="26"/>
  <c r="L191" i="26"/>
  <c r="K191" i="26"/>
  <c r="J191" i="26"/>
  <c r="L190" i="26"/>
  <c r="K190" i="26"/>
  <c r="J190" i="26"/>
  <c r="L189" i="26"/>
  <c r="K189" i="26"/>
  <c r="J189" i="26"/>
  <c r="L188" i="26"/>
  <c r="K188" i="26"/>
  <c r="J188" i="26"/>
  <c r="L187" i="26"/>
  <c r="K187" i="26"/>
  <c r="J187" i="26"/>
  <c r="L186" i="26"/>
  <c r="K186" i="26"/>
  <c r="J186" i="26"/>
  <c r="L185" i="26"/>
  <c r="K185" i="26"/>
  <c r="J185" i="26"/>
  <c r="L184" i="26"/>
  <c r="K184" i="26"/>
  <c r="J184" i="26"/>
  <c r="L183" i="26"/>
  <c r="K183" i="26"/>
  <c r="J183" i="26"/>
  <c r="L182" i="26"/>
  <c r="K182" i="26"/>
  <c r="J182" i="26"/>
  <c r="L181" i="26"/>
  <c r="K181" i="26"/>
  <c r="J181" i="26"/>
  <c r="L180" i="26"/>
  <c r="K180" i="26"/>
  <c r="J180" i="26"/>
  <c r="L179" i="26"/>
  <c r="K179" i="26"/>
  <c r="J179" i="26"/>
  <c r="L178" i="26"/>
  <c r="K178" i="26"/>
  <c r="J178" i="26"/>
  <c r="L177" i="26"/>
  <c r="K177" i="26"/>
  <c r="J177" i="26"/>
  <c r="L176" i="26"/>
  <c r="K176" i="26"/>
  <c r="J176" i="26"/>
  <c r="L175" i="26"/>
  <c r="K175" i="26"/>
  <c r="J175" i="26"/>
  <c r="L174" i="26"/>
  <c r="K174" i="26"/>
  <c r="J174" i="26"/>
  <c r="L173" i="26"/>
  <c r="K173" i="26"/>
  <c r="J173" i="26"/>
  <c r="L172" i="26"/>
  <c r="K172" i="26"/>
  <c r="J172" i="26"/>
  <c r="L171" i="26"/>
  <c r="K171" i="26"/>
  <c r="J171" i="26"/>
  <c r="L170" i="26"/>
  <c r="K170" i="26"/>
  <c r="J170" i="26"/>
  <c r="L169" i="26"/>
  <c r="K169" i="26"/>
  <c r="J169" i="26"/>
  <c r="L168" i="26"/>
  <c r="K168" i="26"/>
  <c r="J168" i="26"/>
  <c r="L167" i="26"/>
  <c r="K167" i="26"/>
  <c r="J167" i="26"/>
  <c r="L166" i="26"/>
  <c r="K166" i="26"/>
  <c r="J166" i="26"/>
  <c r="L165" i="26"/>
  <c r="K165" i="26"/>
  <c r="J165" i="26"/>
  <c r="L164" i="26"/>
  <c r="K164" i="26"/>
  <c r="J164" i="26"/>
  <c r="L163" i="26"/>
  <c r="K163" i="26"/>
  <c r="J163" i="26"/>
  <c r="L162" i="26"/>
  <c r="K162" i="26"/>
  <c r="J162" i="26"/>
  <c r="L161" i="26"/>
  <c r="K161" i="26"/>
  <c r="J161" i="26"/>
  <c r="L160" i="26"/>
  <c r="K160" i="26"/>
  <c r="J160" i="26"/>
  <c r="L159" i="26"/>
  <c r="K159" i="26"/>
  <c r="J159" i="26"/>
  <c r="L158" i="26"/>
  <c r="K158" i="26"/>
  <c r="J158" i="26"/>
  <c r="L157" i="26"/>
  <c r="K157" i="26"/>
  <c r="J157" i="26"/>
  <c r="L156" i="26"/>
  <c r="K156" i="26"/>
  <c r="J156" i="26"/>
  <c r="L155" i="26"/>
  <c r="K155" i="26"/>
  <c r="J155" i="26"/>
  <c r="L154" i="26"/>
  <c r="K154" i="26"/>
  <c r="J154" i="26"/>
  <c r="L153" i="26"/>
  <c r="K153" i="26"/>
  <c r="J153" i="26"/>
  <c r="L152" i="26"/>
  <c r="K152" i="26"/>
  <c r="J152" i="26"/>
  <c r="L151" i="26"/>
  <c r="K151" i="26"/>
  <c r="J151" i="26"/>
  <c r="L150" i="26"/>
  <c r="K150" i="26"/>
  <c r="J150" i="26"/>
  <c r="L149" i="26"/>
  <c r="K149" i="26"/>
  <c r="J149" i="26"/>
  <c r="L148" i="26"/>
  <c r="K148" i="26"/>
  <c r="J148" i="26"/>
  <c r="L147" i="26"/>
  <c r="K147" i="26"/>
  <c r="J147" i="26"/>
  <c r="L146" i="26"/>
  <c r="K146" i="26"/>
  <c r="J146" i="26"/>
  <c r="L145" i="26"/>
  <c r="K145" i="26"/>
  <c r="J145" i="26"/>
  <c r="L144" i="26"/>
  <c r="K144" i="26"/>
  <c r="J144" i="26"/>
  <c r="L143" i="26"/>
  <c r="K143" i="26"/>
  <c r="J143" i="26"/>
  <c r="L142" i="26"/>
  <c r="K142" i="26"/>
  <c r="J142" i="26"/>
  <c r="L141" i="26"/>
  <c r="K141" i="26"/>
  <c r="J141" i="26"/>
  <c r="L140" i="26"/>
  <c r="K140" i="26"/>
  <c r="J140" i="26"/>
  <c r="L139" i="26"/>
  <c r="K139" i="26"/>
  <c r="J139" i="26"/>
  <c r="L138" i="26"/>
  <c r="K138" i="26"/>
  <c r="J138" i="26"/>
  <c r="L137" i="26"/>
  <c r="K137" i="26"/>
  <c r="J137" i="26"/>
  <c r="L136" i="26"/>
  <c r="K136" i="26"/>
  <c r="J136" i="26"/>
  <c r="L135" i="26"/>
  <c r="K135" i="26"/>
  <c r="J135" i="26"/>
  <c r="L134" i="26"/>
  <c r="K134" i="26"/>
  <c r="J134" i="26"/>
  <c r="L133" i="26"/>
  <c r="K133" i="26"/>
  <c r="J133" i="26"/>
  <c r="L132" i="26"/>
  <c r="K132" i="26"/>
  <c r="J132" i="26"/>
  <c r="L131" i="26"/>
  <c r="K131" i="26"/>
  <c r="J131" i="26"/>
  <c r="L130" i="26"/>
  <c r="K130" i="26"/>
  <c r="J130" i="26"/>
  <c r="L129" i="26"/>
  <c r="K129" i="26"/>
  <c r="J129" i="26"/>
  <c r="L128" i="26"/>
  <c r="K128" i="26"/>
  <c r="J128" i="26"/>
  <c r="L127" i="26"/>
  <c r="K127" i="26"/>
  <c r="J127" i="26"/>
  <c r="L126" i="26"/>
  <c r="K126" i="26"/>
  <c r="J126" i="26"/>
  <c r="L125" i="26"/>
  <c r="K125" i="26"/>
  <c r="J125" i="26"/>
  <c r="L124" i="26"/>
  <c r="K124" i="26"/>
  <c r="J124" i="26"/>
  <c r="L123" i="26"/>
  <c r="K123" i="26"/>
  <c r="J123" i="26"/>
  <c r="L122" i="26"/>
  <c r="K122" i="26"/>
  <c r="J122" i="26"/>
  <c r="L121" i="26"/>
  <c r="K121" i="26"/>
  <c r="J121" i="26"/>
  <c r="L120" i="26"/>
  <c r="K120" i="26"/>
  <c r="J120" i="26"/>
  <c r="L119" i="26"/>
  <c r="K119" i="26"/>
  <c r="J119" i="26"/>
  <c r="L118" i="26"/>
  <c r="K118" i="26"/>
  <c r="J118" i="26"/>
  <c r="L117" i="26"/>
  <c r="K117" i="26"/>
  <c r="J117" i="26"/>
  <c r="L116" i="26"/>
  <c r="K116" i="26"/>
  <c r="J116" i="26"/>
  <c r="L115" i="26"/>
  <c r="K115" i="26"/>
  <c r="J115" i="26"/>
  <c r="L114" i="26"/>
  <c r="K114" i="26"/>
  <c r="J114" i="26"/>
  <c r="L113" i="26"/>
  <c r="K113" i="26"/>
  <c r="J113" i="26"/>
  <c r="L112" i="26"/>
  <c r="K112" i="26"/>
  <c r="J112" i="26"/>
  <c r="L111" i="26"/>
  <c r="K111" i="26"/>
  <c r="J111" i="26"/>
  <c r="L110" i="26"/>
  <c r="K110" i="26"/>
  <c r="J110" i="26"/>
  <c r="L109" i="26"/>
  <c r="K109" i="26"/>
  <c r="J109" i="26"/>
  <c r="L108" i="26"/>
  <c r="K108" i="26"/>
  <c r="J108" i="26"/>
  <c r="L107" i="26"/>
  <c r="K107" i="26"/>
  <c r="J107" i="26"/>
  <c r="L106" i="26"/>
  <c r="K106" i="26"/>
  <c r="J106" i="26"/>
  <c r="L105" i="26"/>
  <c r="K105" i="26"/>
  <c r="J105" i="26"/>
  <c r="L104" i="26"/>
  <c r="K104" i="26"/>
  <c r="J104" i="26"/>
  <c r="L103" i="26"/>
  <c r="K103" i="26"/>
  <c r="J103" i="26"/>
  <c r="L102" i="26"/>
  <c r="K102" i="26"/>
  <c r="J102" i="26"/>
  <c r="L101" i="26"/>
  <c r="K101" i="26"/>
  <c r="J101" i="26"/>
  <c r="L100" i="26"/>
  <c r="K100" i="26"/>
  <c r="J100" i="26"/>
  <c r="L99" i="26"/>
  <c r="K99" i="26"/>
  <c r="J99" i="26"/>
  <c r="L98" i="26"/>
  <c r="K98" i="26"/>
  <c r="J98" i="26"/>
  <c r="L97" i="26"/>
  <c r="K97" i="26"/>
  <c r="J97" i="26"/>
  <c r="L96" i="26"/>
  <c r="K96" i="26"/>
  <c r="J96" i="26"/>
  <c r="L95" i="26"/>
  <c r="K95" i="26"/>
  <c r="J95" i="26"/>
  <c r="L94" i="26"/>
  <c r="K94" i="26"/>
  <c r="J94" i="26"/>
  <c r="L93" i="26"/>
  <c r="K93" i="26"/>
  <c r="J93" i="26"/>
  <c r="L92" i="26"/>
  <c r="K92" i="26"/>
  <c r="J92" i="26"/>
  <c r="L91" i="26"/>
  <c r="K91" i="26"/>
  <c r="J91" i="26"/>
  <c r="L90" i="26"/>
  <c r="K90" i="26"/>
  <c r="J90" i="26"/>
  <c r="L89" i="26"/>
  <c r="K89" i="26"/>
  <c r="J89" i="26"/>
  <c r="L88" i="26"/>
  <c r="K88" i="26"/>
  <c r="J88" i="26"/>
  <c r="L87" i="26"/>
  <c r="K87" i="26"/>
  <c r="J87" i="26"/>
  <c r="L86" i="26"/>
  <c r="K86" i="26"/>
  <c r="J86" i="26"/>
  <c r="L85" i="26"/>
  <c r="K85" i="26"/>
  <c r="J85" i="26"/>
  <c r="L84" i="26"/>
  <c r="K84" i="26"/>
  <c r="J84" i="26"/>
  <c r="L83" i="26"/>
  <c r="K83" i="26"/>
  <c r="J83" i="26"/>
  <c r="L82" i="26"/>
  <c r="K82" i="26"/>
  <c r="J82" i="26"/>
  <c r="L81" i="26"/>
  <c r="K81" i="26"/>
  <c r="J81" i="26"/>
  <c r="L80" i="26"/>
  <c r="K80" i="26"/>
  <c r="J80" i="26"/>
  <c r="L79" i="26"/>
  <c r="K79" i="26"/>
  <c r="J79" i="26"/>
  <c r="L78" i="26"/>
  <c r="K78" i="26"/>
  <c r="J78" i="26"/>
  <c r="L77" i="26"/>
  <c r="K77" i="26"/>
  <c r="J77" i="26"/>
  <c r="L76" i="26"/>
  <c r="K76" i="26"/>
  <c r="J76" i="26"/>
  <c r="L75" i="26"/>
  <c r="K75" i="26"/>
  <c r="J75" i="26"/>
  <c r="L74" i="26"/>
  <c r="K74" i="26"/>
  <c r="J74" i="26"/>
  <c r="L73" i="26"/>
  <c r="K73" i="26"/>
  <c r="J73" i="26"/>
  <c r="L72" i="26"/>
  <c r="K72" i="26"/>
  <c r="J72" i="26"/>
  <c r="L71" i="26"/>
  <c r="K71" i="26"/>
  <c r="J71" i="26"/>
  <c r="L70" i="26"/>
  <c r="K70" i="26"/>
  <c r="J70" i="26"/>
  <c r="L69" i="26"/>
  <c r="K69" i="26"/>
  <c r="J69" i="26"/>
  <c r="L68" i="26"/>
  <c r="K68" i="26"/>
  <c r="J68" i="26"/>
  <c r="L67" i="26"/>
  <c r="K67" i="26"/>
  <c r="J67" i="26"/>
  <c r="L66" i="26"/>
  <c r="K66" i="26"/>
  <c r="J66" i="26"/>
  <c r="L65" i="26"/>
  <c r="K65" i="26"/>
  <c r="J65" i="26"/>
  <c r="L64" i="26"/>
  <c r="K64" i="26"/>
  <c r="J64" i="26"/>
  <c r="L63" i="26"/>
  <c r="K63" i="26"/>
  <c r="J63" i="26"/>
  <c r="L62" i="26"/>
  <c r="K62" i="26"/>
  <c r="J62" i="26"/>
  <c r="L61" i="26"/>
  <c r="K61" i="26"/>
  <c r="J61" i="26"/>
  <c r="L60" i="26"/>
  <c r="K60" i="26"/>
  <c r="J60" i="26"/>
  <c r="L59" i="26"/>
  <c r="K59" i="26"/>
  <c r="J59" i="26"/>
  <c r="L58" i="26"/>
  <c r="K58" i="26"/>
  <c r="J58" i="26"/>
  <c r="L57" i="26"/>
  <c r="K57" i="26"/>
  <c r="J57" i="26"/>
  <c r="L56" i="26"/>
  <c r="K56" i="26"/>
  <c r="J56" i="26"/>
  <c r="L55" i="26"/>
  <c r="K55" i="26"/>
  <c r="J55" i="26"/>
  <c r="L54" i="26"/>
  <c r="K54" i="26"/>
  <c r="J54" i="26"/>
  <c r="L53" i="26"/>
  <c r="K53" i="26"/>
  <c r="J53" i="26"/>
  <c r="L52" i="26"/>
  <c r="K52" i="26"/>
  <c r="J52" i="26"/>
  <c r="L51" i="26"/>
  <c r="K51" i="26"/>
  <c r="J51" i="26"/>
  <c r="L50" i="26"/>
  <c r="K50" i="26"/>
  <c r="J50" i="26"/>
  <c r="L49" i="26"/>
  <c r="K49" i="26"/>
  <c r="J49" i="26"/>
  <c r="L48" i="26"/>
  <c r="K48" i="26"/>
  <c r="J48" i="26"/>
  <c r="L47" i="26"/>
  <c r="K47" i="26"/>
  <c r="J47" i="26"/>
  <c r="L46" i="26"/>
  <c r="K46" i="26"/>
  <c r="J46" i="26"/>
  <c r="L45" i="26"/>
  <c r="K45" i="26"/>
  <c r="J45" i="26"/>
  <c r="L44" i="26"/>
  <c r="K44" i="26"/>
  <c r="J44" i="26"/>
  <c r="L43" i="26"/>
  <c r="K43" i="26"/>
  <c r="J43" i="26"/>
  <c r="L42" i="26"/>
  <c r="K42" i="26"/>
  <c r="J42" i="26"/>
  <c r="L41" i="26"/>
  <c r="K41" i="26"/>
  <c r="J41" i="26"/>
  <c r="L40" i="26"/>
  <c r="K40" i="26"/>
  <c r="J40" i="26"/>
  <c r="L39" i="26"/>
  <c r="K39" i="26"/>
  <c r="J39" i="26"/>
  <c r="L38" i="26"/>
  <c r="K38" i="26"/>
  <c r="J38" i="26"/>
  <c r="L37" i="26"/>
  <c r="K37" i="26"/>
  <c r="J37" i="26"/>
  <c r="L36" i="26"/>
  <c r="K36" i="26"/>
  <c r="J36" i="26"/>
  <c r="L35" i="26"/>
  <c r="K35" i="26"/>
  <c r="J35" i="26"/>
  <c r="L34" i="26"/>
  <c r="K34" i="26"/>
  <c r="J34" i="26"/>
  <c r="L33" i="26"/>
  <c r="K33" i="26"/>
  <c r="J33" i="26"/>
  <c r="L32" i="26"/>
  <c r="K32" i="26"/>
  <c r="J32" i="26"/>
  <c r="L31" i="26"/>
  <c r="K31" i="26"/>
  <c r="J31" i="26"/>
  <c r="L30" i="26"/>
  <c r="K30" i="26"/>
  <c r="J30" i="26"/>
  <c r="L29" i="26"/>
  <c r="K29" i="26"/>
  <c r="J29" i="26"/>
  <c r="L28" i="26"/>
  <c r="K28" i="26"/>
  <c r="J28" i="26"/>
  <c r="L27" i="26"/>
  <c r="K27" i="26"/>
  <c r="J27" i="26"/>
  <c r="L26" i="26"/>
  <c r="K26" i="26"/>
  <c r="J26" i="26"/>
  <c r="L25" i="26"/>
  <c r="K25" i="26"/>
  <c r="J25" i="26"/>
  <c r="L24" i="26"/>
  <c r="K24" i="26"/>
  <c r="J24" i="26"/>
  <c r="L23" i="26"/>
  <c r="K23" i="26"/>
  <c r="J23" i="26"/>
  <c r="L22" i="26"/>
  <c r="K22" i="26"/>
  <c r="J22" i="26"/>
  <c r="L21" i="26"/>
  <c r="K21" i="26"/>
  <c r="J21" i="26"/>
  <c r="L20" i="26"/>
  <c r="K20" i="26"/>
  <c r="J20" i="26"/>
  <c r="L19" i="26"/>
  <c r="K19" i="26"/>
  <c r="J19" i="26"/>
  <c r="L18" i="26"/>
  <c r="K18" i="26"/>
  <c r="J18" i="26"/>
  <c r="L17" i="26"/>
  <c r="K17" i="26"/>
  <c r="J17" i="26"/>
  <c r="L16" i="26"/>
  <c r="K16" i="26"/>
  <c r="J16" i="26"/>
  <c r="L15" i="26"/>
  <c r="K15" i="26"/>
  <c r="J15" i="26"/>
  <c r="L14" i="26"/>
  <c r="K14" i="26"/>
  <c r="J14" i="26"/>
  <c r="L13" i="26"/>
  <c r="K13" i="26"/>
  <c r="J13" i="26"/>
  <c r="L12" i="26"/>
  <c r="K12" i="26"/>
  <c r="J12" i="26"/>
  <c r="L11" i="26"/>
  <c r="K11" i="26"/>
  <c r="J11" i="26"/>
  <c r="L10" i="26"/>
  <c r="K10" i="26"/>
  <c r="J10" i="26"/>
  <c r="L9" i="26"/>
  <c r="K9" i="26"/>
  <c r="J9" i="26"/>
  <c r="L8" i="26"/>
  <c r="K8" i="26"/>
  <c r="J8" i="26"/>
  <c r="L7" i="26"/>
  <c r="K7" i="26"/>
  <c r="J7" i="26"/>
  <c r="L6" i="26"/>
  <c r="K6" i="26"/>
  <c r="J6" i="26"/>
  <c r="L5" i="26"/>
  <c r="K5" i="26"/>
  <c r="J5" i="26"/>
  <c r="L4" i="26"/>
  <c r="K4" i="26"/>
  <c r="J4" i="26"/>
  <c r="L3" i="26"/>
  <c r="K3" i="26"/>
  <c r="J3" i="26"/>
  <c r="L2" i="26"/>
  <c r="K2" i="26"/>
  <c r="J2" i="26"/>
  <c r="E38" i="27"/>
  <c r="E26" i="27"/>
  <c r="E14" i="27"/>
  <c r="G36" i="27"/>
  <c r="G24" i="27"/>
  <c r="G12" i="27"/>
  <c r="E37" i="27"/>
  <c r="E25" i="27"/>
  <c r="E13" i="27"/>
  <c r="G47" i="27"/>
  <c r="G35" i="27"/>
  <c r="G23" i="27"/>
  <c r="G11" i="27"/>
  <c r="E47" i="27"/>
  <c r="E35" i="27"/>
  <c r="E23" i="27"/>
  <c r="E11" i="27"/>
  <c r="G45" i="27"/>
  <c r="G33" i="27"/>
  <c r="G21" i="27"/>
  <c r="G9" i="27"/>
  <c r="E46" i="27"/>
  <c r="E34" i="27"/>
  <c r="E22" i="27"/>
  <c r="E10" i="27"/>
  <c r="G44" i="27"/>
  <c r="G32" i="27"/>
  <c r="G20" i="27"/>
  <c r="G8" i="27"/>
  <c r="E45" i="27"/>
  <c r="E33" i="27"/>
  <c r="E21" i="27"/>
  <c r="E9" i="27"/>
  <c r="G43" i="27"/>
  <c r="G31" i="27"/>
  <c r="G19" i="27"/>
  <c r="G7" i="27"/>
  <c r="E44" i="27"/>
  <c r="E32" i="27"/>
  <c r="E20" i="27"/>
  <c r="E8" i="27"/>
  <c r="G42" i="27"/>
  <c r="G30" i="27"/>
  <c r="G18" i="27"/>
  <c r="G6" i="27"/>
  <c r="E43" i="27"/>
  <c r="E31" i="27"/>
  <c r="E19" i="27"/>
  <c r="E7" i="27"/>
  <c r="G41" i="27"/>
  <c r="G29" i="27"/>
  <c r="G17" i="27"/>
  <c r="G5" i="27"/>
  <c r="E42" i="27"/>
  <c r="E30" i="27"/>
  <c r="E18" i="27"/>
  <c r="E6" i="27"/>
  <c r="G40" i="27"/>
  <c r="G28" i="27"/>
  <c r="G16" i="27"/>
  <c r="G4" i="27"/>
  <c r="E41" i="27"/>
  <c r="E29" i="27"/>
  <c r="E17" i="27"/>
  <c r="E5" i="27"/>
  <c r="G39" i="27"/>
  <c r="G27" i="27"/>
  <c r="G15" i="27"/>
  <c r="G3" i="27"/>
  <c r="S3" i="22"/>
  <c r="S4" i="22"/>
  <c r="S5" i="22"/>
  <c r="S6" i="22"/>
  <c r="S7" i="22"/>
  <c r="S8" i="22"/>
  <c r="S9" i="22"/>
  <c r="S10" i="22"/>
  <c r="S11" i="22"/>
  <c r="S12" i="22"/>
  <c r="S13" i="22"/>
  <c r="S14" i="22"/>
  <c r="S15" i="22"/>
  <c r="S16" i="22"/>
  <c r="S17" i="22"/>
  <c r="S18" i="22"/>
  <c r="S19" i="22"/>
  <c r="S20" i="22"/>
  <c r="S21" i="22"/>
  <c r="S22" i="22"/>
  <c r="S23" i="22"/>
  <c r="S24" i="22"/>
  <c r="S25" i="22"/>
  <c r="S26" i="22"/>
  <c r="S27" i="22"/>
  <c r="S28" i="22"/>
  <c r="S29" i="22"/>
  <c r="S30" i="22"/>
  <c r="S31" i="22"/>
  <c r="S32" i="22"/>
  <c r="S33" i="22"/>
  <c r="S34" i="22"/>
  <c r="S35" i="22"/>
  <c r="S36" i="22"/>
  <c r="S37" i="22"/>
  <c r="S38" i="22"/>
  <c r="S39" i="22"/>
  <c r="S40" i="22"/>
  <c r="S41" i="22"/>
  <c r="S2" i="22"/>
  <c r="O3" i="22"/>
  <c r="P3" i="22"/>
  <c r="Q3" i="22"/>
  <c r="R3" i="22"/>
  <c r="O4" i="22"/>
  <c r="P4" i="22"/>
  <c r="Q4" i="22"/>
  <c r="R4" i="22"/>
  <c r="O5" i="22"/>
  <c r="P5" i="22"/>
  <c r="Q5" i="22"/>
  <c r="R5" i="22"/>
  <c r="O6" i="22"/>
  <c r="P6" i="22"/>
  <c r="Q6" i="22"/>
  <c r="R6" i="22"/>
  <c r="O7" i="22"/>
  <c r="P7" i="22"/>
  <c r="Q7" i="22"/>
  <c r="R7" i="22"/>
  <c r="O8" i="22"/>
  <c r="P8" i="22"/>
  <c r="Q8" i="22"/>
  <c r="R8" i="22"/>
  <c r="O9" i="22"/>
  <c r="P9" i="22"/>
  <c r="Q9" i="22"/>
  <c r="R9" i="22"/>
  <c r="O10" i="22"/>
  <c r="P10" i="22"/>
  <c r="Q10" i="22"/>
  <c r="R10" i="22"/>
  <c r="O11" i="22"/>
  <c r="P11" i="22"/>
  <c r="Q11" i="22"/>
  <c r="R11" i="22"/>
  <c r="O12" i="22"/>
  <c r="P12" i="22"/>
  <c r="Q12" i="22"/>
  <c r="R12" i="22"/>
  <c r="O13" i="22"/>
  <c r="P13" i="22"/>
  <c r="Q13" i="22"/>
  <c r="R13" i="22"/>
  <c r="O14" i="22"/>
  <c r="P14" i="22"/>
  <c r="Q14" i="22"/>
  <c r="R14" i="22"/>
  <c r="O15" i="22"/>
  <c r="P15" i="22"/>
  <c r="Q15" i="22"/>
  <c r="R15" i="22"/>
  <c r="O16" i="22"/>
  <c r="P16" i="22"/>
  <c r="Q16" i="22"/>
  <c r="R16" i="22"/>
  <c r="O17" i="22"/>
  <c r="P17" i="22"/>
  <c r="Q17" i="22"/>
  <c r="R17" i="22"/>
  <c r="O18" i="22"/>
  <c r="P18" i="22"/>
  <c r="Q18" i="22"/>
  <c r="R18" i="22"/>
  <c r="O19" i="22"/>
  <c r="P19" i="22"/>
  <c r="Q19" i="22"/>
  <c r="R19" i="22"/>
  <c r="O20" i="22"/>
  <c r="P20" i="22"/>
  <c r="Q20" i="22"/>
  <c r="R20" i="22"/>
  <c r="O21" i="22"/>
  <c r="P21" i="22"/>
  <c r="Q21" i="22"/>
  <c r="R21" i="22"/>
  <c r="O22" i="22"/>
  <c r="P22" i="22"/>
  <c r="Q22" i="22"/>
  <c r="R22" i="22"/>
  <c r="O23" i="22"/>
  <c r="P23" i="22"/>
  <c r="Q23" i="22"/>
  <c r="R23" i="22"/>
  <c r="O24" i="22"/>
  <c r="P24" i="22"/>
  <c r="Q24" i="22"/>
  <c r="R24" i="22"/>
  <c r="O25" i="22"/>
  <c r="P25" i="22"/>
  <c r="Q25" i="22"/>
  <c r="R25" i="22"/>
  <c r="O26" i="22"/>
  <c r="P26" i="22"/>
  <c r="Q26" i="22"/>
  <c r="R26" i="22"/>
  <c r="O27" i="22"/>
  <c r="P27" i="22"/>
  <c r="Q27" i="22"/>
  <c r="R27" i="22"/>
  <c r="O28" i="22"/>
  <c r="P28" i="22"/>
  <c r="Q28" i="22"/>
  <c r="R28" i="22"/>
  <c r="O29" i="22"/>
  <c r="P29" i="22"/>
  <c r="Q29" i="22"/>
  <c r="R29" i="22"/>
  <c r="O30" i="22"/>
  <c r="P30" i="22"/>
  <c r="Q30" i="22"/>
  <c r="R30" i="22"/>
  <c r="O31" i="22"/>
  <c r="P31" i="22"/>
  <c r="Q31" i="22"/>
  <c r="R31" i="22"/>
  <c r="O32" i="22"/>
  <c r="P32" i="22"/>
  <c r="Q32" i="22"/>
  <c r="R32" i="22"/>
  <c r="O33" i="22"/>
  <c r="P33" i="22"/>
  <c r="Q33" i="22"/>
  <c r="R33" i="22"/>
  <c r="O34" i="22"/>
  <c r="P34" i="22"/>
  <c r="Q34" i="22"/>
  <c r="R34" i="22"/>
  <c r="O35" i="22"/>
  <c r="P35" i="22"/>
  <c r="Q35" i="22"/>
  <c r="R35" i="22"/>
  <c r="O36" i="22"/>
  <c r="P36" i="22"/>
  <c r="Q36" i="22"/>
  <c r="R36" i="22"/>
  <c r="O37" i="22"/>
  <c r="P37" i="22"/>
  <c r="Q37" i="22"/>
  <c r="R37" i="22"/>
  <c r="O38" i="22"/>
  <c r="P38" i="22"/>
  <c r="Q38" i="22"/>
  <c r="R38" i="22"/>
  <c r="O39" i="22"/>
  <c r="P39" i="22"/>
  <c r="Q39" i="22"/>
  <c r="R39" i="22"/>
  <c r="O40" i="22"/>
  <c r="P40" i="22"/>
  <c r="Q40" i="22"/>
  <c r="R40" i="22"/>
  <c r="O41" i="22"/>
  <c r="P41" i="22"/>
  <c r="Q41" i="22"/>
  <c r="R41" i="22"/>
  <c r="R2" i="22"/>
  <c r="Q2" i="22"/>
  <c r="P2" i="22"/>
  <c r="O2" i="22"/>
  <c r="I3" i="22"/>
  <c r="I4" i="22"/>
  <c r="I5" i="22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I33" i="22"/>
  <c r="I34" i="22"/>
  <c r="I35" i="22"/>
  <c r="I36" i="22"/>
  <c r="I37" i="22"/>
  <c r="I38" i="22"/>
  <c r="I39" i="22"/>
  <c r="I40" i="22"/>
  <c r="I41" i="22"/>
  <c r="I42" i="22"/>
  <c r="I43" i="22"/>
  <c r="I44" i="22"/>
  <c r="I45" i="22"/>
  <c r="I46" i="22"/>
  <c r="I47" i="22"/>
  <c r="I48" i="22"/>
  <c r="I49" i="22"/>
  <c r="I50" i="22"/>
  <c r="I51" i="22"/>
  <c r="I52" i="22"/>
  <c r="I53" i="22"/>
  <c r="I54" i="22"/>
  <c r="I55" i="22"/>
  <c r="I56" i="22"/>
  <c r="I57" i="22"/>
  <c r="I58" i="22"/>
  <c r="I59" i="22"/>
  <c r="I60" i="22"/>
  <c r="I61" i="22"/>
  <c r="I62" i="22"/>
  <c r="I63" i="22"/>
  <c r="I64" i="22"/>
  <c r="I65" i="22"/>
  <c r="I66" i="22"/>
  <c r="I67" i="22"/>
  <c r="I68" i="22"/>
  <c r="I69" i="22"/>
  <c r="I70" i="22"/>
  <c r="I71" i="22"/>
  <c r="I72" i="22"/>
  <c r="I73" i="22"/>
  <c r="I74" i="22"/>
  <c r="I75" i="22"/>
  <c r="I76" i="22"/>
  <c r="I77" i="22"/>
  <c r="I78" i="22"/>
  <c r="I79" i="22"/>
  <c r="I80" i="22"/>
  <c r="I81" i="22"/>
  <c r="I82" i="22"/>
  <c r="I83" i="22"/>
  <c r="I84" i="22"/>
  <c r="I85" i="22"/>
  <c r="I86" i="22"/>
  <c r="I87" i="22"/>
  <c r="I88" i="22"/>
  <c r="I89" i="22"/>
  <c r="I90" i="22"/>
  <c r="I91" i="22"/>
  <c r="I92" i="22"/>
  <c r="I93" i="22"/>
  <c r="I94" i="22"/>
  <c r="I95" i="22"/>
  <c r="I96" i="22"/>
  <c r="I97" i="22"/>
  <c r="I98" i="22"/>
  <c r="I99" i="22"/>
  <c r="I100" i="22"/>
  <c r="I101" i="22"/>
  <c r="I102" i="22"/>
  <c r="I103" i="22"/>
  <c r="I104" i="22"/>
  <c r="I105" i="22"/>
  <c r="I106" i="22"/>
  <c r="I107" i="22"/>
  <c r="I108" i="22"/>
  <c r="I109" i="22"/>
  <c r="I110" i="22"/>
  <c r="I111" i="22"/>
  <c r="I112" i="22"/>
  <c r="I113" i="22"/>
  <c r="I114" i="22"/>
  <c r="I115" i="22"/>
  <c r="I116" i="22"/>
  <c r="I117" i="22"/>
  <c r="I118" i="22"/>
  <c r="I119" i="22"/>
  <c r="I120" i="22"/>
  <c r="I121" i="22"/>
  <c r="I122" i="22"/>
  <c r="I123" i="22"/>
  <c r="I124" i="22"/>
  <c r="I125" i="22"/>
  <c r="I126" i="22"/>
  <c r="I127" i="22"/>
  <c r="I128" i="22"/>
  <c r="I129" i="22"/>
  <c r="I130" i="22"/>
  <c r="I131" i="22"/>
  <c r="I132" i="22"/>
  <c r="I133" i="22"/>
  <c r="I134" i="22"/>
  <c r="I135" i="22"/>
  <c r="I136" i="22"/>
  <c r="I137" i="22"/>
  <c r="I138" i="22"/>
  <c r="I139" i="22"/>
  <c r="I140" i="22"/>
  <c r="I141" i="22"/>
  <c r="I142" i="22"/>
  <c r="I143" i="22"/>
  <c r="I144" i="22"/>
  <c r="I145" i="22"/>
  <c r="I146" i="22"/>
  <c r="I147" i="22"/>
  <c r="I148" i="22"/>
  <c r="I149" i="22"/>
  <c r="I150" i="22"/>
  <c r="I151" i="22"/>
  <c r="I152" i="22"/>
  <c r="I153" i="22"/>
  <c r="I154" i="22"/>
  <c r="I155" i="22"/>
  <c r="I156" i="22"/>
  <c r="I157" i="22"/>
  <c r="I158" i="22"/>
  <c r="I159" i="22"/>
  <c r="I160" i="22"/>
  <c r="I161" i="22"/>
  <c r="I162" i="22"/>
  <c r="I163" i="22"/>
  <c r="I164" i="22"/>
  <c r="I165" i="22"/>
  <c r="I166" i="22"/>
  <c r="I167" i="22"/>
  <c r="I168" i="22"/>
  <c r="I169" i="22"/>
  <c r="I170" i="22"/>
  <c r="I171" i="22"/>
  <c r="I172" i="22"/>
  <c r="I173" i="22"/>
  <c r="I174" i="22"/>
  <c r="I175" i="22"/>
  <c r="I176" i="22"/>
  <c r="I177" i="22"/>
  <c r="I178" i="22"/>
  <c r="I179" i="22"/>
  <c r="I180" i="22"/>
  <c r="I181" i="22"/>
  <c r="I182" i="22"/>
  <c r="I183" i="22"/>
  <c r="I184" i="22"/>
  <c r="I185" i="22"/>
  <c r="I186" i="22"/>
  <c r="I187" i="22"/>
  <c r="I188" i="22"/>
  <c r="I189" i="22"/>
  <c r="I190" i="22"/>
  <c r="I191" i="22"/>
  <c r="I192" i="22"/>
  <c r="I193" i="22"/>
  <c r="I194" i="22"/>
  <c r="I195" i="22"/>
  <c r="I196" i="22"/>
  <c r="I197" i="22"/>
  <c r="I198" i="22"/>
  <c r="I199" i="22"/>
  <c r="I200" i="22"/>
  <c r="I201" i="22"/>
  <c r="I202" i="22"/>
  <c r="I203" i="22"/>
  <c r="I204" i="22"/>
  <c r="I205" i="22"/>
  <c r="I206" i="22"/>
  <c r="I207" i="22"/>
  <c r="I208" i="22"/>
  <c r="I209" i="22"/>
  <c r="I210" i="22"/>
  <c r="I211" i="22"/>
  <c r="I212" i="22"/>
  <c r="I213" i="22"/>
  <c r="I214" i="22"/>
  <c r="I215" i="22"/>
  <c r="I216" i="22"/>
  <c r="I217" i="22"/>
  <c r="I218" i="22"/>
  <c r="I219" i="22"/>
  <c r="I220" i="22"/>
  <c r="I221" i="22"/>
  <c r="I222" i="22"/>
  <c r="I223" i="22"/>
  <c r="I224" i="22"/>
  <c r="I225" i="22"/>
  <c r="I226" i="22"/>
  <c r="I227" i="22"/>
  <c r="I228" i="22"/>
  <c r="I229" i="22"/>
  <c r="I230" i="22"/>
  <c r="I231" i="22"/>
  <c r="I232" i="22"/>
  <c r="I233" i="22"/>
  <c r="I234" i="22"/>
  <c r="I235" i="22"/>
  <c r="I236" i="22"/>
  <c r="I237" i="22"/>
  <c r="I238" i="22"/>
  <c r="I239" i="22"/>
  <c r="I240" i="22"/>
  <c r="I241" i="22"/>
  <c r="I242" i="22"/>
  <c r="I243" i="22"/>
  <c r="I244" i="22"/>
  <c r="I245" i="22"/>
  <c r="I246" i="22"/>
  <c r="I247" i="22"/>
  <c r="I248" i="22"/>
  <c r="I249" i="22"/>
  <c r="I250" i="22"/>
  <c r="I251" i="22"/>
  <c r="I252" i="22"/>
  <c r="I253" i="22"/>
  <c r="I254" i="22"/>
  <c r="I255" i="22"/>
  <c r="I256" i="22"/>
  <c r="I257" i="22"/>
  <c r="I258" i="22"/>
  <c r="I259" i="22"/>
  <c r="I260" i="22"/>
  <c r="I261" i="22"/>
  <c r="I262" i="22"/>
  <c r="I263" i="22"/>
  <c r="I264" i="22"/>
  <c r="I265" i="22"/>
  <c r="I266" i="22"/>
  <c r="I267" i="22"/>
  <c r="I268" i="22"/>
  <c r="I269" i="22"/>
  <c r="I270" i="22"/>
  <c r="I271" i="22"/>
  <c r="I272" i="22"/>
  <c r="I273" i="22"/>
  <c r="I274" i="22"/>
  <c r="I275" i="22"/>
  <c r="I276" i="22"/>
  <c r="I277" i="22"/>
  <c r="I278" i="22"/>
  <c r="I279" i="22"/>
  <c r="I280" i="22"/>
  <c r="I281" i="22"/>
  <c r="I282" i="22"/>
  <c r="I283" i="22"/>
  <c r="I284" i="22"/>
  <c r="I285" i="22"/>
  <c r="I286" i="22"/>
  <c r="I287" i="22"/>
  <c r="I288" i="22"/>
  <c r="I289" i="22"/>
  <c r="I290" i="22"/>
  <c r="I291" i="22"/>
  <c r="I292" i="22"/>
  <c r="I293" i="22"/>
  <c r="I294" i="22"/>
  <c r="I295" i="22"/>
  <c r="I296" i="22"/>
  <c r="I297" i="22"/>
  <c r="I298" i="22"/>
  <c r="I299" i="22"/>
  <c r="I300" i="22"/>
  <c r="I301" i="22"/>
  <c r="I302" i="22"/>
  <c r="I303" i="22"/>
  <c r="I304" i="22"/>
  <c r="I305" i="22"/>
  <c r="I306" i="22"/>
  <c r="I307" i="22"/>
  <c r="I308" i="22"/>
  <c r="I309" i="22"/>
  <c r="I310" i="22"/>
  <c r="I311" i="22"/>
  <c r="I312" i="22"/>
  <c r="I313" i="22"/>
  <c r="I314" i="22"/>
  <c r="I315" i="22"/>
  <c r="I316" i="22"/>
  <c r="I317" i="22"/>
  <c r="I318" i="22"/>
  <c r="I319" i="22"/>
  <c r="I320" i="22"/>
  <c r="I321" i="22"/>
  <c r="I322" i="22"/>
  <c r="I323" i="22"/>
  <c r="I324" i="22"/>
  <c r="I325" i="22"/>
  <c r="I2" i="22"/>
  <c r="H3" i="22"/>
  <c r="H4" i="22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H201" i="22"/>
  <c r="H202" i="22"/>
  <c r="H203" i="22"/>
  <c r="H204" i="22"/>
  <c r="H205" i="22"/>
  <c r="H206" i="22"/>
  <c r="H207" i="22"/>
  <c r="H208" i="22"/>
  <c r="H209" i="22"/>
  <c r="H210" i="22"/>
  <c r="H211" i="22"/>
  <c r="H212" i="22"/>
  <c r="H213" i="22"/>
  <c r="H214" i="22"/>
  <c r="H215" i="22"/>
  <c r="H216" i="22"/>
  <c r="H217" i="22"/>
  <c r="H218" i="22"/>
  <c r="H219" i="22"/>
  <c r="H220" i="22"/>
  <c r="H221" i="22"/>
  <c r="H222" i="22"/>
  <c r="H223" i="22"/>
  <c r="H224" i="22"/>
  <c r="H225" i="22"/>
  <c r="H226" i="22"/>
  <c r="H227" i="22"/>
  <c r="H228" i="22"/>
  <c r="H229" i="22"/>
  <c r="H230" i="22"/>
  <c r="H231" i="22"/>
  <c r="H232" i="22"/>
  <c r="H233" i="22"/>
  <c r="H234" i="22"/>
  <c r="H235" i="22"/>
  <c r="H236" i="22"/>
  <c r="H237" i="22"/>
  <c r="H238" i="22"/>
  <c r="H239" i="22"/>
  <c r="H240" i="22"/>
  <c r="H241" i="22"/>
  <c r="H242" i="22"/>
  <c r="H243" i="22"/>
  <c r="H244" i="22"/>
  <c r="H245" i="22"/>
  <c r="H246" i="22"/>
  <c r="H247" i="22"/>
  <c r="H248" i="22"/>
  <c r="H249" i="22"/>
  <c r="H250" i="22"/>
  <c r="H251" i="22"/>
  <c r="H252" i="22"/>
  <c r="H253" i="22"/>
  <c r="H254" i="22"/>
  <c r="H255" i="22"/>
  <c r="H256" i="22"/>
  <c r="H257" i="22"/>
  <c r="H258" i="22"/>
  <c r="H259" i="22"/>
  <c r="H260" i="22"/>
  <c r="H261" i="22"/>
  <c r="H262" i="22"/>
  <c r="H263" i="22"/>
  <c r="H264" i="22"/>
  <c r="H265" i="22"/>
  <c r="H266" i="22"/>
  <c r="H267" i="22"/>
  <c r="H268" i="22"/>
  <c r="H269" i="22"/>
  <c r="H270" i="22"/>
  <c r="H271" i="22"/>
  <c r="H272" i="22"/>
  <c r="H273" i="22"/>
  <c r="H274" i="22"/>
  <c r="H275" i="22"/>
  <c r="H276" i="22"/>
  <c r="H277" i="22"/>
  <c r="H278" i="22"/>
  <c r="H279" i="22"/>
  <c r="H280" i="22"/>
  <c r="H281" i="22"/>
  <c r="H282" i="22"/>
  <c r="H283" i="22"/>
  <c r="H284" i="22"/>
  <c r="H285" i="22"/>
  <c r="H286" i="22"/>
  <c r="H287" i="22"/>
  <c r="H288" i="22"/>
  <c r="H289" i="22"/>
  <c r="H290" i="22"/>
  <c r="H291" i="22"/>
  <c r="H292" i="22"/>
  <c r="H293" i="22"/>
  <c r="H294" i="22"/>
  <c r="H295" i="22"/>
  <c r="H296" i="22"/>
  <c r="H297" i="22"/>
  <c r="H298" i="22"/>
  <c r="H299" i="22"/>
  <c r="H300" i="22"/>
  <c r="H301" i="22"/>
  <c r="H302" i="22"/>
  <c r="H303" i="22"/>
  <c r="H304" i="22"/>
  <c r="H305" i="22"/>
  <c r="H306" i="22"/>
  <c r="H307" i="22"/>
  <c r="H308" i="22"/>
  <c r="H309" i="22"/>
  <c r="H310" i="22"/>
  <c r="H311" i="22"/>
  <c r="H312" i="22"/>
  <c r="H313" i="22"/>
  <c r="H314" i="22"/>
  <c r="H315" i="22"/>
  <c r="H316" i="22"/>
  <c r="H317" i="22"/>
  <c r="H318" i="22"/>
  <c r="H319" i="22"/>
  <c r="H320" i="22"/>
  <c r="H321" i="22"/>
  <c r="H322" i="22"/>
  <c r="H323" i="22"/>
  <c r="H324" i="22"/>
  <c r="H325" i="22"/>
  <c r="H2" i="22"/>
  <c r="C3" i="22"/>
  <c r="C4" i="22"/>
  <c r="C5" i="22"/>
  <c r="C6" i="22"/>
  <c r="C7" i="22"/>
  <c r="C8" i="22"/>
  <c r="C9" i="22"/>
  <c r="C10" i="22"/>
  <c r="C11" i="22"/>
  <c r="C12" i="22"/>
  <c r="C13" i="22"/>
  <c r="C14" i="22"/>
  <c r="C15" i="22"/>
  <c r="C16" i="22"/>
  <c r="C17" i="22"/>
  <c r="C18" i="22"/>
  <c r="C19" i="22"/>
  <c r="C20" i="22"/>
  <c r="C21" i="22"/>
  <c r="C22" i="22"/>
  <c r="C23" i="22"/>
  <c r="C24" i="22"/>
  <c r="C25" i="22"/>
  <c r="C26" i="22"/>
  <c r="C27" i="22"/>
  <c r="C28" i="22"/>
  <c r="C29" i="22"/>
  <c r="C30" i="22"/>
  <c r="C31" i="22"/>
  <c r="C32" i="22"/>
  <c r="C33" i="22"/>
  <c r="C34" i="22"/>
  <c r="C35" i="22"/>
  <c r="C36" i="22"/>
  <c r="C37" i="22"/>
  <c r="C38" i="22"/>
  <c r="C39" i="22"/>
  <c r="C40" i="22"/>
  <c r="C41" i="22"/>
  <c r="C42" i="22"/>
  <c r="C43" i="22"/>
  <c r="C44" i="22"/>
  <c r="C45" i="22"/>
  <c r="C46" i="22"/>
  <c r="C47" i="22"/>
  <c r="C48" i="22"/>
  <c r="C49" i="22"/>
  <c r="C50" i="22"/>
  <c r="C51" i="22"/>
  <c r="C52" i="22"/>
  <c r="C53" i="22"/>
  <c r="C54" i="22"/>
  <c r="C55" i="22"/>
  <c r="C56" i="22"/>
  <c r="C57" i="22"/>
  <c r="C58" i="22"/>
  <c r="C59" i="22"/>
  <c r="C60" i="22"/>
  <c r="C61" i="22"/>
  <c r="C62" i="22"/>
  <c r="C63" i="22"/>
  <c r="C64" i="22"/>
  <c r="C65" i="22"/>
  <c r="C66" i="22"/>
  <c r="C67" i="22"/>
  <c r="C68" i="22"/>
  <c r="C69" i="22"/>
  <c r="C70" i="22"/>
  <c r="C71" i="22"/>
  <c r="C72" i="22"/>
  <c r="C73" i="22"/>
  <c r="C74" i="22"/>
  <c r="C75" i="22"/>
  <c r="C76" i="22"/>
  <c r="C77" i="22"/>
  <c r="C78" i="22"/>
  <c r="C79" i="22"/>
  <c r="C80" i="22"/>
  <c r="C81" i="22"/>
  <c r="C82" i="22"/>
  <c r="C83" i="22"/>
  <c r="C84" i="22"/>
  <c r="C85" i="22"/>
  <c r="C86" i="22"/>
  <c r="C87" i="22"/>
  <c r="C88" i="22"/>
  <c r="C89" i="22"/>
  <c r="C90" i="22"/>
  <c r="C91" i="22"/>
  <c r="C92" i="22"/>
  <c r="C93" i="22"/>
  <c r="C94" i="22"/>
  <c r="C95" i="22"/>
  <c r="C96" i="22"/>
  <c r="C97" i="22"/>
  <c r="C98" i="22"/>
  <c r="C99" i="22"/>
  <c r="C100" i="22"/>
  <c r="C101" i="22"/>
  <c r="C102" i="22"/>
  <c r="C103" i="22"/>
  <c r="C104" i="22"/>
  <c r="C105" i="22"/>
  <c r="C106" i="22"/>
  <c r="C107" i="22"/>
  <c r="C108" i="22"/>
  <c r="C109" i="22"/>
  <c r="C110" i="22"/>
  <c r="C111" i="22"/>
  <c r="C112" i="22"/>
  <c r="C113" i="22"/>
  <c r="C114" i="22"/>
  <c r="C115" i="22"/>
  <c r="C116" i="22"/>
  <c r="C117" i="22"/>
  <c r="C118" i="22"/>
  <c r="C119" i="22"/>
  <c r="C120" i="22"/>
  <c r="C121" i="22"/>
  <c r="C122" i="22"/>
  <c r="C123" i="22"/>
  <c r="C124" i="22"/>
  <c r="C125" i="22"/>
  <c r="C126" i="22"/>
  <c r="C127" i="22"/>
  <c r="C128" i="22"/>
  <c r="C129" i="22"/>
  <c r="C130" i="22"/>
  <c r="C131" i="22"/>
  <c r="C132" i="22"/>
  <c r="C133" i="22"/>
  <c r="C134" i="22"/>
  <c r="C135" i="22"/>
  <c r="C136" i="22"/>
  <c r="C137" i="22"/>
  <c r="C138" i="22"/>
  <c r="C139" i="22"/>
  <c r="C140" i="22"/>
  <c r="C141" i="22"/>
  <c r="C142" i="22"/>
  <c r="C143" i="22"/>
  <c r="C144" i="22"/>
  <c r="C145" i="22"/>
  <c r="C146" i="22"/>
  <c r="C147" i="22"/>
  <c r="C148" i="22"/>
  <c r="C149" i="22"/>
  <c r="C150" i="22"/>
  <c r="C151" i="22"/>
  <c r="C152" i="22"/>
  <c r="C153" i="22"/>
  <c r="C154" i="22"/>
  <c r="C155" i="22"/>
  <c r="C156" i="22"/>
  <c r="C157" i="22"/>
  <c r="C158" i="22"/>
  <c r="C159" i="22"/>
  <c r="C160" i="22"/>
  <c r="C161" i="22"/>
  <c r="C162" i="22"/>
  <c r="C163" i="22"/>
  <c r="C164" i="22"/>
  <c r="C165" i="22"/>
  <c r="C166" i="22"/>
  <c r="C167" i="22"/>
  <c r="C168" i="22"/>
  <c r="C169" i="22"/>
  <c r="C170" i="22"/>
  <c r="C171" i="22"/>
  <c r="C172" i="22"/>
  <c r="C173" i="22"/>
  <c r="C174" i="22"/>
  <c r="C175" i="22"/>
  <c r="C176" i="22"/>
  <c r="C177" i="22"/>
  <c r="C178" i="22"/>
  <c r="C179" i="22"/>
  <c r="C180" i="22"/>
  <c r="C181" i="22"/>
  <c r="C182" i="22"/>
  <c r="C183" i="22"/>
  <c r="C184" i="22"/>
  <c r="C185" i="22"/>
  <c r="C186" i="22"/>
  <c r="C187" i="22"/>
  <c r="C188" i="22"/>
  <c r="C189" i="22"/>
  <c r="C190" i="22"/>
  <c r="C191" i="22"/>
  <c r="C192" i="22"/>
  <c r="C193" i="22"/>
  <c r="C194" i="22"/>
  <c r="C195" i="22"/>
  <c r="C196" i="22"/>
  <c r="C197" i="22"/>
  <c r="C198" i="22"/>
  <c r="C199" i="22"/>
  <c r="C200" i="22"/>
  <c r="C201" i="22"/>
  <c r="C202" i="22"/>
  <c r="C203" i="22"/>
  <c r="C204" i="22"/>
  <c r="C205" i="22"/>
  <c r="C206" i="22"/>
  <c r="C207" i="22"/>
  <c r="C208" i="22"/>
  <c r="C209" i="22"/>
  <c r="C210" i="22"/>
  <c r="C211" i="22"/>
  <c r="C212" i="22"/>
  <c r="C213" i="22"/>
  <c r="C214" i="22"/>
  <c r="C215" i="22"/>
  <c r="C216" i="22"/>
  <c r="C217" i="22"/>
  <c r="C218" i="22"/>
  <c r="C219" i="22"/>
  <c r="C220" i="22"/>
  <c r="C221" i="22"/>
  <c r="C222" i="22"/>
  <c r="C223" i="22"/>
  <c r="C224" i="22"/>
  <c r="C225" i="22"/>
  <c r="C226" i="22"/>
  <c r="C227" i="22"/>
  <c r="C228" i="22"/>
  <c r="C229" i="22"/>
  <c r="C230" i="22"/>
  <c r="C231" i="22"/>
  <c r="C232" i="22"/>
  <c r="C233" i="22"/>
  <c r="C234" i="22"/>
  <c r="C235" i="22"/>
  <c r="C236" i="22"/>
  <c r="C237" i="22"/>
  <c r="C238" i="22"/>
  <c r="C239" i="22"/>
  <c r="C240" i="22"/>
  <c r="C241" i="22"/>
  <c r="C242" i="22"/>
  <c r="C243" i="22"/>
  <c r="C244" i="22"/>
  <c r="C245" i="22"/>
  <c r="C246" i="22"/>
  <c r="C247" i="22"/>
  <c r="C248" i="22"/>
  <c r="C249" i="22"/>
  <c r="C250" i="22"/>
  <c r="C251" i="22"/>
  <c r="C252" i="22"/>
  <c r="C253" i="22"/>
  <c r="C254" i="22"/>
  <c r="C255" i="22"/>
  <c r="C256" i="22"/>
  <c r="C257" i="22"/>
  <c r="C258" i="22"/>
  <c r="C259" i="22"/>
  <c r="C260" i="22"/>
  <c r="C261" i="22"/>
  <c r="C262" i="22"/>
  <c r="C263" i="22"/>
  <c r="C264" i="22"/>
  <c r="C265" i="22"/>
  <c r="C266" i="22"/>
  <c r="C267" i="22"/>
  <c r="C268" i="22"/>
  <c r="C269" i="22"/>
  <c r="C270" i="22"/>
  <c r="C271" i="22"/>
  <c r="C272" i="22"/>
  <c r="C273" i="22"/>
  <c r="C274" i="22"/>
  <c r="C275" i="22"/>
  <c r="C276" i="22"/>
  <c r="C277" i="22"/>
  <c r="C278" i="22"/>
  <c r="C279" i="22"/>
  <c r="C280" i="22"/>
  <c r="C281" i="22"/>
  <c r="C282" i="22"/>
  <c r="C283" i="22"/>
  <c r="C284" i="22"/>
  <c r="C285" i="22"/>
  <c r="C286" i="22"/>
  <c r="C287" i="22"/>
  <c r="C288" i="22"/>
  <c r="C289" i="22"/>
  <c r="C290" i="22"/>
  <c r="C291" i="22"/>
  <c r="C292" i="22"/>
  <c r="C293" i="22"/>
  <c r="C294" i="22"/>
  <c r="C295" i="22"/>
  <c r="C296" i="22"/>
  <c r="C297" i="22"/>
  <c r="C298" i="22"/>
  <c r="C299" i="22"/>
  <c r="C300" i="22"/>
  <c r="C301" i="22"/>
  <c r="C302" i="22"/>
  <c r="C303" i="22"/>
  <c r="C304" i="22"/>
  <c r="C305" i="22"/>
  <c r="C306" i="22"/>
  <c r="C307" i="22"/>
  <c r="C308" i="22"/>
  <c r="C309" i="22"/>
  <c r="C310" i="22"/>
  <c r="C311" i="22"/>
  <c r="C312" i="22"/>
  <c r="C313" i="22"/>
  <c r="C314" i="22"/>
  <c r="C315" i="22"/>
  <c r="C316" i="22"/>
  <c r="C317" i="22"/>
  <c r="C318" i="22"/>
  <c r="C319" i="22"/>
  <c r="C320" i="22"/>
  <c r="C321" i="22"/>
  <c r="C322" i="22"/>
  <c r="C323" i="22"/>
  <c r="C324" i="22"/>
  <c r="C325" i="22"/>
  <c r="C326" i="22"/>
  <c r="C327" i="22"/>
  <c r="C328" i="22"/>
  <c r="C329" i="22"/>
  <c r="C330" i="22"/>
  <c r="C331" i="22"/>
  <c r="C332" i="22"/>
  <c r="C333" i="22"/>
  <c r="C334" i="22"/>
  <c r="C335" i="22"/>
  <c r="C336" i="22"/>
  <c r="C337" i="22"/>
  <c r="C338" i="22"/>
  <c r="C339" i="22"/>
  <c r="C340" i="22"/>
  <c r="C341" i="22"/>
  <c r="C342" i="22"/>
  <c r="C343" i="22"/>
  <c r="C344" i="22"/>
  <c r="C345" i="22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/>
  <c r="B28" i="22"/>
  <c r="B29" i="22"/>
  <c r="B30" i="22"/>
  <c r="B31" i="22"/>
  <c r="B32" i="22"/>
  <c r="B33" i="22"/>
  <c r="B34" i="22"/>
  <c r="B35" i="22"/>
  <c r="B36" i="22"/>
  <c r="B37" i="22"/>
  <c r="B38" i="22"/>
  <c r="B39" i="22"/>
  <c r="B40" i="22"/>
  <c r="B41" i="22"/>
  <c r="B42" i="22"/>
  <c r="B43" i="22"/>
  <c r="B44" i="22"/>
  <c r="B45" i="22"/>
  <c r="B46" i="22"/>
  <c r="B47" i="22"/>
  <c r="B48" i="22"/>
  <c r="B49" i="22"/>
  <c r="B50" i="22"/>
  <c r="B51" i="22"/>
  <c r="B52" i="22"/>
  <c r="B53" i="22"/>
  <c r="B54" i="22"/>
  <c r="B55" i="22"/>
  <c r="B56" i="22"/>
  <c r="B57" i="22"/>
  <c r="B58" i="22"/>
  <c r="B59" i="22"/>
  <c r="B60" i="22"/>
  <c r="B61" i="22"/>
  <c r="B62" i="22"/>
  <c r="B63" i="22"/>
  <c r="B64" i="22"/>
  <c r="B65" i="22"/>
  <c r="B66" i="22"/>
  <c r="B67" i="22"/>
  <c r="B68" i="22"/>
  <c r="B69" i="22"/>
  <c r="B70" i="22"/>
  <c r="B71" i="22"/>
  <c r="B72" i="22"/>
  <c r="B73" i="22"/>
  <c r="B74" i="22"/>
  <c r="B75" i="22"/>
  <c r="B76" i="22"/>
  <c r="B77" i="22"/>
  <c r="B78" i="22"/>
  <c r="B79" i="22"/>
  <c r="B80" i="22"/>
  <c r="B81" i="22"/>
  <c r="B82" i="22"/>
  <c r="B83" i="22"/>
  <c r="B84" i="22"/>
  <c r="B85" i="22"/>
  <c r="B86" i="22"/>
  <c r="B87" i="22"/>
  <c r="B88" i="22"/>
  <c r="B89" i="22"/>
  <c r="B90" i="22"/>
  <c r="B91" i="22"/>
  <c r="B92" i="22"/>
  <c r="B93" i="22"/>
  <c r="B94" i="22"/>
  <c r="B95" i="22"/>
  <c r="B96" i="22"/>
  <c r="B97" i="22"/>
  <c r="B98" i="22"/>
  <c r="B99" i="22"/>
  <c r="B100" i="22"/>
  <c r="B101" i="22"/>
  <c r="B102" i="22"/>
  <c r="B103" i="22"/>
  <c r="B104" i="22"/>
  <c r="B105" i="22"/>
  <c r="B106" i="22"/>
  <c r="B107" i="22"/>
  <c r="B108" i="22"/>
  <c r="B109" i="22"/>
  <c r="B110" i="22"/>
  <c r="B111" i="22"/>
  <c r="B112" i="22"/>
  <c r="B113" i="22"/>
  <c r="B114" i="22"/>
  <c r="B115" i="22"/>
  <c r="B116" i="22"/>
  <c r="B117" i="22"/>
  <c r="B118" i="22"/>
  <c r="B119" i="22"/>
  <c r="B120" i="22"/>
  <c r="B121" i="22"/>
  <c r="B122" i="22"/>
  <c r="B123" i="22"/>
  <c r="B124" i="22"/>
  <c r="B125" i="22"/>
  <c r="B126" i="22"/>
  <c r="B127" i="22"/>
  <c r="B128" i="22"/>
  <c r="B129" i="22"/>
  <c r="B130" i="22"/>
  <c r="B131" i="22"/>
  <c r="B132" i="22"/>
  <c r="B133" i="22"/>
  <c r="B134" i="22"/>
  <c r="B135" i="22"/>
  <c r="B136" i="22"/>
  <c r="B137" i="22"/>
  <c r="B138" i="22"/>
  <c r="B139" i="22"/>
  <c r="B140" i="22"/>
  <c r="B141" i="22"/>
  <c r="B142" i="22"/>
  <c r="B143" i="22"/>
  <c r="B144" i="22"/>
  <c r="B145" i="22"/>
  <c r="B146" i="22"/>
  <c r="B147" i="22"/>
  <c r="B148" i="22"/>
  <c r="B149" i="22"/>
  <c r="B150" i="22"/>
  <c r="B151" i="22"/>
  <c r="B152" i="22"/>
  <c r="B153" i="22"/>
  <c r="B154" i="22"/>
  <c r="B155" i="22"/>
  <c r="B156" i="22"/>
  <c r="B157" i="22"/>
  <c r="B158" i="22"/>
  <c r="B159" i="22"/>
  <c r="B160" i="22"/>
  <c r="B161" i="22"/>
  <c r="B162" i="22"/>
  <c r="B163" i="22"/>
  <c r="B164" i="22"/>
  <c r="B165" i="22"/>
  <c r="B166" i="22"/>
  <c r="B167" i="22"/>
  <c r="B168" i="22"/>
  <c r="B169" i="22"/>
  <c r="B170" i="22"/>
  <c r="B171" i="22"/>
  <c r="B172" i="22"/>
  <c r="B173" i="22"/>
  <c r="B174" i="22"/>
  <c r="B175" i="22"/>
  <c r="B176" i="22"/>
  <c r="B177" i="22"/>
  <c r="B178" i="22"/>
  <c r="B179" i="22"/>
  <c r="B180" i="22"/>
  <c r="B181" i="22"/>
  <c r="B182" i="22"/>
  <c r="B183" i="22"/>
  <c r="B184" i="22"/>
  <c r="B185" i="22"/>
  <c r="B186" i="22"/>
  <c r="B187" i="22"/>
  <c r="B188" i="22"/>
  <c r="B189" i="22"/>
  <c r="B190" i="22"/>
  <c r="B191" i="22"/>
  <c r="B192" i="22"/>
  <c r="B193" i="22"/>
  <c r="B194" i="22"/>
  <c r="B195" i="22"/>
  <c r="B196" i="22"/>
  <c r="B197" i="22"/>
  <c r="B198" i="22"/>
  <c r="B199" i="22"/>
  <c r="B200" i="22"/>
  <c r="B201" i="22"/>
  <c r="B202" i="22"/>
  <c r="B203" i="22"/>
  <c r="B204" i="22"/>
  <c r="B205" i="22"/>
  <c r="B206" i="22"/>
  <c r="B207" i="22"/>
  <c r="B208" i="22"/>
  <c r="B209" i="22"/>
  <c r="B210" i="22"/>
  <c r="B211" i="22"/>
  <c r="B212" i="22"/>
  <c r="B213" i="22"/>
  <c r="B214" i="22"/>
  <c r="B215" i="22"/>
  <c r="B216" i="22"/>
  <c r="B217" i="22"/>
  <c r="B218" i="22"/>
  <c r="B219" i="22"/>
  <c r="B220" i="22"/>
  <c r="B221" i="22"/>
  <c r="B222" i="22"/>
  <c r="B223" i="22"/>
  <c r="B224" i="22"/>
  <c r="B225" i="22"/>
  <c r="B226" i="22"/>
  <c r="B227" i="22"/>
  <c r="B228" i="22"/>
  <c r="B229" i="22"/>
  <c r="B230" i="22"/>
  <c r="B231" i="22"/>
  <c r="B232" i="22"/>
  <c r="B233" i="22"/>
  <c r="B234" i="22"/>
  <c r="B235" i="22"/>
  <c r="B236" i="22"/>
  <c r="B237" i="22"/>
  <c r="B238" i="22"/>
  <c r="B239" i="22"/>
  <c r="B240" i="22"/>
  <c r="B241" i="22"/>
  <c r="B242" i="22"/>
  <c r="B243" i="22"/>
  <c r="B244" i="22"/>
  <c r="B245" i="22"/>
  <c r="B246" i="22"/>
  <c r="B247" i="22"/>
  <c r="B248" i="22"/>
  <c r="B249" i="22"/>
  <c r="B250" i="22"/>
  <c r="B251" i="22"/>
  <c r="B252" i="22"/>
  <c r="B253" i="22"/>
  <c r="B254" i="22"/>
  <c r="B255" i="22"/>
  <c r="B256" i="22"/>
  <c r="B257" i="22"/>
  <c r="B258" i="22"/>
  <c r="B259" i="22"/>
  <c r="B260" i="22"/>
  <c r="B261" i="22"/>
  <c r="B262" i="22"/>
  <c r="B263" i="22"/>
  <c r="B264" i="22"/>
  <c r="B265" i="22"/>
  <c r="B266" i="22"/>
  <c r="B267" i="22"/>
  <c r="B268" i="22"/>
  <c r="B269" i="22"/>
  <c r="B270" i="22"/>
  <c r="B271" i="22"/>
  <c r="B272" i="22"/>
  <c r="B273" i="22"/>
  <c r="B274" i="22"/>
  <c r="B275" i="22"/>
  <c r="B276" i="22"/>
  <c r="B277" i="22"/>
  <c r="B278" i="22"/>
  <c r="B279" i="22"/>
  <c r="B280" i="22"/>
  <c r="B281" i="22"/>
  <c r="B282" i="22"/>
  <c r="B283" i="22"/>
  <c r="B284" i="22"/>
  <c r="B285" i="22"/>
  <c r="B286" i="22"/>
  <c r="B287" i="22"/>
  <c r="B288" i="22"/>
  <c r="B289" i="22"/>
  <c r="B290" i="22"/>
  <c r="B291" i="22"/>
  <c r="B292" i="22"/>
  <c r="B293" i="22"/>
  <c r="B294" i="22"/>
  <c r="B295" i="22"/>
  <c r="B296" i="22"/>
  <c r="B297" i="22"/>
  <c r="B298" i="22"/>
  <c r="B299" i="22"/>
  <c r="B300" i="22"/>
  <c r="B301" i="22"/>
  <c r="B302" i="22"/>
  <c r="B303" i="22"/>
  <c r="B304" i="22"/>
  <c r="B305" i="22"/>
  <c r="B306" i="22"/>
  <c r="B307" i="22"/>
  <c r="B308" i="22"/>
  <c r="B309" i="22"/>
  <c r="B310" i="22"/>
  <c r="B311" i="22"/>
  <c r="B312" i="22"/>
  <c r="B313" i="22"/>
  <c r="B314" i="22"/>
  <c r="B315" i="22"/>
  <c r="B316" i="22"/>
  <c r="B317" i="22"/>
  <c r="B318" i="22"/>
  <c r="B319" i="22"/>
  <c r="B320" i="22"/>
  <c r="B321" i="22"/>
  <c r="B322" i="22"/>
  <c r="B323" i="22"/>
  <c r="B324" i="22"/>
  <c r="B325" i="22"/>
  <c r="B326" i="22"/>
  <c r="B327" i="22"/>
  <c r="B328" i="22"/>
  <c r="B329" i="22"/>
  <c r="B330" i="22"/>
  <c r="B331" i="22"/>
  <c r="B332" i="22"/>
  <c r="B333" i="22"/>
  <c r="B334" i="22"/>
  <c r="B335" i="22"/>
  <c r="B336" i="22"/>
  <c r="B337" i="22"/>
  <c r="B338" i="22"/>
  <c r="B339" i="22"/>
  <c r="B340" i="22"/>
  <c r="B341" i="22"/>
  <c r="B342" i="22"/>
  <c r="B343" i="22"/>
  <c r="B344" i="22"/>
  <c r="B345" i="22"/>
  <c r="C2" i="22"/>
  <c r="B2" i="22"/>
  <c r="E3" i="22"/>
  <c r="E4" i="22"/>
  <c r="E5" i="22"/>
  <c r="E6" i="22"/>
  <c r="E7" i="22"/>
  <c r="E8" i="22"/>
  <c r="E9" i="22"/>
  <c r="E10" i="22"/>
  <c r="E11" i="22"/>
  <c r="E12" i="22"/>
  <c r="E13" i="22"/>
  <c r="E14" i="22"/>
  <c r="E15" i="22"/>
  <c r="E16" i="22"/>
  <c r="E17" i="22"/>
  <c r="E18" i="22"/>
  <c r="E19" i="22"/>
  <c r="E20" i="22"/>
  <c r="E21" i="22"/>
  <c r="E22" i="22"/>
  <c r="E23" i="22"/>
  <c r="E24" i="22"/>
  <c r="E25" i="22"/>
  <c r="E26" i="22"/>
  <c r="E27" i="22"/>
  <c r="E28" i="22"/>
  <c r="E29" i="22"/>
  <c r="E30" i="22"/>
  <c r="E31" i="22"/>
  <c r="E32" i="22"/>
  <c r="E33" i="22"/>
  <c r="E34" i="22"/>
  <c r="E35" i="22"/>
  <c r="E36" i="22"/>
  <c r="E37" i="22"/>
  <c r="E38" i="22"/>
  <c r="E39" i="22"/>
  <c r="E40" i="22"/>
  <c r="E41" i="22"/>
  <c r="E42" i="22"/>
  <c r="E43" i="22"/>
  <c r="E44" i="22"/>
  <c r="E45" i="22"/>
  <c r="E46" i="22"/>
  <c r="E47" i="22"/>
  <c r="E48" i="22"/>
  <c r="E49" i="22"/>
  <c r="E50" i="22"/>
  <c r="E51" i="22"/>
  <c r="E52" i="22"/>
  <c r="E53" i="22"/>
  <c r="E54" i="22"/>
  <c r="E55" i="22"/>
  <c r="E56" i="22"/>
  <c r="E57" i="22"/>
  <c r="E58" i="22"/>
  <c r="E59" i="22"/>
  <c r="E60" i="22"/>
  <c r="E61" i="22"/>
  <c r="E62" i="22"/>
  <c r="E63" i="22"/>
  <c r="E64" i="22"/>
  <c r="E65" i="22"/>
  <c r="E66" i="22"/>
  <c r="E67" i="22"/>
  <c r="E68" i="22"/>
  <c r="E69" i="22"/>
  <c r="E70" i="22"/>
  <c r="E71" i="22"/>
  <c r="E72" i="22"/>
  <c r="E73" i="22"/>
  <c r="E74" i="22"/>
  <c r="E75" i="22"/>
  <c r="E76" i="22"/>
  <c r="E77" i="22"/>
  <c r="E78" i="22"/>
  <c r="E79" i="22"/>
  <c r="E80" i="22"/>
  <c r="E81" i="22"/>
  <c r="E82" i="22"/>
  <c r="E83" i="22"/>
  <c r="E84" i="22"/>
  <c r="E85" i="22"/>
  <c r="E86" i="22"/>
  <c r="E87" i="22"/>
  <c r="E88" i="22"/>
  <c r="E89" i="22"/>
  <c r="E90" i="22"/>
  <c r="E91" i="22"/>
  <c r="E92" i="22"/>
  <c r="E93" i="22"/>
  <c r="E94" i="22"/>
  <c r="E95" i="22"/>
  <c r="E96" i="22"/>
  <c r="E97" i="22"/>
  <c r="E98" i="22"/>
  <c r="E99" i="22"/>
  <c r="E100" i="22"/>
  <c r="E101" i="22"/>
  <c r="E102" i="22"/>
  <c r="E103" i="22"/>
  <c r="E104" i="22"/>
  <c r="E105" i="22"/>
  <c r="E106" i="22"/>
  <c r="E107" i="22"/>
  <c r="E108" i="22"/>
  <c r="E109" i="22"/>
  <c r="E110" i="22"/>
  <c r="E111" i="22"/>
  <c r="E112" i="22"/>
  <c r="E113" i="22"/>
  <c r="E114" i="22"/>
  <c r="E115" i="22"/>
  <c r="E116" i="22"/>
  <c r="E117" i="22"/>
  <c r="E118" i="22"/>
  <c r="E119" i="22"/>
  <c r="E120" i="22"/>
  <c r="E121" i="22"/>
  <c r="E122" i="22"/>
  <c r="E123" i="22"/>
  <c r="E124" i="22"/>
  <c r="E125" i="22"/>
  <c r="E126" i="22"/>
  <c r="E127" i="22"/>
  <c r="E128" i="22"/>
  <c r="E129" i="22"/>
  <c r="E130" i="22"/>
  <c r="E131" i="22"/>
  <c r="E132" i="22"/>
  <c r="E133" i="22"/>
  <c r="E134" i="22"/>
  <c r="E135" i="22"/>
  <c r="E136" i="22"/>
  <c r="E137" i="22"/>
  <c r="E138" i="22"/>
  <c r="E139" i="22"/>
  <c r="E140" i="22"/>
  <c r="E141" i="22"/>
  <c r="E142" i="22"/>
  <c r="E143" i="22"/>
  <c r="E144" i="22"/>
  <c r="E145" i="22"/>
  <c r="E146" i="22"/>
  <c r="E147" i="22"/>
  <c r="E148" i="22"/>
  <c r="E149" i="22"/>
  <c r="E150" i="22"/>
  <c r="E151" i="22"/>
  <c r="E152" i="22"/>
  <c r="E153" i="22"/>
  <c r="E154" i="22"/>
  <c r="E155" i="22"/>
  <c r="E156" i="22"/>
  <c r="E157" i="22"/>
  <c r="E158" i="22"/>
  <c r="E159" i="22"/>
  <c r="E160" i="22"/>
  <c r="E161" i="22"/>
  <c r="E162" i="22"/>
  <c r="E163" i="22"/>
  <c r="E164" i="22"/>
  <c r="E165" i="22"/>
  <c r="E166" i="22"/>
  <c r="E167" i="22"/>
  <c r="E168" i="22"/>
  <c r="E169" i="22"/>
  <c r="E170" i="22"/>
  <c r="E171" i="22"/>
  <c r="E172" i="22"/>
  <c r="E173" i="22"/>
  <c r="E174" i="22"/>
  <c r="E175" i="22"/>
  <c r="E176" i="22"/>
  <c r="E177" i="22"/>
  <c r="E178" i="22"/>
  <c r="E179" i="22"/>
  <c r="E180" i="22"/>
  <c r="E181" i="22"/>
  <c r="E182" i="22"/>
  <c r="E183" i="22"/>
  <c r="E184" i="22"/>
  <c r="E185" i="22"/>
  <c r="E186" i="22"/>
  <c r="E187" i="22"/>
  <c r="E188" i="22"/>
  <c r="E189" i="22"/>
  <c r="E190" i="22"/>
  <c r="E191" i="22"/>
  <c r="E192" i="22"/>
  <c r="E193" i="22"/>
  <c r="E194" i="22"/>
  <c r="E195" i="22"/>
  <c r="E196" i="22"/>
  <c r="E197" i="22"/>
  <c r="E198" i="22"/>
  <c r="E199" i="22"/>
  <c r="E200" i="22"/>
  <c r="E201" i="22"/>
  <c r="E202" i="22"/>
  <c r="E203" i="22"/>
  <c r="E204" i="22"/>
  <c r="E205" i="22"/>
  <c r="E206" i="22"/>
  <c r="E207" i="22"/>
  <c r="E208" i="22"/>
  <c r="E209" i="22"/>
  <c r="E210" i="22"/>
  <c r="E211" i="22"/>
  <c r="E212" i="22"/>
  <c r="E213" i="22"/>
  <c r="E214" i="22"/>
  <c r="E215" i="22"/>
  <c r="E216" i="22"/>
  <c r="E217" i="22"/>
  <c r="E218" i="22"/>
  <c r="E219" i="22"/>
  <c r="E220" i="22"/>
  <c r="E221" i="22"/>
  <c r="E222" i="22"/>
  <c r="E223" i="22"/>
  <c r="E224" i="22"/>
  <c r="E225" i="22"/>
  <c r="E226" i="22"/>
  <c r="E227" i="22"/>
  <c r="E228" i="22"/>
  <c r="E229" i="22"/>
  <c r="E230" i="22"/>
  <c r="E231" i="22"/>
  <c r="E232" i="22"/>
  <c r="E233" i="22"/>
  <c r="E234" i="22"/>
  <c r="E235" i="22"/>
  <c r="E236" i="22"/>
  <c r="E237" i="22"/>
  <c r="E238" i="22"/>
  <c r="E239" i="22"/>
  <c r="E240" i="22"/>
  <c r="E241" i="22"/>
  <c r="E242" i="22"/>
  <c r="E243" i="22"/>
  <c r="E244" i="22"/>
  <c r="E245" i="22"/>
  <c r="E246" i="22"/>
  <c r="E247" i="22"/>
  <c r="E248" i="22"/>
  <c r="E249" i="22"/>
  <c r="E250" i="22"/>
  <c r="E251" i="22"/>
  <c r="E252" i="22"/>
  <c r="E253" i="22"/>
  <c r="E254" i="22"/>
  <c r="E255" i="22"/>
  <c r="E256" i="22"/>
  <c r="E257" i="22"/>
  <c r="E258" i="22"/>
  <c r="E259" i="22"/>
  <c r="E260" i="22"/>
  <c r="E261" i="22"/>
  <c r="E262" i="22"/>
  <c r="E263" i="22"/>
  <c r="E264" i="22"/>
  <c r="E265" i="22"/>
  <c r="E266" i="22"/>
  <c r="E267" i="22"/>
  <c r="E268" i="22"/>
  <c r="E269" i="22"/>
  <c r="E270" i="22"/>
  <c r="E271" i="22"/>
  <c r="E272" i="22"/>
  <c r="E273" i="22"/>
  <c r="E274" i="22"/>
  <c r="E275" i="22"/>
  <c r="E276" i="22"/>
  <c r="E277" i="22"/>
  <c r="E278" i="22"/>
  <c r="E279" i="22"/>
  <c r="E280" i="22"/>
  <c r="E281" i="22"/>
  <c r="E282" i="22"/>
  <c r="E283" i="22"/>
  <c r="E284" i="22"/>
  <c r="E285" i="22"/>
  <c r="E286" i="22"/>
  <c r="E287" i="22"/>
  <c r="E288" i="22"/>
  <c r="E289" i="22"/>
  <c r="E290" i="22"/>
  <c r="E291" i="22"/>
  <c r="E292" i="22"/>
  <c r="E293" i="22"/>
  <c r="E294" i="22"/>
  <c r="E295" i="22"/>
  <c r="E296" i="22"/>
  <c r="E297" i="22"/>
  <c r="E298" i="22"/>
  <c r="E299" i="22"/>
  <c r="E300" i="22"/>
  <c r="E301" i="22"/>
  <c r="E302" i="22"/>
  <c r="E303" i="22"/>
  <c r="E304" i="22"/>
  <c r="E305" i="22"/>
  <c r="E306" i="22"/>
  <c r="E307" i="22"/>
  <c r="E308" i="22"/>
  <c r="E309" i="22"/>
  <c r="E310" i="22"/>
  <c r="E311" i="22"/>
  <c r="E312" i="22"/>
  <c r="E313" i="22"/>
  <c r="E314" i="22"/>
  <c r="E315" i="22"/>
  <c r="E316" i="22"/>
  <c r="E317" i="22"/>
  <c r="E318" i="22"/>
  <c r="E319" i="22"/>
  <c r="E320" i="22"/>
  <c r="E321" i="22"/>
  <c r="E322" i="22"/>
  <c r="E323" i="22"/>
  <c r="E324" i="22"/>
  <c r="E325" i="22"/>
  <c r="E326" i="22"/>
  <c r="E327" i="22"/>
  <c r="E328" i="22"/>
  <c r="E329" i="22"/>
  <c r="E330" i="22"/>
  <c r="E331" i="22"/>
  <c r="E332" i="22"/>
  <c r="E333" i="22"/>
  <c r="E334" i="22"/>
  <c r="E335" i="22"/>
  <c r="E336" i="22"/>
  <c r="E337" i="22"/>
  <c r="E338" i="22"/>
  <c r="E339" i="22"/>
  <c r="E340" i="22"/>
  <c r="E341" i="22"/>
  <c r="E342" i="22"/>
  <c r="E343" i="22"/>
  <c r="E344" i="22"/>
  <c r="E345" i="22"/>
  <c r="E2" i="22"/>
  <c r="D3" i="22"/>
  <c r="D4" i="22"/>
  <c r="D5" i="22"/>
  <c r="D6" i="22"/>
  <c r="D7" i="22"/>
  <c r="D8" i="22"/>
  <c r="D9" i="22"/>
  <c r="D10" i="22"/>
  <c r="D11" i="22"/>
  <c r="D12" i="22"/>
  <c r="D13" i="22"/>
  <c r="D14" i="22"/>
  <c r="D15" i="22"/>
  <c r="D16" i="22"/>
  <c r="D17" i="22"/>
  <c r="D18" i="22"/>
  <c r="D19" i="22"/>
  <c r="D20" i="22"/>
  <c r="D21" i="22"/>
  <c r="D22" i="22"/>
  <c r="D23" i="22"/>
  <c r="D24" i="22"/>
  <c r="D25" i="22"/>
  <c r="D26" i="22"/>
  <c r="D27" i="22"/>
  <c r="D28" i="22"/>
  <c r="D29" i="22"/>
  <c r="D30" i="22"/>
  <c r="D31" i="22"/>
  <c r="D32" i="22"/>
  <c r="D33" i="22"/>
  <c r="D34" i="22"/>
  <c r="D35" i="22"/>
  <c r="D36" i="22"/>
  <c r="D37" i="22"/>
  <c r="D38" i="22"/>
  <c r="D39" i="22"/>
  <c r="D40" i="22"/>
  <c r="D41" i="22"/>
  <c r="D42" i="22"/>
  <c r="D43" i="22"/>
  <c r="D44" i="22"/>
  <c r="D45" i="22"/>
  <c r="D46" i="22"/>
  <c r="D47" i="22"/>
  <c r="D48" i="22"/>
  <c r="D49" i="22"/>
  <c r="D50" i="22"/>
  <c r="D51" i="22"/>
  <c r="D52" i="22"/>
  <c r="D53" i="22"/>
  <c r="D54" i="22"/>
  <c r="D55" i="22"/>
  <c r="D56" i="22"/>
  <c r="D57" i="22"/>
  <c r="D58" i="22"/>
  <c r="D59" i="22"/>
  <c r="D60" i="22"/>
  <c r="D61" i="22"/>
  <c r="D62" i="22"/>
  <c r="D63" i="22"/>
  <c r="D64" i="22"/>
  <c r="D65" i="22"/>
  <c r="D66" i="22"/>
  <c r="D67" i="22"/>
  <c r="D68" i="22"/>
  <c r="D69" i="22"/>
  <c r="D70" i="22"/>
  <c r="D71" i="22"/>
  <c r="D72" i="22"/>
  <c r="D73" i="22"/>
  <c r="D74" i="22"/>
  <c r="D75" i="22"/>
  <c r="D76" i="22"/>
  <c r="D77" i="22"/>
  <c r="D78" i="22"/>
  <c r="D79" i="22"/>
  <c r="D80" i="22"/>
  <c r="D81" i="22"/>
  <c r="D82" i="22"/>
  <c r="D83" i="22"/>
  <c r="D84" i="22"/>
  <c r="D85" i="22"/>
  <c r="D86" i="22"/>
  <c r="D87" i="22"/>
  <c r="D88" i="22"/>
  <c r="D89" i="22"/>
  <c r="D90" i="22"/>
  <c r="D91" i="22"/>
  <c r="D92" i="22"/>
  <c r="D93" i="22"/>
  <c r="D94" i="22"/>
  <c r="D95" i="22"/>
  <c r="D96" i="22"/>
  <c r="D97" i="22"/>
  <c r="D98" i="22"/>
  <c r="D99" i="22"/>
  <c r="D100" i="22"/>
  <c r="D101" i="22"/>
  <c r="D102" i="22"/>
  <c r="D103" i="22"/>
  <c r="D104" i="22"/>
  <c r="D105" i="22"/>
  <c r="D106" i="22"/>
  <c r="D107" i="22"/>
  <c r="D108" i="22"/>
  <c r="D109" i="22"/>
  <c r="D110" i="22"/>
  <c r="D111" i="22"/>
  <c r="D112" i="22"/>
  <c r="D113" i="22"/>
  <c r="D114" i="22"/>
  <c r="D115" i="22"/>
  <c r="D116" i="22"/>
  <c r="D117" i="22"/>
  <c r="D118" i="22"/>
  <c r="D119" i="22"/>
  <c r="D120" i="22"/>
  <c r="D121" i="22"/>
  <c r="D122" i="22"/>
  <c r="D123" i="22"/>
  <c r="D124" i="22"/>
  <c r="D125" i="22"/>
  <c r="D126" i="22"/>
  <c r="D127" i="22"/>
  <c r="D128" i="22"/>
  <c r="D129" i="22"/>
  <c r="D130" i="22"/>
  <c r="D131" i="22"/>
  <c r="D132" i="22"/>
  <c r="D133" i="22"/>
  <c r="D134" i="22"/>
  <c r="D135" i="22"/>
  <c r="D136" i="22"/>
  <c r="D137" i="22"/>
  <c r="D138" i="22"/>
  <c r="D139" i="22"/>
  <c r="D140" i="22"/>
  <c r="D141" i="22"/>
  <c r="D142" i="22"/>
  <c r="D143" i="22"/>
  <c r="D144" i="22"/>
  <c r="D145" i="22"/>
  <c r="D146" i="22"/>
  <c r="D147" i="22"/>
  <c r="D148" i="22"/>
  <c r="D149" i="22"/>
  <c r="D150" i="22"/>
  <c r="D151" i="22"/>
  <c r="D152" i="22"/>
  <c r="D153" i="22"/>
  <c r="D154" i="22"/>
  <c r="D155" i="22"/>
  <c r="D156" i="22"/>
  <c r="D157" i="22"/>
  <c r="D158" i="22"/>
  <c r="D159" i="22"/>
  <c r="D160" i="22"/>
  <c r="D161" i="22"/>
  <c r="D162" i="22"/>
  <c r="D163" i="22"/>
  <c r="D164" i="22"/>
  <c r="D165" i="22"/>
  <c r="D166" i="22"/>
  <c r="D167" i="22"/>
  <c r="D168" i="22"/>
  <c r="D169" i="22"/>
  <c r="D170" i="22"/>
  <c r="D171" i="22"/>
  <c r="D172" i="22"/>
  <c r="D173" i="22"/>
  <c r="D174" i="22"/>
  <c r="D175" i="22"/>
  <c r="D176" i="22"/>
  <c r="D177" i="22"/>
  <c r="D178" i="22"/>
  <c r="D179" i="22"/>
  <c r="D180" i="22"/>
  <c r="D181" i="22"/>
  <c r="D182" i="22"/>
  <c r="D183" i="22"/>
  <c r="D184" i="22"/>
  <c r="D185" i="22"/>
  <c r="D186" i="22"/>
  <c r="D187" i="22"/>
  <c r="D188" i="22"/>
  <c r="D189" i="22"/>
  <c r="D190" i="22"/>
  <c r="D191" i="22"/>
  <c r="D192" i="22"/>
  <c r="D193" i="22"/>
  <c r="D194" i="22"/>
  <c r="D195" i="22"/>
  <c r="D196" i="22"/>
  <c r="D197" i="22"/>
  <c r="D198" i="22"/>
  <c r="D199" i="22"/>
  <c r="D200" i="22"/>
  <c r="D201" i="22"/>
  <c r="D202" i="22"/>
  <c r="D203" i="22"/>
  <c r="D204" i="22"/>
  <c r="D205" i="22"/>
  <c r="D206" i="22"/>
  <c r="D207" i="22"/>
  <c r="D208" i="22"/>
  <c r="D209" i="22"/>
  <c r="D210" i="22"/>
  <c r="D211" i="22"/>
  <c r="D212" i="22"/>
  <c r="D213" i="22"/>
  <c r="D214" i="22"/>
  <c r="D215" i="22"/>
  <c r="D216" i="22"/>
  <c r="D217" i="22"/>
  <c r="D218" i="22"/>
  <c r="D219" i="22"/>
  <c r="D220" i="22"/>
  <c r="D221" i="22"/>
  <c r="D222" i="22"/>
  <c r="D223" i="22"/>
  <c r="D224" i="22"/>
  <c r="D225" i="22"/>
  <c r="D226" i="22"/>
  <c r="D227" i="22"/>
  <c r="D228" i="22"/>
  <c r="D229" i="22"/>
  <c r="D230" i="22"/>
  <c r="D231" i="22"/>
  <c r="D232" i="22"/>
  <c r="D233" i="22"/>
  <c r="D234" i="22"/>
  <c r="D235" i="22"/>
  <c r="D236" i="22"/>
  <c r="D237" i="22"/>
  <c r="D238" i="22"/>
  <c r="D239" i="22"/>
  <c r="D240" i="22"/>
  <c r="D241" i="22"/>
  <c r="D242" i="22"/>
  <c r="D243" i="22"/>
  <c r="D244" i="22"/>
  <c r="D245" i="22"/>
  <c r="D246" i="22"/>
  <c r="D247" i="22"/>
  <c r="D248" i="22"/>
  <c r="D249" i="22"/>
  <c r="D250" i="22"/>
  <c r="D251" i="22"/>
  <c r="D252" i="22"/>
  <c r="D253" i="22"/>
  <c r="D254" i="22"/>
  <c r="D255" i="22"/>
  <c r="D256" i="22"/>
  <c r="D257" i="22"/>
  <c r="D258" i="22"/>
  <c r="D259" i="22"/>
  <c r="D260" i="22"/>
  <c r="D261" i="22"/>
  <c r="D262" i="22"/>
  <c r="D263" i="22"/>
  <c r="D264" i="22"/>
  <c r="D265" i="22"/>
  <c r="D266" i="22"/>
  <c r="D267" i="22"/>
  <c r="D268" i="22"/>
  <c r="D269" i="22"/>
  <c r="D270" i="22"/>
  <c r="D271" i="22"/>
  <c r="D272" i="22"/>
  <c r="D273" i="22"/>
  <c r="D274" i="22"/>
  <c r="D275" i="22"/>
  <c r="D276" i="22"/>
  <c r="D277" i="22"/>
  <c r="D278" i="22"/>
  <c r="D279" i="22"/>
  <c r="D280" i="22"/>
  <c r="D281" i="22"/>
  <c r="D282" i="22"/>
  <c r="D283" i="22"/>
  <c r="D284" i="22"/>
  <c r="D285" i="22"/>
  <c r="D286" i="22"/>
  <c r="D287" i="22"/>
  <c r="D288" i="22"/>
  <c r="D289" i="22"/>
  <c r="D290" i="22"/>
  <c r="D291" i="22"/>
  <c r="D292" i="22"/>
  <c r="D293" i="22"/>
  <c r="D294" i="22"/>
  <c r="D295" i="22"/>
  <c r="D296" i="22"/>
  <c r="D297" i="22"/>
  <c r="D298" i="22"/>
  <c r="D299" i="22"/>
  <c r="D300" i="22"/>
  <c r="D301" i="22"/>
  <c r="D302" i="22"/>
  <c r="D303" i="22"/>
  <c r="D304" i="22"/>
  <c r="D305" i="22"/>
  <c r="D306" i="22"/>
  <c r="D307" i="22"/>
  <c r="D308" i="22"/>
  <c r="D309" i="22"/>
  <c r="D310" i="22"/>
  <c r="D311" i="22"/>
  <c r="D312" i="22"/>
  <c r="D313" i="22"/>
  <c r="D314" i="22"/>
  <c r="D315" i="22"/>
  <c r="D316" i="22"/>
  <c r="D317" i="22"/>
  <c r="D318" i="22"/>
  <c r="D319" i="22"/>
  <c r="D320" i="22"/>
  <c r="D321" i="22"/>
  <c r="D322" i="22"/>
  <c r="D323" i="22"/>
  <c r="D324" i="22"/>
  <c r="D325" i="22"/>
  <c r="D326" i="22"/>
  <c r="D327" i="22"/>
  <c r="D328" i="22"/>
  <c r="D329" i="22"/>
  <c r="D330" i="22"/>
  <c r="D331" i="22"/>
  <c r="D332" i="22"/>
  <c r="D333" i="22"/>
  <c r="D334" i="22"/>
  <c r="D335" i="22"/>
  <c r="D336" i="22"/>
  <c r="D337" i="22"/>
  <c r="D338" i="22"/>
  <c r="D339" i="22"/>
  <c r="D340" i="22"/>
  <c r="D341" i="22"/>
  <c r="D342" i="22"/>
  <c r="D343" i="22"/>
  <c r="D344" i="22"/>
  <c r="D345" i="22"/>
  <c r="D2" i="22"/>
  <c r="N63" i="13"/>
  <c r="N2" i="13"/>
  <c r="L164" i="13"/>
  <c r="L165" i="13"/>
  <c r="L166" i="13"/>
  <c r="L167" i="13"/>
  <c r="L168" i="13"/>
  <c r="L169" i="13"/>
  <c r="L170" i="13"/>
  <c r="L171" i="13"/>
  <c r="L172" i="13"/>
  <c r="L173" i="13"/>
  <c r="L174" i="13"/>
  <c r="L175" i="13"/>
  <c r="L176" i="13"/>
  <c r="L177" i="13"/>
  <c r="L178" i="13"/>
  <c r="L179" i="13"/>
  <c r="L180" i="13"/>
  <c r="L181" i="13"/>
  <c r="L182" i="13"/>
  <c r="L183" i="13"/>
  <c r="L184" i="13"/>
  <c r="L185" i="13"/>
  <c r="L186" i="13"/>
  <c r="L187" i="13"/>
  <c r="L188" i="13"/>
  <c r="L189" i="13"/>
  <c r="L190" i="13"/>
  <c r="L191" i="13"/>
  <c r="L192" i="13"/>
  <c r="L193" i="13"/>
  <c r="L194" i="13"/>
  <c r="L195" i="13"/>
  <c r="L196" i="13"/>
  <c r="L197" i="13"/>
  <c r="L198" i="13"/>
  <c r="L199" i="13"/>
  <c r="L200" i="13"/>
  <c r="L201" i="13"/>
  <c r="L202" i="13"/>
  <c r="L203" i="13"/>
  <c r="L204" i="13"/>
  <c r="L205" i="13"/>
  <c r="L206" i="13"/>
  <c r="L207" i="13"/>
  <c r="L208" i="13"/>
  <c r="L209" i="13"/>
  <c r="L210" i="13"/>
  <c r="L211" i="13"/>
  <c r="L212" i="13"/>
  <c r="L213" i="13"/>
  <c r="L214" i="13"/>
  <c r="L215" i="13"/>
  <c r="L216" i="13"/>
  <c r="L217" i="13"/>
  <c r="L218" i="13"/>
  <c r="L219" i="13"/>
  <c r="L220" i="13"/>
  <c r="L221" i="13"/>
  <c r="L222" i="13"/>
  <c r="L223" i="13"/>
  <c r="L224" i="13"/>
  <c r="L225" i="13"/>
  <c r="L226" i="13"/>
  <c r="L227" i="13"/>
  <c r="L228" i="13"/>
  <c r="L229" i="13"/>
  <c r="L230" i="13"/>
  <c r="L231" i="13"/>
  <c r="L232" i="13"/>
  <c r="L233" i="13"/>
  <c r="L234" i="13"/>
  <c r="L235" i="13"/>
  <c r="L236" i="13"/>
  <c r="L237" i="13"/>
  <c r="L238" i="13"/>
  <c r="L239" i="13"/>
  <c r="L240" i="13"/>
  <c r="L241" i="13"/>
  <c r="L242" i="13"/>
  <c r="L243" i="13"/>
  <c r="L244" i="13"/>
  <c r="L245" i="13"/>
  <c r="L246" i="13"/>
  <c r="L247" i="13"/>
  <c r="L248" i="13"/>
  <c r="L249" i="13"/>
  <c r="L250" i="13"/>
  <c r="L251" i="13"/>
  <c r="L252" i="13"/>
  <c r="L253" i="13"/>
  <c r="L254" i="13"/>
  <c r="L255" i="13"/>
  <c r="L256" i="13"/>
  <c r="L257" i="13"/>
  <c r="L258" i="13"/>
  <c r="L259" i="13"/>
  <c r="L260" i="13"/>
  <c r="L261" i="13"/>
  <c r="L262" i="13"/>
  <c r="L263" i="13"/>
  <c r="L264" i="13"/>
  <c r="L265" i="13"/>
  <c r="L266" i="13"/>
  <c r="L267" i="13"/>
  <c r="L268" i="13"/>
  <c r="L269" i="13"/>
  <c r="L270" i="13"/>
  <c r="L271" i="13"/>
  <c r="L272" i="13"/>
  <c r="L273" i="13"/>
  <c r="L274" i="13"/>
  <c r="L275" i="13"/>
  <c r="L276" i="13"/>
  <c r="L277" i="13"/>
  <c r="L278" i="13"/>
  <c r="L279" i="13"/>
  <c r="L280" i="13"/>
  <c r="L281" i="13"/>
  <c r="L282" i="13"/>
  <c r="L283" i="13"/>
  <c r="L284" i="13"/>
  <c r="L285" i="13"/>
  <c r="L286" i="13"/>
  <c r="L287" i="13"/>
  <c r="L288" i="13"/>
  <c r="K164" i="13"/>
  <c r="K165" i="13"/>
  <c r="K166" i="13"/>
  <c r="K167" i="13"/>
  <c r="K168" i="13"/>
  <c r="K169" i="13"/>
  <c r="K170" i="13"/>
  <c r="K171" i="13"/>
  <c r="K172" i="13"/>
  <c r="K173" i="13"/>
  <c r="K174" i="13"/>
  <c r="K175" i="13"/>
  <c r="K176" i="13"/>
  <c r="K177" i="13"/>
  <c r="K178" i="13"/>
  <c r="K179" i="13"/>
  <c r="K180" i="13"/>
  <c r="K181" i="13"/>
  <c r="K182" i="13"/>
  <c r="K183" i="13"/>
  <c r="K184" i="13"/>
  <c r="K185" i="13"/>
  <c r="K186" i="13"/>
  <c r="K187" i="13"/>
  <c r="K188" i="13"/>
  <c r="K189" i="13"/>
  <c r="K190" i="13"/>
  <c r="K191" i="13"/>
  <c r="K192" i="13"/>
  <c r="K193" i="13"/>
  <c r="K194" i="13"/>
  <c r="K195" i="13"/>
  <c r="K196" i="13"/>
  <c r="K197" i="13"/>
  <c r="K198" i="13"/>
  <c r="K199" i="13"/>
  <c r="K200" i="13"/>
  <c r="K201" i="13"/>
  <c r="K202" i="13"/>
  <c r="K203" i="13"/>
  <c r="K204" i="13"/>
  <c r="K205" i="13"/>
  <c r="K206" i="13"/>
  <c r="K207" i="13"/>
  <c r="K208" i="13"/>
  <c r="K209" i="13"/>
  <c r="K210" i="13"/>
  <c r="K211" i="13"/>
  <c r="K212" i="13"/>
  <c r="K213" i="13"/>
  <c r="K214" i="13"/>
  <c r="K215" i="13"/>
  <c r="K216" i="13"/>
  <c r="K217" i="13"/>
  <c r="K218" i="13"/>
  <c r="K219" i="13"/>
  <c r="K220" i="13"/>
  <c r="K221" i="13"/>
  <c r="K222" i="13"/>
  <c r="K223" i="13"/>
  <c r="K224" i="13"/>
  <c r="K225" i="13"/>
  <c r="K226" i="13"/>
  <c r="K227" i="13"/>
  <c r="K228" i="13"/>
  <c r="K229" i="13"/>
  <c r="K230" i="13"/>
  <c r="K231" i="13"/>
  <c r="K232" i="13"/>
  <c r="K233" i="13"/>
  <c r="K234" i="13"/>
  <c r="K235" i="13"/>
  <c r="K236" i="13"/>
  <c r="K237" i="13"/>
  <c r="K238" i="13"/>
  <c r="K239" i="13"/>
  <c r="K240" i="13"/>
  <c r="K241" i="13"/>
  <c r="K242" i="13"/>
  <c r="K243" i="13"/>
  <c r="K244" i="13"/>
  <c r="K245" i="13"/>
  <c r="K246" i="13"/>
  <c r="K247" i="13"/>
  <c r="K248" i="13"/>
  <c r="K249" i="13"/>
  <c r="K250" i="13"/>
  <c r="K251" i="13"/>
  <c r="K252" i="13"/>
  <c r="K253" i="13"/>
  <c r="K254" i="13"/>
  <c r="K255" i="13"/>
  <c r="K256" i="13"/>
  <c r="K257" i="13"/>
  <c r="K258" i="13"/>
  <c r="K259" i="13"/>
  <c r="K260" i="13"/>
  <c r="K261" i="13"/>
  <c r="K262" i="13"/>
  <c r="K263" i="13"/>
  <c r="K264" i="13"/>
  <c r="K265" i="13"/>
  <c r="K266" i="13"/>
  <c r="K267" i="13"/>
  <c r="K268" i="13"/>
  <c r="K269" i="13"/>
  <c r="K270" i="13"/>
  <c r="K271" i="13"/>
  <c r="K272" i="13"/>
  <c r="K273" i="13"/>
  <c r="K274" i="13"/>
  <c r="K275" i="13"/>
  <c r="K276" i="13"/>
  <c r="K277" i="13"/>
  <c r="K278" i="13"/>
  <c r="K279" i="13"/>
  <c r="K280" i="13"/>
  <c r="K281" i="13"/>
  <c r="K282" i="13"/>
  <c r="K283" i="13"/>
  <c r="K284" i="13"/>
  <c r="K285" i="13"/>
  <c r="K286" i="13"/>
  <c r="K287" i="13"/>
  <c r="K288" i="13"/>
  <c r="J164" i="13"/>
  <c r="J165" i="13"/>
  <c r="J166" i="13"/>
  <c r="J167" i="13"/>
  <c r="J168" i="13"/>
  <c r="J169" i="13"/>
  <c r="J170" i="13"/>
  <c r="J171" i="13"/>
  <c r="J172" i="13"/>
  <c r="J173" i="13"/>
  <c r="J174" i="13"/>
  <c r="J175" i="13"/>
  <c r="J176" i="13"/>
  <c r="J177" i="13"/>
  <c r="J178" i="13"/>
  <c r="J179" i="13"/>
  <c r="J180" i="13"/>
  <c r="J181" i="13"/>
  <c r="J182" i="13"/>
  <c r="J183" i="13"/>
  <c r="J184" i="13"/>
  <c r="J185" i="13"/>
  <c r="J186" i="13"/>
  <c r="J187" i="13"/>
  <c r="J188" i="13"/>
  <c r="J189" i="13"/>
  <c r="J190" i="13"/>
  <c r="J191" i="13"/>
  <c r="J192" i="13"/>
  <c r="J193" i="13"/>
  <c r="J194" i="13"/>
  <c r="J195" i="13"/>
  <c r="J196" i="13"/>
  <c r="J197" i="13"/>
  <c r="J198" i="13"/>
  <c r="J199" i="13"/>
  <c r="J200" i="13"/>
  <c r="J201" i="13"/>
  <c r="J202" i="13"/>
  <c r="J203" i="13"/>
  <c r="J204" i="13"/>
  <c r="J205" i="13"/>
  <c r="J206" i="13"/>
  <c r="J207" i="13"/>
  <c r="J208" i="13"/>
  <c r="J209" i="13"/>
  <c r="J210" i="13"/>
  <c r="J211" i="13"/>
  <c r="J212" i="13"/>
  <c r="J213" i="13"/>
  <c r="J214" i="13"/>
  <c r="J215" i="13"/>
  <c r="J216" i="13"/>
  <c r="J217" i="13"/>
  <c r="J218" i="13"/>
  <c r="J219" i="13"/>
  <c r="J220" i="13"/>
  <c r="J221" i="13"/>
  <c r="J222" i="13"/>
  <c r="J223" i="13"/>
  <c r="J224" i="13"/>
  <c r="J225" i="13"/>
  <c r="J226" i="13"/>
  <c r="J227" i="13"/>
  <c r="J228" i="13"/>
  <c r="J229" i="13"/>
  <c r="J230" i="13"/>
  <c r="J231" i="13"/>
  <c r="J232" i="13"/>
  <c r="J233" i="13"/>
  <c r="J234" i="13"/>
  <c r="J235" i="13"/>
  <c r="J236" i="13"/>
  <c r="J237" i="13"/>
  <c r="J238" i="13"/>
  <c r="J239" i="13"/>
  <c r="J240" i="13"/>
  <c r="J241" i="13"/>
  <c r="J242" i="13"/>
  <c r="J243" i="13"/>
  <c r="J244" i="13"/>
  <c r="J245" i="13"/>
  <c r="J246" i="13"/>
  <c r="J247" i="13"/>
  <c r="J248" i="13"/>
  <c r="J249" i="13"/>
  <c r="J250" i="13"/>
  <c r="J251" i="13"/>
  <c r="J252" i="13"/>
  <c r="J253" i="13"/>
  <c r="J254" i="13"/>
  <c r="J255" i="13"/>
  <c r="J256" i="13"/>
  <c r="J257" i="13"/>
  <c r="J258" i="13"/>
  <c r="J259" i="13"/>
  <c r="J260" i="13"/>
  <c r="J261" i="13"/>
  <c r="J262" i="13"/>
  <c r="J263" i="13"/>
  <c r="J264" i="13"/>
  <c r="J265" i="13"/>
  <c r="J266" i="13"/>
  <c r="J267" i="13"/>
  <c r="J268" i="13"/>
  <c r="J269" i="13"/>
  <c r="J270" i="13"/>
  <c r="J271" i="13"/>
  <c r="J272" i="13"/>
  <c r="J273" i="13"/>
  <c r="J274" i="13"/>
  <c r="J275" i="13"/>
  <c r="J276" i="13"/>
  <c r="J277" i="13"/>
  <c r="J278" i="13"/>
  <c r="J279" i="13"/>
  <c r="J280" i="13"/>
  <c r="J281" i="13"/>
  <c r="J282" i="13"/>
  <c r="J283" i="13"/>
  <c r="J284" i="13"/>
  <c r="J285" i="13"/>
  <c r="J286" i="13"/>
  <c r="J287" i="13"/>
  <c r="J288" i="13"/>
  <c r="K2" i="13"/>
  <c r="N3" i="13"/>
  <c r="N4" i="13"/>
  <c r="N5" i="13"/>
  <c r="N6" i="13"/>
  <c r="N7" i="13"/>
  <c r="N8" i="13"/>
  <c r="N9" i="13"/>
  <c r="N10" i="13"/>
  <c r="N11" i="13"/>
  <c r="N12" i="13"/>
  <c r="N13" i="13"/>
  <c r="N14" i="13"/>
  <c r="N15" i="13"/>
  <c r="N16" i="13"/>
  <c r="N17" i="13"/>
  <c r="N18" i="13"/>
  <c r="N19" i="13"/>
  <c r="N20" i="13"/>
  <c r="N21" i="13"/>
  <c r="N22" i="13"/>
  <c r="N23" i="13"/>
  <c r="N24" i="13"/>
  <c r="N25" i="13"/>
  <c r="N26" i="13"/>
  <c r="N27" i="13"/>
  <c r="N28" i="13"/>
  <c r="N29" i="13"/>
  <c r="N30" i="13"/>
  <c r="N31" i="13"/>
  <c r="N32" i="13"/>
  <c r="N33" i="13"/>
  <c r="N34" i="13"/>
  <c r="N35" i="13"/>
  <c r="N36" i="13"/>
  <c r="N37" i="13"/>
  <c r="N38" i="13"/>
  <c r="N39" i="13"/>
  <c r="N40" i="13"/>
  <c r="N41" i="13"/>
  <c r="N42" i="13"/>
  <c r="N43" i="13"/>
  <c r="N44" i="13"/>
  <c r="N45" i="13"/>
  <c r="N46" i="13"/>
  <c r="N47" i="13"/>
  <c r="N48" i="13"/>
  <c r="N49" i="13"/>
  <c r="N50" i="13"/>
  <c r="N51" i="13"/>
  <c r="N52" i="13"/>
  <c r="N53" i="13"/>
  <c r="N54" i="13"/>
  <c r="N55" i="13"/>
  <c r="N56" i="13"/>
  <c r="N57" i="13"/>
  <c r="N58" i="13"/>
  <c r="N59" i="13"/>
  <c r="N60" i="13"/>
  <c r="N61" i="13"/>
  <c r="N62" i="13"/>
  <c r="N64" i="13"/>
  <c r="N65" i="13"/>
  <c r="N66" i="13"/>
  <c r="N67" i="13"/>
  <c r="N68" i="13"/>
  <c r="N69" i="13"/>
  <c r="N70" i="13"/>
  <c r="N71" i="13"/>
  <c r="N72" i="13"/>
  <c r="N73" i="13"/>
  <c r="N74" i="13"/>
  <c r="N75" i="13"/>
  <c r="N76" i="13"/>
  <c r="N77" i="13"/>
  <c r="N78" i="13"/>
  <c r="N79" i="13"/>
  <c r="N80" i="13"/>
  <c r="N81" i="13"/>
  <c r="N82" i="13"/>
  <c r="N83" i="13"/>
  <c r="N84" i="13"/>
  <c r="N85" i="13"/>
  <c r="N86" i="13"/>
  <c r="N87" i="13"/>
  <c r="N88" i="13"/>
  <c r="N89" i="13"/>
  <c r="N90" i="13"/>
  <c r="N91" i="13"/>
  <c r="N92" i="13"/>
  <c r="N93" i="13"/>
  <c r="N94" i="13"/>
  <c r="N95" i="13"/>
  <c r="N96" i="13"/>
  <c r="N97" i="13"/>
  <c r="N98" i="13"/>
  <c r="N99" i="13"/>
  <c r="N100" i="13"/>
  <c r="N101" i="13"/>
  <c r="N102" i="13"/>
  <c r="N103" i="13"/>
  <c r="N104" i="13"/>
  <c r="N105" i="13"/>
  <c r="N106" i="13"/>
  <c r="N107" i="13"/>
  <c r="N108" i="13"/>
  <c r="N109" i="13"/>
  <c r="N110" i="13"/>
  <c r="N111" i="13"/>
  <c r="N112" i="13"/>
  <c r="N113" i="13"/>
  <c r="N114" i="13"/>
  <c r="N115" i="13"/>
  <c r="N116" i="13"/>
  <c r="N117" i="13"/>
  <c r="N118" i="13"/>
  <c r="N119" i="13"/>
  <c r="N120" i="13"/>
  <c r="N121" i="13"/>
  <c r="N122" i="13"/>
  <c r="N123" i="13"/>
  <c r="N124" i="13"/>
  <c r="N125" i="13"/>
  <c r="N126" i="13"/>
  <c r="N127" i="13"/>
  <c r="N128" i="13"/>
  <c r="N129" i="13"/>
  <c r="N130" i="13"/>
  <c r="N131" i="13"/>
  <c r="N132" i="13"/>
  <c r="N133" i="13"/>
  <c r="N134" i="13"/>
  <c r="N135" i="13"/>
  <c r="N136" i="13"/>
  <c r="N137" i="13"/>
  <c r="N138" i="13"/>
  <c r="N139" i="13"/>
  <c r="N140" i="13"/>
  <c r="N141" i="13"/>
  <c r="N142" i="13"/>
  <c r="N143" i="13"/>
  <c r="N144" i="13"/>
  <c r="N145" i="13"/>
  <c r="N146" i="13"/>
  <c r="N147" i="13"/>
  <c r="N148" i="13"/>
  <c r="N149" i="13"/>
  <c r="N150" i="13"/>
  <c r="N151" i="13"/>
  <c r="N152" i="13"/>
  <c r="N153" i="13"/>
  <c r="N154" i="13"/>
  <c r="N155" i="13"/>
  <c r="N156" i="13"/>
  <c r="N157" i="13"/>
  <c r="N158" i="13"/>
  <c r="N159" i="13"/>
  <c r="N160" i="13"/>
  <c r="N161" i="13"/>
  <c r="N162" i="13"/>
  <c r="N163" i="13"/>
  <c r="N164" i="13"/>
  <c r="N165" i="13"/>
  <c r="N166" i="13"/>
  <c r="N167" i="13"/>
  <c r="N168" i="13"/>
  <c r="N169" i="13"/>
  <c r="N170" i="13"/>
  <c r="N171" i="13"/>
  <c r="N172" i="13"/>
  <c r="N173" i="13"/>
  <c r="N174" i="13"/>
  <c r="N175" i="13"/>
  <c r="N176" i="13"/>
  <c r="N177" i="13"/>
  <c r="N178" i="13"/>
  <c r="N179" i="13"/>
  <c r="N180" i="13"/>
  <c r="N181" i="13"/>
  <c r="N182" i="13"/>
  <c r="N183" i="13"/>
  <c r="N184" i="13"/>
  <c r="N185" i="13"/>
  <c r="N186" i="13"/>
  <c r="N187" i="13"/>
  <c r="N188" i="13"/>
  <c r="N189" i="13"/>
  <c r="N190" i="13"/>
  <c r="N191" i="13"/>
  <c r="N192" i="13"/>
  <c r="N193" i="13"/>
  <c r="N194" i="13"/>
  <c r="N195" i="13"/>
  <c r="N196" i="13"/>
  <c r="N197" i="13"/>
  <c r="N198" i="13"/>
  <c r="N199" i="13"/>
  <c r="N200" i="13"/>
  <c r="N201" i="13"/>
  <c r="N202" i="13"/>
  <c r="N203" i="13"/>
  <c r="N204" i="13"/>
  <c r="N205" i="13"/>
  <c r="N206" i="13"/>
  <c r="N207" i="13"/>
  <c r="N208" i="13"/>
  <c r="N209" i="13"/>
  <c r="N210" i="13"/>
  <c r="N211" i="13"/>
  <c r="N212" i="13"/>
  <c r="N213" i="13"/>
  <c r="N214" i="13"/>
  <c r="N215" i="13"/>
  <c r="N216" i="13"/>
  <c r="N217" i="13"/>
  <c r="N218" i="13"/>
  <c r="N219" i="13"/>
  <c r="N220" i="13"/>
  <c r="N221" i="13"/>
  <c r="N222" i="13"/>
  <c r="N223" i="13"/>
  <c r="N224" i="13"/>
  <c r="N225" i="13"/>
  <c r="N226" i="13"/>
  <c r="N227" i="13"/>
  <c r="N228" i="13"/>
  <c r="N229" i="13"/>
  <c r="N230" i="13"/>
  <c r="N231" i="13"/>
  <c r="N232" i="13"/>
  <c r="N233" i="13"/>
  <c r="N234" i="13"/>
  <c r="N235" i="13"/>
  <c r="N236" i="13"/>
  <c r="N237" i="13"/>
  <c r="N238" i="13"/>
  <c r="N239" i="13"/>
  <c r="N240" i="13"/>
  <c r="N241" i="13"/>
  <c r="N242" i="13"/>
  <c r="N243" i="13"/>
  <c r="N244" i="13"/>
  <c r="N245" i="13"/>
  <c r="N246" i="13"/>
  <c r="N247" i="13"/>
  <c r="N248" i="13"/>
  <c r="N249" i="13"/>
  <c r="N250" i="13"/>
  <c r="N251" i="13"/>
  <c r="N252" i="13"/>
  <c r="N253" i="13"/>
  <c r="N254" i="13"/>
  <c r="N255" i="13"/>
  <c r="N256" i="13"/>
  <c r="N257" i="13"/>
  <c r="N258" i="13"/>
  <c r="N259" i="13"/>
  <c r="N260" i="13"/>
  <c r="N261" i="13"/>
  <c r="N262" i="13"/>
  <c r="N263" i="13"/>
  <c r="N264" i="13"/>
  <c r="N265" i="13"/>
  <c r="N266" i="13"/>
  <c r="N267" i="13"/>
  <c r="N268" i="13"/>
  <c r="N269" i="13"/>
  <c r="N270" i="13"/>
  <c r="N271" i="13"/>
  <c r="N272" i="13"/>
  <c r="N273" i="13"/>
  <c r="N274" i="13"/>
  <c r="N275" i="13"/>
  <c r="N276" i="13"/>
  <c r="N277" i="13"/>
  <c r="N278" i="13"/>
  <c r="N279" i="13"/>
  <c r="N280" i="13"/>
  <c r="N281" i="13"/>
  <c r="N282" i="13"/>
  <c r="N283" i="13"/>
  <c r="N284" i="13"/>
  <c r="N285" i="13"/>
  <c r="N286" i="13"/>
  <c r="N287" i="13"/>
  <c r="N288" i="13"/>
  <c r="L128" i="13"/>
  <c r="L44" i="13"/>
  <c r="L155" i="13"/>
  <c r="L161" i="13"/>
  <c r="L142" i="13"/>
  <c r="L69" i="13"/>
  <c r="L19" i="13"/>
  <c r="L38" i="13"/>
  <c r="L11" i="13"/>
  <c r="L73" i="13"/>
  <c r="L104" i="13"/>
  <c r="L57" i="13"/>
  <c r="L158" i="13"/>
  <c r="L89" i="13"/>
  <c r="L130" i="13"/>
  <c r="L159" i="13"/>
  <c r="L35" i="13"/>
  <c r="L154" i="13"/>
  <c r="L110" i="13"/>
  <c r="L101" i="13"/>
  <c r="L84" i="13"/>
  <c r="L51" i="13"/>
  <c r="L122" i="13"/>
  <c r="L61" i="13"/>
  <c r="L66" i="13"/>
  <c r="L52" i="13"/>
  <c r="L3" i="13"/>
  <c r="L58" i="13"/>
  <c r="L94" i="13"/>
  <c r="L79" i="13"/>
  <c r="L139" i="13"/>
  <c r="L45" i="13"/>
  <c r="L36" i="13"/>
  <c r="L78" i="13"/>
  <c r="L70" i="13"/>
  <c r="L147" i="13"/>
  <c r="L150" i="13"/>
  <c r="L145" i="13"/>
  <c r="L162" i="13"/>
  <c r="L41" i="13"/>
  <c r="L22" i="13"/>
  <c r="K113" i="13"/>
  <c r="K128" i="13"/>
  <c r="K163" i="13"/>
  <c r="K44" i="13"/>
  <c r="K155" i="13"/>
  <c r="K161" i="13"/>
  <c r="K85" i="13"/>
  <c r="K69" i="13"/>
  <c r="K19" i="13"/>
  <c r="K46" i="13"/>
  <c r="K91" i="13"/>
  <c r="K71" i="13"/>
  <c r="K38" i="13"/>
  <c r="K76" i="13"/>
  <c r="K107" i="13"/>
  <c r="K83" i="13"/>
  <c r="K57" i="13"/>
  <c r="K13" i="13"/>
  <c r="K158" i="13"/>
  <c r="K89" i="13"/>
  <c r="K116" i="13"/>
  <c r="K129" i="13"/>
  <c r="K130" i="13"/>
  <c r="K159" i="13"/>
  <c r="K35" i="13"/>
  <c r="K148" i="13"/>
  <c r="K117" i="13"/>
  <c r="K124" i="13"/>
  <c r="K110" i="13"/>
  <c r="K43" i="13"/>
  <c r="K101" i="13"/>
  <c r="K84" i="13"/>
  <c r="K51" i="13"/>
  <c r="K105" i="13"/>
  <c r="K77" i="13"/>
  <c r="K92" i="13"/>
  <c r="K122" i="13"/>
  <c r="K61" i="13"/>
  <c r="K96" i="13"/>
  <c r="K66" i="13"/>
  <c r="K10" i="13"/>
  <c r="K5" i="13"/>
  <c r="K100" i="13"/>
  <c r="K52" i="13"/>
  <c r="K3" i="13"/>
  <c r="K125" i="13"/>
  <c r="K58" i="13"/>
  <c r="K94" i="13"/>
  <c r="K79" i="13"/>
  <c r="K75" i="13"/>
  <c r="K149" i="13"/>
  <c r="K140" i="13"/>
  <c r="K114" i="13"/>
  <c r="K139" i="13"/>
  <c r="K45" i="13"/>
  <c r="K36" i="13"/>
  <c r="K93" i="13"/>
  <c r="K103" i="13"/>
  <c r="K151" i="13"/>
  <c r="K78" i="13"/>
  <c r="K70" i="13"/>
  <c r="K147" i="13"/>
  <c r="K137" i="13"/>
  <c r="K123" i="13"/>
  <c r="K150" i="13"/>
  <c r="K145" i="13"/>
  <c r="K162" i="13"/>
  <c r="K41" i="13"/>
  <c r="K22" i="13"/>
  <c r="K20" i="13"/>
  <c r="J3" i="13"/>
  <c r="L153" i="13"/>
  <c r="L120" i="13"/>
  <c r="L113" i="13"/>
  <c r="L132" i="13"/>
  <c r="L63" i="13"/>
  <c r="L163" i="13"/>
  <c r="L81" i="13"/>
  <c r="L8" i="13"/>
  <c r="L71" i="13"/>
  <c r="L152" i="13"/>
  <c r="L83" i="13"/>
  <c r="L37" i="13"/>
  <c r="L13" i="13"/>
  <c r="L34" i="13"/>
  <c r="L27" i="13"/>
  <c r="L129" i="13"/>
  <c r="L138" i="13"/>
  <c r="L118" i="13"/>
  <c r="L148" i="13"/>
  <c r="L117" i="13"/>
  <c r="L157" i="13"/>
  <c r="L144" i="13"/>
  <c r="L43" i="13"/>
  <c r="L77" i="13"/>
  <c r="L92" i="13"/>
  <c r="L59" i="13"/>
  <c r="L96" i="13"/>
  <c r="L115" i="13"/>
  <c r="L7" i="13"/>
  <c r="L10" i="13"/>
  <c r="L12" i="13"/>
  <c r="L2" i="13"/>
  <c r="L5" i="13"/>
  <c r="L47" i="13"/>
  <c r="L106" i="13"/>
  <c r="L100" i="13"/>
  <c r="L75" i="13"/>
  <c r="L149" i="13"/>
  <c r="L140" i="13"/>
  <c r="L114" i="13"/>
  <c r="L62" i="13"/>
  <c r="L95" i="13"/>
  <c r="L90" i="13"/>
  <c r="L108" i="13"/>
  <c r="L93" i="13"/>
  <c r="L151" i="13"/>
  <c r="L119" i="13"/>
  <c r="L131" i="13"/>
  <c r="L137" i="13"/>
  <c r="L123" i="13"/>
  <c r="L126" i="13"/>
  <c r="L40" i="13"/>
  <c r="L42" i="13"/>
  <c r="L50" i="13"/>
  <c r="L16" i="13"/>
  <c r="L29" i="13"/>
  <c r="L25" i="13"/>
  <c r="L15" i="13"/>
  <c r="L20" i="13"/>
  <c r="K32" i="13"/>
  <c r="K153" i="13"/>
  <c r="K135" i="13"/>
  <c r="K86" i="13"/>
  <c r="K99" i="13"/>
  <c r="K112" i="13"/>
  <c r="K142" i="13"/>
  <c r="K121" i="13"/>
  <c r="K133" i="13"/>
  <c r="K18" i="13"/>
  <c r="K31" i="13"/>
  <c r="K152" i="13"/>
  <c r="K26" i="13"/>
  <c r="K73" i="13"/>
  <c r="K104" i="13"/>
  <c r="K23" i="13"/>
  <c r="K102" i="13"/>
  <c r="K37" i="13"/>
  <c r="K21" i="13"/>
  <c r="K34" i="13"/>
  <c r="K65" i="13"/>
  <c r="K136" i="13"/>
  <c r="K24" i="13"/>
  <c r="K64" i="13"/>
  <c r="K87" i="13"/>
  <c r="K138" i="13"/>
  <c r="K154" i="13"/>
  <c r="K74" i="13"/>
  <c r="K9" i="13"/>
  <c r="K160" i="13"/>
  <c r="K97" i="13"/>
  <c r="K80" i="13"/>
  <c r="K55" i="13"/>
  <c r="K109" i="13"/>
  <c r="K56" i="13"/>
  <c r="K48" i="13"/>
  <c r="K60" i="13"/>
  <c r="K88" i="13"/>
  <c r="K115" i="13"/>
  <c r="K12" i="13"/>
  <c r="K6" i="13"/>
  <c r="K4" i="13"/>
  <c r="K49" i="13"/>
  <c r="K17" i="13"/>
  <c r="K111" i="13"/>
  <c r="K62" i="13"/>
  <c r="K98" i="13"/>
  <c r="K82" i="13"/>
  <c r="K127" i="13"/>
  <c r="K156" i="13"/>
  <c r="K68" i="13"/>
  <c r="K119" i="13"/>
  <c r="K146" i="13"/>
  <c r="K53" i="13"/>
  <c r="K141" i="13"/>
  <c r="K126" i="13"/>
  <c r="K54" i="13"/>
  <c r="K30" i="13"/>
  <c r="K16" i="13"/>
  <c r="K29" i="13"/>
  <c r="K25" i="13"/>
  <c r="K14" i="13"/>
  <c r="K15" i="13"/>
  <c r="K28" i="13"/>
  <c r="K33" i="13"/>
  <c r="L53" i="13"/>
  <c r="L30" i="13"/>
  <c r="L98" i="13"/>
  <c r="L17" i="13"/>
  <c r="L111" i="13"/>
  <c r="L14" i="13"/>
  <c r="L33" i="13"/>
  <c r="L28" i="13"/>
  <c r="L4" i="13"/>
  <c r="L6" i="13"/>
  <c r="L65" i="13"/>
  <c r="L160" i="13"/>
  <c r="L143" i="13"/>
  <c r="L146" i="13"/>
  <c r="L21" i="13"/>
  <c r="L87" i="13"/>
  <c r="L125" i="13"/>
  <c r="L49" i="13"/>
  <c r="L32" i="13"/>
  <c r="L80" i="13"/>
  <c r="L39" i="13"/>
  <c r="L86" i="13"/>
  <c r="L72" i="13"/>
  <c r="L76" i="13"/>
  <c r="L133" i="13"/>
  <c r="L124" i="13"/>
  <c r="L136" i="13"/>
  <c r="L74" i="13"/>
  <c r="L97" i="13"/>
  <c r="L60" i="13"/>
  <c r="L105" i="13"/>
  <c r="L116" i="13"/>
  <c r="L82" i="13"/>
  <c r="L48" i="13"/>
  <c r="L54" i="13"/>
  <c r="L109" i="13"/>
  <c r="L56" i="13"/>
  <c r="L67" i="13"/>
  <c r="L88" i="13"/>
  <c r="L99" i="13"/>
  <c r="L9" i="13"/>
  <c r="L107" i="13"/>
  <c r="L46" i="13"/>
  <c r="L23" i="13"/>
  <c r="L31" i="13"/>
  <c r="L18" i="13"/>
  <c r="L135" i="13"/>
  <c r="L102" i="13"/>
  <c r="L112" i="13"/>
  <c r="L121" i="13"/>
  <c r="L134" i="13"/>
  <c r="L141" i="13"/>
  <c r="L103" i="13"/>
  <c r="L127" i="13"/>
  <c r="L85" i="13"/>
  <c r="L55" i="13"/>
  <c r="L24" i="13"/>
  <c r="L64" i="13"/>
  <c r="L68" i="13"/>
  <c r="L156" i="13"/>
  <c r="L26" i="13"/>
  <c r="K42" i="13"/>
  <c r="K40" i="13"/>
  <c r="K50" i="13"/>
  <c r="K108" i="13"/>
  <c r="K95" i="13"/>
  <c r="K90" i="13"/>
  <c r="K118" i="13"/>
  <c r="K27" i="13"/>
  <c r="K143" i="13"/>
  <c r="K131" i="13"/>
  <c r="K59" i="13"/>
  <c r="K39" i="13"/>
  <c r="K72" i="13"/>
  <c r="K144" i="13"/>
  <c r="K157" i="13"/>
  <c r="K106" i="13"/>
  <c r="K63" i="13"/>
  <c r="K67" i="13"/>
  <c r="K7" i="13"/>
  <c r="K47" i="13"/>
  <c r="K8" i="13"/>
  <c r="K11" i="13"/>
  <c r="K132" i="13"/>
  <c r="K81" i="13"/>
  <c r="K120" i="13"/>
  <c r="K134" i="13"/>
  <c r="M3" i="13"/>
  <c r="J26" i="13"/>
  <c r="M26" i="13"/>
  <c r="J53" i="13"/>
  <c r="J42" i="13"/>
  <c r="J40" i="13"/>
  <c r="J30" i="13"/>
  <c r="J50" i="13"/>
  <c r="J108" i="13"/>
  <c r="J95" i="13"/>
  <c r="J98" i="13"/>
  <c r="J90" i="13"/>
  <c r="J66" i="13"/>
  <c r="J62" i="13"/>
  <c r="J25" i="13"/>
  <c r="J22" i="13"/>
  <c r="J29" i="13"/>
  <c r="J41" i="13"/>
  <c r="J17" i="13"/>
  <c r="J45" i="13"/>
  <c r="J36" i="13"/>
  <c r="J111" i="13"/>
  <c r="J14" i="13"/>
  <c r="J33" i="13"/>
  <c r="J15" i="13"/>
  <c r="J28" i="13"/>
  <c r="J20" i="13"/>
  <c r="J149" i="13"/>
  <c r="J139" i="13"/>
  <c r="J75" i="13"/>
  <c r="J140" i="13"/>
  <c r="J114" i="13"/>
  <c r="J61" i="13"/>
  <c r="J117" i="13"/>
  <c r="J148" i="13"/>
  <c r="J118" i="13"/>
  <c r="J138" i="13"/>
  <c r="J154" i="13"/>
  <c r="J122" i="13"/>
  <c r="J16" i="13"/>
  <c r="J4" i="13"/>
  <c r="M4" i="13"/>
  <c r="J6" i="13"/>
  <c r="M6" i="13"/>
  <c r="J5" i="13"/>
  <c r="M5" i="13"/>
  <c r="J89" i="13"/>
  <c r="M89" i="13"/>
  <c r="J27" i="13"/>
  <c r="M27" i="13"/>
  <c r="J126" i="13"/>
  <c r="J65" i="13"/>
  <c r="M65" i="13"/>
  <c r="J153" i="13"/>
  <c r="J160" i="13"/>
  <c r="J143" i="13"/>
  <c r="J147" i="13"/>
  <c r="J131" i="13"/>
  <c r="J146" i="13"/>
  <c r="J19" i="13"/>
  <c r="M19" i="13"/>
  <c r="J21" i="13"/>
  <c r="M21" i="13"/>
  <c r="J87" i="13"/>
  <c r="M87" i="13"/>
  <c r="J125" i="13"/>
  <c r="M125" i="13"/>
  <c r="J58" i="13"/>
  <c r="M58" i="13"/>
  <c r="J49" i="13"/>
  <c r="M49" i="13"/>
  <c r="J79" i="13"/>
  <c r="M79" i="13"/>
  <c r="J92" i="13"/>
  <c r="M92" i="13"/>
  <c r="J94" i="13"/>
  <c r="M94" i="13"/>
  <c r="J77" i="13"/>
  <c r="M77" i="13"/>
  <c r="J32" i="13"/>
  <c r="M32" i="13"/>
  <c r="J80" i="13"/>
  <c r="M80" i="13"/>
  <c r="J59" i="13"/>
  <c r="M59" i="13"/>
  <c r="J100" i="13"/>
  <c r="M100" i="13"/>
  <c r="J39" i="13"/>
  <c r="M39" i="13"/>
  <c r="J86" i="13"/>
  <c r="J72" i="13"/>
  <c r="M72" i="13"/>
  <c r="J76" i="13"/>
  <c r="M76" i="13"/>
  <c r="J162" i="13"/>
  <c r="J144" i="13"/>
  <c r="M144" i="13"/>
  <c r="J133" i="13"/>
  <c r="J158" i="13"/>
  <c r="J157" i="13"/>
  <c r="M157" i="13"/>
  <c r="J124" i="13"/>
  <c r="J136" i="13"/>
  <c r="J129" i="13"/>
  <c r="J130" i="13"/>
  <c r="J159" i="13"/>
  <c r="J74" i="13"/>
  <c r="J97" i="13"/>
  <c r="J60" i="13"/>
  <c r="M60" i="13"/>
  <c r="J106" i="13"/>
  <c r="J105" i="13"/>
  <c r="M105" i="13"/>
  <c r="J63" i="13"/>
  <c r="M63" i="13"/>
  <c r="J115" i="13"/>
  <c r="J116" i="13"/>
  <c r="J123" i="13"/>
  <c r="J70" i="13"/>
  <c r="J82" i="13"/>
  <c r="J151" i="13"/>
  <c r="J78" i="13"/>
  <c r="J48" i="13"/>
  <c r="J54" i="13"/>
  <c r="M54" i="13"/>
  <c r="J51" i="13"/>
  <c r="J52" i="13"/>
  <c r="J109" i="13"/>
  <c r="M109" i="13"/>
  <c r="J84" i="13"/>
  <c r="J56" i="13"/>
  <c r="M56" i="13"/>
  <c r="J101" i="13"/>
  <c r="J67" i="13"/>
  <c r="M67" i="13"/>
  <c r="J88" i="13"/>
  <c r="J10" i="13"/>
  <c r="M10" i="13"/>
  <c r="J7" i="13"/>
  <c r="M7" i="13"/>
  <c r="J12" i="13"/>
  <c r="M12" i="13"/>
  <c r="J2" i="13"/>
  <c r="M2" i="13"/>
  <c r="J13" i="13"/>
  <c r="J34" i="13"/>
  <c r="M34" i="13"/>
  <c r="J47" i="13"/>
  <c r="J104" i="13"/>
  <c r="J57" i="13"/>
  <c r="J128" i="13"/>
  <c r="J142" i="13"/>
  <c r="J38" i="13"/>
  <c r="J8" i="13"/>
  <c r="J11" i="13"/>
  <c r="M11" i="13"/>
  <c r="J73" i="13"/>
  <c r="M73" i="13"/>
  <c r="J113" i="13"/>
  <c r="J99" i="13"/>
  <c r="J9" i="13"/>
  <c r="M9" i="13"/>
  <c r="J152" i="13"/>
  <c r="M152" i="13"/>
  <c r="J71" i="13"/>
  <c r="J91" i="13"/>
  <c r="M91" i="13"/>
  <c r="J107" i="13"/>
  <c r="M107" i="13"/>
  <c r="J46" i="13"/>
  <c r="M46" i="13"/>
  <c r="J83" i="13"/>
  <c r="M83" i="13"/>
  <c r="J23" i="13"/>
  <c r="M23" i="13"/>
  <c r="J31" i="13"/>
  <c r="M31" i="13"/>
  <c r="J96" i="13"/>
  <c r="M96" i="13"/>
  <c r="J18" i="13"/>
  <c r="M18" i="13"/>
  <c r="J135" i="13"/>
  <c r="J155" i="13"/>
  <c r="J150" i="13"/>
  <c r="J161" i="13"/>
  <c r="J132" i="13"/>
  <c r="M132" i="13"/>
  <c r="J102" i="13"/>
  <c r="J145" i="13"/>
  <c r="J112" i="13"/>
  <c r="J81" i="13"/>
  <c r="M81" i="13"/>
  <c r="J121" i="13"/>
  <c r="J120" i="13"/>
  <c r="J110" i="13"/>
  <c r="J163" i="13"/>
  <c r="M163" i="13"/>
  <c r="J134" i="13"/>
  <c r="J44" i="13"/>
  <c r="M44" i="13"/>
  <c r="J37" i="13"/>
  <c r="J141" i="13"/>
  <c r="J103" i="13"/>
  <c r="J119" i="13"/>
  <c r="J137" i="13"/>
  <c r="J127" i="13"/>
  <c r="J85" i="13"/>
  <c r="M85" i="13"/>
  <c r="J35" i="13"/>
  <c r="M35" i="13"/>
  <c r="J55" i="13"/>
  <c r="J24" i="13"/>
  <c r="M24" i="13"/>
  <c r="J64" i="13"/>
  <c r="J69" i="13"/>
  <c r="M69" i="13"/>
  <c r="J68" i="13"/>
  <c r="M68" i="13"/>
  <c r="J156" i="13"/>
  <c r="J93" i="13"/>
  <c r="J43" i="13"/>
  <c r="M43" i="1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<sst xmlns="http://schemas.openxmlformats.org/spreadsheetml/2006/main" count="11844" uniqueCount="705">
  <si>
    <t>ARTICULO</t>
  </si>
  <si>
    <t>UPC</t>
  </si>
  <si>
    <t>DESCRIPCIÓN</t>
  </si>
  <si>
    <t>PROVEEDOR</t>
  </si>
  <si>
    <t>FAMILIA</t>
  </si>
  <si>
    <t>SEGMENTO</t>
  </si>
  <si>
    <t>SABOR</t>
  </si>
  <si>
    <t>SUBCATEGORIA</t>
  </si>
  <si>
    <t>ESTATUS</t>
  </si>
  <si>
    <t>INNOVACION</t>
  </si>
  <si>
    <t>ZYN SPEARMINT 6MG STRONG CAJETILLA PZ</t>
  </si>
  <si>
    <t>PMI</t>
  </si>
  <si>
    <t>ZYN</t>
  </si>
  <si>
    <t>ORAL</t>
  </si>
  <si>
    <t>F&amp;S</t>
  </si>
  <si>
    <t>NICOTINE POUCHES</t>
  </si>
  <si>
    <t>Activo</t>
  </si>
  <si>
    <t>ZYN SPEARMINT 3MG MEDIUM CAJETILLA PZ</t>
  </si>
  <si>
    <t>ZYN SPEARMINIT 1.5MG LOW CAJETILLA PZ</t>
  </si>
  <si>
    <t>ZYN PEACH 6MG STRONG LATA PZ</t>
  </si>
  <si>
    <t>ZYN PEACH 3MG MEDIUM LATA PZ</t>
  </si>
  <si>
    <t>ZYN ESPRESSINO MINI STRONG UNIDAD PZ</t>
  </si>
  <si>
    <t>ZYN ESPRESSINO MINI MEDIUM CAJETILLA PZ</t>
  </si>
  <si>
    <t>ZYN COOL MINT MINI STRONG UNIDAD PZ</t>
  </si>
  <si>
    <t>ZYN COOL MINT MINI MEDIUM CAJETILLA PZ</t>
  </si>
  <si>
    <t>ZYN COOL MINT 1.5MG LOW LATA PZ</t>
  </si>
  <si>
    <t>ZYN CITRUS MINI STRONG UNIDAD PZ</t>
  </si>
  <si>
    <t>ZYN CITRUS MINI MEDIUM CAJETILLA PZ</t>
  </si>
  <si>
    <t>ZYN BLACK CHERRY MINI STRONG UNIDAD PZ</t>
  </si>
  <si>
    <t>ZYN BLACK CHERRY MINI MEDIUM CAJETILLA PZ</t>
  </si>
  <si>
    <t>ZYN BLACK CHERRY 1.5MG LOW LATA PZ</t>
  </si>
  <si>
    <t>WINSTON WINSTON RED 25S 1 PZ</t>
  </si>
  <si>
    <t>JTI</t>
  </si>
  <si>
    <t>BYE</t>
  </si>
  <si>
    <t>BUL</t>
  </si>
  <si>
    <t>FULL FLAVOR</t>
  </si>
  <si>
    <t>CIGARROS</t>
  </si>
  <si>
    <t>WINSTON WINSTON RED 20S 1 PZ</t>
  </si>
  <si>
    <t>WINSTON WINSTON CLASSIC 25S 25 PZ</t>
  </si>
  <si>
    <t>PREMIUM</t>
  </si>
  <si>
    <t>WINSTON CIGARR CLASSIC  14S CAJET</t>
  </si>
  <si>
    <t>LOW</t>
  </si>
  <si>
    <t>WINSTON CIGARR BLUE 20S CAJET</t>
  </si>
  <si>
    <t>LUCKIES 20S</t>
  </si>
  <si>
    <t>BAT</t>
  </si>
  <si>
    <t>LUCKY STRIKE</t>
  </si>
  <si>
    <t>VFM</t>
  </si>
  <si>
    <t>LUCKIES 25S</t>
  </si>
  <si>
    <t>LUCKY STRIKE 20S ME TDC 1PZ</t>
  </si>
  <si>
    <t>LUCKY STRIKE AMARILLOS 20S</t>
  </si>
  <si>
    <t>LUCKY STRIKE AMARILLOS 25S</t>
  </si>
  <si>
    <t>LUCKY STRIKE CLICK 4 MIX</t>
  </si>
  <si>
    <t>ME</t>
  </si>
  <si>
    <t>LUCKY STRIKE COMET 20S 1 CAJETILLA</t>
  </si>
  <si>
    <t>MENTHOL</t>
  </si>
  <si>
    <t>LUCKY STRIKE ENIGMA 100S 1PZ</t>
  </si>
  <si>
    <t>LUCKY STRIKE LUCKIES STICK 20S 20 PZ</t>
  </si>
  <si>
    <t>LUCKY STRIKE OR255 PPROMO 1PZ</t>
  </si>
  <si>
    <t>FF</t>
  </si>
  <si>
    <t>LUCKY STRIKE ORIGINAL FF 20S TUBE</t>
  </si>
  <si>
    <t>MONTANA CLASSI 14S 1 CAJETILLA</t>
  </si>
  <si>
    <t>MONTANA</t>
  </si>
  <si>
    <t>MONTANA CLASSI 20S 1 CAJETILLA</t>
  </si>
  <si>
    <t>MONTANA SHOTS 15S 1PZ</t>
  </si>
  <si>
    <t>MONTANA SHOTS 1PZ</t>
  </si>
  <si>
    <t>MONTANA SHOTS CLASSICS 25 PZ</t>
  </si>
  <si>
    <t>PALL MALL ALASKA DUSK 15</t>
  </si>
  <si>
    <t>PALL MALL</t>
  </si>
  <si>
    <t>PALL MALL ALASKA DUSK 20</t>
  </si>
  <si>
    <t>PALL MALL ARUBA 20 PZ</t>
  </si>
  <si>
    <t>HTP</t>
  </si>
  <si>
    <t>LOW-TAR</t>
  </si>
  <si>
    <t>PALL MALL BORA BORA SUNBREAK 20 PZ</t>
  </si>
  <si>
    <t>TEREA TWILIGHT PEARL 20 CAJETILLA PZ</t>
  </si>
  <si>
    <t>TEREA</t>
  </si>
  <si>
    <t>HTP FLAVOUR</t>
  </si>
  <si>
    <t>TEREA SUN PEARL CAJETILLA PZ</t>
  </si>
  <si>
    <t>TEREA SIENNA CAJETILLA PZ</t>
  </si>
  <si>
    <t>TEREA RUSSET CAJETILLA PZ</t>
  </si>
  <si>
    <t>TEREA PROVENCE PEARL MNT 20 CAJETILLA PZ</t>
  </si>
  <si>
    <t>TEREA GLACIER PEARL 20 CAJETILLA PZ</t>
  </si>
  <si>
    <t>TEREA BRONZE CAJETILLA PZ</t>
  </si>
  <si>
    <t>TEREA BLUE CAJETILLA PZ</t>
  </si>
  <si>
    <t>TEREA BLACK TROPICAL CAJETILLA PZ</t>
  </si>
  <si>
    <t>TEREA BLACK PURPLE CAJETILLA PZ</t>
  </si>
  <si>
    <t>TEREA AMBER CAJETILLA PZ</t>
  </si>
  <si>
    <t>TE AMO PURO NUM 4 NATURAL PZ</t>
  </si>
  <si>
    <t>PUROS</t>
  </si>
  <si>
    <t>TE AMO PURO MINIPERFECTO CAJET</t>
  </si>
  <si>
    <t>SMOKING PAPEL ZIGZAG RED 1 PZ</t>
  </si>
  <si>
    <t>PURO SANTA CRUZ PZ</t>
  </si>
  <si>
    <t>PURO MATACAN ROBUSTO IND</t>
  </si>
  <si>
    <t>PURO HABANA PZ</t>
  </si>
  <si>
    <t>PURO ARTIGAS BLACK PZ</t>
  </si>
  <si>
    <t>PURITO HABANA GOLD VA PZ</t>
  </si>
  <si>
    <t>PRINCIPE PURO FOIL VAINILLA 1 PZ</t>
  </si>
  <si>
    <t>PRINCIPE PURO FOIL NATURAL 1 PZ</t>
  </si>
  <si>
    <t>PRINCIPE PURO FOIL CHOCOLATE 1 PZ</t>
  </si>
  <si>
    <t>PRINCIPE PURO FOIL CEREZA 1 PZ</t>
  </si>
  <si>
    <t>PALL MALL CLASSICS 20</t>
  </si>
  <si>
    <t>ULTRA LOW</t>
  </si>
  <si>
    <t>PALL MALL CLASSICS 25 PZ</t>
  </si>
  <si>
    <t>PALL MALL EX CLASSI 14S 1 CAJETILLA</t>
  </si>
  <si>
    <t>PALL MALL EX GOLD C 14S 1 CAJETILLA</t>
  </si>
  <si>
    <t>PALL MALL EX GOLD C 20S 1 CAJETILLA</t>
  </si>
  <si>
    <t>PALL MALL EX RED 15 1 CAJETILLA</t>
  </si>
  <si>
    <t>PALL MALL EX WHITE 15 1 CAJETILLA</t>
  </si>
  <si>
    <t>PALL MALL GOLD SELECT 14 PZ</t>
  </si>
  <si>
    <t>PALL MALL TOKYO ROADTRIP CAN 20 PZ</t>
  </si>
  <si>
    <t>Descontinuado (con stock)</t>
  </si>
  <si>
    <t>PALL MALL HAWAII 20S 1 CAJETILLA</t>
  </si>
  <si>
    <t>PALL MALL HAWAII SUNLIGHT 15 PZ</t>
  </si>
  <si>
    <t>PALL MALL HONOLULU 20 PZ</t>
  </si>
  <si>
    <t>PALL MALL ICELAND 20 PZ</t>
  </si>
  <si>
    <t>PALL MALL LONDON 20S 1 CAJETILLA</t>
  </si>
  <si>
    <t>PALL MALL MYKONOS NIGHTFALL 20</t>
  </si>
  <si>
    <t>PALL MALL NEW YORK 20</t>
  </si>
  <si>
    <t>PALL MALL OSAKA 20 PZ</t>
  </si>
  <si>
    <t>PALL MALL PALL MALL GOLD SELECT 20 PZ</t>
  </si>
  <si>
    <t>PALL MALL PALL MALL RED SELECT 25 PZ</t>
  </si>
  <si>
    <t>PALL MALL PALL MALL SELECT 14 PZ</t>
  </si>
  <si>
    <t>PALL MALL PALL MALL SELECT 20 PZ</t>
  </si>
  <si>
    <t>PALL MALL MYKONOS ROADTRIP CAN 20 PZ</t>
  </si>
  <si>
    <t>PALL MALL PM MANILA DAYLIGHT 20 PZ</t>
  </si>
  <si>
    <t>PALL MALL MIAMI ROADTRIP CAN 20 PZ</t>
  </si>
  <si>
    <t>PALL MALL MANILA ROADTRIP CAN 20 PZ</t>
  </si>
  <si>
    <t>PALL MALL RED 15 1PZ</t>
  </si>
  <si>
    <t>PALL MALL RED 20</t>
  </si>
  <si>
    <t>PALL MALL HAWAII ROADTRIP CAN 20 PZ</t>
  </si>
  <si>
    <t>PALL MALL RED 25 1PZ</t>
  </si>
  <si>
    <t>PALL MALL RED AND CLICK 20</t>
  </si>
  <si>
    <t>PALL MALL TOKIO MIDNIGHT 15S</t>
  </si>
  <si>
    <t>PALL MALL TOKYO MIDNIGHT 20</t>
  </si>
  <si>
    <t>PALL MALL WHITE 15 1PZ</t>
  </si>
  <si>
    <t>PALL MALL WHITE 20</t>
  </si>
  <si>
    <t>PALL MALL WHITE AND CLICK 20</t>
  </si>
  <si>
    <t>LI</t>
  </si>
  <si>
    <t>PALL MALL XL ALASKA 15S 1 CAJETILLA</t>
  </si>
  <si>
    <t>PALL MALL XL MIAMI PARADISE 20S 20 PZ</t>
  </si>
  <si>
    <t>VAPOUR FLAVOUR</t>
  </si>
  <si>
    <t>PALL MALL XL MYKONO 15S 1 CAJETILLA</t>
  </si>
  <si>
    <t>PALL MALL BORA BORA ROADTRIP CAN 20 PZ</t>
  </si>
  <si>
    <t>PALL MALL ALASKA ROADTRIP CAN 20 PZ</t>
  </si>
  <si>
    <t>PALL MALL XL RÍO SU 20S 1 CAJETILLA</t>
  </si>
  <si>
    <t>PALL MALL XL TOKYO 15S 1 CAJETILLA</t>
  </si>
  <si>
    <t>VELO CHERRY ICE 6 MG 15 PZ</t>
  </si>
  <si>
    <t>VELO</t>
  </si>
  <si>
    <t>VELO CHERRY ICE 6 MG TC COLOR 15 PZ</t>
  </si>
  <si>
    <t>VELO GREEN SPEARMINT 4 MG 15 PZ</t>
  </si>
  <si>
    <t>VELO GREEN SPEARMINT 4 MG TC BK 15 PZ</t>
  </si>
  <si>
    <t>VELO GREEN SPEARMINT 6 MG 15 PZ</t>
  </si>
  <si>
    <t>MINITIP CIGARR VAINILLA 1 PZ</t>
  </si>
  <si>
    <t>MAZATAN PURO TORO PZ</t>
  </si>
  <si>
    <t>MAZATAN PURO PETTITE PANATELA PZ</t>
  </si>
  <si>
    <t>MATACAN PURO NO.7 CAJET</t>
  </si>
  <si>
    <t>MARLBORO VISTA SUMMER FUSIO 1 CAJETILLA</t>
  </si>
  <si>
    <t>MARLBORO VISTA</t>
  </si>
  <si>
    <t>MARLBORO VISTA GARDEN 20 1 CAJETILLA</t>
  </si>
  <si>
    <t>MARLBORO VISTA ARTIC 20 1 CAJETILLA</t>
  </si>
  <si>
    <t>MARLBORO VISTA  CARIBBEAN 1 CAJETILLA</t>
  </si>
  <si>
    <t>MARLBORO VELVET 100 BOX 20 1 CAJETILLA</t>
  </si>
  <si>
    <t>MARLBORO</t>
  </si>
  <si>
    <t>MARLBORO URBAN SHUFFLE 100 BOX 20 CAJETILLA PZ</t>
  </si>
  <si>
    <t>MARLBORO RUBY 14 1CAJETILLA</t>
  </si>
  <si>
    <t>MARLBORO RUBY 100 BOX 20 1CAJE</t>
  </si>
  <si>
    <t>MARLBORO RED 100 CAPS 14 1CAJE</t>
  </si>
  <si>
    <t>MARLBORO PROVENCE FUSION MNT 100 BOX 20 CAJETILLA PZ</t>
  </si>
  <si>
    <t>MARLBORO MARLBORO CRAFTED RED 2.0 100 BOX 20 CAJETILLA PZ</t>
  </si>
  <si>
    <t>MARLBORO CRAFTED</t>
  </si>
  <si>
    <t>MARLBORO MARLBORO CRAFTED 2.0 GOLD 100 BOX 20 CAJETILLA PZ</t>
  </si>
  <si>
    <t>MARLBORO LUNA SHUFFLE 100 BOX 20 STD CAJETILLA PZ</t>
  </si>
  <si>
    <t>MARLBORO KRETEK MINT</t>
  </si>
  <si>
    <t>MARLBORO GOLD KS SRR 14 1 CAJETILLA</t>
  </si>
  <si>
    <t>MARLBORO GOLD KS SOF 20 1 CAJETILLA</t>
  </si>
  <si>
    <t>MARLBORO GOLD 20 RCB 1CAJE</t>
  </si>
  <si>
    <t>MARLBORO FUSION SUMMER 100BOX 1CAJ</t>
  </si>
  <si>
    <t>MARLBORO FOREST FUSION CAJETILLA PZ</t>
  </si>
  <si>
    <t>MARLBORO CRAFTED 25S CAJETILLA</t>
  </si>
  <si>
    <t>MARLBORO CRAFTED 20S CAJETILLA</t>
  </si>
  <si>
    <t>MARLBORO CRAFTED 2.0 GOLD KS BOX 20</t>
  </si>
  <si>
    <t>MARLBORO CRAFTED 15S CAJETILLAPZ</t>
  </si>
  <si>
    <t>MARLBORO CIGARR ROJO CL CS CAJET</t>
  </si>
  <si>
    <t>MARLBORO CIGARR ROJO CD CAJET</t>
  </si>
  <si>
    <t>MARLBORO CIGARR ROJO 14S CD CAJET</t>
  </si>
  <si>
    <t>MARLBORO CIGARR ICEEXPRESS CAJET</t>
  </si>
  <si>
    <t>MARLBORO CIGARR ICE XPRESS 14 CAJET</t>
  </si>
  <si>
    <t>MARLBORO CIGARR GOLD 100S CAJET</t>
  </si>
  <si>
    <t>MARLBORO CIGARR GOLD 100 14S CAJET</t>
  </si>
  <si>
    <t>MARLBORO CIGARR 100S CD CAJET</t>
  </si>
  <si>
    <t>MARLBORO BLOSSO VISTA BLOSSOM 1 CAJETILLA</t>
  </si>
  <si>
    <t>MAGNIFICOS PURO CAJET</t>
  </si>
  <si>
    <t>VELO GREEN SPEARMINT 6MG TC COLOR 15 PZ</t>
  </si>
  <si>
    <t>VELO GREEN SPEARMINT 8 MG 20 PZ</t>
  </si>
  <si>
    <t>VELO POLAR PEPPERMINT 4 MG 15 PZ</t>
  </si>
  <si>
    <t>VELO POLAR PEPPERMINT 4 MG TC BK 15 PZ</t>
  </si>
  <si>
    <t>VELO POLAR PEPPERMINT 6 MG 15 PZ</t>
  </si>
  <si>
    <t>VELO POLAR PEPPERMINT 6MG TC COLOR 15 PZ</t>
  </si>
  <si>
    <t>VELO POLAR PEPPERMINT 8 MG 20 PZ</t>
  </si>
  <si>
    <t>VELO PURPLE GRAPE 6MG 15 PZ</t>
  </si>
  <si>
    <t>VELO PURPLE GRAPE 6MG TC COLOR 15 PZ</t>
  </si>
  <si>
    <t>VELO STRAWBERRY ICE 4 MG 15 PZ</t>
  </si>
  <si>
    <t>VELO STRAWBERRY ICE 4 MG TC BK 15 PZ</t>
  </si>
  <si>
    <t>LM LM 25S 25S 1 CAJETILLA</t>
  </si>
  <si>
    <t>L&amp;M</t>
  </si>
  <si>
    <t>LM LM 14S 14S 1 CAJETILLA</t>
  </si>
  <si>
    <t>LAGUNAS PURO C/5 PZAS CAJET</t>
  </si>
  <si>
    <t>L&amp;M RED KS BOX 20 1 CAJETILLA</t>
  </si>
  <si>
    <t>KING EDWARD PURO  ORIGINAL 1 PZ</t>
  </si>
  <si>
    <t>KAYAK TABACO MASTICABLE STRAIGH 34.02</t>
  </si>
  <si>
    <t>HUMIDIBG PURO PLATINUM CAJET</t>
  </si>
  <si>
    <t>GOLD SOFT PUROS HAB GOLD SOFT PZ</t>
  </si>
  <si>
    <t>GOLD SOFT PUROS GOLD SOFT VAIN PZ</t>
  </si>
  <si>
    <t>GOLD SOFT PURO PZ</t>
  </si>
  <si>
    <t>FAROS FAROS KS BOX 25 CAJETILLA PZ</t>
  </si>
  <si>
    <t>FAROS</t>
  </si>
  <si>
    <t>FAROS FAROS FAROS 14 1 CAJETILLA</t>
  </si>
  <si>
    <t>DELICADOS CIGARR OVALADOS CAJET</t>
  </si>
  <si>
    <t>CAMEL SWITCH 100S 27.4 G</t>
  </si>
  <si>
    <t xml:space="preserve">CAMEL NATURAL FLAVOR 20						</t>
  </si>
  <si>
    <t>CAMEL MAX DOUBLE 1 27.4 G</t>
  </si>
  <si>
    <t>CAMEL FILTERS 20S 1CAJE</t>
  </si>
  <si>
    <t>CAMEL CAMEL TROPICAL BREW DOBLE CÁPSULA 20 PZ</t>
  </si>
  <si>
    <t>CAMEL CAMEL FILTERS ORIGINAL 25S 29 GR</t>
  </si>
  <si>
    <t>BENSON&amp;HEDGES PEARL CAPS CAJETILLA</t>
  </si>
  <si>
    <t>BENSON&amp;HEDGES</t>
  </si>
  <si>
    <t>BENSON&amp;HEDGES CRYSTAL BLUE PZ</t>
  </si>
  <si>
    <t>BENSON&amp;HEDGE GOLD PEARL</t>
  </si>
  <si>
    <t>BENSON&amp;HEDGE GOLD 100 RCB 20 1CAJE</t>
  </si>
  <si>
    <t>BENSON&amp;HEDGE CRYSTAL VIOLET PZ</t>
  </si>
  <si>
    <t>BENSON&amp;HEDGE CIGARR MENTHOL CD CAJET</t>
  </si>
  <si>
    <t xml:space="preserve">ARTIGAS/CARL PURO MIX ROBUSTO SABOR  50GR					</t>
  </si>
  <si>
    <t xml:space="preserve">ARTIGAS/CARL PURO MIX PLUS ROBUSTO M 50GR					</t>
  </si>
  <si>
    <t>ARTIGAS/CARL PURO MIX PLUS ROBUSTO G 50GR</t>
  </si>
  <si>
    <t xml:space="preserve">ARTIGAS/CARL PURO MIX PLUS CORONA MA 40GR						</t>
  </si>
  <si>
    <t>ARTIGAS/CARL PURO MIX PLUS CORONA GO 40GR</t>
  </si>
  <si>
    <t xml:space="preserve">ARTIGAS/CARL PURO MIX PLUS BELICOSO  50GR				</t>
  </si>
  <si>
    <t xml:space="preserve">ARTIGAS/CARL PURO MIX CORONA SABOR C 40GR				</t>
  </si>
  <si>
    <t xml:space="preserve">ARTIGAS/CARL PURO MIX BELICOSO T/C H 50GR									</t>
  </si>
  <si>
    <t xml:space="preserve"> IQOS ILUMA PEBBLE GREY CAJETILLA PZ</t>
  </si>
  <si>
    <t>NA</t>
  </si>
  <si>
    <t xml:space="preserve"> IQOS ILUMA ONE SUNSET RED - CAJETILLA PZ</t>
  </si>
  <si>
    <t xml:space="preserve"> IQOS ILUMA ONE PEBBLE GREY CAJETILLA PZ</t>
  </si>
  <si>
    <t>IQOS</t>
  </si>
  <si>
    <t xml:space="preserve"> IQOS ILUMA ONE AZURE BLUE CAJETILLA PZ</t>
  </si>
  <si>
    <t xml:space="preserve"> IQOS ILUMA MOSS GREEN CAJETILLA PZ</t>
  </si>
  <si>
    <t xml:space="preserve"> IQOS ILUMA AZURE BLUE CAJETILLA PZ</t>
  </si>
  <si>
    <t>WINSTON WINSTO WATERMELON 100S 1CAJE</t>
  </si>
  <si>
    <t>Inactivo</t>
  </si>
  <si>
    <t xml:space="preserve">WINSTON CLASSIC 25S		</t>
  </si>
  <si>
    <t>WINSTON CIGARR CLASSIC 20S CAJET</t>
  </si>
  <si>
    <t>WINSTON CIGARR BLUE 14S CAJET</t>
  </si>
  <si>
    <t>VUSE VIVID STRAWBERRY ICE 18 MG 1 PZ</t>
  </si>
  <si>
    <t>VAPOUR</t>
  </si>
  <si>
    <t>VUSE VIVID MINT ICE 18 MG 1 PZ</t>
  </si>
  <si>
    <t>VUSE VIVID MINT ICE 0 MG 1 PZ</t>
  </si>
  <si>
    <t>VUSE VIVID BLUEBERRY ICE 18 MG 1 PZ</t>
  </si>
  <si>
    <t>VUSE V- PODPACK STRAWBERRY ICE 20 MG 1 PZ</t>
  </si>
  <si>
    <t>VUSE V- PODPACK MENTHOL ICE 20 MG 1 PZ</t>
  </si>
  <si>
    <t>VUSE V- PODPACK MENTHOL ICE 0 MG 1 PZ</t>
  </si>
  <si>
    <t>VUSE V- PODPACK BLUEBERRY ICE 20 MG 1 PZ</t>
  </si>
  <si>
    <t>VUSE GRAPHITE BLACK DEVICE 1 PZ</t>
  </si>
  <si>
    <t>VUSE GO RELOAD BLACK 1 PZ</t>
  </si>
  <si>
    <t>VUSE GO 700 MANGO ICE 34 MG 1 PZ</t>
  </si>
  <si>
    <t>VUSE GO 700 GRAPE ICE 34 MG 1 PZ</t>
  </si>
  <si>
    <t>VUSE GO 700 BLUEBERRY ICE 34 MG 1 PZ</t>
  </si>
  <si>
    <t>VUSE GO 700 BERRY BLEND 34 MG 1 PZ</t>
  </si>
  <si>
    <t>VUSE GO 5000 MENTHOL ICE 34 MG/ML 1 PZ</t>
  </si>
  <si>
    <t>VUSE GO 5000 GREEN APPLE 34 MG/ML 1 PZ</t>
  </si>
  <si>
    <t>VUSE GO 5000 BLUEBERRY RASPBERRY 34 MGML 1 PZ</t>
  </si>
  <si>
    <t>VUSE GO 5000 BLUEBERRY RASPBERRY 34 MG/ML 1 PZ</t>
  </si>
  <si>
    <t>VUSE GO 5000 BLUEBERRY ICE 34 MGML 1 PZ</t>
  </si>
  <si>
    <t>VUSE GO 5000 BLUEBERRY ICE 34 MG/ML 1 PZ</t>
  </si>
  <si>
    <t>VUSE GO 5000 BERRY BLEND 34 MGML 1 PZ</t>
  </si>
  <si>
    <t>VUSE GO 5000 BERRY BLEND 34 MG/ML 1 PZ</t>
  </si>
  <si>
    <t>VUSE GO 5000 BANANA ICE 34 MGML 1 PZ</t>
  </si>
  <si>
    <t>VUSE GO 5000 BANANA ICE 34 MG/ML 1 PZ</t>
  </si>
  <si>
    <t>VUSE GO 3000 MENTHOL ICE 34 MG 1 PZ</t>
  </si>
  <si>
    <t>VUSE GO 3000 HAZELNUT MACCHIATO 34 MG 1 PZ</t>
  </si>
  <si>
    <t>VUSE GO 3000 BLUEBERRY ICE 34 MG 1 PZ</t>
  </si>
  <si>
    <t>VUSE GO 3000 BLUE RASPBERRY 34 MG 1 PZ</t>
  </si>
  <si>
    <t>VUSE GO 3000 BERRY BLEND 34 MG 1 PZ</t>
  </si>
  <si>
    <t>VUSE GO 3000 APPLE SOUR 34 MG 1 PZ</t>
  </si>
  <si>
    <t>VUSE GO 1000 MENTHOL ICE 34 MGML 1 PZ</t>
  </si>
  <si>
    <t>VUSE GO 1000 MANGO ICE 34 MG/ML 1 PZ</t>
  </si>
  <si>
    <t>VUSE GO 1000 GRAPE ICE 34 MG/ML 1 PZ</t>
  </si>
  <si>
    <t>VUSE GO 1000 GOLDEN BLEND  1 PZ</t>
  </si>
  <si>
    <t>VUSE GO 1000 BLUEBERRY ICE 34 MGML 1 PZ</t>
  </si>
  <si>
    <t>VUSE GO 1000 BLUEBERRY ICE 34 MG/ML 1 PZ</t>
  </si>
  <si>
    <t>VUSE GO 1000 BERRY BLEND 34 MGML 1 PZ</t>
  </si>
  <si>
    <t>VUSE GO 1000 BERRY BLEND 34 MG/ML 1 PZ</t>
  </si>
  <si>
    <t>VUSE EPOD2 VANILLA MEDLEY 0MG 1 PZ</t>
  </si>
  <si>
    <t>VUSE EPOD2 STRAWBERRY 18MG 1 PZ</t>
  </si>
  <si>
    <t>VUSE EPOD2 STRAWBERRY 0MG 1 PZ</t>
  </si>
  <si>
    <t>VUSE EPOD2 GOLDEN TOBACCO 0MG 1 PZ</t>
  </si>
  <si>
    <t>VUSE EPOD2 DARK CHERRY 0MG 1 PZ</t>
  </si>
  <si>
    <t>VUSE EPOD2 CUCUMBER FIZZ 0MG 1 PZ</t>
  </si>
  <si>
    <t>VUSE EPOD2 CLASSICS BLUEBERRY 0MG 1 PZ</t>
  </si>
  <si>
    <t>VUSE EPOD2  VANILLA MEDLEY 34M 1 PZ</t>
  </si>
  <si>
    <t>VUSE EPOD2  VANILLA MEDLEY 18M 1 PZ</t>
  </si>
  <si>
    <t>VUSE EPOD2  SUMMER BLUEBERRY 3 1 PZ</t>
  </si>
  <si>
    <t>VUSE EPOD2  SUMMER BLUEBERRY 1 1 PZ</t>
  </si>
  <si>
    <t>VUSE EPOD2  GOLDEN BLEND 34MG 1 PZ</t>
  </si>
  <si>
    <t>VUSE EPOD2  GOLDEN BLEND 18MG 1 PZ</t>
  </si>
  <si>
    <t>VUSE EPOD2  DARK CHERRY 34MG 1 PZ</t>
  </si>
  <si>
    <t>VUSE EPOD2  DARK CHERRY 18MG 1 Pz</t>
  </si>
  <si>
    <t>VUSE EPOD2  CUCUMBER FIZZ 34MG 1 PZ</t>
  </si>
  <si>
    <t>VUSE EPOD2  CUCUMBER FIZZ 18MG 1 PZ</t>
  </si>
  <si>
    <t>VUSE EPOD2  CLASSIC WATERMELON 1 PZ</t>
  </si>
  <si>
    <t>VUSE EPOD2  CLASSIC MINT 34MG 1 PZ</t>
  </si>
  <si>
    <t>VUSE EPOD2  CLASSIC MINT 18MG 1 PZ</t>
  </si>
  <si>
    <t>VUSE EPOD2  CLASSIC MINT 0MG 1 PZ</t>
  </si>
  <si>
    <t>VUSE EPOD2  BLUSHED MANGO 34MG 1 PZ</t>
  </si>
  <si>
    <t>VUSE EPOD2  BLUSHED MANGO 18MG 1 PZ</t>
  </si>
  <si>
    <t>VUSE EPOD2  BLUSHED MANGO 0MG 1 PZ</t>
  </si>
  <si>
    <t>VUSE DISPOS GOLDEN  1 PZ</t>
  </si>
  <si>
    <t>VUSE DISPOS BLACK 1 PZ</t>
  </si>
  <si>
    <t>VUSE DEVICE ROSE GOLD 1 PZ</t>
  </si>
  <si>
    <t>VUSE  GO 700 MENTHOL ICE 34 MG 1 PZ</t>
  </si>
  <si>
    <t>VISTA BLOSSOM MIST 100 BOX 20 (LATA CENICERO '25)</t>
  </si>
  <si>
    <t>TEREA PURPLE CAJETILLA PZ</t>
  </si>
  <si>
    <t>TEREA GREEN ZING CAJETILLA PZ</t>
  </si>
  <si>
    <t>TEREA BLACK GREEN CAJETILLA PZ</t>
  </si>
  <si>
    <t>SALEM CIGARR MENTOLADOS CD CAJET</t>
  </si>
  <si>
    <t>PALL MALL XL WHITE&amp; CLICK 15S 1 CAJETILLA</t>
  </si>
  <si>
    <t>PALL MALL XL W&amp;C LATA 1 CAJETILLA</t>
  </si>
  <si>
    <t>PALL MALL XL RIO LA 20S 1 CAJETILLA</t>
  </si>
  <si>
    <t>PALL MALL XL RED &amp; CLICK 15S 1 CAJETILLA</t>
  </si>
  <si>
    <t>PALL MALL XL R&amp;C LATA 1 CAJETILLA</t>
  </si>
  <si>
    <t>PALL MALL XL ICEBER 20S 1 CAJETILLA</t>
  </si>
  <si>
    <t>PALL MALL XL FUJI 20S 1 CAJETILLA</t>
  </si>
  <si>
    <t xml:space="preserve">PALL MALL XL EXOTIC MIX 20S 1PZ									</t>
  </si>
  <si>
    <t>PALL MALL XL BLACK EDITION</t>
  </si>
  <si>
    <t>PALL MALL XL ATHENS 20S 1 CAJETILLA</t>
  </si>
  <si>
    <t>PALL MALL XL ARUBA SUNRISE 1PZ</t>
  </si>
  <si>
    <t>PALL MALL XL 99M MAUI CREPUSCULE 20 CAJ</t>
  </si>
  <si>
    <t>PALL MALL WHITE AND CLICK 15</t>
  </si>
  <si>
    <t>PALL MALL TOKYO SUNSHINE LATA 20 PZ</t>
  </si>
  <si>
    <t>PALL MALL TOKYO STRESS RELIEVER 20 PZ</t>
  </si>
  <si>
    <t>PALL MALL RED AND CLICK 15</t>
  </si>
  <si>
    <t>PALL MALL MYKONOS SUNSHINE LATA 20 PZ</t>
  </si>
  <si>
    <t>PALL MALL MYKONOS STRESS RELIEVER 20 PZ</t>
  </si>
  <si>
    <t>PALL MALL MYKONOS NIGHTFALL 15</t>
  </si>
  <si>
    <t>PALL MALL MIX PACK 20</t>
  </si>
  <si>
    <t>PALL MALL MIAMI STRESS RELIEVER 20 PZ</t>
  </si>
  <si>
    <t>PALL MALL LT TOK 20S 1 CAJETILLA</t>
  </si>
  <si>
    <t>PALL MALL LT RÍO 20S 1 CAJETILLA</t>
  </si>
  <si>
    <t>PALL MALL LT MYK 20S 1 CAJETILLA</t>
  </si>
  <si>
    <t>PALL MALL LT ALA 20S 1 CAJETILLA</t>
  </si>
  <si>
    <t>PALL MALL LONDON STRESS RELIEVER 20 PZ</t>
  </si>
  <si>
    <t>PALL MALL HAWAII SUNLIGHT STRESS RELIEVER 20 PZ</t>
  </si>
  <si>
    <t>PALL MALL HAWAII SUNLIGHT STRESS RELIEVER 15 PZ</t>
  </si>
  <si>
    <t>PALL MALL DS 20S 1PZ</t>
  </si>
  <si>
    <t>PALL MALL CIGARR XL MENTHOL CAJET</t>
  </si>
  <si>
    <t>PALL MALL CIGARR XL FRESH CAJET</t>
  </si>
  <si>
    <t>PALL MALL CIGARR XL 14S MENTHO CAJET</t>
  </si>
  <si>
    <t>PALL MALL CIGARR XL 14S FRESH CAJET</t>
  </si>
  <si>
    <t>PALL MALL CIGARR EXACTOS PLUS CAJET</t>
  </si>
  <si>
    <t>PALL MALL CIGARR EXACTOS LIGHT CAJET</t>
  </si>
  <si>
    <t>PALL MALL CALIFORNIA NIGHTS 20</t>
  </si>
  <si>
    <t>PALL MALL ARUBA 14S</t>
  </si>
  <si>
    <t>PALL MALL ALASKA SUNSHINE LATA 20 PZ</t>
  </si>
  <si>
    <t>PALL MALL ALASKA STRESS RELIEVER 20 PZ</t>
  </si>
  <si>
    <t>PALL MALL ALASKA STRESS RELIEVER 15 PZ</t>
  </si>
  <si>
    <t>PALL MALL 125 AÑOS CASE TOKYO 20 PZ</t>
  </si>
  <si>
    <t>PALL MALL 125 AÑOS CASE MYKONOS 20 PZ</t>
  </si>
  <si>
    <t>PALL MALL 125 AÑOS CASE MIAMI 20 PZ</t>
  </si>
  <si>
    <t>PALL MALL 125 AÑOS CASE LONDON 20 PZ</t>
  </si>
  <si>
    <t>PALL MALL 125 AÑOS CASE HAWAII 20 PZ</t>
  </si>
  <si>
    <t>PALL MALL 125 AÑOS CASE BORA BORA 20 PZ</t>
  </si>
  <si>
    <t>PALL MALL 125 AÑOS CASE ALASKA 20 PZ</t>
  </si>
  <si>
    <t>MONTANA SHOTS XL 20S 1 CAJETILLA</t>
  </si>
  <si>
    <t>MARLBORO WINTER SHUFFLE</t>
  </si>
  <si>
    <t>MARLBORO WINTER EDICION LIMITADA W 1 CAJETILLA</t>
  </si>
  <si>
    <t>MARLBORO VISTA SUMMER FUSION 100 BOX 20 LATA MEXICO 2024 CAJETILLA PZ</t>
  </si>
  <si>
    <t>MARLBORO VISTA PROVENCE FUSION 100 BOX 20 (LATA CENICERO '25) CAJETILLA PZ</t>
  </si>
  <si>
    <t>MARLBORO VISTA GARDEN FUSION 100 BOX 20 LATA MEXICO 2024 CAJETILLA PZ</t>
  </si>
  <si>
    <t>MARLBORO VISTA FOREST FUSION 100 BOX 20 LATA MEXICO 2024 CAJETILLA PZ</t>
  </si>
  <si>
    <t>MARLBORO VISTA FOREST FUSION 100 BOX 20 (LATA CENICERO '25) CAJETILLA PZ</t>
  </si>
  <si>
    <t>MARLBORO VISTA CARIBBEAN FUSION 100 BOX 20 LATA MEXICO 2024 CAJETILLA PZ</t>
  </si>
  <si>
    <t>MARLBORO VISTA CARIBBEAN FUSION 100 BOX 20 (LATA CENICERO '25) CAJETILLA PZ</t>
  </si>
  <si>
    <t>MARLBORO VISTA BLOSSOM 14´S CAJETILLAPZ</t>
  </si>
  <si>
    <t>MARLBORO VISTA BLOSSOM 100 BOX 20 LATA MEXICO 2024 CAJETILLA PZ</t>
  </si>
  <si>
    <t>MARLBORO VISTA ARTIC 14S CAJETILLAPZ</t>
  </si>
  <si>
    <t>MARLBORO TROPIC SHUFFLE 20 1 CAJETILLA</t>
  </si>
  <si>
    <t>MARLBORO TABACO REPOSADO GOLD</t>
  </si>
  <si>
    <t>MARLBORO SUMMER LPE SUMMER 1 CAJETILLA</t>
  </si>
  <si>
    <t>MARLBORO SUMMER LATA 23 CAJET PZ</t>
  </si>
  <si>
    <t>MARLBORO SUMMER FUSION MNT LATA DISCO 24 MARLBORO SUMMER LATA 24 DISCO CAJETILLA PZ</t>
  </si>
  <si>
    <t>MARLBORO SOL SHUFFLE MNT 100 BOX 20</t>
  </si>
  <si>
    <t>MARLBORO SHINE 100S 1 CAJETILLA</t>
  </si>
  <si>
    <t>MARLBORO SELECCION ARTESANAL 20</t>
  </si>
  <si>
    <t>MARLBORO SELECC ARTESANAL 14 1 CAJETILLA</t>
  </si>
  <si>
    <t>MARLBORO RUBYFRESH CAJET</t>
  </si>
  <si>
    <t>MARLBORO RED CA RED CAPS MEX 1 CAJETILLA</t>
  </si>
  <si>
    <t>MARLBORO MEXICO RED LS BOX MEXICO 1 CAJETILLA</t>
  </si>
  <si>
    <t>MARLBORO MEXICO LATA 1 CAJETILLA</t>
  </si>
  <si>
    <t>MARLBORO MEXICO GOLD KS 100 MEXICO 1 CAJETILLA</t>
  </si>
  <si>
    <t>MARLBORO LPE ME MEXICO SUMMER 1 CAJETILLA</t>
  </si>
  <si>
    <t>MARLBORO LPE ME MEXICO RED 1 CAJETILLA</t>
  </si>
  <si>
    <t>MARLBORO LPE ME MEXICO GOLD 1 CAJETILLA</t>
  </si>
  <si>
    <t xml:space="preserve">MARLBORO LPE ME MEXICO GARDEN 1 CAJETILLA	</t>
  </si>
  <si>
    <t>MARLBORO LPE ME MEXICO BLOSSOM 1 CAJETILLA</t>
  </si>
  <si>
    <t>MARLBORO LPE ME MEXICO ARCTIC 1 CAJETILLA</t>
  </si>
  <si>
    <t>MARLBORO LPE GO GOLD CAPS MEXICO 1 CAJETILLA</t>
  </si>
  <si>
    <t>MARLBORO LPE ARTIC CAJETILLAPZ</t>
  </si>
  <si>
    <t>MARLBORO LATAS  SUMMER DICIEMBRE  1 CAJETILLA</t>
  </si>
  <si>
    <t>MARLBORO LATAS  GARDEN DICIEMBRE  1 CAJETILLA</t>
  </si>
  <si>
    <t>MARLBORO LATAS  ARTIC DICIEMBRE  1 CAJETILLA</t>
  </si>
  <si>
    <t>MARLBORO LATA SUMMER MEXICO 1 CAJETILLA</t>
  </si>
  <si>
    <t>MARLBORO LATA L SUMMER 1 CAJETILLA</t>
  </si>
  <si>
    <t>MARLBORO LATA L GARDEN 1 CAJETILLA</t>
  </si>
  <si>
    <t>MARLBORO LATA L ARCTIC 1 CAJETILLA</t>
  </si>
  <si>
    <t>MARLBORO LATA GARDEN MEXICO 1 CAJETILLA</t>
  </si>
  <si>
    <t>MARLBORO LATA B BLOSSOM 1 CAJETILLA</t>
  </si>
  <si>
    <t>MARLBORO LATA B BLOSOM LPE 1 CAJETILLA</t>
  </si>
  <si>
    <t xml:space="preserve">MARLBORO GARDEN LPE GARDEN 1 CAJETILLA	</t>
  </si>
  <si>
    <t>MARLBORO GARDEN LATA 23 CAJET PZ</t>
  </si>
  <si>
    <t>MARLBORO FOREST FUSION MNT LATA DISCO 24</t>
  </si>
  <si>
    <t>MARLBORO EXOTIC VISTA EXOTIC 1 CAJETILLA</t>
  </si>
  <si>
    <t>MARLBORO CRAFTED 2.0 RED KS BOX 20 STD - VAO CAJETILLA PZ</t>
  </si>
  <si>
    <t>MARLBORO CRAFTE CRAFTED ARTESANAL  1 CAJETILLA</t>
  </si>
  <si>
    <t>MARLBORO CIGARRO 18 ROJO</t>
  </si>
  <si>
    <t>MARLBORO CIGARR TOUCH CAJET</t>
  </si>
  <si>
    <t>MARLBORO CIGARR ROJO CD CAJETBC</t>
  </si>
  <si>
    <t>MARLBORO CIGARR LIGTH EL CS CAJET</t>
  </si>
  <si>
    <t>MARLBORO CIGARR LIGHT FT CD CAJETBC</t>
  </si>
  <si>
    <t>MARLBORO CIGARR LIGHT FT CD CAJET</t>
  </si>
  <si>
    <t>MARLBORO CIGARR LIGHT 14S CD CAJET</t>
  </si>
  <si>
    <t>MARLBORO CIGARR FRESH CD CAJET</t>
  </si>
  <si>
    <t>MARLBORO CARIBBEAN LATA 23 CAJET PZ</t>
  </si>
  <si>
    <t>MARLBORO CARIBBEAN FUSION 100 BOX 14 CAJETILLA PZ</t>
  </si>
  <si>
    <t>MARLBORO CARIBB LPE CARIBBEAN 1 CAJETILLA</t>
  </si>
  <si>
    <t>MARLBORO BLOSSOM MIST MNT LATA DISCO 24 PZ</t>
  </si>
  <si>
    <t>MARLBORO BLOSSOM LATA 23 CAJET PZ</t>
  </si>
  <si>
    <t>MARLBORO BLOSSO LPE BLOSSOM 1 CAJETILLA</t>
  </si>
  <si>
    <t>MARLBORO ARTIC LATA 23 CAJET PZ</t>
  </si>
  <si>
    <t>MARLBORO ARCTIC LPE ARCTIC 1 CAJETILLA</t>
  </si>
  <si>
    <t>MARLBORO AMBER ADVANCE 1CAJ</t>
  </si>
  <si>
    <t>MARLBORO AMBER 100 BOX 20 1 CAJETILLA</t>
  </si>
  <si>
    <t>MARLBORO  MARLBORO CRAFTED 2.0 GOLD KS BOX 20 STD - VAO CAJETILLA PZ</t>
  </si>
  <si>
    <t>MALBORO ICE XPRESS</t>
  </si>
  <si>
    <t>LUCKY STRIKE ORIGINS RICH 20 PZ</t>
  </si>
  <si>
    <t>LUCKY STRIKE ORIGINS DARK 20 PZ</t>
  </si>
  <si>
    <t>LUCKY STRIKE ORIGINS BRIGHT 20 PZ</t>
  </si>
  <si>
    <t>LUCKY STRIKE ORIGINAL RED 20 PZ</t>
  </si>
  <si>
    <t>LUCKY STRIKE NOVA LATA 1 CAJETILLA</t>
  </si>
  <si>
    <t>LUCKY STRIKE NOVA 20S 1 CAJETILLA</t>
  </si>
  <si>
    <t>LUCKY STRIKE ME T+C FRESH 1PZ</t>
  </si>
  <si>
    <t>LUCKY STRIKE LATA CLÁSICA RED 20 PZ</t>
  </si>
  <si>
    <t>LUCKY STRIKE LATA CINEMA 25S 1 PZ</t>
  </si>
  <si>
    <t>LUCKY STRIKE FF DARK INFUSE LATA 20S</t>
  </si>
  <si>
    <t>LUCKY STRIKE FF BLOND INFUSE LATA 20S</t>
  </si>
  <si>
    <t>LUCKY STRIKE ENIGMA LATA 1 CAJETILLA</t>
  </si>
  <si>
    <t>LUCKY STRIKE ECLIPS LATA 1 CAJETILLA</t>
  </si>
  <si>
    <t>LUCKY STRIKE CONVERTIBLES ENIGMA PZ</t>
  </si>
  <si>
    <t>LUCKY STRIKE CAJA DURA</t>
  </si>
  <si>
    <t>LUCKY STRIKE BLOND 100S 1PZ</t>
  </si>
  <si>
    <t xml:space="preserve">LUCKY STRIKE 94MM WINTER STORM 1 CAJETILLA		</t>
  </si>
  <si>
    <t xml:space="preserve">LUCKY STRIKE 94MM SUNSHINE BLAST 1 CAJETILLA				</t>
  </si>
  <si>
    <t>LUCKY STRIKE 100S MYSTIC 1 CAJETILLA</t>
  </si>
  <si>
    <t>LUCKY STRIKE 100S ECLIPSE 20S 1 PZ</t>
  </si>
  <si>
    <t>LUCKY STRICKE ORIGINAL 145AÑOS PZ</t>
  </si>
  <si>
    <t>LUCKIE  STRIKE BLOND INFUSE 20S FF</t>
  </si>
  <si>
    <t>LM CIGARRO</t>
  </si>
  <si>
    <t>IQOS IQOS 3 IQOS DUO WHITE KIT 1 PZ</t>
  </si>
  <si>
    <t>IQOS HISOPO LIMPIADORES 1 CAJETILLA</t>
  </si>
  <si>
    <t xml:space="preserve">IQOS HISOPO GLICERINA  1 CAJETILLA	</t>
  </si>
  <si>
    <t>IQOS HISOPO 10 1 CAJETILLA</t>
  </si>
  <si>
    <t>IQOS DUO WH IQOS WHITE 1 CAJETILLA</t>
  </si>
  <si>
    <t>IQOS DUO GR IQOS GREY 1 CAJETILLA</t>
  </si>
  <si>
    <t>IQOS DUO GO IQOS GOLD 1 CAJETILLA</t>
  </si>
  <si>
    <t>IQOS DUO BL IQOS BLUE 1 CAJETILLA</t>
  </si>
  <si>
    <t>IQOS 3 IQOS DUO GREY KIT 1 PZ</t>
  </si>
  <si>
    <t>IQOS 3 IQOS DUO GOLD KIT 1 PZ</t>
  </si>
  <si>
    <t>IQOS 3 IQOS DUO BLUE KIT 1 PZ</t>
  </si>
  <si>
    <t>IQOS 2.4 NA IQOS 2.4 1 CAJETILLA</t>
  </si>
  <si>
    <t>HEETS YELLOW SELECTION 1 CAJETILLA</t>
  </si>
  <si>
    <t>HEETS TURQUO SELECTION 1 CAJETILLA</t>
  </si>
  <si>
    <t>HEETS SIENNA SELECTION 1 CAJETILLA</t>
  </si>
  <si>
    <t>HEETS RUSSET SELECTION 1 CAJETILLA</t>
  </si>
  <si>
    <t>HEETS PURPLE SELECTION 1 CAJETILLA</t>
  </si>
  <si>
    <t>HEETS GREEN ZING 1 CAJETILLA</t>
  </si>
  <si>
    <t>HEETS BRONZE SELECTION 1 CAJETILLA</t>
  </si>
  <si>
    <t>HEETS BLUE  SELECTION 1 CAJETILLA</t>
  </si>
  <si>
    <t>HEETS BLACK GREEN SELECTION S50 PRI 20 SLI</t>
  </si>
  <si>
    <t>HEETS AMBER SELECTION 1 CAJETILLA</t>
  </si>
  <si>
    <t>FAROS 20 1 CAJETILLA</t>
  </si>
  <si>
    <t>DELICADOS ORIGINALES 20 FAMILIARIZE 1CAJ</t>
  </si>
  <si>
    <t>DELICADOS ORIGINALES 20 ENDO 1CAJE</t>
  </si>
  <si>
    <t>DELICADOS FRESCOS 14S 1CAJ</t>
  </si>
  <si>
    <t>DELICADOS FRESCOS 14 FAMILIAR 1CAJ</t>
  </si>
  <si>
    <t>DELICADOS DELICA ORIGINAL 14S 1CAJE</t>
  </si>
  <si>
    <t>DELICADOS CLAROS 24 FAMILIAR 1CAJ</t>
  </si>
  <si>
    <t>DELICADOS CLAROS 24 ENDORSE 1CAJE</t>
  </si>
  <si>
    <t>DELICADOS CLAROS 24</t>
  </si>
  <si>
    <t>DELICADOS CLAROS 14 FAMILIAR 1CAJ</t>
  </si>
  <si>
    <t>DELICADOS CLAROS 14 ENDORSE 1CAJE</t>
  </si>
  <si>
    <t>DELICADOS CLAROS</t>
  </si>
  <si>
    <t>DELICADOS CIGARROS 24S CAJET</t>
  </si>
  <si>
    <t>DELICADOS CIGARR C/FILTRO LS20 CAJET</t>
  </si>
  <si>
    <t>DELICADOS CAPSULA</t>
  </si>
  <si>
    <t>DELICADOS 24 FAMILIARIZE 1CAJ</t>
  </si>
  <si>
    <t>DELICADOS 24 ENDORSE 1CAJE</t>
  </si>
  <si>
    <t>DELICADOS 14 ENDORSE 1CAJE</t>
  </si>
  <si>
    <t>CHESTERFIELD ROJO 14S CAJET</t>
  </si>
  <si>
    <t>CHESTERFIELD REMIX PASSION</t>
  </si>
  <si>
    <t>CHESTERFIELD REMIX  LATA PASSION 1 CAJETILLA</t>
  </si>
  <si>
    <t>CHESTERFIELD REMIX  LATA 20S 1 CAJETILLA</t>
  </si>
  <si>
    <t>CHESTERFIELD RED 16</t>
  </si>
  <si>
    <t>CHESTERFIELD PURPLE CAPS CAJET</t>
  </si>
  <si>
    <t>CHESTERFIELD ORIGINALES 24 1CAJE</t>
  </si>
  <si>
    <t>CHESTERFIELD ORIGINALES 20 1CAJ</t>
  </si>
  <si>
    <t>CHESTERFIELD ORIGINALES 14 1CAJ</t>
  </si>
  <si>
    <t>CHESTERFIELD ORIGIN STREET ART LATA 1 CAJETILLA</t>
  </si>
  <si>
    <t>CHESTERFIELD ORIGIN REMIX 100 1CAJE</t>
  </si>
  <si>
    <t>CHESTERFIELD ORIGIN 25 PERMANENT 1CAJE</t>
  </si>
  <si>
    <t xml:space="preserve">CHESTERFIELD ORIGIN 25 ENDORSEMENT 1CAJE									</t>
  </si>
  <si>
    <t>CHESTERFIELD ORIGIN 15 PERMANENT 1CAJE</t>
  </si>
  <si>
    <t>CHESTERFIELD MINT 14S CAJET</t>
  </si>
  <si>
    <t>CHESTERFIELD MINI CAPSULE</t>
  </si>
  <si>
    <t>CHESTERFIELD LPE OR LPE 125 1 CAJETILLA</t>
  </si>
  <si>
    <t>CHESTERFIELD LATA P REMIX PASSION 1 CAJETILLA</t>
  </si>
  <si>
    <t>CHESTERFIELD LATA F REMIX FRESH 1 CAJETILLA</t>
  </si>
  <si>
    <t>CHESTERFIELD INCOGN 1CAJE</t>
  </si>
  <si>
    <t>CHESTERFIELD CIGARR RED 20S</t>
  </si>
  <si>
    <t>CHESTERFIELD CIGAR BLUE 20S 1CJT</t>
  </si>
  <si>
    <t>CHESTERFIELD BLUE 24 1CAJE</t>
  </si>
  <si>
    <t>CHESTERFIELD BLUE 20 1CAJ</t>
  </si>
  <si>
    <t>CHESTERFIELD BLUE 14S CAJET</t>
  </si>
  <si>
    <t>CHESTERFIELD BLUE 14 1CAJ</t>
  </si>
  <si>
    <t>CAMEL FILTER LEP ANIMALS 20S 23 G</t>
  </si>
  <si>
    <t>CAMEL FILTER GREETINGS 20S 1 PZ</t>
  </si>
  <si>
    <t>CAMEL CIGARR WHITE 20S CAJET</t>
  </si>
  <si>
    <t>CAMEL CIGARR FF CD CAJET</t>
  </si>
  <si>
    <t>CAMEL CIGARR FF 100S CAJET</t>
  </si>
  <si>
    <t>CAMEL CIGARR ACTIVA LI CAJET</t>
  </si>
  <si>
    <t>CAMEL CIGARR 14S FF CD CAJET</t>
  </si>
  <si>
    <t>CAMEL CAMEL  FILTERS 14S 1CAJE</t>
  </si>
  <si>
    <t>CAMEL CAMEL  ACTIVA MINT PURPLE 1CAJE</t>
  </si>
  <si>
    <t>CAMEL CAMEL  ACTIVA 100S 1CAJE</t>
  </si>
  <si>
    <t>BENSON&amp;HEDGE LUX SA SAPPHIRE 1 CAJETILLA</t>
  </si>
  <si>
    <t>BENSON&amp;HEDGE LUX QU QUARTZ 1 CAJETILLA</t>
  </si>
  <si>
    <t>BENSON&amp;HEDGE LUX JA JADE 1 CAJETILLA</t>
  </si>
  <si>
    <t>BENSON&amp;HEDGE LUX AM AMBER 1 CAJETILLA</t>
  </si>
  <si>
    <t>BENSON&amp;HEDGE GOLD 100 SOF 20 1 CAJETILLA</t>
  </si>
  <si>
    <t>BENSON&amp;HEDGE GOLD 100 BOX 14 1CAJE</t>
  </si>
  <si>
    <t>BENSON&amp;HEDGE CIGARR MENTHOL CS CAJET</t>
  </si>
  <si>
    <t>BENSON&amp;HEDGE CIGARR MENTHOL 14S CAJET</t>
  </si>
  <si>
    <t>BENSON&amp;HEDGE CIGARR FF CD CAJET</t>
  </si>
  <si>
    <t>BENSON&amp;HEDGE CIGARR FF 14S CAJET</t>
  </si>
  <si>
    <t>BENSON&amp;HEDGE CIGARR CS CAJET</t>
  </si>
  <si>
    <t>BENSON &amp; HEDGES POLAR ICE</t>
  </si>
  <si>
    <t xml:space="preserve"> WINSTON OASIS FRES 27.4 G	</t>
  </si>
  <si>
    <t>TEREA RIVIERA PEARL 2 CAJETILLA PZ</t>
  </si>
  <si>
    <t>VELO STRAWBERRY ICE 6 MG 15 PZ</t>
  </si>
  <si>
    <t>VELO STRAWBERRY ICE 6MG TC COLOR 15 PZ</t>
  </si>
  <si>
    <t>VELO STRAWBERRY ICE 8 MG 20 PZ</t>
  </si>
  <si>
    <t>VELO SWEET PAPAYA 8 MG 20 PZ</t>
  </si>
  <si>
    <t>VELO TROPICAL MANGO 4 MG 15 PZ</t>
  </si>
  <si>
    <t>VELO TROPICAL MANGO 4MG TC BK 15 PZ</t>
  </si>
  <si>
    <t>VELO TROPICAL MANGO 6 MG 15 PZ</t>
  </si>
  <si>
    <t>VELO TROPICAL MANGO 6MG TC COLOR 15 PZ</t>
  </si>
  <si>
    <t>TEREA BERRINE EDITION 20 CAJETILLA PZ</t>
  </si>
  <si>
    <t>VELO TROPICAL MANGO 8 MG 20 PZ</t>
  </si>
  <si>
    <t>VELO WATERMELON ICE 6 MG 15 PZ</t>
  </si>
  <si>
    <t>MARLBORO CRAFTED BLOSSOM MIX 100</t>
  </si>
  <si>
    <t>VELO WATERMELON ICE 6MG TC COLOR 15 PZ</t>
  </si>
  <si>
    <t>MARLBORO CRAFTED SUMMER MIX 100</t>
  </si>
  <si>
    <t>MARLBORO CRAFTED ICE MIX</t>
  </si>
  <si>
    <t>IQOS ILUMA I ONE MIDNIGHT BLACK  PZ</t>
  </si>
  <si>
    <t>IQOS ILUMA I MIDNIGHT BLACK  PZ</t>
  </si>
  <si>
    <t>IQOS ILUMA I ONE BREEZE BLUE  PZ</t>
  </si>
  <si>
    <t>SKU</t>
  </si>
  <si>
    <t>Artículo</t>
  </si>
  <si>
    <t>Valor Inv</t>
  </si>
  <si>
    <t>Unidades</t>
  </si>
  <si>
    <t>VPTD</t>
  </si>
  <si>
    <t>DDI</t>
  </si>
  <si>
    <t>DEVICE</t>
  </si>
  <si>
    <t>VUSE GO 1000 MANGO ICE 34 MGML 1 PZ</t>
  </si>
  <si>
    <t>VUSE GO 1000 MENTHOL ICE 34 MG/ML 1 PZ</t>
  </si>
  <si>
    <t>Valor inventario</t>
  </si>
  <si>
    <t>UDS_INVENTARIO</t>
  </si>
  <si>
    <t xml:space="preserve">PAPEL </t>
  </si>
  <si>
    <t>MINITIP CIGARR CHERRY 1 PZ</t>
  </si>
  <si>
    <t>MINITIP</t>
  </si>
  <si>
    <t>GIZEH PAPEL  ZIGZAG 1 PZ</t>
  </si>
  <si>
    <t>IQOS ILUMA I BREEZE BLUE PZ</t>
  </si>
  <si>
    <t>SI</t>
  </si>
  <si>
    <t>WINSTON</t>
  </si>
  <si>
    <t>CAMEL</t>
  </si>
  <si>
    <t>PALL MALL AIRLINES ALASKA 20 PZ</t>
  </si>
  <si>
    <t>PALL MALL AIRLINES TOKYO 20 PZ</t>
  </si>
  <si>
    <t>PALL MALL AIRLINES MYKONOS 20 PZ</t>
  </si>
  <si>
    <t>PALL MALL AIRLINES HAWAII 20 PZ</t>
  </si>
  <si>
    <t>PALL MALL AIRLINES BORA BORA 20 PZ</t>
  </si>
  <si>
    <t>PALL MALL AIRLINES MANILA 20 PZ</t>
  </si>
  <si>
    <t>PALL MALL SUMMER ALASKA 20 PZ</t>
  </si>
  <si>
    <t>PALL MALL SUMMER TOKYO 20 PZ</t>
  </si>
  <si>
    <t>PALL MALL SUMMER MYKONOS 20 PZ</t>
  </si>
  <si>
    <t>PALL MALL SUMMER HAWAII 20 PZ</t>
  </si>
  <si>
    <t>PALL MALL SUMMER MANILA 20 PZ</t>
  </si>
  <si>
    <t>PALL MALL AMALFI 20 PZ</t>
  </si>
  <si>
    <t>PALL MALL SUMMER SELECT RED 25 PZ</t>
  </si>
  <si>
    <t>PALL MALL SUMMER SELECT GOLD 14 PZ</t>
  </si>
  <si>
    <t>SHOTS CLASSICS SUMMER 25 PZ</t>
  </si>
  <si>
    <t>MARLBORO CRAFTED RUBY PZ</t>
  </si>
  <si>
    <t>MARLBORO VISTA BLOSSOM MIST 100 PZ</t>
  </si>
  <si>
    <t>Medio-Bajo</t>
  </si>
  <si>
    <t>Bajo-UL</t>
  </si>
  <si>
    <t>MARLBORO CRAFTED POLAR MIX 100 BOX 20 CAJETILLA PZ</t>
  </si>
  <si>
    <t>ZYN APPLE MINT 3MG CAJETILLA PZ</t>
  </si>
  <si>
    <t>ZYN APPLE MINT 6MG CAJETILLA PZ</t>
  </si>
  <si>
    <t>VELO GREEN SPEARMINT 8MG 15 PZ</t>
  </si>
  <si>
    <t>VELO TROPICAL MANGO 8MG 15 PZ</t>
  </si>
  <si>
    <t>VELO STRAWBERRY ICE 8MG 15 PZ</t>
  </si>
  <si>
    <t>VELO POLAR PEPPERMINT 8MG 15 PZ</t>
  </si>
  <si>
    <t>VELO MANGO ICE 4MG 15 PZ</t>
  </si>
  <si>
    <t>VELO MANGO FLAME 10MG 15 PZ</t>
  </si>
  <si>
    <t>VELO PEPPERMINT STORM 10MG 15 PZ</t>
  </si>
  <si>
    <t>Devolución</t>
  </si>
  <si>
    <t>si}</t>
  </si>
  <si>
    <t>CANOS PURO C/5 NATURAL CAJET</t>
  </si>
  <si>
    <t>MATACAN PURO NATURAL CAJET</t>
  </si>
  <si>
    <t xml:space="preserve">CHESTERFIELD ORIGIN 20 ENDORSEMENT 1CAJE									</t>
  </si>
  <si>
    <t>MARLBORO CARIBEAN FUSION 100 BOX 14</t>
  </si>
  <si>
    <t>AC DUMMY CIGARROS</t>
  </si>
  <si>
    <t>VUSE GO 5000 GREEN APPLE 34 MGML 1 PZ</t>
  </si>
  <si>
    <t>PROVEEDOR DUMMY MIGRACION</t>
  </si>
  <si>
    <t>CAMEL CIGARR ACTIVA FF CAJET</t>
  </si>
  <si>
    <t>CHESTERFIELD MINT 14 1CAJ</t>
  </si>
  <si>
    <t>MAZATAN PURO SHORT TORPEDO PZ</t>
  </si>
  <si>
    <t>MAZATAN PURO DOBLE ROBUSTO PZ</t>
  </si>
  <si>
    <t>PUROS CANOS/PIEZA</t>
  </si>
  <si>
    <t>LUCKY STRIKE HAZEL 100S 1PZ</t>
  </si>
  <si>
    <t>KING EDWARD PURO  VAINILLA 1 PZ</t>
  </si>
  <si>
    <t>CIGARR BLACK LABEL PZ</t>
  </si>
  <si>
    <t>COHIBA COHIBA COHIBA CAJETILLA C 1 CAJETILLA</t>
  </si>
  <si>
    <t>VUSE GO 1000 GRAPE ICE 34 MGML 1 PZ</t>
  </si>
  <si>
    <t>VUSE GO 5000 MENTHOL ICE 34 MGML 1 PZ</t>
  </si>
  <si>
    <t>VUSE GO 1000 WATERMELON ICE 34 MG/ML 1 PZ</t>
  </si>
  <si>
    <t>SESH MINT 10 2MG 1 PZ</t>
  </si>
  <si>
    <t>NICOTECH SAPI DE CV</t>
  </si>
  <si>
    <t>SESH</t>
  </si>
  <si>
    <t>SESH MINT 10 4MG 1 PZ</t>
  </si>
  <si>
    <t>SESH MANGO 10S 2MG 1 PZ</t>
  </si>
  <si>
    <t>SESH CLEAR 10S 2MG 1 PZ</t>
  </si>
  <si>
    <t>MERMA</t>
  </si>
  <si>
    <t>PERIODO</t>
  </si>
  <si>
    <t>ALCANCE</t>
  </si>
  <si>
    <t>2026 H1</t>
  </si>
  <si>
    <t>Alcance</t>
  </si>
  <si>
    <t>Nacional</t>
  </si>
  <si>
    <t>México, Quintana Roo</t>
  </si>
  <si>
    <t>México, Puebla y Quintana Roo</t>
  </si>
  <si>
    <t>México y Quintana Roo</t>
  </si>
  <si>
    <t>México</t>
  </si>
  <si>
    <t>Yucatán</t>
  </si>
  <si>
    <t>México, Quintana Roo y Yucatán</t>
  </si>
  <si>
    <t>México, Quintana y Yucatán</t>
  </si>
  <si>
    <t>PALL MALL ICELAND 14 PZ</t>
  </si>
  <si>
    <t>75084332</t>
  </si>
  <si>
    <t>articulo</t>
  </si>
  <si>
    <t>sku</t>
  </si>
  <si>
    <t>estatus</t>
  </si>
  <si>
    <t>MARLBORO CRAFTED POLAR MIX 100 BOX 20  CAJETILLA PZ</t>
  </si>
  <si>
    <t>IQOS ILUMA I BREEZE BLUE  PZ</t>
  </si>
  <si>
    <t>VELO MANGO ICE 4MG  15 PZ</t>
  </si>
  <si>
    <t>PALL MALL HONOLULU 14 PZ</t>
  </si>
  <si>
    <t>VELO PEPPERMINT STORM 10.9 MG 15 PZ</t>
  </si>
  <si>
    <t>VELO PURPLE GRAPE 8MG 15 PZ</t>
  </si>
  <si>
    <t>VELO PEACH ICE 8MG 15 PZ</t>
  </si>
  <si>
    <t>CAMEL NATURAL FLAVOR 20</t>
  </si>
  <si>
    <t>Contenido</t>
  </si>
  <si>
    <t>Extra bajo</t>
  </si>
  <si>
    <t>Bajo</t>
  </si>
  <si>
    <t>Medio</t>
  </si>
  <si>
    <t>Alto</t>
  </si>
  <si>
    <t>Nivel  Nic</t>
  </si>
  <si>
    <t>WINSTON OASIS FRES 27.4 G</t>
  </si>
  <si>
    <t>VELO SPICY PAPAYA 8MG 15 PZ</t>
  </si>
  <si>
    <t>PALL MALL OSAKA 14 PZ</t>
  </si>
  <si>
    <t>MARLBORO RED 18'S CAJETILLA PZ</t>
  </si>
  <si>
    <t>MARLBORO GOLD 18'S CAJETILLA PZ</t>
  </si>
  <si>
    <t>PALL MALL CHICAGO 20 PZ</t>
  </si>
  <si>
    <t>PALL MALL CHICAGO 14 PZ</t>
  </si>
  <si>
    <t>Plazas o Tiendas que Aplica</t>
  </si>
  <si>
    <t>Reynosa</t>
  </si>
  <si>
    <t>Matamoros</t>
  </si>
  <si>
    <t>Jalisco</t>
  </si>
  <si>
    <t>Saltillo</t>
  </si>
  <si>
    <t>Torreón</t>
  </si>
  <si>
    <t>Nuevo León</t>
  </si>
  <si>
    <t>Tijuana</t>
  </si>
  <si>
    <t>Ensenada</t>
  </si>
  <si>
    <t>Mexicali</t>
  </si>
  <si>
    <t>Hermosillo</t>
  </si>
  <si>
    <t>Puebla</t>
  </si>
  <si>
    <t>Morelos</t>
  </si>
  <si>
    <t>Quintana Roo</t>
  </si>
  <si>
    <t>TOKIO MIDNIGHT PALL MALL 20PZ</t>
  </si>
  <si>
    <t>COSTO</t>
  </si>
  <si>
    <t>PRECIO</t>
  </si>
  <si>
    <t>Costo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</si>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</sst>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6" formatCode="&quot;$&quot;#,##0;[Red]\-&quot;$&quot;#,##0"/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.00\ &quot;€&quot;_-;\-* #,##0.00\ &quot;€&quot;_-;_-* &quot;-&quot;??\ &quot;€&quot;_-;_-@_-"/>
    <numFmt numFmtId="165" formatCode="\N\$0.00"/>
    <numFmt numFmtId="166" formatCode="_-[$€-2]* #,##0.00_-;\-[$€-2]* #,##0.00_-;_-[$€-2]* &quot;-&quot;??_-"/>
    <numFmt numFmtId="167" formatCode="_-&quot;N$&quot;* #,##0.00_-;\-&quot;N$&quot;* #,##0.00_-;_-&quot;N$&quot;* &quot;-&quot;??_-;_-@_-"/>
    <numFmt numFmtId="168" formatCode="_ &quot;$&quot;* #,##0.00_ ;_ &quot;$&quot;* \-#,##0.00_ ;_ &quot;$&quot;* &quot;-&quot;??_ ;_ @_ "/>
    <numFmt numFmtId="169" formatCode="[$-409]General"/>
  </numFmts>
  <fonts count="3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rgb="FF000000"/>
      <name val="Arial"/>
      <family val="2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theme="0"/>
      <name val="Montserrat"/>
    </font>
    <font>
      <sz val="10"/>
      <color rgb="FF000000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  <font>
      <sz val="1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MS Sans Serif"/>
      <family val="2"/>
    </font>
    <font>
      <sz val="1"/>
      <color indexed="8"/>
      <name val="Courier"/>
      <family val="3"/>
    </font>
    <font>
      <sz val="12"/>
      <name val="Courier"/>
      <family val="3"/>
    </font>
    <font>
      <sz val="10"/>
      <name val="Times New Roman"/>
      <family val="1"/>
    </font>
    <font>
      <sz val="10"/>
      <color theme="1"/>
      <name val="Century Gothic"/>
      <family val="2"/>
    </font>
    <font>
      <u/>
      <sz val="11"/>
      <color theme="10"/>
      <name val="Aptos Narrow"/>
      <family val="2"/>
      <scheme val="minor"/>
    </font>
    <font>
      <sz val="10"/>
      <color indexed="8"/>
      <name val="Arial"/>
      <family val="2"/>
    </font>
    <font>
      <sz val="11"/>
      <color theme="1" tint="0.24994659260841701"/>
      <name val="Aptos Display"/>
      <family val="2"/>
      <scheme val="major"/>
    </font>
    <font>
      <b/>
      <sz val="9.5"/>
      <color theme="1" tint="0.499984740745262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2805F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81">
    <xf numFmtId="0" fontId="0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7" fillId="0" borderId="0"/>
    <xf numFmtId="4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0" applyNumberFormat="0" applyFill="0" applyBorder="0" applyAlignment="0" applyProtection="0"/>
    <xf numFmtId="0" fontId="12" fillId="5" borderId="0" applyNumberFormat="0" applyBorder="0" applyAlignment="0" applyProtection="0"/>
    <xf numFmtId="0" fontId="13" fillId="6" borderId="0" applyNumberFormat="0" applyBorder="0" applyAlignment="0" applyProtection="0"/>
    <xf numFmtId="0" fontId="14" fillId="7" borderId="0" applyNumberFormat="0" applyBorder="0" applyAlignment="0" applyProtection="0"/>
    <xf numFmtId="0" fontId="15" fillId="8" borderId="5" applyNumberFormat="0" applyAlignment="0" applyProtection="0"/>
    <xf numFmtId="0" fontId="16" fillId="9" borderId="6" applyNumberFormat="0" applyAlignment="0" applyProtection="0"/>
    <xf numFmtId="0" fontId="17" fillId="9" borderId="5" applyNumberFormat="0" applyAlignment="0" applyProtection="0"/>
    <xf numFmtId="0" fontId="18" fillId="0" borderId="7" applyNumberFormat="0" applyFill="0" applyAlignment="0" applyProtection="0"/>
    <xf numFmtId="0" fontId="2" fillId="10" borderId="8" applyNumberFormat="0" applyAlignment="0" applyProtection="0"/>
    <xf numFmtId="0" fontId="19" fillId="0" borderId="0" applyNumberFormat="0" applyFill="0" applyBorder="0" applyAlignment="0" applyProtection="0"/>
    <xf numFmtId="0" fontId="1" fillId="11" borderId="9" applyNumberFormat="0" applyFont="0" applyAlignment="0" applyProtection="0"/>
    <xf numFmtId="0" fontId="20" fillId="0" borderId="0" applyNumberFormat="0" applyFill="0" applyBorder="0" applyAlignment="0" applyProtection="0"/>
    <xf numFmtId="0" fontId="4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44" fontId="1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/>
    <xf numFmtId="0" fontId="1" fillId="0" borderId="0"/>
    <xf numFmtId="44" fontId="1" fillId="0" borderId="0" applyFont="0" applyFill="0" applyBorder="0" applyAlignment="0" applyProtection="0"/>
    <xf numFmtId="0" fontId="23" fillId="0" borderId="0"/>
    <xf numFmtId="0" fontId="1" fillId="0" borderId="0"/>
    <xf numFmtId="0" fontId="1" fillId="11" borderId="9" applyNumberFormat="0" applyFont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11" borderId="9" applyNumberFormat="0" applyFont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11" borderId="9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/>
    <xf numFmtId="0" fontId="25" fillId="0" borderId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44" fontId="25" fillId="0" borderId="0" applyFont="0" applyFill="0" applyBorder="0" applyAlignment="0" applyProtection="0"/>
    <xf numFmtId="40" fontId="27" fillId="0" borderId="0" applyFont="0" applyFill="0" applyBorder="0" applyAlignment="0" applyProtection="0"/>
    <xf numFmtId="40" fontId="27" fillId="0" borderId="0" applyFont="0" applyFill="0" applyBorder="0" applyAlignment="0" applyProtection="0"/>
    <xf numFmtId="165" fontId="28" fillId="0" borderId="0">
      <protection locked="0"/>
    </xf>
    <xf numFmtId="0" fontId="29" fillId="0" borderId="0"/>
    <xf numFmtId="166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5" fillId="0" borderId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0" fontId="27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6" fontId="27" fillId="0" borderId="0" applyFont="0" applyFill="0" applyBorder="0" applyAlignment="0" applyProtection="0"/>
    <xf numFmtId="6" fontId="27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164" fontId="25" fillId="0" borderId="0" applyFont="0" applyFill="0" applyProtection="0"/>
    <xf numFmtId="44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8" fontId="27" fillId="0" borderId="0" applyFont="0" applyFill="0" applyBorder="0" applyAlignment="0" applyProtection="0"/>
    <xf numFmtId="8" fontId="27" fillId="0" borderId="0" applyFont="0" applyFill="0" applyBorder="0" applyAlignment="0" applyProtection="0"/>
    <xf numFmtId="168" fontId="25" fillId="0" borderId="0" applyFont="0" applyFill="0" applyBorder="0" applyAlignment="0" applyProtection="0"/>
    <xf numFmtId="0" fontId="30" fillId="0" borderId="0"/>
    <xf numFmtId="0" fontId="25" fillId="0" borderId="0"/>
    <xf numFmtId="0" fontId="25" fillId="0" borderId="0"/>
    <xf numFmtId="0" fontId="25" fillId="0" borderId="0"/>
    <xf numFmtId="0" fontId="26" fillId="0" borderId="0"/>
    <xf numFmtId="0" fontId="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9" fillId="0" borderId="0"/>
    <xf numFmtId="0" fontId="29" fillId="0" borderId="0"/>
    <xf numFmtId="0" fontId="31" fillId="0" borderId="0"/>
    <xf numFmtId="0" fontId="30" fillId="0" borderId="0"/>
    <xf numFmtId="9" fontId="27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7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25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5" fillId="0" borderId="0"/>
    <xf numFmtId="0" fontId="25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1" fillId="0" borderId="0"/>
    <xf numFmtId="0" fontId="33" fillId="0" borderId="0" applyNumberFormat="0" applyFill="0" applyBorder="0" applyProtection="0"/>
    <xf numFmtId="0" fontId="34" fillId="0" borderId="0" applyNumberFormat="0" applyFill="0" applyBorder="0" applyProtection="0">
      <alignment vertical="center"/>
    </xf>
    <xf numFmtId="0" fontId="35" fillId="0" borderId="0" applyFill="0" applyBorder="0" applyProtection="0">
      <alignment horizontal="center"/>
    </xf>
    <xf numFmtId="9" fontId="3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24" fillId="0" borderId="0"/>
    <xf numFmtId="169" fontId="5" fillId="0" borderId="0"/>
    <xf numFmtId="0" fontId="22" fillId="0" borderId="0"/>
    <xf numFmtId="0" fontId="3" fillId="0" borderId="0"/>
    <xf numFmtId="9" fontId="3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6" fontId="27" fillId="0" borderId="0" applyFont="0" applyFill="0" applyBorder="0" applyAlignment="0" applyProtection="0"/>
    <xf numFmtId="6" fontId="27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8" fontId="27" fillId="0" borderId="0" applyFont="0" applyFill="0" applyBorder="0" applyAlignment="0" applyProtection="0"/>
    <xf numFmtId="8" fontId="27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/>
  </cellStyleXfs>
  <cellXfs count="29">
    <xf numFmtId="0" fontId="0" fillId="0" borderId="0" xfId="0"/>
    <xf numFmtId="0" fontId="0" fillId="0" borderId="0" xfId="2" applyFont="1"/>
    <xf numFmtId="0" fontId="1" fillId="0" borderId="0" xfId="1"/>
    <xf numFmtId="1" fontId="1" fillId="0" borderId="0" xfId="1" applyNumberFormat="1"/>
    <xf numFmtId="1" fontId="0" fillId="0" borderId="0" xfId="2" applyNumberFormat="1" applyFont="1"/>
    <xf numFmtId="0" fontId="4" fillId="3" borderId="0" xfId="2" applyFont="1" applyFill="1"/>
    <xf numFmtId="1" fontId="0" fillId="0" borderId="0" xfId="0" applyNumberFormat="1"/>
    <xf numFmtId="0" fontId="1" fillId="0" borderId="0" xfId="3"/>
    <xf numFmtId="0" fontId="3" fillId="0" borderId="0" xfId="4"/>
    <xf numFmtId="1" fontId="0" fillId="0" borderId="1" xfId="2" applyNumberFormat="1" applyFont="1" applyBorder="1"/>
    <xf numFmtId="0" fontId="6" fillId="2" borderId="0" xfId="1" applyFont="1" applyFill="1" applyAlignment="1">
      <alignment horizontal="center" vertical="center"/>
    </xf>
    <xf numFmtId="0" fontId="2" fillId="4" borderId="0" xfId="1" applyFont="1" applyFill="1"/>
    <xf numFmtId="0" fontId="5" fillId="0" borderId="0" xfId="0" applyFont="1"/>
    <xf numFmtId="1" fontId="5" fillId="0" borderId="0" xfId="0" applyNumberFormat="1" applyFont="1"/>
    <xf numFmtId="0" fontId="0" fillId="0" borderId="0" xfId="1" applyFont="1"/>
    <xf numFmtId="0" fontId="2" fillId="4" borderId="1" xfId="1" applyFont="1" applyFill="1" applyBorder="1"/>
    <xf numFmtId="0" fontId="0" fillId="0" borderId="1" xfId="0" applyBorder="1"/>
    <xf numFmtId="1" fontId="5" fillId="0" borderId="1" xfId="0" applyNumberFormat="1" applyFont="1" applyBorder="1"/>
    <xf numFmtId="0" fontId="5" fillId="0" borderId="1" xfId="0" applyFont="1" applyBorder="1"/>
    <xf numFmtId="1" fontId="1" fillId="3" borderId="0" xfId="1" applyNumberFormat="1" applyFill="1"/>
    <xf numFmtId="0" fontId="36" fillId="36" borderId="11" xfId="0" applyFont="1" applyFill="1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center"/>
    </xf>
    <xf numFmtId="1" fontId="37" fillId="0" borderId="1" xfId="0" applyNumberFormat="1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1" fontId="38" fillId="0" borderId="1" xfId="0" applyNumberFormat="1" applyFont="1" applyBorder="1" applyAlignment="1">
      <alignment horizontal="center" vertical="center"/>
    </xf>
    <xf numFmtId="1" fontId="0" fillId="3" borderId="0" xfId="2" applyNumberFormat="1" applyFont="1" applyFill="1"/>
    <xf numFmtId="1" fontId="5" fillId="3" borderId="0" xfId="0" applyNumberFormat="1" applyFont="1" applyFill="1" applyAlignment="1">
      <alignment horizontal="right"/>
    </xf>
    <xf numFmtId="1" fontId="0" fillId="3" borderId="0" xfId="0" applyNumberFormat="1" applyFill="1"/>
    <xf numFmtId="0" fontId="0" fillId="0" borderId="0" xfId="0" applyAlignment="1">
      <alignment horizontal="center" vertical="center"/>
    </xf>
  </cellXfs>
  <cellStyles count="481">
    <cellStyle name="20% - Énfasis1" xfId="26" builtinId="30" customBuiltin="1"/>
    <cellStyle name="20% - Énfasis1 2" xfId="65" xr:uid="{1DD6B3D9-886C-42DD-BAB1-F96D939C73CA}"/>
    <cellStyle name="20% - Énfasis1 2 2" xfId="192" xr:uid="{36606E13-24C9-4260-A21A-EBC01A9D0D9E}"/>
    <cellStyle name="20% - Énfasis1 3" xfId="88" xr:uid="{E0FD5E5D-E640-45EA-B88B-1CC046EC159F}"/>
    <cellStyle name="20% - Énfasis1 3 2" xfId="215" xr:uid="{01DA6017-6796-4E20-9083-C05CD4EE5BC0}"/>
    <cellStyle name="20% - Énfasis1 4" xfId="112" xr:uid="{BE00BD51-B4F5-4DF8-A7B6-322881FDA145}"/>
    <cellStyle name="20% - Énfasis1 4 2" xfId="239" xr:uid="{03A6A8C0-4B0B-4CFC-91C7-BE27926F6C84}"/>
    <cellStyle name="20% - Énfasis1 5" xfId="136" xr:uid="{15916A66-AB07-4F06-AAF9-32EE8EDF5E7A}"/>
    <cellStyle name="20% - Énfasis1 5 2" xfId="263" xr:uid="{CA9D13E6-DC37-43D2-94D0-6EB4BF2A24CC}"/>
    <cellStyle name="20% - Énfasis1 6" xfId="165" xr:uid="{AE8202F2-9467-460F-9501-C984965D1E44}"/>
    <cellStyle name="20% - Énfasis1 7" xfId="288" xr:uid="{C6B56D78-0F2F-4075-9C4E-04078F900524}"/>
    <cellStyle name="20% - Énfasis2" xfId="30" builtinId="34" customBuiltin="1"/>
    <cellStyle name="20% - Énfasis2 2" xfId="68" xr:uid="{18CE626F-5AF1-4876-BBA2-7A32F20554A3}"/>
    <cellStyle name="20% - Énfasis2 2 2" xfId="195" xr:uid="{EDB31AEB-44C9-4908-83A0-F871FF3B8ECB}"/>
    <cellStyle name="20% - Énfasis2 3" xfId="91" xr:uid="{525D1302-5CE9-41F0-A4E0-F5CD20C3D930}"/>
    <cellStyle name="20% - Énfasis2 3 2" xfId="218" xr:uid="{0F1AAD31-E4BF-46A5-A1A5-E1EA0CB75AA9}"/>
    <cellStyle name="20% - Énfasis2 4" xfId="115" xr:uid="{9BA2AC03-2926-494D-B4F0-B6FAF0556981}"/>
    <cellStyle name="20% - Énfasis2 4 2" xfId="242" xr:uid="{6A6FF620-323B-4F68-BC04-CF0627239CF1}"/>
    <cellStyle name="20% - Énfasis2 5" xfId="139" xr:uid="{33C28FE8-13E3-4FF4-832C-54FE5C566AD7}"/>
    <cellStyle name="20% - Énfasis2 5 2" xfId="266" xr:uid="{BB08213A-7832-4251-9BBB-79FCBE0C91F4}"/>
    <cellStyle name="20% - Énfasis2 6" xfId="168" xr:uid="{1DBA5F06-1E56-43A4-8F92-9E28E81EB140}"/>
    <cellStyle name="20% - Énfasis2 7" xfId="291" xr:uid="{B49753F9-70EE-4591-93C2-6D0261163BF8}"/>
    <cellStyle name="20% - Énfasis3" xfId="34" builtinId="38" customBuiltin="1"/>
    <cellStyle name="20% - Énfasis3 2" xfId="71" xr:uid="{056F63FB-5FF2-48F9-9CD7-DA1F7257DCEA}"/>
    <cellStyle name="20% - Énfasis3 2 2" xfId="198" xr:uid="{F28FCBC4-12E8-4383-B79A-FA742851A038}"/>
    <cellStyle name="20% - Énfasis3 3" xfId="94" xr:uid="{F84BE466-ED7F-43B0-AEDD-8FA97B103D13}"/>
    <cellStyle name="20% - Énfasis3 3 2" xfId="221" xr:uid="{04360D35-DFB7-48A7-9D09-B635EFAD9C42}"/>
    <cellStyle name="20% - Énfasis3 4" xfId="118" xr:uid="{830F7B52-710A-4F75-B804-A847BC7478AC}"/>
    <cellStyle name="20% - Énfasis3 4 2" xfId="245" xr:uid="{40CC574C-7173-435E-B30D-0B7BDB841A1D}"/>
    <cellStyle name="20% - Énfasis3 5" xfId="142" xr:uid="{077EB041-847A-4519-9C88-9D2F8F6AE32E}"/>
    <cellStyle name="20% - Énfasis3 5 2" xfId="269" xr:uid="{C256A85B-0B1A-4446-AD00-16876F406CAB}"/>
    <cellStyle name="20% - Énfasis3 6" xfId="171" xr:uid="{44D34BFE-BAB7-4752-AAFB-D15CC6A2B3EB}"/>
    <cellStyle name="20% - Énfasis3 7" xfId="294" xr:uid="{E7DC8D50-F9B7-41C9-A790-C2508BF16A5D}"/>
    <cellStyle name="20% - Énfasis4" xfId="38" builtinId="42" customBuiltin="1"/>
    <cellStyle name="20% - Énfasis4 2" xfId="74" xr:uid="{49FB26EB-BB14-40C5-A543-596B2D2F20B3}"/>
    <cellStyle name="20% - Énfasis4 2 2" xfId="201" xr:uid="{552084AD-BB65-4B3B-8409-F5005B1F47AD}"/>
    <cellStyle name="20% - Énfasis4 3" xfId="97" xr:uid="{62772788-7972-4DDF-9DAF-1A8CF84F6F51}"/>
    <cellStyle name="20% - Énfasis4 3 2" xfId="224" xr:uid="{F86DB41F-FD7C-4B4F-9A27-719CDE38AA79}"/>
    <cellStyle name="20% - Énfasis4 4" xfId="121" xr:uid="{61823624-6E03-4C8A-AEB8-7D690DDEBFA0}"/>
    <cellStyle name="20% - Énfasis4 4 2" xfId="248" xr:uid="{BFA44375-BF2B-4F73-9359-68293603DBB8}"/>
    <cellStyle name="20% - Énfasis4 5" xfId="145" xr:uid="{36069B69-F3B1-4CDB-A68C-19A4F63E84A0}"/>
    <cellStyle name="20% - Énfasis4 5 2" xfId="272" xr:uid="{3BA7F973-DEC8-4FB7-9518-CC23371C0C11}"/>
    <cellStyle name="20% - Énfasis4 6" xfId="174" xr:uid="{B5B2682E-76A4-4944-AB64-4BA5D8393D93}"/>
    <cellStyle name="20% - Énfasis4 7" xfId="297" xr:uid="{A5E356E9-14E1-4B4A-BA48-CCC03414E2F9}"/>
    <cellStyle name="20% - Énfasis5" xfId="42" builtinId="46" customBuiltin="1"/>
    <cellStyle name="20% - Énfasis5 2" xfId="77" xr:uid="{F7882130-88DE-432D-AE6B-C188E59F0D34}"/>
    <cellStyle name="20% - Énfasis5 2 2" xfId="204" xr:uid="{E2D1D852-EE5D-4819-831A-BE10A783F23D}"/>
    <cellStyle name="20% - Énfasis5 3" xfId="100" xr:uid="{01960D26-F5F8-4CFC-BF46-E797344B8BE8}"/>
    <cellStyle name="20% - Énfasis5 3 2" xfId="227" xr:uid="{D0BB5EE9-85ED-4948-BB81-346D13F5617F}"/>
    <cellStyle name="20% - Énfasis5 4" xfId="124" xr:uid="{ADDB6A85-F7FC-4256-ABB2-423CE98FD092}"/>
    <cellStyle name="20% - Énfasis5 4 2" xfId="251" xr:uid="{5F4325B2-F93D-4987-979E-D7FFF1D409ED}"/>
    <cellStyle name="20% - Énfasis5 5" xfId="148" xr:uid="{C7C16DB2-69DD-4C17-ACFF-E65419D7789E}"/>
    <cellStyle name="20% - Énfasis5 5 2" xfId="275" xr:uid="{ADEA8787-7329-4C4D-9A1F-2B3267C2FDB9}"/>
    <cellStyle name="20% - Énfasis5 6" xfId="177" xr:uid="{C891D8CB-333D-4176-834E-9AC08E7243FE}"/>
    <cellStyle name="20% - Énfasis5 7" xfId="300" xr:uid="{AC6A9254-A1F4-4E91-933F-2CA63A55DFE3}"/>
    <cellStyle name="20% - Énfasis6" xfId="46" builtinId="50" customBuiltin="1"/>
    <cellStyle name="20% - Énfasis6 2" xfId="80" xr:uid="{64922255-D9BB-4A55-950F-4159B2C6FFDE}"/>
    <cellStyle name="20% - Énfasis6 2 2" xfId="207" xr:uid="{EEE912F7-5857-437B-9FA0-F83530768FF9}"/>
    <cellStyle name="20% - Énfasis6 3" xfId="103" xr:uid="{B620A849-B684-41E0-91B2-06A2367A382B}"/>
    <cellStyle name="20% - Énfasis6 3 2" xfId="230" xr:uid="{7DBF4E6C-F53E-4765-8C65-748E18356BB8}"/>
    <cellStyle name="20% - Énfasis6 4" xfId="127" xr:uid="{2E1B9537-A737-4874-9BB1-551D83E9E1E9}"/>
    <cellStyle name="20% - Énfasis6 4 2" xfId="254" xr:uid="{11AFF1B9-51FC-4AD1-A6F6-A331C89640E9}"/>
    <cellStyle name="20% - Énfasis6 5" xfId="151" xr:uid="{F5C7A600-EEA7-4116-A8A7-990FA02A4268}"/>
    <cellStyle name="20% - Énfasis6 5 2" xfId="278" xr:uid="{62649E83-A517-4BCB-9151-7988392E82C7}"/>
    <cellStyle name="20% - Énfasis6 6" xfId="180" xr:uid="{ABF59600-D6E1-4D0D-BDDC-9DE732E25053}"/>
    <cellStyle name="20% - Énfasis6 7" xfId="303" xr:uid="{4A4E841B-9F49-466A-A0D5-4F31C1F00208}"/>
    <cellStyle name="40% - Énfasis1" xfId="27" builtinId="31" customBuiltin="1"/>
    <cellStyle name="40% - Énfasis1 2" xfId="66" xr:uid="{28EB44AE-C078-4C0A-95F4-0C60FEDE7BC2}"/>
    <cellStyle name="40% - Énfasis1 2 2" xfId="193" xr:uid="{43F23F00-80B3-492A-B36B-89B3AFA2FACD}"/>
    <cellStyle name="40% - Énfasis1 3" xfId="89" xr:uid="{02AA48CF-D88E-41E7-B09D-FE360479B6D7}"/>
    <cellStyle name="40% - Énfasis1 3 2" xfId="216" xr:uid="{9B1993BE-8420-4861-BA6D-6DF00C8ADA3B}"/>
    <cellStyle name="40% - Énfasis1 4" xfId="113" xr:uid="{BBCBA66B-DFFD-4FEC-B103-F71619574074}"/>
    <cellStyle name="40% - Énfasis1 4 2" xfId="240" xr:uid="{770ED1D0-0B75-4C51-8773-5B2F725B5A9A}"/>
    <cellStyle name="40% - Énfasis1 5" xfId="137" xr:uid="{9C3532B4-E654-4043-B45A-59BDE0D76A02}"/>
    <cellStyle name="40% - Énfasis1 5 2" xfId="264" xr:uid="{EF98C667-F8DB-425C-8962-2A5176DDF1B5}"/>
    <cellStyle name="40% - Énfasis1 6" xfId="166" xr:uid="{7FB30A34-C631-4D35-AB8D-5E4B26E63511}"/>
    <cellStyle name="40% - Énfasis1 7" xfId="289" xr:uid="{55A0A7EA-3D00-4BF4-9A56-F97F81EEED9E}"/>
    <cellStyle name="40% - Énfasis2" xfId="31" builtinId="35" customBuiltin="1"/>
    <cellStyle name="40% - Énfasis2 2" xfId="69" xr:uid="{49BA3910-59B4-4660-A5F9-EABA6DAEDC26}"/>
    <cellStyle name="40% - Énfasis2 2 2" xfId="196" xr:uid="{748E224D-8CF9-4F9E-89EF-67E0373A18CA}"/>
    <cellStyle name="40% - Énfasis2 3" xfId="92" xr:uid="{F57DF87B-3999-480A-B5D0-56A65734AD16}"/>
    <cellStyle name="40% - Énfasis2 3 2" xfId="219" xr:uid="{E946B6FB-5957-4BBF-8D2A-C3F4906F9DAA}"/>
    <cellStyle name="40% - Énfasis2 4" xfId="116" xr:uid="{F6B9D378-0BB0-4363-9290-0F2643E6462D}"/>
    <cellStyle name="40% - Énfasis2 4 2" xfId="243" xr:uid="{AE416633-C654-407D-898B-B757D90E2C85}"/>
    <cellStyle name="40% - Énfasis2 5" xfId="140" xr:uid="{D7AC85AF-5EB2-4043-A895-B263E27E8BA8}"/>
    <cellStyle name="40% - Énfasis2 5 2" xfId="267" xr:uid="{B446662A-C648-43E0-9148-1BF73B5D6900}"/>
    <cellStyle name="40% - Énfasis2 6" xfId="169" xr:uid="{18469456-AFC0-4834-84D6-21E0AC26BC66}"/>
    <cellStyle name="40% - Énfasis2 7" xfId="292" xr:uid="{753E7FEE-FD97-46D4-BE8B-1B25C0F6B366}"/>
    <cellStyle name="40% - Énfasis3" xfId="35" builtinId="39" customBuiltin="1"/>
    <cellStyle name="40% - Énfasis3 2" xfId="72" xr:uid="{A104D10A-AA99-4D14-B700-69984B1D6746}"/>
    <cellStyle name="40% - Énfasis3 2 2" xfId="199" xr:uid="{85E429E1-D3AF-4CAA-85E4-5A6EA1818800}"/>
    <cellStyle name="40% - Énfasis3 3" xfId="95" xr:uid="{ADDA918C-2B4E-4CD6-A7C6-E913703B96B3}"/>
    <cellStyle name="40% - Énfasis3 3 2" xfId="222" xr:uid="{8F03FF1F-E97E-4DA9-AEB2-4B88D7279EFE}"/>
    <cellStyle name="40% - Énfasis3 4" xfId="119" xr:uid="{1216A0F6-8FDD-4723-8811-4AB673BEE2A1}"/>
    <cellStyle name="40% - Énfasis3 4 2" xfId="246" xr:uid="{4975AE06-6BFD-405B-8FE9-7A3C00DEE6DA}"/>
    <cellStyle name="40% - Énfasis3 5" xfId="143" xr:uid="{2A18BFA6-94E9-4D7D-A41E-B54F892983FB}"/>
    <cellStyle name="40% - Énfasis3 5 2" xfId="270" xr:uid="{8674BBE6-4332-486E-B253-E45730881F57}"/>
    <cellStyle name="40% - Énfasis3 6" xfId="172" xr:uid="{1A139691-2CD9-4C62-9E8D-960538157DA8}"/>
    <cellStyle name="40% - Énfasis3 7" xfId="295" xr:uid="{E3F1EA54-4E6B-4AB7-B2AA-5C3E4703B1A5}"/>
    <cellStyle name="40% - Énfasis4" xfId="39" builtinId="43" customBuiltin="1"/>
    <cellStyle name="40% - Énfasis4 2" xfId="75" xr:uid="{F65D1FA8-461C-417E-9E3D-6C82D96A1605}"/>
    <cellStyle name="40% - Énfasis4 2 2" xfId="202" xr:uid="{6C5F73EB-0D69-470D-8FED-A623CC3759E4}"/>
    <cellStyle name="40% - Énfasis4 3" xfId="98" xr:uid="{1962BFA6-3C41-42C7-B150-88D4ABE8B2A6}"/>
    <cellStyle name="40% - Énfasis4 3 2" xfId="225" xr:uid="{4BA3CC7F-7516-4CEA-88C9-2641A977D4C2}"/>
    <cellStyle name="40% - Énfasis4 4" xfId="122" xr:uid="{1F926439-6B00-475E-8123-F51A712CB170}"/>
    <cellStyle name="40% - Énfasis4 4 2" xfId="249" xr:uid="{7AB68058-7511-4A60-A16A-650C6ECE6F64}"/>
    <cellStyle name="40% - Énfasis4 5" xfId="146" xr:uid="{45BD5808-5715-4C39-904D-3288B26A1F0E}"/>
    <cellStyle name="40% - Énfasis4 5 2" xfId="273" xr:uid="{990ABFF3-8A22-441F-9F79-59A839EF3325}"/>
    <cellStyle name="40% - Énfasis4 6" xfId="175" xr:uid="{C499C518-E016-41B8-9178-BA169B1F174F}"/>
    <cellStyle name="40% - Énfasis4 7" xfId="298" xr:uid="{7ED26084-D00A-41DC-8C2D-8C96883E5F79}"/>
    <cellStyle name="40% - Énfasis5" xfId="43" builtinId="47" customBuiltin="1"/>
    <cellStyle name="40% - Énfasis5 2" xfId="78" xr:uid="{38C6B86C-3C59-4A0D-BB5A-9E328CFF4444}"/>
    <cellStyle name="40% - Énfasis5 2 2" xfId="205" xr:uid="{4755844E-3598-4C89-9BD5-2C7C40786885}"/>
    <cellStyle name="40% - Énfasis5 3" xfId="101" xr:uid="{608045C7-6D48-433B-982A-3EE7B4F10455}"/>
    <cellStyle name="40% - Énfasis5 3 2" xfId="228" xr:uid="{3607E794-99EF-42AA-B6C2-809231A2C387}"/>
    <cellStyle name="40% - Énfasis5 4" xfId="125" xr:uid="{F0D093CB-A641-4430-88C3-3E438BCE78B8}"/>
    <cellStyle name="40% - Énfasis5 4 2" xfId="252" xr:uid="{C978F2B5-A2D4-4236-92B9-909176B00A1E}"/>
    <cellStyle name="40% - Énfasis5 5" xfId="149" xr:uid="{67E60F92-8973-4892-867E-5324069F4A17}"/>
    <cellStyle name="40% - Énfasis5 5 2" xfId="276" xr:uid="{15A2CF32-02B4-4F44-9B1E-33AA3B28BB7C}"/>
    <cellStyle name="40% - Énfasis5 6" xfId="178" xr:uid="{3BEF62A9-3655-46F5-8751-A9E3D6EB1807}"/>
    <cellStyle name="40% - Énfasis5 7" xfId="301" xr:uid="{39CCB73B-FC6C-4715-9C00-2679FB63A6C2}"/>
    <cellStyle name="40% - Énfasis6" xfId="47" builtinId="51" customBuiltin="1"/>
    <cellStyle name="40% - Énfasis6 2" xfId="81" xr:uid="{933AEFB8-E593-4AFD-A4F5-E1B20A13C995}"/>
    <cellStyle name="40% - Énfasis6 2 2" xfId="208" xr:uid="{2C7E451B-158F-45BB-A194-98F2EE46DBC6}"/>
    <cellStyle name="40% - Énfasis6 3" xfId="104" xr:uid="{C2CE7276-CB5A-4BAD-B9E3-7AAF5A9E545A}"/>
    <cellStyle name="40% - Énfasis6 3 2" xfId="231" xr:uid="{65B6C9B3-5383-470F-8280-8B6923A83E52}"/>
    <cellStyle name="40% - Énfasis6 4" xfId="128" xr:uid="{C1FD3DE5-B723-47C6-BFDD-ABEC92898826}"/>
    <cellStyle name="40% - Énfasis6 4 2" xfId="255" xr:uid="{C63758DD-66A8-4D1B-8CD9-5B3A2C95DD9E}"/>
    <cellStyle name="40% - Énfasis6 5" xfId="152" xr:uid="{8DFA9BDD-4E1F-4F24-9DD9-08173F093302}"/>
    <cellStyle name="40% - Énfasis6 5 2" xfId="279" xr:uid="{63002C04-8114-4720-B134-06832D23A6CD}"/>
    <cellStyle name="40% - Énfasis6 6" xfId="181" xr:uid="{2B58AF61-E4BE-4CD2-BDC0-66090706065C}"/>
    <cellStyle name="40% - Énfasis6 7" xfId="304" xr:uid="{63F0D091-4DAA-45E5-8B13-B8AB8FEFDF72}"/>
    <cellStyle name="60% - Énfasis1" xfId="28" builtinId="32" customBuiltin="1"/>
    <cellStyle name="60% - Énfasis1 2" xfId="67" xr:uid="{872057E5-7CC7-480E-806A-25D09DF6E9DC}"/>
    <cellStyle name="60% - Énfasis1 2 2" xfId="194" xr:uid="{3B36ED6C-5DB1-4A72-9E0C-9328ED152C3C}"/>
    <cellStyle name="60% - Énfasis1 3" xfId="90" xr:uid="{8A350BB2-6098-42C5-A58E-8141604DF7D7}"/>
    <cellStyle name="60% - Énfasis1 3 2" xfId="217" xr:uid="{2516A0F5-7B0C-4FC5-A0B1-40D40BEFE33B}"/>
    <cellStyle name="60% - Énfasis1 4" xfId="114" xr:uid="{C6C718AD-BA36-40C3-BBAF-A10115F6038F}"/>
    <cellStyle name="60% - Énfasis1 4 2" xfId="241" xr:uid="{9AB9EFD1-CEC6-4FE6-8617-B4EB0D5F8467}"/>
    <cellStyle name="60% - Énfasis1 5" xfId="138" xr:uid="{B8DF6D84-286D-4BE9-B648-E3DE11AED90C}"/>
    <cellStyle name="60% - Énfasis1 5 2" xfId="265" xr:uid="{D402BDF7-0157-4B27-9F0D-C98E1545978F}"/>
    <cellStyle name="60% - Énfasis1 6" xfId="167" xr:uid="{F8C21DAF-2DC5-4DE7-AE26-40CB4D2294FC}"/>
    <cellStyle name="60% - Énfasis1 7" xfId="290" xr:uid="{081EF935-48A0-4DC4-9DE5-D147332D3740}"/>
    <cellStyle name="60% - Énfasis2" xfId="32" builtinId="36" customBuiltin="1"/>
    <cellStyle name="60% - Énfasis2 2" xfId="70" xr:uid="{4BB44939-CF5E-4AB1-9054-B1708F7786CC}"/>
    <cellStyle name="60% - Énfasis2 2 2" xfId="197" xr:uid="{3C4C510C-08DE-4836-B18D-DD37E39ECE03}"/>
    <cellStyle name="60% - Énfasis2 3" xfId="93" xr:uid="{19740296-DE5F-4D94-86E9-D5CF94B3DE71}"/>
    <cellStyle name="60% - Énfasis2 3 2" xfId="220" xr:uid="{60FD0EC9-377C-49D7-8CD3-4798C1C5E77F}"/>
    <cellStyle name="60% - Énfasis2 4" xfId="117" xr:uid="{9CD52108-CD0D-4654-936E-B2C7F5C0FF45}"/>
    <cellStyle name="60% - Énfasis2 4 2" xfId="244" xr:uid="{6759AE1D-87D6-4DAC-AB6B-2D46954D4990}"/>
    <cellStyle name="60% - Énfasis2 5" xfId="141" xr:uid="{06A59B65-6383-41BD-B5FA-37678C2B71F4}"/>
    <cellStyle name="60% - Énfasis2 5 2" xfId="268" xr:uid="{C10D4452-360A-4D4A-AA50-6E0611C50971}"/>
    <cellStyle name="60% - Énfasis2 6" xfId="170" xr:uid="{F3046109-F78E-4270-BA9C-F06345CFA2CA}"/>
    <cellStyle name="60% - Énfasis2 7" xfId="293" xr:uid="{51F7C7FC-1510-4AFF-A132-1CA46140941D}"/>
    <cellStyle name="60% - Énfasis3" xfId="36" builtinId="40" customBuiltin="1"/>
    <cellStyle name="60% - Énfasis3 2" xfId="73" xr:uid="{88600354-509A-467E-84DA-E6E77D328851}"/>
    <cellStyle name="60% - Énfasis3 2 2" xfId="200" xr:uid="{44A7B3A4-BE50-4717-B41C-E0C56F29AB49}"/>
    <cellStyle name="60% - Énfasis3 3" xfId="96" xr:uid="{D975AD8C-C4AD-4ACC-925C-7A255D16372C}"/>
    <cellStyle name="60% - Énfasis3 3 2" xfId="223" xr:uid="{B7A6EB0A-BECE-455C-A084-5DEE79AAA1BA}"/>
    <cellStyle name="60% - Énfasis3 4" xfId="120" xr:uid="{76029DC3-69D1-4B69-AE65-20A7A5C9257A}"/>
    <cellStyle name="60% - Énfasis3 4 2" xfId="247" xr:uid="{62A308E4-ED2A-4385-AB35-BC95972DC6A3}"/>
    <cellStyle name="60% - Énfasis3 5" xfId="144" xr:uid="{62430D03-0516-4A7A-A38B-361B02D58A42}"/>
    <cellStyle name="60% - Énfasis3 5 2" xfId="271" xr:uid="{5D0A09E8-7A50-47E1-990B-6ADF04276799}"/>
    <cellStyle name="60% - Énfasis3 6" xfId="173" xr:uid="{E399BF7B-76E3-41F5-AF7E-4F09F725520F}"/>
    <cellStyle name="60% - Énfasis3 7" xfId="296" xr:uid="{F9CEE53D-B566-4491-8F37-74A0F1D67330}"/>
    <cellStyle name="60% - Énfasis4" xfId="40" builtinId="44" customBuiltin="1"/>
    <cellStyle name="60% - Énfasis4 2" xfId="76" xr:uid="{3FA7CDC1-DFCE-417E-A26F-EF611E4070BA}"/>
    <cellStyle name="60% - Énfasis4 2 2" xfId="203" xr:uid="{80DE03C5-E9A0-4E21-826D-C942A586C367}"/>
    <cellStyle name="60% - Énfasis4 3" xfId="99" xr:uid="{3D305E2C-E6B1-499B-A65F-9DC015076778}"/>
    <cellStyle name="60% - Énfasis4 3 2" xfId="226" xr:uid="{F0FF80EB-18F7-4330-AEBA-EBD505AB7058}"/>
    <cellStyle name="60% - Énfasis4 4" xfId="123" xr:uid="{A04C6026-4978-4CCA-B6ED-15EAB3DC1CF1}"/>
    <cellStyle name="60% - Énfasis4 4 2" xfId="250" xr:uid="{C532ED05-84C5-4C80-897C-B5C507CEDCDE}"/>
    <cellStyle name="60% - Énfasis4 5" xfId="147" xr:uid="{286E13B7-4614-4EEB-A5CF-4AD4AC031588}"/>
    <cellStyle name="60% - Énfasis4 5 2" xfId="274" xr:uid="{B81EC760-2C66-42A5-BA22-C1E11C74B470}"/>
    <cellStyle name="60% - Énfasis4 6" xfId="176" xr:uid="{79EC8567-E0E4-4C86-A1AA-A4694465F8AC}"/>
    <cellStyle name="60% - Énfasis4 7" xfId="299" xr:uid="{67FED6DC-4B07-4407-A358-D76E1866DE38}"/>
    <cellStyle name="60% - Énfasis5" xfId="44" builtinId="48" customBuiltin="1"/>
    <cellStyle name="60% - Énfasis5 2" xfId="79" xr:uid="{47A59698-5B88-41C6-8FB4-AFD4FC71DA13}"/>
    <cellStyle name="60% - Énfasis5 2 2" xfId="206" xr:uid="{5D283F4E-8E23-4FEA-B479-928037751F31}"/>
    <cellStyle name="60% - Énfasis5 3" xfId="102" xr:uid="{D241381D-0A7C-4CBD-8592-666C9DC138C1}"/>
    <cellStyle name="60% - Énfasis5 3 2" xfId="229" xr:uid="{2B845F59-F0C5-456C-9AA9-B593CA9FA207}"/>
    <cellStyle name="60% - Énfasis5 4" xfId="126" xr:uid="{29DC4254-79CA-47E9-8020-ACEC374D8E4D}"/>
    <cellStyle name="60% - Énfasis5 4 2" xfId="253" xr:uid="{4A7CF04D-157B-4FBE-B4A9-3DE343DBD4CB}"/>
    <cellStyle name="60% - Énfasis5 5" xfId="150" xr:uid="{3CAA659B-A884-4EC0-AB80-6A8056EA66C3}"/>
    <cellStyle name="60% - Énfasis5 5 2" xfId="277" xr:uid="{2FF4FF43-3DF3-40EA-B1EE-44AD981FB725}"/>
    <cellStyle name="60% - Énfasis5 6" xfId="179" xr:uid="{8D502FAD-45CF-4383-B11B-F2ED20F73380}"/>
    <cellStyle name="60% - Énfasis5 7" xfId="302" xr:uid="{8A3F9BB5-1476-45B8-8837-B8B268DC35F3}"/>
    <cellStyle name="60% - Énfasis6" xfId="48" builtinId="52" customBuiltin="1"/>
    <cellStyle name="60% - Énfasis6 2" xfId="82" xr:uid="{46FDB429-4B49-45B9-9C2B-5C2AFA987A59}"/>
    <cellStyle name="60% - Énfasis6 2 2" xfId="209" xr:uid="{5E6BC2EE-0C80-48E0-901C-EFFD3E79F9F3}"/>
    <cellStyle name="60% - Énfasis6 3" xfId="105" xr:uid="{0FACA68C-06EC-4F17-A5B3-ADB4B6FB416D}"/>
    <cellStyle name="60% - Énfasis6 3 2" xfId="232" xr:uid="{93F51E52-2BF9-4375-BE03-935E08DEF2FD}"/>
    <cellStyle name="60% - Énfasis6 4" xfId="129" xr:uid="{84857890-413F-47C5-BAC1-213B8500F26A}"/>
    <cellStyle name="60% - Énfasis6 4 2" xfId="256" xr:uid="{B2C0E363-1297-403D-BDFF-96FF8B1CE7FB}"/>
    <cellStyle name="60% - Énfasis6 5" xfId="153" xr:uid="{773AA505-7243-4739-9FA4-C0639653C4EF}"/>
    <cellStyle name="60% - Énfasis6 5 2" xfId="280" xr:uid="{4EDB50D6-5068-46FA-AFCE-1D525F343234}"/>
    <cellStyle name="60% - Énfasis6 6" xfId="182" xr:uid="{03D9B5D4-5C38-4094-A99F-897A1E08FEDF}"/>
    <cellStyle name="60% - Énfasis6 7" xfId="305" xr:uid="{039DDFEA-5AC8-49F7-AD95-8EEE5F30E07A}"/>
    <cellStyle name="Bueno" xfId="13" builtinId="26" customBuiltin="1"/>
    <cellStyle name="Cálculo" xfId="18" builtinId="22" customBuiltin="1"/>
    <cellStyle name="Celda de comprobación" xfId="20" builtinId="23" customBuiltin="1"/>
    <cellStyle name="Celda vinculada" xfId="19" builtinId="24" customBuiltin="1"/>
    <cellStyle name="Coma 2" xfId="335" xr:uid="{A1DD08FB-3E91-4640-945E-980BBC74E944}"/>
    <cellStyle name="Coma 3" xfId="336" xr:uid="{EC2769D1-3E90-4523-B92E-06CC685B32B1}"/>
    <cellStyle name="Currency 2" xfId="337" xr:uid="{8F840E68-CE90-4EBD-9F10-9B6143B7C161}"/>
    <cellStyle name="Currency 3" xfId="424" xr:uid="{0516636C-D860-4FAA-8DD7-36A68C69CB06}"/>
    <cellStyle name="Currency 3 2" xfId="479" xr:uid="{A08D5F8D-19B8-417F-93F9-BB7C137A870B}"/>
    <cellStyle name="Diseño" xfId="338" xr:uid="{F27D0B46-0C26-48E7-A78E-66937FBAA7CC}"/>
    <cellStyle name="Encabezado 1" xfId="9" builtinId="16" customBuiltin="1"/>
    <cellStyle name="Encabezado 4" xfId="12" builtinId="19" customBuiltin="1"/>
    <cellStyle name="Énfasis1" xfId="25" builtinId="29" customBuiltin="1"/>
    <cellStyle name="Énfasis2" xfId="29" builtinId="33" customBuiltin="1"/>
    <cellStyle name="Énfasis3" xfId="33" builtinId="37" customBuiltin="1"/>
    <cellStyle name="Énfasis4" xfId="37" builtinId="41" customBuiltin="1"/>
    <cellStyle name="Énfasis5" xfId="41" builtinId="45" customBuiltin="1"/>
    <cellStyle name="Énfasis6" xfId="45" builtinId="49" customBuiltin="1"/>
    <cellStyle name="Entrada" xfId="16" builtinId="20" customBuiltin="1"/>
    <cellStyle name="Euro" xfId="339" xr:uid="{2A320274-1F3D-438D-ACD8-B3947AA5C4A8}"/>
    <cellStyle name="Excel Built-in Normal" xfId="427" xr:uid="{03A1FE3C-B888-49D0-8B30-C484743ABED7}"/>
    <cellStyle name="Hipervínculo" xfId="425" xr:uid="{07101B98-3B32-4215-819C-4D2B7622C4BE}"/>
    <cellStyle name="Incorrecto" xfId="14" builtinId="27" customBuiltin="1"/>
    <cellStyle name="Millares 10" xfId="340" xr:uid="{D9D67E09-9D3C-4711-AB96-07723DD587C0}"/>
    <cellStyle name="Millares 10 2" xfId="435" xr:uid="{B49DA0A2-7A71-4C80-B272-E0A1772AA16A}"/>
    <cellStyle name="Millares 11" xfId="399" xr:uid="{650B5B2A-635C-4EBE-8C06-B272A88C5824}"/>
    <cellStyle name="Millares 11 2" xfId="459" xr:uid="{69522F85-45CE-4D0F-A9C3-F869255FCD5D}"/>
    <cellStyle name="Millares 12" xfId="332" xr:uid="{4980191E-9AE8-4333-840A-34B8EDD1D8A6}"/>
    <cellStyle name="Millares 12 2" xfId="433" xr:uid="{1077E78B-E9D2-430B-824A-8BBA1232A457}"/>
    <cellStyle name="Millares 13" xfId="341" xr:uid="{2D1D729C-195C-4764-A58B-3FD24BA697D2}"/>
    <cellStyle name="Millares 13 2" xfId="436" xr:uid="{4F742932-4B20-4295-A8AE-A3691E7DD677}"/>
    <cellStyle name="Millares 2" xfId="330" xr:uid="{33E9DB2A-4A31-4555-ACC1-73A54C4A4EBA}"/>
    <cellStyle name="Millares 2 2" xfId="342" xr:uid="{40412588-94C5-4FDE-9C0E-0ECB8D0CDAB3}"/>
    <cellStyle name="Millares 2 3" xfId="343" xr:uid="{2BECF4A9-DDE6-4D23-A7FB-2DFB56D78051}"/>
    <cellStyle name="Millares 2 3 2" xfId="437" xr:uid="{C53DFB4F-85DC-454C-A423-84FE8A0AEC21}"/>
    <cellStyle name="Millares 2 4" xfId="418" xr:uid="{9E5D6F23-3B45-4906-AD6A-85DF6CE1334C}"/>
    <cellStyle name="Millares 2 4 2" xfId="478" xr:uid="{F20AE435-6B5C-4332-B2D3-048E62340323}"/>
    <cellStyle name="Millares 2 5" xfId="431" xr:uid="{51E05E59-4F66-4FB9-9726-F495FB602B2E}"/>
    <cellStyle name="Millares 3" xfId="331" xr:uid="{EA09B5E6-1E56-4C50-8672-5E7B8C6F0E42}"/>
    <cellStyle name="Millares 3 2" xfId="400" xr:uid="{EACC94B8-1C81-42C1-8959-F2DCCE1D01CB}"/>
    <cellStyle name="Millares 3 2 2" xfId="460" xr:uid="{443DD7B4-005E-4E3E-96F1-306E2FBF55E4}"/>
    <cellStyle name="Millares 3 3" xfId="344" xr:uid="{D404101C-12E1-4966-888B-1C499A8FBC83}"/>
    <cellStyle name="Millares 3 3 2" xfId="438" xr:uid="{E386952F-33F5-437F-A679-8DFC87E14607}"/>
    <cellStyle name="Millares 3 4" xfId="432" xr:uid="{ED8781AB-2BAF-48FB-BB79-740D26227FC6}"/>
    <cellStyle name="Millares 4" xfId="345" xr:uid="{076FD13C-804B-4B9C-87B3-DA20A6E65051}"/>
    <cellStyle name="Millares 5" xfId="346" xr:uid="{34713F4A-2F02-4210-BBA1-8046CE6B468D}"/>
    <cellStyle name="Millares 5 2" xfId="439" xr:uid="{E96D180F-709D-4E12-9BDE-4DCA140C7E04}"/>
    <cellStyle name="Millares 6" xfId="347" xr:uid="{F84A6E8B-1D4C-48F3-BAAD-B96E5F7E7874}"/>
    <cellStyle name="Millares 6 2" xfId="440" xr:uid="{D69FA6A9-2B36-4FF8-A853-817E836E30CC}"/>
    <cellStyle name="Millares 7" xfId="348" xr:uid="{4A066902-2067-402F-9588-43EC90AECBF0}"/>
    <cellStyle name="Millares 7 2" xfId="441" xr:uid="{8B9EF79D-0E28-4E5E-AA38-B6454F115112}"/>
    <cellStyle name="Millares 8" xfId="349" xr:uid="{2FACBFEA-A84E-4474-A26F-6B8112B394DF}"/>
    <cellStyle name="Millares 8 2" xfId="442" xr:uid="{1ACCD8C1-3678-4553-8178-E344E8AB3946}"/>
    <cellStyle name="Millares 9" xfId="350" xr:uid="{1EF9E5E5-5A03-41EE-B0D1-B5B54401342D}"/>
    <cellStyle name="Millares 9 2" xfId="443" xr:uid="{52D52BF6-FE7C-499B-8A78-2A911C9BA286}"/>
    <cellStyle name="Moneda [0] 2" xfId="351" xr:uid="{92CC13B2-675C-4D24-8653-03F450347C7F}"/>
    <cellStyle name="Moneda [0] 2 2" xfId="444" xr:uid="{94948E75-C92A-40F7-A5C4-92710C2ED9F3}"/>
    <cellStyle name="Moneda [0] 3" xfId="352" xr:uid="{752D134C-78E8-4AAB-B202-393CDEE86537}"/>
    <cellStyle name="Moneda [0] 3 2" xfId="445" xr:uid="{6AA9188F-F5BC-4D4F-BBF3-8B3A4B853B69}"/>
    <cellStyle name="Moneda 10" xfId="394" xr:uid="{D949BCA3-FC59-4110-973E-A6C4340346D4}"/>
    <cellStyle name="Moneda 10 2" xfId="456" xr:uid="{CCBD9C3B-ADD4-4589-9407-A0FD50795C66}"/>
    <cellStyle name="Moneda 11" xfId="396" xr:uid="{18D51A52-57E8-46DA-A4E9-EDF0C3144E07}"/>
    <cellStyle name="Moneda 11 2" xfId="457" xr:uid="{9D9D09FC-BECA-446D-BF58-7226BFE40357}"/>
    <cellStyle name="Moneda 12" xfId="398" xr:uid="{4C399198-6E49-4845-B7BE-A32802E579B5}"/>
    <cellStyle name="Moneda 12 2" xfId="458" xr:uid="{784E2C54-4330-4949-92BF-55788B50A35A}"/>
    <cellStyle name="Moneda 13" xfId="353" xr:uid="{A93FBC6F-3667-4B3A-95E9-635CC7217723}"/>
    <cellStyle name="Moneda 13 2" xfId="446" xr:uid="{7A89BC3B-CE1C-40DA-83A0-0F2E13486478}"/>
    <cellStyle name="Moneda 14" xfId="334" xr:uid="{E123E0A9-AC10-4A38-8CB0-B1730CC4401B}"/>
    <cellStyle name="Moneda 14 2" xfId="434" xr:uid="{9F2545D3-E03A-4461-AB99-254ECE904478}"/>
    <cellStyle name="Moneda 15" xfId="401" xr:uid="{A85440F9-B304-40C1-9C86-2E750E8C6324}"/>
    <cellStyle name="Moneda 15 2" xfId="461" xr:uid="{B6D3B74B-0DC0-4396-96EB-770E0AA34F2A}"/>
    <cellStyle name="Moneda 16" xfId="402" xr:uid="{136C16FB-57CE-4C05-B5A8-FC965FAB3751}"/>
    <cellStyle name="Moneda 16 2" xfId="462" xr:uid="{5AA528A1-62AF-4F0D-BA9A-BA9E1DEF5BB2}"/>
    <cellStyle name="Moneda 17" xfId="403" xr:uid="{CFA567D1-CC2D-4788-93B9-EE15FC034EFE}"/>
    <cellStyle name="Moneda 17 2" xfId="463" xr:uid="{9820560C-DB1B-4527-A8EF-318216DB8DB1}"/>
    <cellStyle name="Moneda 18" xfId="404" xr:uid="{68CA08CE-D33C-4C7B-A22C-BC14FAD82AEB}"/>
    <cellStyle name="Moneda 18 2" xfId="464" xr:uid="{BD1A8B2B-75F1-4A6E-901A-3E9133C23C43}"/>
    <cellStyle name="Moneda 19" xfId="405" xr:uid="{78CB9347-864D-46F6-9DC6-41643EA08395}"/>
    <cellStyle name="Moneda 19 2" xfId="465" xr:uid="{BBDA57B2-6C02-41E9-B900-017D49B2B6BD}"/>
    <cellStyle name="Moneda 2" xfId="6" xr:uid="{EBDA31D2-BE89-4153-9952-1D5151E78399}"/>
    <cellStyle name="Moneda 2 10" xfId="354" xr:uid="{996D5832-7488-400B-AA5C-A9AB3CBF2215}"/>
    <cellStyle name="Moneda 2 11" xfId="58" xr:uid="{C0D75967-1D8E-4D24-954F-CF6729580E0C}"/>
    <cellStyle name="Moneda 2 12" xfId="51" xr:uid="{D4F1B9E3-8AEE-42B6-A6D6-E63E28896DEF}"/>
    <cellStyle name="Moneda 2 2" xfId="85" xr:uid="{4B36CF2A-0840-4D29-90E2-575ADE81100D}"/>
    <cellStyle name="Moneda 2 2 2" xfId="212" xr:uid="{331A80D1-51EF-4A45-ADF1-603965D9C079}"/>
    <cellStyle name="Moneda 2 2 2 2" xfId="320" xr:uid="{55ED12C9-8878-46FF-82E5-248BD63F1449}"/>
    <cellStyle name="Moneda 2 2 3" xfId="159" xr:uid="{2AEBE3A9-BB7A-4C0A-856D-103EC8849F72}"/>
    <cellStyle name="Moneda 2 2 3 2" xfId="314" xr:uid="{0080C474-49EE-4D47-AAE4-10D3F248F479}"/>
    <cellStyle name="Moneda 2 2 4" xfId="309" xr:uid="{AB4A64CE-B98B-49F4-973B-A62851151156}"/>
    <cellStyle name="Moneda 2 2 5" xfId="355" xr:uid="{221197FF-50D4-477F-9908-8D118082A41C}"/>
    <cellStyle name="Moneda 2 3" xfId="108" xr:uid="{826ED5CE-C821-454F-9209-2DF2460A1141}"/>
    <cellStyle name="Moneda 2 3 2" xfId="235" xr:uid="{8E06D70C-4455-4B0C-A917-A819197941F5}"/>
    <cellStyle name="Moneda 2 3 2 2" xfId="321" xr:uid="{DC910E6E-A782-4565-82DF-86636518D7C9}"/>
    <cellStyle name="Moneda 2 3 2 3" xfId="448" xr:uid="{53B929E5-AA78-4A5F-A540-383148F45098}"/>
    <cellStyle name="Moneda 2 3 3" xfId="160" xr:uid="{5FAE7173-E1E9-48C0-91F5-C7E13383B429}"/>
    <cellStyle name="Moneda 2 3 3 2" xfId="315" xr:uid="{70F2A19C-D55E-4725-AC9A-30998AF8455F}"/>
    <cellStyle name="Moneda 2 3 4" xfId="310" xr:uid="{621032DA-F987-47CE-8EA1-42B636F09C32}"/>
    <cellStyle name="Moneda 2 3 5" xfId="356" xr:uid="{9917DFD4-0EE4-4718-A563-69B27DA788D0}"/>
    <cellStyle name="Moneda 2 4" xfId="132" xr:uid="{D25E7452-A837-43FA-A1A4-6BEC5EF28E03}"/>
    <cellStyle name="Moneda 2 4 2" xfId="259" xr:uid="{AD949A83-F2D2-4A8D-A5D2-2D16F6EA8D2D}"/>
    <cellStyle name="Moneda 2 4 2 2" xfId="322" xr:uid="{F8D8167C-03FD-45C0-8050-275E65575510}"/>
    <cellStyle name="Moneda 2 4 3" xfId="161" xr:uid="{9C9E8F9E-436F-4AA0-8883-D7818531A237}"/>
    <cellStyle name="Moneda 2 4 3 2" xfId="316" xr:uid="{01788187-20E5-437D-B5D4-7851FB0551A8}"/>
    <cellStyle name="Moneda 2 4 4" xfId="311" xr:uid="{82466DD0-5E16-4579-AD43-266F768F75BF}"/>
    <cellStyle name="Moneda 2 4 5" xfId="447" xr:uid="{0DC64307-2C4C-4BE8-8C03-128491A03EDF}"/>
    <cellStyle name="Moneda 2 5" xfId="156" xr:uid="{F2984373-4A80-4FD6-A218-AA4815377384}"/>
    <cellStyle name="Moneda 2 5 2" xfId="283" xr:uid="{1C807ADF-7936-4565-A768-E0F5F0F7EAED}"/>
    <cellStyle name="Moneda 2 5 2 2" xfId="323" xr:uid="{0FCF55F0-2A47-4029-87C7-81B587F9012F}"/>
    <cellStyle name="Moneda 2 5 3" xfId="162" xr:uid="{0DCA1D54-D6CC-4E35-B740-4892709A4D8F}"/>
    <cellStyle name="Moneda 2 5 3 2" xfId="317" xr:uid="{901A3ABA-208A-48B8-B6E1-BB0819270839}"/>
    <cellStyle name="Moneda 2 5 4" xfId="312" xr:uid="{F3B91CD0-36B3-483F-8A15-8171D5C4F282}"/>
    <cellStyle name="Moneda 2 6" xfId="62" xr:uid="{965336AF-90ED-423A-BB9B-E57D8B85B439}"/>
    <cellStyle name="Moneda 2 6 2" xfId="189" xr:uid="{F129F373-EEC9-4DAF-9423-5749860F14C7}"/>
    <cellStyle name="Moneda 2 6 2 2" xfId="319" xr:uid="{976071DA-EA64-4E0B-93CE-C72B2C6F4526}"/>
    <cellStyle name="Moneda 2 6 3" xfId="308" xr:uid="{F78D07F1-D696-4FDD-A9F4-4C3FA49CF3CC}"/>
    <cellStyle name="Moneda 2 7" xfId="185" xr:uid="{490B138A-278E-4EC4-A920-A92A2802D08C}"/>
    <cellStyle name="Moneda 2 7 2" xfId="318" xr:uid="{C86AE8B3-8ED4-4F18-B8BD-5A339E09682F}"/>
    <cellStyle name="Moneda 2 8" xfId="158" xr:uid="{368CAA8D-ACE2-4A5B-9862-21FD37A9A171}"/>
    <cellStyle name="Moneda 2 8 2" xfId="313" xr:uid="{236A58E1-4435-4AC2-AE7F-F4C46134BEA7}"/>
    <cellStyle name="Moneda 2 9" xfId="307" xr:uid="{C46D1B4F-B19B-4613-A9EC-B93DD040E39A}"/>
    <cellStyle name="Moneda 20" xfId="406" xr:uid="{0107FDDE-4B93-4B91-898B-024EE10DEA46}"/>
    <cellStyle name="Moneda 20 2" xfId="466" xr:uid="{0F8C65BA-66F4-436F-B372-A129BA4DC5ED}"/>
    <cellStyle name="Moneda 21" xfId="407" xr:uid="{B642BCF5-4A4B-4ACD-A906-F9A1F161A812}"/>
    <cellStyle name="Moneda 21 2" xfId="467" xr:uid="{0487D717-D8A2-466A-B535-206E2985CB9F}"/>
    <cellStyle name="Moneda 22" xfId="408" xr:uid="{CADC1C6F-34A3-4EC8-959E-A42901E59CB9}"/>
    <cellStyle name="Moneda 22 2" xfId="468" xr:uid="{2F978BD9-8550-47EC-AED6-967770D344CA}"/>
    <cellStyle name="Moneda 23" xfId="409" xr:uid="{D892ED15-D8FB-4FE6-9FB7-2839E4EF1CA3}"/>
    <cellStyle name="Moneda 23 2" xfId="469" xr:uid="{923C443C-8CA9-4877-93CA-77304C8015CD}"/>
    <cellStyle name="Moneda 24" xfId="410" xr:uid="{71274F30-5759-49B0-A064-61FB5A58B43D}"/>
    <cellStyle name="Moneda 24 2" xfId="470" xr:uid="{08EE0224-C862-4320-9D77-4C19C7F49BD1}"/>
    <cellStyle name="Moneda 25" xfId="411" xr:uid="{72A886C2-DF71-45C6-83A2-AFAAC152B338}"/>
    <cellStyle name="Moneda 25 2" xfId="471" xr:uid="{3D58AEEF-F3B8-4066-9DF0-80D09247BBC7}"/>
    <cellStyle name="Moneda 26" xfId="412" xr:uid="{44979CBE-5430-49AF-8015-AB41BA9F888A}"/>
    <cellStyle name="Moneda 26 2" xfId="472" xr:uid="{E6044DAA-0290-42C3-BEC1-F59117EB7BA6}"/>
    <cellStyle name="Moneda 27" xfId="413" xr:uid="{803C0762-6DE2-4A47-850E-FB4EC36E5372}"/>
    <cellStyle name="Moneda 27 2" xfId="473" xr:uid="{F2C32FA6-A247-4CC2-B509-3111BF16A075}"/>
    <cellStyle name="Moneda 28" xfId="414" xr:uid="{33CFDD9C-28AE-474E-8BB9-D1D2A4EF2BC7}"/>
    <cellStyle name="Moneda 28 2" xfId="474" xr:uid="{EBBC85A4-7B81-4DAA-9DFF-996B91267242}"/>
    <cellStyle name="Moneda 29" xfId="415" xr:uid="{6385B181-0FB4-452C-AC99-9FD548365B36}"/>
    <cellStyle name="Moneda 29 2" xfId="475" xr:uid="{B22F3294-6C9D-4EEE-9986-B9CDB5DBEDDA}"/>
    <cellStyle name="Moneda 3" xfId="49" xr:uid="{C9631CB5-7D69-4D69-89A6-CE26CC803C9F}"/>
    <cellStyle name="Moneda 3 2" xfId="324" xr:uid="{7254FA15-9B6E-4652-94CE-F7DC112C4169}"/>
    <cellStyle name="Moneda 3 2 2" xfId="454" xr:uid="{66A6121E-4BDC-4195-A3F5-8F0B16C0C8B2}"/>
    <cellStyle name="Moneda 3 2 3" xfId="384" xr:uid="{862BA98B-E82A-4710-8A21-D36439D60841}"/>
    <cellStyle name="Moneda 3 3" xfId="357" xr:uid="{78599E3A-0CAB-4543-B50E-E845938B482E}"/>
    <cellStyle name="Moneda 3 4" xfId="286" xr:uid="{A8DD16AF-364E-4EF0-949C-294A3B9BA549}"/>
    <cellStyle name="Moneda 30" xfId="416" xr:uid="{D47E5F99-DEE9-4CA0-AC53-FE9E70F11363}"/>
    <cellStyle name="Moneda 30 2" xfId="476" xr:uid="{B36C7AEE-C45C-455E-B252-34EFEEC7C106}"/>
    <cellStyle name="Moneda 31" xfId="417" xr:uid="{16458028-13A2-4F85-9A83-3F130374D624}"/>
    <cellStyle name="Moneda 31 2" xfId="477" xr:uid="{1E901291-3A56-48FC-ADC1-24A6EF281DEB}"/>
    <cellStyle name="Moneda 32" xfId="327" xr:uid="{2DC10C34-391D-4529-A7EA-2FF429966C35}"/>
    <cellStyle name="Moneda 33" xfId="326" xr:uid="{33677DAD-B8DE-4ABE-A2DF-7186E8D6289F}"/>
    <cellStyle name="Moneda 34" xfId="54" xr:uid="{BAEFF1C5-9DE3-4DBB-8A48-92F78CDB38F4}"/>
    <cellStyle name="Moneda 35" xfId="55" xr:uid="{B28AF426-7A39-4A3A-934E-92C8C113F2A2}"/>
    <cellStyle name="Moneda 36" xfId="53" xr:uid="{898126FB-560E-4196-9489-B22C046491F0}"/>
    <cellStyle name="Moneda 4" xfId="325" xr:uid="{FA744FED-281F-4441-BEEC-C859A41CBCB8}"/>
    <cellStyle name="Moneda 4 2" xfId="449" xr:uid="{8AF7F260-8A5B-46C6-9F71-FFC85120A5F2}"/>
    <cellStyle name="Moneda 4 3" xfId="358" xr:uid="{16BB9590-DFDE-4414-89DB-7F839F3C52B6}"/>
    <cellStyle name="Moneda 5" xfId="306" xr:uid="{6DF17981-4EEA-4FBF-B861-ECDA36415B4C}"/>
    <cellStyle name="Moneda 5 2" xfId="360" xr:uid="{7B18982C-CD66-4BF3-B92F-31E73876D4B0}"/>
    <cellStyle name="Moneda 5 2 2" xfId="451" xr:uid="{54B96F26-7BB2-46D4-AC31-C4E9FCE81AB7}"/>
    <cellStyle name="Moneda 5 3" xfId="450" xr:uid="{8597F685-6052-4AAC-8BFB-237F4532BA6B}"/>
    <cellStyle name="Moneda 5 4" xfId="359" xr:uid="{3B55EB30-D8EF-42AC-B1D8-CEFA992AC57E}"/>
    <cellStyle name="Moneda 6" xfId="361" xr:uid="{C82F0ADB-11D6-4D5D-8806-243F502DAC64}"/>
    <cellStyle name="Moneda 6 2" xfId="452" xr:uid="{AA28D292-3F36-4AF1-A012-ED7309A1E348}"/>
    <cellStyle name="Moneda 7" xfId="362" xr:uid="{C9DBB3FF-F12F-4AC4-AE00-12FDFA0A0981}"/>
    <cellStyle name="Moneda 7 2" xfId="453" xr:uid="{3D62535A-2505-4411-B3C0-469CF2D6BB96}"/>
    <cellStyle name="Moneda 8" xfId="363" xr:uid="{D864E7B2-2F90-4E69-9135-98EBF1F9DBC9}"/>
    <cellStyle name="Moneda 9" xfId="392" xr:uid="{A27460A1-B6A5-4E7F-93D0-51AF9DC1D13E}"/>
    <cellStyle name="Moneda 9 2" xfId="455" xr:uid="{ED840C23-156C-4DF0-946C-B917B9BD4B17}"/>
    <cellStyle name="Neutral" xfId="15" builtinId="28" customBuiltin="1"/>
    <cellStyle name="Normal" xfId="0" builtinId="0"/>
    <cellStyle name="Normal 10" xfId="163" xr:uid="{EB3DC7DD-E65D-4D50-8EC4-3C9D34B52DED}"/>
    <cellStyle name="Normal 10 2" xfId="391" xr:uid="{697ACD6B-05CD-488F-AE60-6F564766663E}"/>
    <cellStyle name="Normal 10 3" xfId="364" xr:uid="{D799F899-578C-4BA3-8A2D-707878A3E4AE}"/>
    <cellStyle name="Normal 11" xfId="285" xr:uid="{F08D1ED7-26E5-4239-8819-E63AC77C1DD1}"/>
    <cellStyle name="Normal 12" xfId="393" xr:uid="{07229972-918F-4E4F-A7F8-370C38A6D508}"/>
    <cellStyle name="Normal 13" xfId="365" xr:uid="{F4C574F3-B3EB-4D97-9FCB-1CD2AC594473}"/>
    <cellStyle name="Normal 14" xfId="395" xr:uid="{EC6841A3-2BFB-4E6A-B9DA-F41748C8B4FC}"/>
    <cellStyle name="Normal 15" xfId="397" xr:uid="{ED9A15DA-9D37-4B4B-B66F-469324C70144}"/>
    <cellStyle name="Normal 16" xfId="333" xr:uid="{DAD5BEE3-D78B-42A7-9054-C5D81BDAA46B}"/>
    <cellStyle name="Normal 17" xfId="426" xr:uid="{8BDA5CF9-6BD7-46F5-9F2E-C989CB8CC467}"/>
    <cellStyle name="Normal 18" xfId="428" xr:uid="{B7DE0319-EBE9-4886-B198-6B21F3CAF603}"/>
    <cellStyle name="Normal 19" xfId="56" xr:uid="{95F83BD7-E6D2-4E49-9D8D-7DC68C76D2A0}"/>
    <cellStyle name="Normal 19 2" xfId="480" xr:uid="{FF060A76-34E0-4A07-8B44-90D8C6B8AF02}"/>
    <cellStyle name="Normal 2" xfId="4" xr:uid="{AE411FEA-DFA2-4122-BF6F-CAC0BD11F539}"/>
    <cellStyle name="Normal 2 2" xfId="1" xr:uid="{0AC1C1ED-55DB-4AC2-B2FE-7E042E59EBD8}"/>
    <cellStyle name="Normal 2 2 2" xfId="83" xr:uid="{815A24A3-0693-4ED7-BADE-5F5D4DD1599B}"/>
    <cellStyle name="Normal 2 2 2 2" xfId="210" xr:uid="{11F13E29-0C71-4A86-9FEE-4CB9292C504B}"/>
    <cellStyle name="Normal 2 2 2 2 2" xfId="390" xr:uid="{B24ADF70-6040-459E-A09B-3787A4B97001}"/>
    <cellStyle name="Normal 2 2 3" xfId="106" xr:uid="{0C58A6BC-316F-4B9A-B733-541184A1178D}"/>
    <cellStyle name="Normal 2 2 3 2" xfId="233" xr:uid="{E75FEF29-E03F-4FF2-AA9D-E750D645B76F}"/>
    <cellStyle name="Normal 2 2 3 3" xfId="385" xr:uid="{0BA009E6-1B79-4274-857A-9FA67854AC3A}"/>
    <cellStyle name="Normal 2 2 4" xfId="130" xr:uid="{622F52CC-1E35-436F-8E6D-B434C9E62C8E}"/>
    <cellStyle name="Normal 2 2 4 2" xfId="257" xr:uid="{8ED5D175-B10D-413D-875F-913C4257435F}"/>
    <cellStyle name="Normal 2 2 5" xfId="154" xr:uid="{16F99C92-542C-4C64-A881-2210D535B058}"/>
    <cellStyle name="Normal 2 2 5 2" xfId="281" xr:uid="{FD222BEA-45B1-4717-834A-A6A9CF4840A6}"/>
    <cellStyle name="Normal 2 2 6" xfId="183" xr:uid="{A4EA75B6-E96C-4EE7-9A5F-F692677BCA58}"/>
    <cellStyle name="Normal 2 2 7" xfId="366" xr:uid="{A5CB5B31-9A63-4BE6-9B09-616370106029}"/>
    <cellStyle name="Normal 2 3" xfId="3" xr:uid="{14C1EF9F-6B84-4DF5-A565-1ED561A460B1}"/>
    <cellStyle name="Normal 2 3 2" xfId="84" xr:uid="{24E358FC-A79C-4591-B04A-0C309D1A14CF}"/>
    <cellStyle name="Normal 2 3 2 2" xfId="211" xr:uid="{6FFA2D21-8624-40E5-932F-BD53A1343E49}"/>
    <cellStyle name="Normal 2 3 2 3" xfId="421" xr:uid="{FACD72ED-695A-4C56-89DF-2559140334E9}"/>
    <cellStyle name="Normal 2 3 3" xfId="107" xr:uid="{4291CC9A-2A43-403C-894B-9E3768714780}"/>
    <cellStyle name="Normal 2 3 3 2" xfId="234" xr:uid="{94069594-76CD-4277-B540-ABBEDF05AECF}"/>
    <cellStyle name="Normal 2 3 4" xfId="131" xr:uid="{0AAA998F-017E-4EF5-B9A8-19BEFA46B374}"/>
    <cellStyle name="Normal 2 3 4 2" xfId="258" xr:uid="{9BDFA87C-4DBA-46A9-9C02-37BE69D224AF}"/>
    <cellStyle name="Normal 2 3 5" xfId="155" xr:uid="{F0CEEFD7-A618-4F49-AF86-D0B62A082C3E}"/>
    <cellStyle name="Normal 2 3 5 2" xfId="282" xr:uid="{AE62390A-50DA-48C2-A514-D178A04257C3}"/>
    <cellStyle name="Normal 2 3 6" xfId="184" xr:uid="{72C9479E-6C50-4E2A-AA19-C8A8282D0DD6}"/>
    <cellStyle name="Normal 2 3 7" xfId="367" xr:uid="{8B896B43-FE1E-4A7F-8EF2-25BBB2299557}"/>
    <cellStyle name="Normal 2 4" xfId="386" xr:uid="{35FD8F0D-AF7C-4440-881D-B9B81510C15C}"/>
    <cellStyle name="Normal 2 5" xfId="387" xr:uid="{A0248EE5-8374-45C6-A341-15193CCCEDD0}"/>
    <cellStyle name="Normal 2 6" xfId="388" xr:uid="{959426EB-A789-44EA-9D88-CF2B491C9697}"/>
    <cellStyle name="Normal 2 7" xfId="389" xr:uid="{A6CE1D36-2E8B-4F8E-B5D0-F145CCBA32B4}"/>
    <cellStyle name="Normal 2 8" xfId="420" xr:uid="{30CCFC76-0A13-41F4-9E19-41BC8F0A16EC}"/>
    <cellStyle name="Normal 2 9" xfId="329" xr:uid="{7948FAA7-15D6-47C4-9823-EAECB65020BC}"/>
    <cellStyle name="Normal 2_SAF 1426 Las Pintas (GAS)" xfId="368" xr:uid="{2BAA3F04-DD56-4539-85C6-24ED63C76761}"/>
    <cellStyle name="Normal 20" xfId="57" xr:uid="{0BABFB24-C11E-4560-A13D-5FE69D7485A7}"/>
    <cellStyle name="Normal 21" xfId="419" xr:uid="{C0EDA9B5-70BA-4A3F-B6F7-D1E78D103372}"/>
    <cellStyle name="Normal 3" xfId="2" xr:uid="{BED23C89-E6C6-489C-94A5-8091BF777863}"/>
    <cellStyle name="Normal 3 2" xfId="429" xr:uid="{7C7458F5-9A71-4DBA-B5FC-B961F78DABC6}"/>
    <cellStyle name="Normal 3 3" xfId="369" xr:uid="{DDCD74AE-CD22-4556-B77C-C3CB8D3D88BE}"/>
    <cellStyle name="Normal 4" xfId="5" xr:uid="{6E3E15B2-D019-4EBD-B729-BF876327C5D8}"/>
    <cellStyle name="Normal 4 2" xfId="187" xr:uid="{096770EE-BC3A-457A-A0AA-4CB93CCD9F3F}"/>
    <cellStyle name="Normal 4 2 2" xfId="371" xr:uid="{608A3706-4F9E-4EA8-9D6A-46AF63CED857}"/>
    <cellStyle name="Normal 4 3" xfId="370" xr:uid="{22FE0DB3-BB40-4381-A0BD-421366097884}"/>
    <cellStyle name="Normal 4 4" xfId="60" xr:uid="{E8520A97-0CA6-4927-84DD-9460FA9F6FDC}"/>
    <cellStyle name="Normal 4 5" xfId="50" xr:uid="{F7AFDFF0-F380-46B9-A1A5-DCE4AA86FE00}"/>
    <cellStyle name="Normal 5" xfId="63" xr:uid="{742C429D-463B-425A-B643-AC4701FC925A}"/>
    <cellStyle name="Normal 5 2" xfId="190" xr:uid="{2628221B-901A-492F-AC61-BD9DD4F4F2BA}"/>
    <cellStyle name="Normal 5 2 2" xfId="373" xr:uid="{ECB66037-D769-4F8F-AD4C-39A5E78B7829}"/>
    <cellStyle name="Normal 5 3" xfId="372" xr:uid="{C0095268-4AAD-43B9-B324-78F40B26240F}"/>
    <cellStyle name="Normal 5 4" xfId="328" xr:uid="{0B6FAABC-D2CC-4965-9361-615A64E68720}"/>
    <cellStyle name="Normal 6" xfId="86" xr:uid="{FCC91FFD-9A20-436B-B4E1-BF853A6DCC47}"/>
    <cellStyle name="Normal 6 2" xfId="213" xr:uid="{8D579223-02EE-47C4-AC9F-FCA92CE94FC6}"/>
    <cellStyle name="Normal 6 3" xfId="374" xr:uid="{D0D7FE9F-DBB8-4E57-9210-2B3B57747C62}"/>
    <cellStyle name="Normal 7" xfId="110" xr:uid="{07FF2266-BE80-4924-AFBA-5CC2EC3820D8}"/>
    <cellStyle name="Normal 7 2" xfId="237" xr:uid="{D4EECAFF-1610-454C-A604-3CB7D1E3228D}"/>
    <cellStyle name="Normal 7 3" xfId="375" xr:uid="{7F20760D-5CB5-46E6-A7F8-E71639DDE5DB}"/>
    <cellStyle name="Normal 8" xfId="134" xr:uid="{DE0ACAC0-DD5A-4F81-A8BA-9C46E89A6DFB}"/>
    <cellStyle name="Normal 8 2" xfId="261" xr:uid="{71271330-F021-4A5A-AD33-66EA0EF372DE}"/>
    <cellStyle name="Normal 8 3" xfId="376" xr:uid="{91B07313-7985-4C0E-AC93-B0804DE42826}"/>
    <cellStyle name="Normal 9" xfId="59" xr:uid="{672AD1D0-7F99-4B1E-A094-5E0498446BD7}"/>
    <cellStyle name="Normal 9 2" xfId="377" xr:uid="{6468FF2B-6006-4759-A958-B7CF6AAD46D6}"/>
    <cellStyle name="Notas" xfId="22" builtinId="10" customBuiltin="1"/>
    <cellStyle name="Notas 2" xfId="61" xr:uid="{0BD15A0C-65DA-471D-BDB7-76CEF9E5F22D}"/>
    <cellStyle name="Notas 2 2" xfId="188" xr:uid="{A8C1B74A-D21E-42F8-B90C-0DEA34D0A516}"/>
    <cellStyle name="Notas 3" xfId="64" xr:uid="{45AEF86C-11E6-4CBA-B2EB-E7C307010F55}"/>
    <cellStyle name="Notas 3 2" xfId="191" xr:uid="{99487798-D86C-4A69-80CA-2A60DFE0B63E}"/>
    <cellStyle name="Notas 4" xfId="87" xr:uid="{9297D717-D239-40F5-BD42-2DF75C086DAD}"/>
    <cellStyle name="Notas 4 2" xfId="214" xr:uid="{7A41A46A-2B3D-4229-956E-D68E5A325DB3}"/>
    <cellStyle name="Notas 5" xfId="111" xr:uid="{A1E725BE-E90C-4C6B-8182-07EE9849BCD1}"/>
    <cellStyle name="Notas 5 2" xfId="238" xr:uid="{59A9E7FD-9B20-4922-B785-53D0E8C23F80}"/>
    <cellStyle name="Notas 6" xfId="135" xr:uid="{2A3E87DE-1EEE-4291-9C5D-C6D829EB1AF6}"/>
    <cellStyle name="Notas 6 2" xfId="262" xr:uid="{96FB9C6A-6642-4AC4-A0FC-0E5931E5CED4}"/>
    <cellStyle name="Notas 7" xfId="164" xr:uid="{EE6E5FA1-B2C1-47A7-9169-E86298F4BCA2}"/>
    <cellStyle name="Notas 8" xfId="287" xr:uid="{BDA5F399-532C-4EDA-BBC6-868D801B4B90}"/>
    <cellStyle name="Porcentaje 2" xfId="7" xr:uid="{C7FB1B73-F6D0-47F3-9E6B-5340B69A644E}"/>
    <cellStyle name="Porcentaje 2 2" xfId="236" xr:uid="{92434B65-E86F-464A-967C-02B1CAE48A35}"/>
    <cellStyle name="Porcentaje 2 2 2" xfId="423" xr:uid="{0E96B933-AA3E-46B6-A42C-5E73A8ED29E4}"/>
    <cellStyle name="Porcentaje 2 3" xfId="378" xr:uid="{FB294141-FB7D-491E-983B-8969EE1E41D3}"/>
    <cellStyle name="Porcentaje 2 4" xfId="109" xr:uid="{EA9E8F2A-1FF7-4D19-8FCD-7C79A852E2C9}"/>
    <cellStyle name="Porcentaje 2 5" xfId="52" xr:uid="{61354BC4-AB84-4DDA-A637-1F74F4B95030}"/>
    <cellStyle name="Porcentaje 3" xfId="133" xr:uid="{BEA4C95A-414E-4D71-B148-568F4EAD2C55}"/>
    <cellStyle name="Porcentaje 3 2" xfId="260" xr:uid="{80C3C72F-63E8-4CFC-9001-9F9DB8A5A653}"/>
    <cellStyle name="Porcentaje 3 3" xfId="379" xr:uid="{D2CE3D16-2E75-47F8-BF7E-49470102EFD3}"/>
    <cellStyle name="Porcentaje 4" xfId="157" xr:uid="{7D99C71E-9FDB-44C7-84EC-D4EC042DFE28}"/>
    <cellStyle name="Porcentaje 4 2" xfId="284" xr:uid="{64844D31-BE90-48AE-88F2-BAA15B4AC07B}"/>
    <cellStyle name="Porcentaje 4 3" xfId="380" xr:uid="{43C29E5F-AF0D-480F-AE9D-A64CCF65F604}"/>
    <cellStyle name="Porcentaje 5" xfId="186" xr:uid="{5EBCC06C-2A36-4106-BB79-60BC5EE1B78F}"/>
    <cellStyle name="Porcentaje 5 2" xfId="430" xr:uid="{EF2AC6F8-76FA-4174-BA74-6FB317CE0D06}"/>
    <cellStyle name="Porcentual 2" xfId="381" xr:uid="{5EC07AD5-2317-4A43-8316-FA68CC6FEBF6}"/>
    <cellStyle name="Porcentual 3" xfId="382" xr:uid="{50C365F4-0456-4A32-A552-89A25B4ED0FF}"/>
    <cellStyle name="Porcentual 4" xfId="383" xr:uid="{82AF4A6C-5F3D-466B-99FF-B37D0E0BC4F7}"/>
    <cellStyle name="Project Headers" xfId="422" xr:uid="{20625654-2E18-4E59-862B-558A195224D4}"/>
    <cellStyle name="Salida" xfId="17" builtinId="21" customBuiltin="1"/>
    <cellStyle name="Texto de advertencia" xfId="21" builtinId="11" customBuiltin="1"/>
    <cellStyle name="Texto explicativo" xfId="23" builtinId="53" customBuiltin="1"/>
    <cellStyle name="Título" xfId="8" builtinId="15" customBuiltin="1"/>
    <cellStyle name="Título 2" xfId="10" builtinId="17" customBuiltin="1"/>
    <cellStyle name="Título 3" xfId="11" builtinId="18" customBuiltin="1"/>
    <cellStyle name="Total" xfId="24" builtinId="25" customBuiltin="1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fgColor theme="0"/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97407"/>
        </patternFill>
      </fill>
    </dxf>
    <dxf>
      <font>
        <b/>
        <i val="0"/>
        <color theme="0"/>
      </font>
      <fill>
        <patternFill>
          <fgColor theme="0"/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9740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fgColor theme="0"/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97407"/>
        </patternFill>
      </fill>
    </dxf>
    <dxf>
      <font>
        <b/>
        <i val="0"/>
        <color theme="0"/>
      </font>
      <fill>
        <patternFill>
          <fgColor theme="0"/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9740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3366"/>
      </font>
      <border>
        <left style="thin">
          <color theme="5" tint="-0.24994659260841701"/>
        </left>
        <right style="thin">
          <color theme="5" tint="-0.24994659260841701"/>
        </right>
        <top style="thin">
          <color theme="5" tint="-0.24994659260841701"/>
        </top>
        <bottom style="thin">
          <color theme="5" tint="-0.24994659260841701"/>
        </bottom>
      </border>
    </dxf>
  </dxfs>
  <tableStyles count="1" defaultTableStyle="TableStyleMedium2" defaultPivotStyle="PivotStyleLight16">
    <tableStyle name="Estilo de segmentación de datos 2" pivot="0" table="0" count="1" xr9:uid="{AF81031C-F73D-4F08-B0A8-0FFC3B0B8D69}">
      <tableStyleElement type="headerRow" dxfId="20"/>
    </tableStyle>
  </tableStyles>
  <colors>
    <mruColors>
      <color rgb="FF02805F"/>
      <color rgb="FFF9740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7eleven-my.sharepoint.com/personal/emilio_rodarte_7-eleven_com_mx/Documents/Cigarros%202026/Inv/Articulos%20descontinuados%20(2).xlsx" TargetMode="External"/><Relationship Id="rId1" Type="http://schemas.openxmlformats.org/officeDocument/2006/relationships/externalLinkPath" Target="Articulos%20descontinuados%20(2)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edwing_cardenas_7-eleven_com_mx/Documents/Descontinuados%20cigarros.xlsx" TargetMode="External"/><Relationship Id="rId2" Type="http://schemas.openxmlformats.org/officeDocument/2006/relationships/externalLinkPath" Target="https://7eleven-my.sharepoint.com/personal/edwing_cardenas_7-eleven_com_mx/Documents/Descontinuados%20cigarros.xlsx" TargetMode="External"/><Relationship Id="rId1" Type="http://schemas.openxmlformats.org/officeDocument/2006/relationships/externalLinkPath" Target="/personal/edwing_cardenas_7-eleven_com_mx/Documents/Descontinuados%20cigarr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ductos y plazas"/>
      <sheetName val="PLAZA"/>
      <sheetName val="master"/>
    </sheetNames>
    <sheetDataSet>
      <sheetData sheetId="0"/>
      <sheetData sheetId="1"/>
      <sheetData sheetId="2">
        <row r="1">
          <cell r="A1" t="str">
            <v>ARTICULO</v>
          </cell>
          <cell r="B1" t="str">
            <v>UPC</v>
          </cell>
          <cell r="C1" t="str">
            <v>DESCRIPCIÓN</v>
          </cell>
        </row>
        <row r="2">
          <cell r="A2">
            <v>100024998</v>
          </cell>
          <cell r="B2">
            <v>7311250046988</v>
          </cell>
          <cell r="C2" t="str">
            <v>ZYN SPEARMINT 6MG STRONG CAJETILLA PZ</v>
          </cell>
        </row>
        <row r="3">
          <cell r="A3">
            <v>100024997</v>
          </cell>
          <cell r="B3">
            <v>7311250046971</v>
          </cell>
          <cell r="C3" t="str">
            <v>ZYN SPEARMINT 3MG MEDIUM CAJETILLA PZ</v>
          </cell>
        </row>
        <row r="4">
          <cell r="A4">
            <v>100025304</v>
          </cell>
          <cell r="B4">
            <v>7311250048388</v>
          </cell>
          <cell r="C4" t="str">
            <v>ZYN SPEARMINIT 1.5MG LOW CAJETILLA PZ</v>
          </cell>
        </row>
        <row r="5">
          <cell r="A5">
            <v>100026067</v>
          </cell>
          <cell r="B5">
            <v>7311250035579</v>
          </cell>
          <cell r="C5" t="str">
            <v>ZYN PEACH 6MG STRONG LATA PZ</v>
          </cell>
        </row>
        <row r="6">
          <cell r="A6">
            <v>100026065</v>
          </cell>
          <cell r="B6">
            <v>7311250035593</v>
          </cell>
          <cell r="C6" t="str">
            <v>ZYN PEACH 3MG MEDIUM LATA PZ</v>
          </cell>
        </row>
        <row r="7">
          <cell r="A7">
            <v>100024400</v>
          </cell>
          <cell r="B7">
            <v>7311250044441</v>
          </cell>
          <cell r="C7" t="str">
            <v>ZYN ESPRESSINO MINI STRONG UNIDAD PZ</v>
          </cell>
        </row>
        <row r="8">
          <cell r="A8">
            <v>100024295</v>
          </cell>
          <cell r="B8">
            <v>7311250044434</v>
          </cell>
          <cell r="C8" t="str">
            <v>ZYN ESPRESSINO MINI MEDIUM CAJETILLA PZ</v>
          </cell>
        </row>
        <row r="9">
          <cell r="A9">
            <v>100024399</v>
          </cell>
          <cell r="B9">
            <v>7311250044403</v>
          </cell>
          <cell r="C9" t="str">
            <v>ZYN COOL MINT MINI STRONG UNIDAD PZ</v>
          </cell>
        </row>
        <row r="10">
          <cell r="A10">
            <v>100024294</v>
          </cell>
          <cell r="B10">
            <v>7311250044397</v>
          </cell>
          <cell r="C10" t="str">
            <v>ZYN COOL MINT MINI MEDIUM CAJETILLA PZ</v>
          </cell>
        </row>
        <row r="11">
          <cell r="A11">
            <v>100026064</v>
          </cell>
          <cell r="B11">
            <v>7311250035562</v>
          </cell>
          <cell r="C11" t="str">
            <v>ZYN COOL MINT 1.5MG LOW LATA PZ</v>
          </cell>
        </row>
        <row r="12">
          <cell r="A12">
            <v>100024398</v>
          </cell>
          <cell r="B12">
            <v>7311250044427</v>
          </cell>
          <cell r="C12" t="str">
            <v>ZYN CITRUS MINI STRONG UNIDAD PZ</v>
          </cell>
        </row>
        <row r="13">
          <cell r="A13">
            <v>100024293</v>
          </cell>
          <cell r="B13">
            <v>7311250044410</v>
          </cell>
          <cell r="C13" t="str">
            <v>ZYN CITRUS MINI MEDIUM CAJETILLA PZ</v>
          </cell>
        </row>
        <row r="14">
          <cell r="A14">
            <v>100024397</v>
          </cell>
          <cell r="B14">
            <v>7311250044380</v>
          </cell>
          <cell r="C14" t="str">
            <v>ZYN BLACK CHERRY MINI STRONG UNIDAD PZ</v>
          </cell>
        </row>
        <row r="15">
          <cell r="A15">
            <v>100024289</v>
          </cell>
          <cell r="B15">
            <v>7311250044373</v>
          </cell>
          <cell r="C15" t="str">
            <v>ZYN BLACK CHERRY MINI MEDIUM CAJETILLA PZ</v>
          </cell>
        </row>
        <row r="16">
          <cell r="A16">
            <v>100026062</v>
          </cell>
          <cell r="B16">
            <v>7311250035555</v>
          </cell>
          <cell r="C16" t="str">
            <v>ZYN BLACK CHERRY 1.5MG LOW LATA PZ</v>
          </cell>
        </row>
        <row r="17">
          <cell r="A17">
            <v>100022995</v>
          </cell>
          <cell r="B17">
            <v>7503023959520</v>
          </cell>
          <cell r="C17" t="str">
            <v>WINSTON WINSTON RED 25S 1 PZ</v>
          </cell>
        </row>
        <row r="18">
          <cell r="A18">
            <v>100022996</v>
          </cell>
          <cell r="B18">
            <v>7503023959513</v>
          </cell>
          <cell r="C18" t="str">
            <v>WINSTON WINSTON RED 20S 1 PZ</v>
          </cell>
        </row>
        <row r="19">
          <cell r="A19">
            <v>100025162</v>
          </cell>
          <cell r="B19">
            <v>7503023959452</v>
          </cell>
          <cell r="C19" t="str">
            <v>WINSTON WINSTON CLASSIC 25S 25 PZ</v>
          </cell>
        </row>
        <row r="20">
          <cell r="A20">
            <v>100080896</v>
          </cell>
          <cell r="B20">
            <v>40331362</v>
          </cell>
          <cell r="C20" t="str">
            <v>WINSTON CIGARR CLASSIC  14S CAJET</v>
          </cell>
        </row>
        <row r="21">
          <cell r="A21">
            <v>100080898</v>
          </cell>
          <cell r="B21">
            <v>42138051</v>
          </cell>
          <cell r="C21" t="str">
            <v>WINSTON CIGARR BLUE 20S CAJET</v>
          </cell>
        </row>
        <row r="22">
          <cell r="A22">
            <v>100025053</v>
          </cell>
          <cell r="B22">
            <v>75081942</v>
          </cell>
          <cell r="C22" t="str">
            <v>LUCKIES 20S</v>
          </cell>
        </row>
        <row r="23">
          <cell r="A23">
            <v>100024321</v>
          </cell>
          <cell r="B23">
            <v>75080679</v>
          </cell>
          <cell r="C23" t="str">
            <v>LUCKIES 25S</v>
          </cell>
        </row>
        <row r="24">
          <cell r="A24">
            <v>100012153</v>
          </cell>
          <cell r="B24">
            <v>75063504</v>
          </cell>
          <cell r="C24" t="str">
            <v>LUCKY STRIKE 20S ME TDC 1PZ</v>
          </cell>
        </row>
        <row r="25">
          <cell r="A25">
            <v>100080955</v>
          </cell>
          <cell r="B25">
            <v>75046521</v>
          </cell>
          <cell r="C25" t="str">
            <v>LUCKY STRIKE AMARILLOS 20S</v>
          </cell>
        </row>
        <row r="26">
          <cell r="A26">
            <v>100080952</v>
          </cell>
          <cell r="B26">
            <v>75046545</v>
          </cell>
          <cell r="C26" t="str">
            <v>LUCKY STRIKE AMARILLOS 25S</v>
          </cell>
        </row>
        <row r="27">
          <cell r="A27">
            <v>100004788</v>
          </cell>
          <cell r="B27">
            <v>75051785</v>
          </cell>
          <cell r="C27" t="str">
            <v>LUCKY STRIKE CLICK 4 MIX</v>
          </cell>
        </row>
        <row r="28">
          <cell r="A28">
            <v>100019550</v>
          </cell>
          <cell r="B28">
            <v>75074227</v>
          </cell>
          <cell r="C28" t="str">
            <v>LUCKY STRIKE COMET 20S 1 CAJETILLA</v>
          </cell>
        </row>
        <row r="29">
          <cell r="A29">
            <v>100012997</v>
          </cell>
          <cell r="B29">
            <v>75064716</v>
          </cell>
          <cell r="C29" t="str">
            <v>LUCKY STRIKE ENIGMA 100S 1PZ</v>
          </cell>
        </row>
        <row r="30">
          <cell r="A30">
            <v>100026068</v>
          </cell>
          <cell r="B30">
            <v>75084332</v>
          </cell>
          <cell r="C30" t="str">
            <v>LUCKY STRIKE LUCKIES STICK 20S 20 PZ</v>
          </cell>
        </row>
        <row r="31">
          <cell r="A31">
            <v>100011590</v>
          </cell>
          <cell r="B31">
            <v>7501031700028</v>
          </cell>
          <cell r="C31" t="str">
            <v>LUCKY STRIKE OR255 PPROMO 1PZ</v>
          </cell>
        </row>
        <row r="32">
          <cell r="A32">
            <v>100080975</v>
          </cell>
          <cell r="B32">
            <v>75048129</v>
          </cell>
          <cell r="C32" t="str">
            <v>LUCKY STRIKE ORIGINAL FF 20S TUBE</v>
          </cell>
        </row>
        <row r="33">
          <cell r="A33">
            <v>100020970</v>
          </cell>
          <cell r="B33">
            <v>75076405</v>
          </cell>
          <cell r="C33" t="str">
            <v>MONTANA CLASSI 14S 1 CAJETILLA</v>
          </cell>
        </row>
        <row r="34">
          <cell r="A34">
            <v>100020969</v>
          </cell>
          <cell r="B34">
            <v>75076740</v>
          </cell>
          <cell r="C34" t="str">
            <v>MONTANA CLASSI 20S 1 CAJETILLA</v>
          </cell>
        </row>
        <row r="35">
          <cell r="A35">
            <v>100013075</v>
          </cell>
          <cell r="B35">
            <v>75064747</v>
          </cell>
          <cell r="C35" t="str">
            <v>MONTANA SHOTS 15S 1PZ</v>
          </cell>
        </row>
        <row r="36">
          <cell r="A36">
            <v>100013892</v>
          </cell>
          <cell r="B36">
            <v>75064754</v>
          </cell>
          <cell r="C36" t="str">
            <v>MONTANA SHOTS 1PZ</v>
          </cell>
        </row>
        <row r="37">
          <cell r="A37">
            <v>100023317</v>
          </cell>
          <cell r="B37">
            <v>75078843</v>
          </cell>
          <cell r="C37" t="str">
            <v>MONTANA SHOTS CLASSICS 25 PZ</v>
          </cell>
        </row>
        <row r="38">
          <cell r="A38">
            <v>100016489</v>
          </cell>
          <cell r="B38">
            <v>75071301</v>
          </cell>
          <cell r="C38" t="str">
            <v>PALL MALL ALASKA DUSK 15</v>
          </cell>
        </row>
        <row r="39">
          <cell r="A39">
            <v>100016443</v>
          </cell>
          <cell r="B39">
            <v>75071295</v>
          </cell>
          <cell r="C39" t="str">
            <v>PALL MALL ALASKA DUSK 20</v>
          </cell>
        </row>
        <row r="40">
          <cell r="A40">
            <v>100026387</v>
          </cell>
          <cell r="B40">
            <v>75080501</v>
          </cell>
          <cell r="C40" t="str">
            <v>PALL MALL ARUBA 20 PZ</v>
          </cell>
        </row>
        <row r="41">
          <cell r="A41">
            <v>101000079</v>
          </cell>
          <cell r="B41">
            <v>75079017</v>
          </cell>
          <cell r="C41" t="str">
            <v>PALL MALL BORA BORA SUNBREAK 20 PZ</v>
          </cell>
        </row>
        <row r="42">
          <cell r="A42">
            <v>100025311</v>
          </cell>
          <cell r="B42">
            <v>75083656</v>
          </cell>
          <cell r="C42" t="str">
            <v>TEREA TWILIGHT PEARL 20 CAJETILLA PZ</v>
          </cell>
        </row>
        <row r="43">
          <cell r="A43">
            <v>100024244</v>
          </cell>
          <cell r="B43">
            <v>75006358</v>
          </cell>
          <cell r="C43" t="str">
            <v>TEREA SUN PEARL CAJETILLA PZ</v>
          </cell>
        </row>
        <row r="44">
          <cell r="A44">
            <v>100023686</v>
          </cell>
          <cell r="B44">
            <v>75006938</v>
          </cell>
          <cell r="C44" t="str">
            <v>TEREA SIENNA CAJETILLA PZ</v>
          </cell>
        </row>
        <row r="45">
          <cell r="A45">
            <v>100023685</v>
          </cell>
          <cell r="B45">
            <v>75007461</v>
          </cell>
          <cell r="C45" t="str">
            <v>TEREA RUSSET CAJETILLA PZ</v>
          </cell>
        </row>
        <row r="46">
          <cell r="A46">
            <v>100024999</v>
          </cell>
          <cell r="B46">
            <v>75081652</v>
          </cell>
          <cell r="C46" t="str">
            <v>TEREA PROVENCE PEARL MNT 20 CAJETILLA PZ</v>
          </cell>
        </row>
        <row r="47">
          <cell r="A47">
            <v>100025310</v>
          </cell>
          <cell r="B47">
            <v>75083649</v>
          </cell>
          <cell r="C47" t="str">
            <v>TEREA GLACIER PEARL 20 CAJETILLA PZ</v>
          </cell>
        </row>
        <row r="48">
          <cell r="A48">
            <v>100023682</v>
          </cell>
          <cell r="B48">
            <v>75006396</v>
          </cell>
          <cell r="C48" t="str">
            <v>TEREA BRONZE CAJETILLA PZ</v>
          </cell>
        </row>
        <row r="49">
          <cell r="A49">
            <v>100023681</v>
          </cell>
          <cell r="B49">
            <v>75006389</v>
          </cell>
          <cell r="C49" t="str">
            <v>TEREA BLUE CAJETILLA PZ</v>
          </cell>
        </row>
        <row r="50">
          <cell r="A50">
            <v>100024932</v>
          </cell>
          <cell r="B50">
            <v>75081362</v>
          </cell>
          <cell r="C50" t="str">
            <v>TEREA BLACK TROPICAL CAJETILLA PZ</v>
          </cell>
        </row>
        <row r="51">
          <cell r="A51">
            <v>100024246</v>
          </cell>
          <cell r="B51">
            <v>75007454</v>
          </cell>
          <cell r="C51" t="str">
            <v>TEREA BLACK PURPLE CAJETILLA PZ</v>
          </cell>
        </row>
        <row r="52">
          <cell r="A52">
            <v>100023679</v>
          </cell>
          <cell r="B52">
            <v>75032784</v>
          </cell>
          <cell r="C52" t="str">
            <v>TEREA AMBER CAJETILLA PZ</v>
          </cell>
        </row>
        <row r="53">
          <cell r="A53">
            <v>100080351</v>
          </cell>
          <cell r="B53">
            <v>7501609500241</v>
          </cell>
          <cell r="C53" t="str">
            <v>TE AMO PURO NUM 4 NATURAL PZ</v>
          </cell>
        </row>
        <row r="54">
          <cell r="A54">
            <v>100080762</v>
          </cell>
          <cell r="B54">
            <v>7501609506939</v>
          </cell>
          <cell r="C54" t="str">
            <v>TE AMO PURO MINIPERFECTO CAJET</v>
          </cell>
        </row>
        <row r="55">
          <cell r="A55">
            <v>100017182</v>
          </cell>
          <cell r="B55">
            <v>8414775013578</v>
          </cell>
          <cell r="C55" t="str">
            <v>SMOKING PAPEL ZIGZAG RED 1 PZ</v>
          </cell>
        </row>
        <row r="56">
          <cell r="A56">
            <v>100080938</v>
          </cell>
          <cell r="B56">
            <v>7503006684791</v>
          </cell>
          <cell r="C56" t="str">
            <v>PURO SANTA CRUZ PZ</v>
          </cell>
        </row>
        <row r="57">
          <cell r="A57">
            <v>100024599</v>
          </cell>
          <cell r="B57">
            <v>7501609515894</v>
          </cell>
          <cell r="C57" t="str">
            <v>PURO MATACAN ROBUSTO IND</v>
          </cell>
        </row>
        <row r="58">
          <cell r="A58">
            <v>100080942</v>
          </cell>
          <cell r="B58">
            <v>7503006684838</v>
          </cell>
          <cell r="C58" t="str">
            <v>PURO HABANA PZ</v>
          </cell>
        </row>
        <row r="59">
          <cell r="A59">
            <v>100080943</v>
          </cell>
          <cell r="B59">
            <v>7503006684852</v>
          </cell>
          <cell r="C59" t="str">
            <v>PURO HABANA PZ</v>
          </cell>
        </row>
        <row r="60">
          <cell r="A60">
            <v>100080941</v>
          </cell>
          <cell r="B60">
            <v>7503006684043</v>
          </cell>
          <cell r="C60" t="str">
            <v>PURO HABANA PZ</v>
          </cell>
        </row>
        <row r="61">
          <cell r="A61">
            <v>100080939</v>
          </cell>
          <cell r="B61">
            <v>7503006684395</v>
          </cell>
          <cell r="C61" t="str">
            <v>PURO ARTIGAS BLACK PZ</v>
          </cell>
        </row>
        <row r="62">
          <cell r="A62">
            <v>100080940</v>
          </cell>
          <cell r="B62">
            <v>7503006684807</v>
          </cell>
          <cell r="C62" t="str">
            <v>PURITO HABANA GOLD VA PZ</v>
          </cell>
        </row>
        <row r="63">
          <cell r="A63">
            <v>100016044</v>
          </cell>
          <cell r="B63">
            <v>7465603183667</v>
          </cell>
          <cell r="C63" t="str">
            <v>PRINCIPE PURO FOIL VAINILLA 1 PZ</v>
          </cell>
        </row>
        <row r="64">
          <cell r="A64">
            <v>100016043</v>
          </cell>
          <cell r="B64">
            <v>7465603183636</v>
          </cell>
          <cell r="C64" t="str">
            <v>PRINCIPE PURO FOIL NATURAL 1 PZ</v>
          </cell>
        </row>
        <row r="65">
          <cell r="A65">
            <v>100016042</v>
          </cell>
          <cell r="B65">
            <v>7465603183629</v>
          </cell>
          <cell r="C65" t="str">
            <v>PRINCIPE PURO FOIL CHOCOLATE 1 PZ</v>
          </cell>
        </row>
        <row r="66">
          <cell r="A66">
            <v>100016045</v>
          </cell>
          <cell r="B66">
            <v>7465603180529</v>
          </cell>
          <cell r="C66" t="str">
            <v>PRINCIPE PURO FOIL CEREZA 1 PZ</v>
          </cell>
        </row>
        <row r="67">
          <cell r="A67">
            <v>100017982</v>
          </cell>
          <cell r="B67">
            <v>75071776</v>
          </cell>
          <cell r="C67" t="str">
            <v>PALL MALL CLASSICS 20</v>
          </cell>
        </row>
        <row r="68">
          <cell r="A68">
            <v>100023425</v>
          </cell>
          <cell r="B68">
            <v>75079963</v>
          </cell>
          <cell r="C68" t="str">
            <v>PALL MALL CLASSICS 25 PZ</v>
          </cell>
        </row>
        <row r="69">
          <cell r="A69">
            <v>100020837</v>
          </cell>
          <cell r="B69">
            <v>75074081</v>
          </cell>
          <cell r="C69" t="str">
            <v>PALL MALL EX CLASSI 14S 1 CAJETILLA</v>
          </cell>
        </row>
        <row r="70">
          <cell r="A70">
            <v>100021658</v>
          </cell>
          <cell r="B70">
            <v>75076757</v>
          </cell>
          <cell r="C70" t="str">
            <v>PALL MALL EX GOLD C 14S 1 CAJETILLA</v>
          </cell>
        </row>
        <row r="71">
          <cell r="A71">
            <v>100021978</v>
          </cell>
          <cell r="B71">
            <v>75078638</v>
          </cell>
          <cell r="C71" t="str">
            <v>PALL MALL EX GOLD C 20S 1 CAJETILLA</v>
          </cell>
        </row>
        <row r="72">
          <cell r="A72">
            <v>100018746</v>
          </cell>
          <cell r="B72">
            <v>75073534</v>
          </cell>
          <cell r="C72" t="str">
            <v>PALL MALL EX RED 15 1 CAJETILLA</v>
          </cell>
        </row>
        <row r="73">
          <cell r="A73">
            <v>100018745</v>
          </cell>
          <cell r="B73">
            <v>75073541</v>
          </cell>
          <cell r="C73" t="str">
            <v>PALL MALL EX WHITE 15 1 CAJETILLA</v>
          </cell>
        </row>
        <row r="74">
          <cell r="A74">
            <v>100025670</v>
          </cell>
          <cell r="B74">
            <v>75083786</v>
          </cell>
          <cell r="C74" t="str">
            <v>PALL MALL GOLD SELECT 14 PZ</v>
          </cell>
        </row>
        <row r="75">
          <cell r="A75">
            <v>100025843</v>
          </cell>
          <cell r="B75">
            <v>75084165</v>
          </cell>
          <cell r="C75" t="str">
            <v>PALL MALL TOKYO ROADTRIP CAN 20 PZ</v>
          </cell>
        </row>
        <row r="76">
          <cell r="A76">
            <v>100022118</v>
          </cell>
          <cell r="B76">
            <v>75076429</v>
          </cell>
          <cell r="C76" t="str">
            <v>PALL MALL HAWAII 20S 1 CAJETILLA</v>
          </cell>
        </row>
        <row r="77">
          <cell r="A77">
            <v>100025282</v>
          </cell>
          <cell r="B77">
            <v>75082543</v>
          </cell>
          <cell r="C77" t="str">
            <v>PALL MALL HAWAII SUNLIGHT 15 PZ</v>
          </cell>
        </row>
        <row r="78">
          <cell r="A78">
            <v>100026385</v>
          </cell>
          <cell r="B78">
            <v>75080525</v>
          </cell>
          <cell r="C78" t="str">
            <v>PALL MALL HONOLULU 20 PZ</v>
          </cell>
        </row>
        <row r="79">
          <cell r="A79">
            <v>100026386</v>
          </cell>
          <cell r="B79">
            <v>75080495</v>
          </cell>
          <cell r="C79" t="str">
            <v>PALL MALL ICELAND 20 PZ</v>
          </cell>
        </row>
        <row r="80">
          <cell r="A80">
            <v>100022233</v>
          </cell>
          <cell r="B80">
            <v>75076412</v>
          </cell>
          <cell r="C80" t="str">
            <v>PALL MALL LONDON 20S 1 CAJETILLA</v>
          </cell>
        </row>
        <row r="81">
          <cell r="A81">
            <v>100012746</v>
          </cell>
          <cell r="B81">
            <v>75064648</v>
          </cell>
          <cell r="C81" t="str">
            <v>PALL MALL MYKONOS NIGHTFALL 20</v>
          </cell>
        </row>
        <row r="82">
          <cell r="A82">
            <v>100014187</v>
          </cell>
          <cell r="B82">
            <v>75068363</v>
          </cell>
          <cell r="C82" t="str">
            <v>PALL MALL NEW YORK 20</v>
          </cell>
        </row>
        <row r="83">
          <cell r="A83">
            <v>100026388</v>
          </cell>
          <cell r="B83">
            <v>75080518</v>
          </cell>
          <cell r="C83" t="str">
            <v>PALL MALL OSAKA 20 PZ</v>
          </cell>
        </row>
        <row r="84">
          <cell r="A84">
            <v>100025673</v>
          </cell>
          <cell r="B84">
            <v>75083779</v>
          </cell>
          <cell r="C84" t="str">
            <v>PALL MALL PALL MALL GOLD SELECT 20 PZ</v>
          </cell>
        </row>
        <row r="85">
          <cell r="A85">
            <v>100025677</v>
          </cell>
          <cell r="B85">
            <v>75083793</v>
          </cell>
          <cell r="C85" t="str">
            <v>PALL MALL PALL MALL RED SELECT 25 PZ</v>
          </cell>
        </row>
        <row r="86">
          <cell r="A86">
            <v>100025672</v>
          </cell>
          <cell r="B86">
            <v>75083762</v>
          </cell>
          <cell r="C86" t="str">
            <v>PALL MALL PALL MALL SELECT 14 PZ</v>
          </cell>
        </row>
        <row r="87">
          <cell r="A87">
            <v>100025675</v>
          </cell>
          <cell r="B87">
            <v>75083755</v>
          </cell>
          <cell r="C87" t="str">
            <v>PALL MALL PALL MALL SELECT 20 PZ</v>
          </cell>
        </row>
        <row r="88">
          <cell r="A88">
            <v>100025844</v>
          </cell>
          <cell r="B88">
            <v>75084172</v>
          </cell>
          <cell r="C88" t="str">
            <v>PALL MALL MYKONOS ROADTRIP CAN 20 PZ</v>
          </cell>
        </row>
        <row r="89">
          <cell r="A89">
            <v>100025850</v>
          </cell>
          <cell r="B89">
            <v>75083632</v>
          </cell>
          <cell r="C89" t="str">
            <v>PALL MALL PM MANILA DAYLIGHT 20 PZ</v>
          </cell>
        </row>
        <row r="90">
          <cell r="A90">
            <v>100025847</v>
          </cell>
          <cell r="B90">
            <v>75084141</v>
          </cell>
          <cell r="C90" t="str">
            <v>PALL MALL MIAMI ROADTRIP CAN 20 PZ</v>
          </cell>
        </row>
        <row r="91">
          <cell r="A91">
            <v>100025848</v>
          </cell>
          <cell r="B91">
            <v>75084486</v>
          </cell>
          <cell r="C91" t="str">
            <v>PALL MALL MANILA ROADTRIP CAN 20 PZ</v>
          </cell>
        </row>
        <row r="92">
          <cell r="A92">
            <v>100013077</v>
          </cell>
          <cell r="B92">
            <v>75064761</v>
          </cell>
          <cell r="C92" t="str">
            <v>PALL MALL RED 15 1PZ</v>
          </cell>
        </row>
        <row r="93">
          <cell r="A93">
            <v>100016413</v>
          </cell>
          <cell r="B93">
            <v>75071455</v>
          </cell>
          <cell r="C93" t="str">
            <v>PALL MALL RED 20</v>
          </cell>
        </row>
        <row r="94">
          <cell r="A94">
            <v>100025845</v>
          </cell>
          <cell r="B94">
            <v>75084127</v>
          </cell>
          <cell r="C94" t="str">
            <v>PALL MALL HAWAII ROADTRIP CAN 20 PZ</v>
          </cell>
        </row>
        <row r="95">
          <cell r="A95">
            <v>100013891</v>
          </cell>
          <cell r="B95">
            <v>75064778</v>
          </cell>
          <cell r="C95" t="str">
            <v>PALL MALL RED 25 1PZ</v>
          </cell>
        </row>
        <row r="96">
          <cell r="A96">
            <v>100080802</v>
          </cell>
          <cell r="B96">
            <v>75027766</v>
          </cell>
          <cell r="C96" t="str">
            <v>PALL MALL RED AND CLICK 20</v>
          </cell>
        </row>
        <row r="97">
          <cell r="A97">
            <v>100010093</v>
          </cell>
          <cell r="B97">
            <v>75061777</v>
          </cell>
          <cell r="C97" t="str">
            <v>PALL MALL TOKIO MIDNIGHT 15S</v>
          </cell>
        </row>
        <row r="98">
          <cell r="A98">
            <v>100005585</v>
          </cell>
          <cell r="B98">
            <v>75052836</v>
          </cell>
          <cell r="C98" t="str">
            <v>PALL MALL TOKYO MIDNIGHT 20</v>
          </cell>
        </row>
        <row r="99">
          <cell r="A99">
            <v>100013078</v>
          </cell>
          <cell r="B99">
            <v>75064785</v>
          </cell>
          <cell r="C99" t="str">
            <v>PALL MALL WHITE 15 1PZ</v>
          </cell>
        </row>
        <row r="100">
          <cell r="A100">
            <v>100016412</v>
          </cell>
          <cell r="B100">
            <v>75071479</v>
          </cell>
          <cell r="C100" t="str">
            <v>PALL MALL WHITE 20</v>
          </cell>
        </row>
        <row r="101">
          <cell r="A101">
            <v>100080644</v>
          </cell>
          <cell r="B101">
            <v>8346917</v>
          </cell>
          <cell r="C101" t="str">
            <v>PALL MALL WHITE AND CLICK 20</v>
          </cell>
        </row>
        <row r="102">
          <cell r="A102">
            <v>100019234</v>
          </cell>
          <cell r="B102">
            <v>75074975</v>
          </cell>
          <cell r="C102" t="str">
            <v>PALL MALL XL ALASKA 15S 1 CAJETILLA</v>
          </cell>
        </row>
        <row r="103">
          <cell r="A103">
            <v>100024596</v>
          </cell>
          <cell r="B103">
            <v>75081058</v>
          </cell>
          <cell r="C103" t="str">
            <v>PALL MALL XL MIAMI PARADISE 20S 20 PZ</v>
          </cell>
        </row>
        <row r="104">
          <cell r="A104">
            <v>100019233</v>
          </cell>
          <cell r="B104">
            <v>75074999</v>
          </cell>
          <cell r="C104" t="str">
            <v>PALL MALL XL MYKONO 15S 1 CAJETILLA</v>
          </cell>
        </row>
        <row r="105">
          <cell r="A105">
            <v>100025846</v>
          </cell>
          <cell r="B105">
            <v>75084134</v>
          </cell>
          <cell r="C105" t="str">
            <v>PALL MALL BORA BORA ROADTRIP CAN 20 PZ</v>
          </cell>
        </row>
        <row r="106">
          <cell r="A106">
            <v>100025842</v>
          </cell>
          <cell r="B106">
            <v>75084189</v>
          </cell>
          <cell r="C106" t="str">
            <v>PALL MALL ALASKA ROADTRIP CAN 20 PZ</v>
          </cell>
        </row>
        <row r="107">
          <cell r="A107">
            <v>100020838</v>
          </cell>
          <cell r="B107">
            <v>75074944</v>
          </cell>
          <cell r="C107" t="str">
            <v>PALL MALL XL RÍO SU 20S 1 CAJETILLA</v>
          </cell>
        </row>
        <row r="108">
          <cell r="A108">
            <v>100019230</v>
          </cell>
          <cell r="B108">
            <v>75074982</v>
          </cell>
          <cell r="C108" t="str">
            <v>PALL MALL XL TOKYO 15S 1 CAJETILLA</v>
          </cell>
        </row>
        <row r="109">
          <cell r="A109">
            <v>100025893</v>
          </cell>
          <cell r="B109">
            <v>7503039738447</v>
          </cell>
          <cell r="C109" t="str">
            <v>VELO CHERRY ICE 6 MG 15 PZ</v>
          </cell>
        </row>
        <row r="110">
          <cell r="A110">
            <v>100026306</v>
          </cell>
          <cell r="B110">
            <v>7503039738584</v>
          </cell>
          <cell r="C110" t="str">
            <v>VELO CHERRY ICE 6 MG TC COLOR 15 PZ</v>
          </cell>
        </row>
        <row r="111">
          <cell r="A111">
            <v>100024419</v>
          </cell>
          <cell r="B111">
            <v>7702303622080</v>
          </cell>
          <cell r="C111" t="str">
            <v>VELO GREEN SPEARMINT 4 MG 15 PZ</v>
          </cell>
        </row>
        <row r="112">
          <cell r="A112">
            <v>100026071</v>
          </cell>
          <cell r="B112">
            <v>7503039738508</v>
          </cell>
          <cell r="C112" t="str">
            <v>VELO GREEN SPEARMINT 4 MG TC BK 15 PZ</v>
          </cell>
        </row>
        <row r="113">
          <cell r="A113">
            <v>100024420</v>
          </cell>
          <cell r="B113">
            <v>7702303121477</v>
          </cell>
          <cell r="C113" t="str">
            <v>VELO GREEN SPEARMINT 6 MG 15 PZ</v>
          </cell>
        </row>
        <row r="114">
          <cell r="A114">
            <v>100016248</v>
          </cell>
          <cell r="B114">
            <v>25900000400</v>
          </cell>
          <cell r="C114" t="str">
            <v>MINITIP CIGARR VAINILLA 1 PZ</v>
          </cell>
        </row>
        <row r="115">
          <cell r="A115">
            <v>100009364</v>
          </cell>
          <cell r="B115">
            <v>7503023648011</v>
          </cell>
          <cell r="C115" t="str">
            <v>MAZATAN PURO TORO PZ</v>
          </cell>
        </row>
        <row r="116">
          <cell r="A116">
            <v>100009359</v>
          </cell>
          <cell r="B116">
            <v>7503023648042</v>
          </cell>
          <cell r="C116" t="str">
            <v>MAZATAN PURO PETTITE PANATELA PZ</v>
          </cell>
        </row>
        <row r="117">
          <cell r="A117">
            <v>100080381</v>
          </cell>
          <cell r="B117">
            <v>7501609501804</v>
          </cell>
          <cell r="C117" t="str">
            <v>MATACAN PURO NO.7 CAJET</v>
          </cell>
        </row>
        <row r="118">
          <cell r="A118">
            <v>100020133</v>
          </cell>
          <cell r="B118">
            <v>75075217</v>
          </cell>
          <cell r="C118" t="str">
            <v>MARLBORO VISTA SUMMER FUSIO 1 CAJETILLA</v>
          </cell>
        </row>
        <row r="119">
          <cell r="A119">
            <v>100018656</v>
          </cell>
          <cell r="B119">
            <v>75001360</v>
          </cell>
          <cell r="C119" t="str">
            <v>MARLBORO VISTA GARDEN 20 1 CAJETILLA</v>
          </cell>
        </row>
        <row r="120">
          <cell r="A120">
            <v>100018872</v>
          </cell>
          <cell r="B120">
            <v>75001384</v>
          </cell>
          <cell r="C120" t="str">
            <v>MARLBORO VISTA ARTIC 20 1 CAJETILLA</v>
          </cell>
        </row>
        <row r="121">
          <cell r="A121">
            <v>100021790</v>
          </cell>
          <cell r="B121">
            <v>75019006</v>
          </cell>
          <cell r="C121" t="str">
            <v>MARLBORO VISTA  CARIBBEAN 1 CAJETILLA</v>
          </cell>
        </row>
        <row r="122">
          <cell r="A122">
            <v>100014868</v>
          </cell>
          <cell r="B122">
            <v>75068769</v>
          </cell>
          <cell r="C122" t="str">
            <v>MARLBORO VELVET 100 BOX 20 1 CAJETILLA</v>
          </cell>
        </row>
        <row r="123">
          <cell r="A123">
            <v>100025332</v>
          </cell>
          <cell r="B123">
            <v>75032807</v>
          </cell>
          <cell r="C123" t="str">
            <v>MARLBORO URBAN SHUFFLE 100 BOX 20 CAJETILLA PZ</v>
          </cell>
        </row>
        <row r="124">
          <cell r="A124">
            <v>100013110</v>
          </cell>
          <cell r="B124">
            <v>75065515</v>
          </cell>
          <cell r="C124" t="str">
            <v>MARLBORO RUBY 14 1CAJETILLA</v>
          </cell>
        </row>
        <row r="125">
          <cell r="A125">
            <v>100014711</v>
          </cell>
          <cell r="B125">
            <v>75068783</v>
          </cell>
          <cell r="C125" t="str">
            <v>MARLBORO RUBY 100 BOX 20 1CAJE</v>
          </cell>
        </row>
        <row r="126">
          <cell r="A126">
            <v>100014569</v>
          </cell>
          <cell r="B126">
            <v>75068813</v>
          </cell>
          <cell r="C126" t="str">
            <v>MARLBORO RED 100 CAPS 14 1CAJE</v>
          </cell>
        </row>
        <row r="127">
          <cell r="A127">
            <v>100024881</v>
          </cell>
          <cell r="B127">
            <v>75082345</v>
          </cell>
          <cell r="C127" t="str">
            <v>MARLBORO PROVENCE FUSION MNT 100 BOX 20 CAJETILLA PZ</v>
          </cell>
        </row>
        <row r="128">
          <cell r="A128">
            <v>100023312</v>
          </cell>
          <cell r="B128">
            <v>75006297</v>
          </cell>
          <cell r="C128" t="str">
            <v>MARLBORO MARLBORO CRAFTED RED 2.0 100 BOX 20 CAJETILLA PZ</v>
          </cell>
        </row>
        <row r="129">
          <cell r="A129">
            <v>100023311</v>
          </cell>
          <cell r="B129">
            <v>75006266</v>
          </cell>
          <cell r="C129" t="str">
            <v>MARLBORO MARLBORO CRAFTED 2.0 GOLD 100 BOX 20 CAJETILLA PZ</v>
          </cell>
        </row>
        <row r="130">
          <cell r="A130">
            <v>100024134</v>
          </cell>
          <cell r="B130">
            <v>75006587</v>
          </cell>
          <cell r="C130" t="str">
            <v>MARLBORO LUNA SHUFFLE 100 BOX 20 STD CAJETILLA PZ</v>
          </cell>
        </row>
        <row r="131">
          <cell r="A131">
            <v>100080928</v>
          </cell>
          <cell r="B131">
            <v>75044916</v>
          </cell>
          <cell r="C131" t="str">
            <v>MARLBORO KRETEK MINT</v>
          </cell>
        </row>
        <row r="132">
          <cell r="A132">
            <v>100015186</v>
          </cell>
          <cell r="B132">
            <v>75068844</v>
          </cell>
          <cell r="C132" t="str">
            <v>MARLBORO GOLD KS SRR 14 1 CAJETILLA</v>
          </cell>
        </row>
        <row r="133">
          <cell r="A133">
            <v>100015037</v>
          </cell>
          <cell r="B133">
            <v>75068745</v>
          </cell>
          <cell r="C133" t="str">
            <v>MARLBORO GOLD KS SOF 20 1 CAJETILLA</v>
          </cell>
        </row>
        <row r="134">
          <cell r="A134">
            <v>100014570</v>
          </cell>
          <cell r="B134">
            <v>75068738</v>
          </cell>
          <cell r="C134" t="str">
            <v>MARLBORO GOLD 20 RCB 1CAJE</v>
          </cell>
        </row>
        <row r="135">
          <cell r="A135">
            <v>100013136</v>
          </cell>
          <cell r="B135">
            <v>75066345</v>
          </cell>
          <cell r="C135" t="str">
            <v>MARLBORO FUSION SUMMER 100BOX 1CAJ</v>
          </cell>
        </row>
        <row r="136">
          <cell r="A136">
            <v>101000062</v>
          </cell>
          <cell r="B136">
            <v>75006372</v>
          </cell>
          <cell r="C136" t="str">
            <v>MARLBORO FOREST FUSION CAJETILLA PZ</v>
          </cell>
        </row>
        <row r="137">
          <cell r="A137">
            <v>100022336</v>
          </cell>
          <cell r="B137">
            <v>75066413</v>
          </cell>
          <cell r="C137" t="str">
            <v>MARLBORO CRAFTED 25S CAJETILLA</v>
          </cell>
        </row>
        <row r="138">
          <cell r="A138">
            <v>100022523</v>
          </cell>
          <cell r="B138">
            <v>75019563</v>
          </cell>
          <cell r="C138" t="str">
            <v>MARLBORO CRAFTED 20S CAJETILLA</v>
          </cell>
        </row>
        <row r="139">
          <cell r="A139">
            <v>100022965</v>
          </cell>
          <cell r="B139">
            <v>75019570</v>
          </cell>
          <cell r="C139" t="str">
            <v>MARLBORO CRAFTED 2.0 GOLD KS BOX 20</v>
          </cell>
        </row>
        <row r="140">
          <cell r="A140">
            <v>100022335</v>
          </cell>
          <cell r="B140">
            <v>75019587</v>
          </cell>
          <cell r="C140" t="str">
            <v>MARLBORO CRAFTED 15S CAJETILLAPZ</v>
          </cell>
        </row>
        <row r="141">
          <cell r="A141">
            <v>100080028</v>
          </cell>
          <cell r="B141">
            <v>75001315</v>
          </cell>
          <cell r="C141" t="str">
            <v>MARLBORO CIGARR ROJO CL CS CAJET</v>
          </cell>
        </row>
        <row r="142">
          <cell r="A142">
            <v>100080027</v>
          </cell>
          <cell r="B142">
            <v>75001322</v>
          </cell>
          <cell r="C142" t="str">
            <v>MARLBORO CIGARR ROJO CD CAJET</v>
          </cell>
        </row>
        <row r="143">
          <cell r="A143">
            <v>100080257</v>
          </cell>
          <cell r="B143">
            <v>75001339</v>
          </cell>
          <cell r="C143" t="str">
            <v>MARLBORO CIGARR ROJO 14S CD CAJET</v>
          </cell>
        </row>
        <row r="144">
          <cell r="A144">
            <v>100080820</v>
          </cell>
          <cell r="B144">
            <v>75031053</v>
          </cell>
          <cell r="C144" t="str">
            <v>MARLBORO CIGARR ICEEXPRESS CAJET</v>
          </cell>
        </row>
        <row r="145">
          <cell r="A145">
            <v>100080904</v>
          </cell>
          <cell r="B145">
            <v>75043247</v>
          </cell>
          <cell r="C145" t="str">
            <v>MARLBORO CIGARR ICE XPRESS 14 CAJET</v>
          </cell>
        </row>
        <row r="146">
          <cell r="A146">
            <v>100080850</v>
          </cell>
          <cell r="B146">
            <v>75035259</v>
          </cell>
          <cell r="C146" t="str">
            <v>MARLBORO CIGARR GOLD 100S CAJET</v>
          </cell>
        </row>
        <row r="147">
          <cell r="A147">
            <v>100080903</v>
          </cell>
          <cell r="B147">
            <v>75042646</v>
          </cell>
          <cell r="C147" t="str">
            <v>MARLBORO CIGARR GOLD 100 14S CAJET</v>
          </cell>
        </row>
        <row r="148">
          <cell r="A148">
            <v>100080687</v>
          </cell>
          <cell r="B148">
            <v>75021597</v>
          </cell>
          <cell r="C148" t="str">
            <v>MARLBORO CIGARR 100S CD CAJET</v>
          </cell>
        </row>
        <row r="149">
          <cell r="A149">
            <v>100019981</v>
          </cell>
          <cell r="B149">
            <v>75074746</v>
          </cell>
          <cell r="C149" t="str">
            <v>MARLBORO BLOSSO VISTA BLOSSOM 1 CAJETILLA</v>
          </cell>
        </row>
        <row r="150">
          <cell r="A150">
            <v>100080372</v>
          </cell>
          <cell r="B150">
            <v>7501609501521</v>
          </cell>
          <cell r="C150" t="str">
            <v>MAGNIFICOS PURO CAJET</v>
          </cell>
        </row>
        <row r="151">
          <cell r="A151">
            <v>100026301</v>
          </cell>
          <cell r="B151">
            <v>7503039738546</v>
          </cell>
          <cell r="C151" t="str">
            <v>VELO GREEN SPEARMINT 6MG TC COLOR 15 PZ</v>
          </cell>
        </row>
        <row r="152">
          <cell r="A152">
            <v>100025297</v>
          </cell>
          <cell r="B152">
            <v>7503039738393</v>
          </cell>
          <cell r="C152" t="str">
            <v>VELO GREEN SPEARMINT 8 MG 20 PZ</v>
          </cell>
        </row>
        <row r="153">
          <cell r="A153">
            <v>100024462</v>
          </cell>
          <cell r="B153">
            <v>7707200946741</v>
          </cell>
          <cell r="C153" t="str">
            <v>VELO POLAR PEPPERMINT 4 MG 15 PZ</v>
          </cell>
        </row>
        <row r="154">
          <cell r="A154">
            <v>100026070</v>
          </cell>
          <cell r="B154">
            <v>7503039738492</v>
          </cell>
          <cell r="C154" t="str">
            <v>VELO POLAR PEPPERMINT 4 MG TC BK 15 PZ</v>
          </cell>
        </row>
        <row r="155">
          <cell r="A155">
            <v>100024465</v>
          </cell>
          <cell r="B155">
            <v>7707200943245</v>
          </cell>
          <cell r="C155" t="str">
            <v>VELO POLAR PEPPERMINT 6 MG 15 PZ</v>
          </cell>
        </row>
        <row r="156">
          <cell r="A156">
            <v>100026300</v>
          </cell>
          <cell r="B156">
            <v>7503039738539</v>
          </cell>
          <cell r="C156" t="str">
            <v>VELO POLAR PEPPERMINT 6MG TC COLOR 15 PZ</v>
          </cell>
        </row>
        <row r="157">
          <cell r="A157">
            <v>100025298</v>
          </cell>
          <cell r="B157">
            <v>7503039738416</v>
          </cell>
          <cell r="C157" t="str">
            <v>VELO POLAR PEPPERMINT 8 MG 20 PZ</v>
          </cell>
        </row>
        <row r="158">
          <cell r="A158">
            <v>100025894</v>
          </cell>
          <cell r="B158">
            <v>7503039738461</v>
          </cell>
          <cell r="C158" t="str">
            <v>VELO PURPLE GRAPE 6MG 15 PZ</v>
          </cell>
        </row>
        <row r="159">
          <cell r="A159">
            <v>100026307</v>
          </cell>
          <cell r="B159">
            <v>7503039738591</v>
          </cell>
          <cell r="C159" t="str">
            <v>VELO PURPLE GRAPE 6MG TC COLOR 15 PZ</v>
          </cell>
        </row>
        <row r="160">
          <cell r="A160">
            <v>100024417</v>
          </cell>
          <cell r="B160">
            <v>7702303391467</v>
          </cell>
          <cell r="C160" t="str">
            <v>VELO STRAWBERRY ICE 4 MG 15 PZ</v>
          </cell>
        </row>
        <row r="161">
          <cell r="A161">
            <v>100026072</v>
          </cell>
          <cell r="B161">
            <v>7503039738515</v>
          </cell>
          <cell r="C161" t="str">
            <v>VELO STRAWBERRY ICE 4 MG TC BK 15 PZ</v>
          </cell>
        </row>
        <row r="162">
          <cell r="A162">
            <v>100021048</v>
          </cell>
          <cell r="B162">
            <v>75005481</v>
          </cell>
          <cell r="C162" t="str">
            <v>LM LM 25S 25S 1 CAJETILLA</v>
          </cell>
        </row>
        <row r="163">
          <cell r="A163">
            <v>100020945</v>
          </cell>
          <cell r="B163">
            <v>75022266</v>
          </cell>
          <cell r="C163" t="str">
            <v>LM LM 14S 14S 1 CAJETILLA</v>
          </cell>
        </row>
        <row r="164">
          <cell r="A164">
            <v>100080353</v>
          </cell>
          <cell r="B164">
            <v>2168</v>
          </cell>
          <cell r="C164" t="str">
            <v>LAGUNAS PURO C/5 PZAS CAJET</v>
          </cell>
        </row>
        <row r="165">
          <cell r="A165">
            <v>100018038</v>
          </cell>
          <cell r="B165">
            <v>75069902</v>
          </cell>
          <cell r="C165" t="str">
            <v>L&amp;M RED KS BOX 20 1 CAJETILLA</v>
          </cell>
        </row>
        <row r="166">
          <cell r="A166">
            <v>100016254</v>
          </cell>
          <cell r="B166">
            <v>25900000295</v>
          </cell>
          <cell r="C166" t="str">
            <v>KING EDWARD PURO  ORIGINAL 1 PZ</v>
          </cell>
        </row>
        <row r="167">
          <cell r="A167">
            <v>100009916</v>
          </cell>
          <cell r="B167">
            <v>33300200573</v>
          </cell>
          <cell r="C167" t="str">
            <v>KAYAK TABACO MASTICABLE STRAIGH 34.02</v>
          </cell>
        </row>
        <row r="168">
          <cell r="A168">
            <v>100080763</v>
          </cell>
          <cell r="B168">
            <v>7501609506908</v>
          </cell>
          <cell r="C168" t="str">
            <v>HUMIDIBG PURO PLATINUM CAJET</v>
          </cell>
        </row>
        <row r="169">
          <cell r="A169">
            <v>100080946</v>
          </cell>
          <cell r="B169">
            <v>7502236550173</v>
          </cell>
          <cell r="C169" t="str">
            <v>GOLD SOFT PUROS HAB GOLD SOFT PZ</v>
          </cell>
        </row>
        <row r="170">
          <cell r="A170">
            <v>100080944</v>
          </cell>
          <cell r="B170">
            <v>7502236550180</v>
          </cell>
          <cell r="C170" t="str">
            <v>GOLD SOFT PUROS GOLD SOFT VAIN PZ</v>
          </cell>
        </row>
        <row r="171">
          <cell r="A171">
            <v>100080945</v>
          </cell>
          <cell r="B171">
            <v>7502236550197</v>
          </cell>
          <cell r="C171" t="str">
            <v>GOLD SOFT PURO PZ</v>
          </cell>
        </row>
        <row r="172">
          <cell r="A172">
            <v>100024320</v>
          </cell>
          <cell r="B172">
            <v>75006280</v>
          </cell>
          <cell r="C172" t="str">
            <v>FAROS FAROS KS BOX 25 CAJETILLA PZ</v>
          </cell>
        </row>
        <row r="173">
          <cell r="A173">
            <v>100021977</v>
          </cell>
          <cell r="B173">
            <v>75004385</v>
          </cell>
          <cell r="C173" t="str">
            <v>FAROS FAROS FAROS 14 1 CAJETILLA</v>
          </cell>
        </row>
        <row r="174">
          <cell r="A174">
            <v>100080034</v>
          </cell>
          <cell r="B174">
            <v>75001476</v>
          </cell>
          <cell r="C174" t="str">
            <v>DELICADOS CIGARR OVALADOS CAJET</v>
          </cell>
        </row>
        <row r="175">
          <cell r="A175">
            <v>100021814</v>
          </cell>
          <cell r="B175">
            <v>7503023959490</v>
          </cell>
          <cell r="C175" t="str">
            <v>CAMEL SWITCH 100S 27.4 G</v>
          </cell>
        </row>
        <row r="176">
          <cell r="A176">
            <v>100014678</v>
          </cell>
          <cell r="B176">
            <v>7503023959148</v>
          </cell>
          <cell r="C176" t="str">
            <v xml:space="preserve">CAMEL NATURAL FLAVOR 20						</v>
          </cell>
        </row>
        <row r="177">
          <cell r="A177">
            <v>100021813</v>
          </cell>
          <cell r="B177">
            <v>7503023959506</v>
          </cell>
          <cell r="C177" t="str">
            <v>CAMEL MAX DOUBLE 1 27.4 G</v>
          </cell>
        </row>
        <row r="178">
          <cell r="A178">
            <v>100012957</v>
          </cell>
          <cell r="B178">
            <v>7503023959001</v>
          </cell>
          <cell r="C178" t="str">
            <v>CAMEL FILTERS 20S 1CAJE</v>
          </cell>
        </row>
        <row r="179">
          <cell r="A179">
            <v>100025152</v>
          </cell>
          <cell r="B179">
            <v>7503023959629</v>
          </cell>
          <cell r="C179" t="str">
            <v>CAMEL CAMEL TROPICAL BREW DOBLE CÁPSULA 20 PZ</v>
          </cell>
        </row>
        <row r="180">
          <cell r="A180">
            <v>100022971</v>
          </cell>
          <cell r="B180">
            <v>7503023959278</v>
          </cell>
          <cell r="C180" t="str">
            <v>CAMEL CAMEL FILTERS ORIGINAL 25S 29 GR</v>
          </cell>
        </row>
        <row r="181">
          <cell r="A181">
            <v>100080957</v>
          </cell>
          <cell r="B181">
            <v>75047337</v>
          </cell>
          <cell r="C181" t="str">
            <v>BENSON&amp;HEDGES PEARL CAPS CAJETILLA</v>
          </cell>
        </row>
        <row r="182">
          <cell r="A182">
            <v>100009230</v>
          </cell>
          <cell r="B182">
            <v>75059514</v>
          </cell>
          <cell r="C182" t="str">
            <v>BENSON&amp;HEDGES CRYSTAL BLUE PZ</v>
          </cell>
        </row>
        <row r="183">
          <cell r="A183">
            <v>100004048</v>
          </cell>
          <cell r="B183">
            <v>75050443</v>
          </cell>
          <cell r="C183" t="str">
            <v>BENSON&amp;HEDGE GOLD PEARL</v>
          </cell>
        </row>
        <row r="184">
          <cell r="A184">
            <v>100014714</v>
          </cell>
          <cell r="B184">
            <v>75068776</v>
          </cell>
          <cell r="C184" t="str">
            <v>BENSON&amp;HEDGE GOLD 100 RCB 20 1CAJE</v>
          </cell>
        </row>
        <row r="185">
          <cell r="A185">
            <v>100007108</v>
          </cell>
          <cell r="B185">
            <v>75056308</v>
          </cell>
          <cell r="C185" t="str">
            <v>BENSON&amp;HEDGE CRYSTAL VIOLET PZ</v>
          </cell>
        </row>
        <row r="186">
          <cell r="A186">
            <v>100080440</v>
          </cell>
          <cell r="B186">
            <v>75016777</v>
          </cell>
          <cell r="C186" t="str">
            <v>BENSON&amp;HEDGE CIGARR MENTHOL CD CAJET</v>
          </cell>
        </row>
        <row r="187">
          <cell r="A187">
            <v>100014779</v>
          </cell>
          <cell r="B187">
            <v>7503006684425</v>
          </cell>
          <cell r="C187" t="str">
            <v xml:space="preserve">ARTIGAS/CARL PURO MIX ROBUSTO SABOR  50GR					</v>
          </cell>
        </row>
        <row r="188">
          <cell r="A188">
            <v>100014778</v>
          </cell>
          <cell r="B188">
            <v>7502236550005</v>
          </cell>
          <cell r="C188" t="str">
            <v xml:space="preserve">ARTIGAS/CARL PURO MIX PLUS ROBUSTO M 50GR					</v>
          </cell>
        </row>
        <row r="189">
          <cell r="A189">
            <v>100080948</v>
          </cell>
          <cell r="B189">
            <v>7502236550067</v>
          </cell>
          <cell r="C189" t="str">
            <v>ARTIGAS/CARL PURO MIX PLUS ROBUSTO G 50GR</v>
          </cell>
        </row>
        <row r="190">
          <cell r="A190">
            <v>100014777</v>
          </cell>
          <cell r="B190">
            <v>7503006684388</v>
          </cell>
          <cell r="C190" t="str">
            <v xml:space="preserve">ARTIGAS/CARL PURO MIX PLUS CORONA MA 40GR						</v>
          </cell>
        </row>
        <row r="191">
          <cell r="A191">
            <v>100080947</v>
          </cell>
          <cell r="B191">
            <v>7502236550043</v>
          </cell>
          <cell r="C191" t="str">
            <v>ARTIGAS/CARL PURO MIX PLUS CORONA GO 40GR</v>
          </cell>
        </row>
        <row r="192">
          <cell r="A192">
            <v>100014775</v>
          </cell>
          <cell r="B192">
            <v>7502236550012</v>
          </cell>
          <cell r="C192" t="str">
            <v xml:space="preserve">ARTIGAS/CARL PURO MIX PLUS BELICOSO  50GR				</v>
          </cell>
        </row>
        <row r="193">
          <cell r="A193">
            <v>100014774</v>
          </cell>
          <cell r="B193">
            <v>7503006684487</v>
          </cell>
          <cell r="C193" t="str">
            <v xml:space="preserve">ARTIGAS/CARL PURO MIX CORONA SABOR C 40GR				</v>
          </cell>
        </row>
        <row r="194">
          <cell r="A194">
            <v>100014772</v>
          </cell>
          <cell r="B194">
            <v>7503006684326</v>
          </cell>
          <cell r="C194" t="str">
            <v xml:space="preserve">ARTIGAS/CARL PURO MIX BELICOSO T/C H 50GR									</v>
          </cell>
        </row>
        <row r="195">
          <cell r="A195">
            <v>100024288</v>
          </cell>
          <cell r="B195">
            <v>7622100558453</v>
          </cell>
          <cell r="C195" t="str">
            <v xml:space="preserve"> IQOS ILUMA PEBBLE GREY CAJETILLA PZ</v>
          </cell>
        </row>
        <row r="196">
          <cell r="A196">
            <v>100024859</v>
          </cell>
          <cell r="B196">
            <v>7622100558323</v>
          </cell>
          <cell r="C196" t="str">
            <v xml:space="preserve"> IQOS ILUMA ONE SUNSET RED - CAJETILLA PZ</v>
          </cell>
        </row>
        <row r="197">
          <cell r="A197">
            <v>100024286</v>
          </cell>
          <cell r="B197">
            <v>7622100558309</v>
          </cell>
          <cell r="C197" t="str">
            <v xml:space="preserve"> IQOS ILUMA ONE PEBBLE GREY CAJETILLA PZ</v>
          </cell>
        </row>
        <row r="198">
          <cell r="A198">
            <v>100024282</v>
          </cell>
          <cell r="B198">
            <v>7622100558293</v>
          </cell>
          <cell r="C198" t="str">
            <v xml:space="preserve"> IQOS ILUMA ONE AZURE BLUE CAJETILLA PZ</v>
          </cell>
        </row>
        <row r="199">
          <cell r="A199">
            <v>100024862</v>
          </cell>
          <cell r="B199">
            <v>7622100558446</v>
          </cell>
          <cell r="C199" t="str">
            <v xml:space="preserve"> IQOS ILUMA MOSS GREEN CAJETILLA PZ</v>
          </cell>
        </row>
        <row r="200">
          <cell r="A200">
            <v>100024861</v>
          </cell>
          <cell r="B200">
            <v>7622100558248</v>
          </cell>
          <cell r="C200" t="str">
            <v xml:space="preserve"> IQOS ILUMA AZURE BLUE CAJETILLA PZ</v>
          </cell>
        </row>
        <row r="201">
          <cell r="A201">
            <v>100016411</v>
          </cell>
          <cell r="B201">
            <v>7503023959162</v>
          </cell>
          <cell r="C201" t="str">
            <v>WINSTON WINSTO WATERMELON 100S 1CAJE</v>
          </cell>
        </row>
        <row r="202">
          <cell r="A202">
            <v>100014850</v>
          </cell>
          <cell r="B202">
            <v>4033100094316</v>
          </cell>
          <cell r="C202" t="str">
            <v xml:space="preserve">WINSTON CLASSIC 25S		</v>
          </cell>
        </row>
        <row r="203">
          <cell r="A203">
            <v>100080897</v>
          </cell>
          <cell r="B203">
            <v>42138037</v>
          </cell>
          <cell r="C203" t="str">
            <v>WINSTON CIGARR CLASSIC 20S CAJET</v>
          </cell>
        </row>
        <row r="204">
          <cell r="A204">
            <v>100080899</v>
          </cell>
          <cell r="B204">
            <v>40331379</v>
          </cell>
          <cell r="C204" t="str">
            <v>WINSTON CIGARR BLUE 14S CAJET</v>
          </cell>
        </row>
        <row r="205">
          <cell r="A205">
            <v>101000082</v>
          </cell>
          <cell r="B205">
            <v>7702303464376</v>
          </cell>
          <cell r="C205" t="str">
            <v>VUSE VIVID STRAWBERRY ICE 18 MG 1 PZ</v>
          </cell>
        </row>
        <row r="206">
          <cell r="A206">
            <v>101000081</v>
          </cell>
          <cell r="B206">
            <v>7702303239264</v>
          </cell>
          <cell r="C206" t="str">
            <v>VUSE VIVID MINT ICE 18 MG 1 PZ</v>
          </cell>
        </row>
        <row r="207">
          <cell r="A207">
            <v>101000080</v>
          </cell>
          <cell r="B207">
            <v>7702303820974</v>
          </cell>
          <cell r="C207" t="str">
            <v>VUSE VIVID MINT ICE 0 MG 1 PZ</v>
          </cell>
        </row>
        <row r="208">
          <cell r="A208">
            <v>101000083</v>
          </cell>
          <cell r="B208">
            <v>7702303238434</v>
          </cell>
          <cell r="C208" t="str">
            <v>VUSE VIVID BLUEBERRY ICE 18 MG 1 PZ</v>
          </cell>
        </row>
        <row r="209">
          <cell r="A209">
            <v>100024729</v>
          </cell>
          <cell r="B209">
            <v>7707200942736</v>
          </cell>
          <cell r="C209" t="str">
            <v>VUSE V- PODPACK STRAWBERRY ICE 20 MG 1 PZ</v>
          </cell>
        </row>
        <row r="210">
          <cell r="A210">
            <v>100024658</v>
          </cell>
          <cell r="B210">
            <v>7707200942736</v>
          </cell>
          <cell r="C210" t="str">
            <v>VUSE V- PODPACK STRAWBERRY ICE 20 MG 1 PZ</v>
          </cell>
        </row>
        <row r="211">
          <cell r="A211">
            <v>100024727</v>
          </cell>
          <cell r="B211">
            <v>7702303265324</v>
          </cell>
          <cell r="C211" t="str">
            <v>VUSE V- PODPACK MENTHOL ICE 20 MG 1 PZ</v>
          </cell>
        </row>
        <row r="212">
          <cell r="A212">
            <v>100024656</v>
          </cell>
          <cell r="B212">
            <v>7702303265324</v>
          </cell>
          <cell r="C212" t="str">
            <v>VUSE V- PODPACK MENTHOL ICE 20 MG 1 PZ</v>
          </cell>
        </row>
        <row r="213">
          <cell r="A213">
            <v>100024726</v>
          </cell>
          <cell r="B213">
            <v>7702303108812</v>
          </cell>
          <cell r="C213" t="str">
            <v>VUSE V- PODPACK MENTHOL ICE 0 MG 1 PZ</v>
          </cell>
        </row>
        <row r="214">
          <cell r="A214">
            <v>100024655</v>
          </cell>
          <cell r="B214">
            <v>7702303108812</v>
          </cell>
          <cell r="C214" t="str">
            <v>VUSE V- PODPACK MENTHOL ICE 0 MG 1 PZ</v>
          </cell>
        </row>
        <row r="215">
          <cell r="A215">
            <v>100024728</v>
          </cell>
          <cell r="B215">
            <v>7702303657044</v>
          </cell>
          <cell r="C215" t="str">
            <v>VUSE V- PODPACK BLUEBERRY ICE 20 MG 1 PZ</v>
          </cell>
        </row>
        <row r="216">
          <cell r="A216">
            <v>100024657</v>
          </cell>
          <cell r="B216">
            <v>7702303657044</v>
          </cell>
          <cell r="C216" t="str">
            <v>VUSE V- PODPACK BLUEBERRY ICE 20 MG 1 PZ</v>
          </cell>
        </row>
        <row r="217">
          <cell r="A217">
            <v>100023126</v>
          </cell>
          <cell r="B217">
            <v>7501031701520</v>
          </cell>
          <cell r="C217" t="str">
            <v>VUSE GRAPHITE BLACK DEVICE 1 PZ</v>
          </cell>
        </row>
        <row r="218">
          <cell r="A218">
            <v>100024725</v>
          </cell>
          <cell r="B218">
            <v>7707200944563</v>
          </cell>
          <cell r="C218" t="str">
            <v>VUSE GO RELOAD BLACK 1 PZ</v>
          </cell>
        </row>
        <row r="219">
          <cell r="A219">
            <v>101000088</v>
          </cell>
          <cell r="B219">
            <v>7702303342513</v>
          </cell>
          <cell r="C219" t="str">
            <v>VUSE GO 700 MANGO ICE 34 MG 1 PZ</v>
          </cell>
        </row>
        <row r="220">
          <cell r="A220">
            <v>101000087</v>
          </cell>
          <cell r="B220">
            <v>7702303419598</v>
          </cell>
          <cell r="C220" t="str">
            <v>VUSE GO 700 GRAPE ICE 34 MG 1 PZ</v>
          </cell>
        </row>
        <row r="221">
          <cell r="A221">
            <v>101000085</v>
          </cell>
          <cell r="B221">
            <v>7707200941753</v>
          </cell>
          <cell r="C221" t="str">
            <v>VUSE GO 700 BLUEBERRY ICE 34 MG 1 PZ</v>
          </cell>
        </row>
        <row r="222">
          <cell r="A222">
            <v>101000086</v>
          </cell>
          <cell r="B222">
            <v>7702303173667</v>
          </cell>
          <cell r="C222" t="str">
            <v>VUSE GO 700 BERRY BLEND 34 MG 1 PZ</v>
          </cell>
        </row>
        <row r="223">
          <cell r="A223">
            <v>100024653</v>
          </cell>
          <cell r="B223">
            <v>7707200947311</v>
          </cell>
          <cell r="C223" t="str">
            <v>VUSE GO 5000 MENTHOL ICE 34 MG/ML 1 PZ</v>
          </cell>
        </row>
        <row r="224">
          <cell r="A224">
            <v>100024649</v>
          </cell>
          <cell r="B224">
            <v>7707200945799</v>
          </cell>
          <cell r="C224" t="str">
            <v>VUSE GO 5000 GREEN APPLE 34 MG/ML 1 PZ</v>
          </cell>
        </row>
        <row r="225">
          <cell r="A225">
            <v>100024722</v>
          </cell>
          <cell r="B225">
            <v>7707200945072</v>
          </cell>
          <cell r="C225" t="str">
            <v>VUSE GO 5000 BLUEBERRY RASPBERRY 34 MGML 1 PZ</v>
          </cell>
        </row>
        <row r="226">
          <cell r="A226">
            <v>100024652</v>
          </cell>
          <cell r="B226">
            <v>7707200945072</v>
          </cell>
          <cell r="C226" t="str">
            <v>VUSE GO 5000 BLUEBERRY RASPBERRY 34 MG/ML 1 PZ</v>
          </cell>
        </row>
        <row r="227">
          <cell r="A227">
            <v>100024720</v>
          </cell>
          <cell r="B227">
            <v>7707200949285</v>
          </cell>
          <cell r="C227" t="str">
            <v>VUSE GO 5000 BLUEBERRY ICE 34 MGML 1 PZ</v>
          </cell>
        </row>
        <row r="228">
          <cell r="A228">
            <v>100024650</v>
          </cell>
          <cell r="B228">
            <v>7707200949285</v>
          </cell>
          <cell r="C228" t="str">
            <v>VUSE GO 5000 BLUEBERRY ICE 34 MG/ML 1 PZ</v>
          </cell>
        </row>
        <row r="229">
          <cell r="A229">
            <v>100024721</v>
          </cell>
          <cell r="B229">
            <v>7707200949551</v>
          </cell>
          <cell r="C229" t="str">
            <v>VUSE GO 5000 BERRY BLEND 34 MGML 1 PZ</v>
          </cell>
        </row>
        <row r="230">
          <cell r="A230">
            <v>100024651</v>
          </cell>
          <cell r="B230">
            <v>7707200949551</v>
          </cell>
          <cell r="C230" t="str">
            <v>VUSE GO 5000 BERRY BLEND 34 MG/ML 1 PZ</v>
          </cell>
        </row>
        <row r="231">
          <cell r="A231">
            <v>100024724</v>
          </cell>
          <cell r="B231">
            <v>7707200944037</v>
          </cell>
          <cell r="C231" t="str">
            <v>VUSE GO 5000 BANANA ICE 34 MGML 1 PZ</v>
          </cell>
        </row>
        <row r="232">
          <cell r="A232">
            <v>100024654</v>
          </cell>
          <cell r="B232">
            <v>7707200944037</v>
          </cell>
          <cell r="C232" t="str">
            <v>VUSE GO 5000 BANANA ICE 34 MG/ML 1 PZ</v>
          </cell>
        </row>
        <row r="233">
          <cell r="A233">
            <v>101000089</v>
          </cell>
          <cell r="B233">
            <v>7702303023221</v>
          </cell>
          <cell r="C233" t="str">
            <v>VUSE GO 3000 MENTHOL ICE 34 MG 1 PZ</v>
          </cell>
        </row>
        <row r="234">
          <cell r="A234">
            <v>100024414</v>
          </cell>
          <cell r="B234">
            <v>7702303906036</v>
          </cell>
          <cell r="C234" t="str">
            <v>VUSE GO 3000 HAZELNUT MACCHIATO 34 MG 1 PZ</v>
          </cell>
        </row>
        <row r="235">
          <cell r="A235">
            <v>101000092</v>
          </cell>
          <cell r="B235">
            <v>7702303007979</v>
          </cell>
          <cell r="C235" t="str">
            <v>VUSE GO 3000 BLUEBERRY ICE 34 MG 1 PZ</v>
          </cell>
        </row>
        <row r="236">
          <cell r="A236">
            <v>101000090</v>
          </cell>
          <cell r="B236">
            <v>7702303936590</v>
          </cell>
          <cell r="C236" t="str">
            <v>VUSE GO 3000 BLUE RASPBERRY 34 MG 1 PZ</v>
          </cell>
        </row>
        <row r="237">
          <cell r="A237">
            <v>101000091</v>
          </cell>
          <cell r="B237">
            <v>7702303890434</v>
          </cell>
          <cell r="C237" t="str">
            <v>VUSE GO 3000 BERRY BLEND 34 MG 1 PZ</v>
          </cell>
        </row>
        <row r="238">
          <cell r="A238">
            <v>101000093</v>
          </cell>
          <cell r="B238">
            <v>7702303182898</v>
          </cell>
          <cell r="C238" t="str">
            <v>VUSE GO 3000 APPLE SOUR 34 MG 1 PZ</v>
          </cell>
        </row>
        <row r="239">
          <cell r="A239">
            <v>100024714</v>
          </cell>
          <cell r="B239">
            <v>7707200942019</v>
          </cell>
          <cell r="C239" t="str">
            <v>VUSE GO 1000 MENTHOL ICE 34 MGML 1 PZ</v>
          </cell>
        </row>
        <row r="240">
          <cell r="A240">
            <v>100024627</v>
          </cell>
          <cell r="B240">
            <v>7707200945430</v>
          </cell>
          <cell r="C240" t="str">
            <v>VUSE GO 1000 MANGO ICE 34 MG/ML 1 PZ</v>
          </cell>
        </row>
        <row r="241">
          <cell r="A241">
            <v>100024625</v>
          </cell>
          <cell r="B241">
            <v>7707200947854</v>
          </cell>
          <cell r="C241" t="str">
            <v>VUSE GO 1000 GRAPE ICE 34 MG/ML 1 PZ</v>
          </cell>
        </row>
        <row r="242">
          <cell r="A242">
            <v>100024712</v>
          </cell>
          <cell r="B242">
            <v>7707200946239</v>
          </cell>
          <cell r="C242" t="str">
            <v>VUSE GO 1000 GOLDEN BLEND  1 PZ</v>
          </cell>
        </row>
        <row r="243">
          <cell r="A243">
            <v>100024715</v>
          </cell>
          <cell r="B243">
            <v>7707200946987</v>
          </cell>
          <cell r="C243" t="str">
            <v>VUSE GO 1000 BLUEBERRY ICE 34 MGML 1 PZ</v>
          </cell>
        </row>
        <row r="244">
          <cell r="A244">
            <v>100024623</v>
          </cell>
          <cell r="B244">
            <v>7707200946987</v>
          </cell>
          <cell r="C244" t="str">
            <v>VUSE GO 1000 BLUEBERRY ICE 34 MG/ML 1 PZ</v>
          </cell>
        </row>
        <row r="245">
          <cell r="A245">
            <v>100024716</v>
          </cell>
          <cell r="B245">
            <v>7707200940220</v>
          </cell>
          <cell r="C245" t="str">
            <v>VUSE GO 1000 BERRY BLEND 34 MGML 1 PZ</v>
          </cell>
        </row>
        <row r="246">
          <cell r="A246">
            <v>100024624</v>
          </cell>
          <cell r="B246">
            <v>7707200940220</v>
          </cell>
          <cell r="C246" t="str">
            <v>VUSE GO 1000 BERRY BLEND 34 MG/ML 1 PZ</v>
          </cell>
        </row>
        <row r="247">
          <cell r="A247">
            <v>100023339</v>
          </cell>
          <cell r="B247">
            <v>7501031701667</v>
          </cell>
          <cell r="C247" t="str">
            <v>VUSE EPOD2 VANILLA MEDLEY 0MG 1 PZ</v>
          </cell>
        </row>
        <row r="248">
          <cell r="A248">
            <v>100022786</v>
          </cell>
          <cell r="B248">
            <v>7501031701636</v>
          </cell>
          <cell r="C248" t="str">
            <v>VUSE EPOD2 STRAWBERRY 18MG 1 PZ</v>
          </cell>
        </row>
        <row r="249">
          <cell r="A249">
            <v>100022785</v>
          </cell>
          <cell r="B249">
            <v>7501031701698</v>
          </cell>
          <cell r="C249" t="str">
            <v>VUSE EPOD2 STRAWBERRY 0MG 1 PZ</v>
          </cell>
        </row>
        <row r="250">
          <cell r="A250">
            <v>100023338</v>
          </cell>
          <cell r="B250">
            <v>7501031701575</v>
          </cell>
          <cell r="C250" t="str">
            <v>VUSE EPOD2 GOLDEN TOBACCO 0MG 1 PZ</v>
          </cell>
        </row>
        <row r="251">
          <cell r="A251">
            <v>100023094</v>
          </cell>
          <cell r="B251">
            <v>7501031701759</v>
          </cell>
          <cell r="C251" t="str">
            <v>VUSE EPOD2 DARK CHERRY 0MG 1 PZ</v>
          </cell>
        </row>
        <row r="252">
          <cell r="A252">
            <v>100023336</v>
          </cell>
          <cell r="B252">
            <v>7501031701704</v>
          </cell>
          <cell r="C252" t="str">
            <v>VUSE EPOD2 CUCUMBER FIZZ 0MG 1 PZ</v>
          </cell>
        </row>
        <row r="253">
          <cell r="A253">
            <v>100023337</v>
          </cell>
          <cell r="B253">
            <v>7501031701735</v>
          </cell>
          <cell r="C253" t="str">
            <v>VUSE EPOD2 CLASSICS BLUEBERRY 0MG 1 PZ</v>
          </cell>
        </row>
        <row r="254">
          <cell r="A254">
            <v>100020897</v>
          </cell>
          <cell r="B254">
            <v>7501031701834</v>
          </cell>
          <cell r="C254" t="str">
            <v>VUSE EPOD2  VANILLA MEDLEY 34M 1 PZ</v>
          </cell>
        </row>
        <row r="255">
          <cell r="A255">
            <v>100020894</v>
          </cell>
          <cell r="B255">
            <v>7501031701674</v>
          </cell>
          <cell r="C255" t="str">
            <v>VUSE EPOD2  VANILLA MEDLEY 18M 1 PZ</v>
          </cell>
        </row>
        <row r="256">
          <cell r="A256">
            <v>100020893</v>
          </cell>
          <cell r="B256">
            <v>7501031701889</v>
          </cell>
          <cell r="C256" t="str">
            <v>VUSE EPOD2  SUMMER BLUEBERRY 3 1 PZ</v>
          </cell>
        </row>
        <row r="257">
          <cell r="A257">
            <v>100020892</v>
          </cell>
          <cell r="B257">
            <v>7501031701711</v>
          </cell>
          <cell r="C257" t="str">
            <v>VUSE EPOD2  SUMMER BLUEBERRY 1 1 PZ</v>
          </cell>
        </row>
        <row r="258">
          <cell r="A258">
            <v>100020890</v>
          </cell>
          <cell r="B258">
            <v>7501031701780</v>
          </cell>
          <cell r="C258" t="str">
            <v>VUSE EPOD2  GOLDEN BLEND 34MG 1 PZ</v>
          </cell>
        </row>
        <row r="259">
          <cell r="A259">
            <v>100020888</v>
          </cell>
          <cell r="B259">
            <v>7501031701582</v>
          </cell>
          <cell r="C259" t="str">
            <v>VUSE EPOD2  GOLDEN BLEND 18MG 1 PZ</v>
          </cell>
        </row>
        <row r="260">
          <cell r="A260">
            <v>100020886</v>
          </cell>
          <cell r="B260">
            <v>7501031701803</v>
          </cell>
          <cell r="C260" t="str">
            <v>VUSE EPOD2  DARK CHERRY 34MG 1 PZ</v>
          </cell>
        </row>
        <row r="261">
          <cell r="A261">
            <v>100020885</v>
          </cell>
          <cell r="B261">
            <v>7501031701766</v>
          </cell>
          <cell r="C261" t="str">
            <v>VUSE EPOD2  DARK CHERRY 18MG 1 Pz</v>
          </cell>
        </row>
        <row r="262">
          <cell r="A262">
            <v>100020883</v>
          </cell>
          <cell r="B262">
            <v>7501031701810</v>
          </cell>
          <cell r="C262" t="str">
            <v>VUSE EPOD2  CUCUMBER FIZZ 34MG 1 PZ</v>
          </cell>
        </row>
        <row r="263">
          <cell r="A263">
            <v>100020882</v>
          </cell>
          <cell r="B263">
            <v>7501031701629</v>
          </cell>
          <cell r="C263" t="str">
            <v>VUSE EPOD2  CUCUMBER FIZZ 18MG 1 PZ</v>
          </cell>
        </row>
        <row r="264">
          <cell r="A264">
            <v>100020879</v>
          </cell>
          <cell r="B264">
            <v>7501031701742</v>
          </cell>
          <cell r="C264" t="str">
            <v>VUSE EPOD2  CLASSIC WATERMELON 1 PZ</v>
          </cell>
        </row>
        <row r="265">
          <cell r="A265">
            <v>100020880</v>
          </cell>
          <cell r="B265">
            <v>7501031701728</v>
          </cell>
          <cell r="C265" t="str">
            <v>VUSE EPOD2  CLASSIC WATERMELON 1 PZ</v>
          </cell>
        </row>
        <row r="266">
          <cell r="A266">
            <v>100020881</v>
          </cell>
          <cell r="B266">
            <v>7501031701896</v>
          </cell>
          <cell r="C266" t="str">
            <v>VUSE EPOD2  CLASSIC WATERMELON 1 PZ</v>
          </cell>
        </row>
        <row r="267">
          <cell r="A267">
            <v>100020878</v>
          </cell>
          <cell r="B267">
            <v>7501031701773</v>
          </cell>
          <cell r="C267" t="str">
            <v>VUSE EPOD2  CLASSIC MINT 34MG 1 PZ</v>
          </cell>
        </row>
        <row r="268">
          <cell r="A268">
            <v>100020877</v>
          </cell>
          <cell r="B268">
            <v>7501031701612</v>
          </cell>
          <cell r="C268" t="str">
            <v>VUSE EPOD2  CLASSIC MINT 18MG 1 PZ</v>
          </cell>
        </row>
        <row r="269">
          <cell r="A269">
            <v>100020875</v>
          </cell>
          <cell r="B269">
            <v>7501031701681</v>
          </cell>
          <cell r="C269" t="str">
            <v>VUSE EPOD2  CLASSIC MINT 0MG 1 PZ</v>
          </cell>
        </row>
        <row r="270">
          <cell r="A270">
            <v>100020874</v>
          </cell>
          <cell r="B270">
            <v>7501031701797</v>
          </cell>
          <cell r="C270" t="str">
            <v>VUSE EPOD2  BLUSHED MANGO 34MG 1 PZ</v>
          </cell>
        </row>
        <row r="271">
          <cell r="A271">
            <v>100020873</v>
          </cell>
          <cell r="B271">
            <v>7501031701605</v>
          </cell>
          <cell r="C271" t="str">
            <v>VUSE EPOD2  BLUSHED MANGO 18MG 1 PZ</v>
          </cell>
        </row>
        <row r="272">
          <cell r="A272">
            <v>100020871</v>
          </cell>
          <cell r="B272">
            <v>7501031701599</v>
          </cell>
          <cell r="C272" t="str">
            <v>VUSE EPOD2  BLUSHED MANGO 0MG 1 PZ</v>
          </cell>
        </row>
        <row r="273">
          <cell r="A273">
            <v>100020899</v>
          </cell>
          <cell r="B273">
            <v>7501031701537</v>
          </cell>
          <cell r="C273" t="str">
            <v>VUSE DISPOS GOLDEN  1 PZ</v>
          </cell>
        </row>
        <row r="274">
          <cell r="A274">
            <v>100020898</v>
          </cell>
          <cell r="B274">
            <v>7501031701551</v>
          </cell>
          <cell r="C274" t="str">
            <v>VUSE DISPOS BLACK 1 PZ</v>
          </cell>
        </row>
        <row r="275">
          <cell r="A275">
            <v>100022784</v>
          </cell>
          <cell r="B275">
            <v>7501031701544</v>
          </cell>
          <cell r="C275" t="str">
            <v>VUSE DEVICE ROSE GOLD 1 PZ</v>
          </cell>
        </row>
        <row r="276">
          <cell r="A276">
            <v>101000084</v>
          </cell>
          <cell r="B276">
            <v>7707200941241</v>
          </cell>
          <cell r="C276" t="str">
            <v>VUSE  GO 700 MENTHOL ICE 34 MG 1 PZ</v>
          </cell>
        </row>
        <row r="277">
          <cell r="A277">
            <v>100025449</v>
          </cell>
          <cell r="B277">
            <v>7503031949216</v>
          </cell>
          <cell r="C277" t="str">
            <v>VISTA BLOSSOM MIST 100 BOX 20 (LATA CENICERO '25)</v>
          </cell>
        </row>
        <row r="278">
          <cell r="A278">
            <v>100023684</v>
          </cell>
          <cell r="B278">
            <v>75006952</v>
          </cell>
          <cell r="C278" t="str">
            <v>TEREA PURPLE CAJETILLA PZ</v>
          </cell>
        </row>
        <row r="279">
          <cell r="A279">
            <v>100023683</v>
          </cell>
          <cell r="B279">
            <v>75006341</v>
          </cell>
          <cell r="C279" t="str">
            <v>TEREA GREEN ZING CAJETILLA PZ</v>
          </cell>
        </row>
        <row r="280">
          <cell r="A280">
            <v>100023680</v>
          </cell>
          <cell r="B280">
            <v>75032777</v>
          </cell>
          <cell r="C280" t="str">
            <v>TEREA BLACK GREEN CAJETILLA PZ</v>
          </cell>
        </row>
        <row r="281">
          <cell r="A281">
            <v>100080015</v>
          </cell>
          <cell r="B281">
            <v>8308713</v>
          </cell>
          <cell r="C281" t="str">
            <v>SALEM CIGARR MENTOLADOS CD CAJET</v>
          </cell>
        </row>
        <row r="282">
          <cell r="A282">
            <v>100019228</v>
          </cell>
          <cell r="B282">
            <v>75074883</v>
          </cell>
          <cell r="C282" t="str">
            <v>PALL MALL XL WHITE&amp; CLICK 15S 1 CAJETILLA</v>
          </cell>
        </row>
        <row r="283">
          <cell r="A283">
            <v>100019050</v>
          </cell>
          <cell r="B283">
            <v>75074029</v>
          </cell>
          <cell r="C283" t="str">
            <v>PALL MALL XL W&amp;C LATA 1 CAJETILLA</v>
          </cell>
        </row>
        <row r="284">
          <cell r="A284">
            <v>100020839</v>
          </cell>
          <cell r="B284">
            <v>75076450</v>
          </cell>
          <cell r="C284" t="str">
            <v>PALL MALL XL RIO LA 20S 1 CAJETILLA</v>
          </cell>
        </row>
        <row r="285">
          <cell r="A285">
            <v>100019232</v>
          </cell>
          <cell r="B285">
            <v>75074876</v>
          </cell>
          <cell r="C285" t="str">
            <v>PALL MALL XL RED &amp; CLICK 15S 1 CAJETILLA</v>
          </cell>
        </row>
        <row r="286">
          <cell r="A286">
            <v>100019051</v>
          </cell>
          <cell r="B286">
            <v>75074012</v>
          </cell>
          <cell r="C286" t="str">
            <v>PALL MALL XL R&amp;C LATA 1 CAJETILLA</v>
          </cell>
        </row>
        <row r="287">
          <cell r="A287">
            <v>100019958</v>
          </cell>
          <cell r="B287">
            <v>75074920</v>
          </cell>
          <cell r="C287" t="str">
            <v>PALL MALL XL ICEBER 20S 1 CAJETILLA</v>
          </cell>
        </row>
        <row r="288">
          <cell r="A288">
            <v>100020528</v>
          </cell>
          <cell r="B288">
            <v>75074937</v>
          </cell>
          <cell r="C288" t="str">
            <v>PALL MALL XL FUJI 20S 1 CAJETILLA</v>
          </cell>
        </row>
        <row r="289">
          <cell r="A289">
            <v>100014061</v>
          </cell>
          <cell r="B289">
            <v>75066888</v>
          </cell>
          <cell r="C289" t="str">
            <v xml:space="preserve">PALL MALL XL EXOTIC MIX 20S 1PZ									</v>
          </cell>
        </row>
        <row r="290">
          <cell r="A290">
            <v>100080991</v>
          </cell>
          <cell r="B290">
            <v>75050047</v>
          </cell>
          <cell r="C290" t="str">
            <v>PALL MALL XL BLACK EDITION</v>
          </cell>
        </row>
        <row r="291">
          <cell r="A291">
            <v>100019959</v>
          </cell>
          <cell r="B291">
            <v>75074913</v>
          </cell>
          <cell r="C291" t="str">
            <v>PALL MALL XL ATHENS 20S 1 CAJETILLA</v>
          </cell>
        </row>
        <row r="292">
          <cell r="A292">
            <v>100010175</v>
          </cell>
          <cell r="B292">
            <v>75061654</v>
          </cell>
          <cell r="C292" t="str">
            <v>PALL MALL XL ARUBA SUNRISE 1PZ</v>
          </cell>
        </row>
        <row r="293">
          <cell r="A293">
            <v>100006386</v>
          </cell>
          <cell r="B293">
            <v>75053673</v>
          </cell>
          <cell r="C293" t="str">
            <v>PALL MALL XL 99M MAUI CREPUSCULE 20 CAJ</v>
          </cell>
        </row>
        <row r="294">
          <cell r="A294">
            <v>100080878</v>
          </cell>
          <cell r="B294">
            <v>75039875</v>
          </cell>
          <cell r="C294" t="str">
            <v>PALL MALL WHITE AND CLICK 15</v>
          </cell>
        </row>
        <row r="295">
          <cell r="A295">
            <v>100023316</v>
          </cell>
          <cell r="B295">
            <v>75079642</v>
          </cell>
          <cell r="C295" t="str">
            <v>PALL MALL TOKYO SUNSHINE LATA 20 PZ</v>
          </cell>
        </row>
        <row r="296">
          <cell r="A296">
            <v>100025444</v>
          </cell>
          <cell r="B296">
            <v>75083953</v>
          </cell>
          <cell r="C296" t="str">
            <v>PALL MALL TOKYO STRESS RELIEVER 20 PZ</v>
          </cell>
        </row>
        <row r="297">
          <cell r="A297">
            <v>100080892</v>
          </cell>
          <cell r="B297">
            <v>75042943</v>
          </cell>
          <cell r="C297" t="str">
            <v>PALL MALL RED AND CLICK 15</v>
          </cell>
        </row>
        <row r="298">
          <cell r="A298">
            <v>100023314</v>
          </cell>
          <cell r="B298">
            <v>75079659</v>
          </cell>
          <cell r="C298" t="str">
            <v>PALL MALL MYKONOS SUNSHINE LATA 20 PZ</v>
          </cell>
        </row>
        <row r="299">
          <cell r="A299">
            <v>100025443</v>
          </cell>
          <cell r="B299">
            <v>75083946</v>
          </cell>
          <cell r="C299" t="str">
            <v>PALL MALL MYKONOS STRESS RELIEVER 20 PZ</v>
          </cell>
        </row>
        <row r="300">
          <cell r="A300">
            <v>100013594</v>
          </cell>
          <cell r="B300">
            <v>75067960</v>
          </cell>
          <cell r="C300" t="str">
            <v>PALL MALL MYKONOS NIGHTFALL 15</v>
          </cell>
        </row>
        <row r="301">
          <cell r="A301">
            <v>100015341</v>
          </cell>
          <cell r="B301">
            <v>75070090</v>
          </cell>
          <cell r="C301" t="str">
            <v>PALL MALL MIX PACK 20</v>
          </cell>
        </row>
        <row r="302">
          <cell r="A302">
            <v>100025445</v>
          </cell>
          <cell r="B302">
            <v>75083977</v>
          </cell>
          <cell r="C302" t="str">
            <v>PALL MALL MIAMI STRESS RELIEVER 20 PZ</v>
          </cell>
        </row>
        <row r="303">
          <cell r="A303">
            <v>100021888</v>
          </cell>
          <cell r="B303">
            <v>75077433</v>
          </cell>
          <cell r="C303" t="str">
            <v>PALL MALL LT TOK 20S 1 CAJETILLA</v>
          </cell>
        </row>
        <row r="304">
          <cell r="A304">
            <v>100021889</v>
          </cell>
          <cell r="B304">
            <v>75077426</v>
          </cell>
          <cell r="C304" t="str">
            <v>PALL MALL LT RÍO 20S 1 CAJETILLA</v>
          </cell>
        </row>
        <row r="305">
          <cell r="A305">
            <v>100021887</v>
          </cell>
          <cell r="B305">
            <v>75077402</v>
          </cell>
          <cell r="C305" t="str">
            <v>PALL MALL LT MYK 20S 1 CAJETILLA</v>
          </cell>
        </row>
        <row r="306">
          <cell r="A306">
            <v>100021886</v>
          </cell>
          <cell r="B306">
            <v>75077389</v>
          </cell>
          <cell r="C306" t="str">
            <v>PALL MALL LT ALA 20S 1 CAJETILLA</v>
          </cell>
        </row>
        <row r="307">
          <cell r="A307">
            <v>100025446</v>
          </cell>
          <cell r="B307">
            <v>75083960</v>
          </cell>
          <cell r="C307" t="str">
            <v>PALL MALL LONDON STRESS RELIEVER 20 PZ</v>
          </cell>
        </row>
        <row r="308">
          <cell r="A308">
            <v>100025284</v>
          </cell>
          <cell r="B308">
            <v>75083892</v>
          </cell>
          <cell r="C308" t="str">
            <v>PALL MALL HAWAII SUNLIGHT STRESS RELIEVER 20 PZ</v>
          </cell>
        </row>
        <row r="309">
          <cell r="A309">
            <v>100025283</v>
          </cell>
          <cell r="B309">
            <v>75083885</v>
          </cell>
          <cell r="C309" t="str">
            <v>PALL MALL HAWAII SUNLIGHT STRESS RELIEVER 15 PZ</v>
          </cell>
        </row>
        <row r="310">
          <cell r="A310">
            <v>100010317</v>
          </cell>
          <cell r="B310">
            <v>75062620</v>
          </cell>
          <cell r="C310" t="str">
            <v>PALL MALL DS 20S 1PZ</v>
          </cell>
        </row>
        <row r="311">
          <cell r="A311">
            <v>100080803</v>
          </cell>
          <cell r="B311">
            <v>75027667</v>
          </cell>
          <cell r="C311" t="str">
            <v>PALL MALL CIGARR XL MENTHOL CAJET</v>
          </cell>
        </row>
        <row r="312">
          <cell r="A312">
            <v>100080834</v>
          </cell>
          <cell r="B312">
            <v>75034665</v>
          </cell>
          <cell r="C312" t="str">
            <v>PALL MALL CIGARR XL FRESH CAJET</v>
          </cell>
        </row>
        <row r="313">
          <cell r="A313">
            <v>100080891</v>
          </cell>
          <cell r="B313">
            <v>75042936</v>
          </cell>
          <cell r="C313" t="str">
            <v>PALL MALL CIGARR XL 14S MENTHO CAJET</v>
          </cell>
        </row>
        <row r="314">
          <cell r="A314">
            <v>100080877</v>
          </cell>
          <cell r="B314">
            <v>75039868</v>
          </cell>
          <cell r="C314" t="str">
            <v>PALL MALL CIGARR XL 14S FRESH CAJET</v>
          </cell>
        </row>
        <row r="315">
          <cell r="A315">
            <v>100080806</v>
          </cell>
          <cell r="B315">
            <v>75027803</v>
          </cell>
          <cell r="C315" t="str">
            <v>PALL MALL CIGARR EXACTOS PLUS CAJET</v>
          </cell>
        </row>
        <row r="316">
          <cell r="A316">
            <v>100080888</v>
          </cell>
          <cell r="B316">
            <v>8308014</v>
          </cell>
          <cell r="C316" t="str">
            <v>PALL MALL CIGARR EXACTOS LIGHT CAJET</v>
          </cell>
        </row>
        <row r="317">
          <cell r="A317">
            <v>100015215</v>
          </cell>
          <cell r="B317">
            <v>75069490</v>
          </cell>
          <cell r="C317" t="str">
            <v>PALL MALL CALIFORNIA NIGHTS 20</v>
          </cell>
        </row>
        <row r="318">
          <cell r="A318">
            <v>100011743</v>
          </cell>
          <cell r="B318">
            <v>75064587</v>
          </cell>
          <cell r="C318" t="str">
            <v>PALL MALL ARUBA 14S</v>
          </cell>
        </row>
        <row r="319">
          <cell r="A319">
            <v>100023315</v>
          </cell>
          <cell r="B319">
            <v>75079697</v>
          </cell>
          <cell r="C319" t="str">
            <v>PALL MALL ALASKA SUNSHINE LATA 20 PZ</v>
          </cell>
        </row>
        <row r="320">
          <cell r="A320">
            <v>100025442</v>
          </cell>
          <cell r="B320">
            <v>75083939</v>
          </cell>
          <cell r="C320" t="str">
            <v>PALL MALL ALASKA STRESS RELIEVER 20 PZ</v>
          </cell>
        </row>
        <row r="321">
          <cell r="A321">
            <v>100025448</v>
          </cell>
          <cell r="B321">
            <v>75083922</v>
          </cell>
          <cell r="C321" t="str">
            <v>PALL MALL ALASKA STRESS RELIEVER 15 PZ</v>
          </cell>
        </row>
        <row r="322">
          <cell r="A322">
            <v>100024884</v>
          </cell>
          <cell r="B322">
            <v>75082284</v>
          </cell>
          <cell r="C322" t="str">
            <v>PALL MALL 125 AÑOS CASE TOKYO 20 PZ</v>
          </cell>
        </row>
        <row r="323">
          <cell r="A323">
            <v>100024885</v>
          </cell>
          <cell r="B323">
            <v>75082291</v>
          </cell>
          <cell r="C323" t="str">
            <v>PALL MALL 125 AÑOS CASE MYKONOS 20 PZ</v>
          </cell>
        </row>
        <row r="324">
          <cell r="A324">
            <v>100024888</v>
          </cell>
          <cell r="B324">
            <v>75082338</v>
          </cell>
          <cell r="C324" t="str">
            <v>PALL MALL 125 AÑOS CASE MIAMI 20 PZ</v>
          </cell>
        </row>
        <row r="325">
          <cell r="A325">
            <v>100024886</v>
          </cell>
          <cell r="B325">
            <v>75082314</v>
          </cell>
          <cell r="C325" t="str">
            <v>PALL MALL 125 AÑOS CASE LONDON 20 PZ</v>
          </cell>
        </row>
        <row r="326">
          <cell r="A326">
            <v>100024887</v>
          </cell>
          <cell r="B326">
            <v>75082307</v>
          </cell>
          <cell r="C326" t="str">
            <v>PALL MALL 125 AÑOS CASE HAWAII 20 PZ</v>
          </cell>
        </row>
        <row r="327">
          <cell r="A327">
            <v>100024883</v>
          </cell>
          <cell r="B327">
            <v>75082321</v>
          </cell>
          <cell r="C327" t="str">
            <v>PALL MALL 125 AÑOS CASE BORA BORA 20 PZ</v>
          </cell>
        </row>
        <row r="328">
          <cell r="A328">
            <v>100024882</v>
          </cell>
          <cell r="B328">
            <v>75082277</v>
          </cell>
          <cell r="C328" t="str">
            <v>PALL MALL 125 AÑOS CASE ALASKA 20 PZ</v>
          </cell>
        </row>
        <row r="329">
          <cell r="A329">
            <v>100019052</v>
          </cell>
          <cell r="B329">
            <v>75074784</v>
          </cell>
          <cell r="C329" t="str">
            <v>MONTANA SHOTS XL 20S 1 CAJETILLA</v>
          </cell>
        </row>
        <row r="330">
          <cell r="A330">
            <v>100080808</v>
          </cell>
          <cell r="B330">
            <v>75030728</v>
          </cell>
          <cell r="C330" t="str">
            <v>MARLBORO WINTER SHUFFLE</v>
          </cell>
        </row>
        <row r="331">
          <cell r="A331">
            <v>100020770</v>
          </cell>
          <cell r="B331">
            <v>75074753</v>
          </cell>
          <cell r="C331" t="str">
            <v>MARLBORO WINTER EDICION LIMITADA W 1 CAJETILLA</v>
          </cell>
        </row>
        <row r="332">
          <cell r="A332">
            <v>100024301</v>
          </cell>
          <cell r="B332">
            <v>7503031950960</v>
          </cell>
          <cell r="C332" t="str">
            <v>MARLBORO VISTA SUMMER FUSION 100 BOX 20 LATA MEXICO 2024 CAJETILLA PZ</v>
          </cell>
        </row>
        <row r="333">
          <cell r="A333">
            <v>100025452</v>
          </cell>
          <cell r="B333">
            <v>7503031949322</v>
          </cell>
          <cell r="C333" t="str">
            <v>MARLBORO VISTA PROVENCE FUSION 100 BOX 20 (LATA CENICERO '25) CAJETILLA PZ</v>
          </cell>
        </row>
        <row r="334">
          <cell r="A334">
            <v>100024303</v>
          </cell>
          <cell r="B334">
            <v>7503031950977</v>
          </cell>
          <cell r="C334" t="str">
            <v>MARLBORO VISTA GARDEN FUSION 100 BOX 20 LATA MEXICO 2024 CAJETILLA PZ</v>
          </cell>
        </row>
        <row r="335">
          <cell r="A335">
            <v>100024306</v>
          </cell>
          <cell r="B335">
            <v>7503031949094</v>
          </cell>
          <cell r="C335" t="str">
            <v>MARLBORO VISTA FOREST FUSION 100 BOX 20 LATA MEXICO 2024 CAJETILLA PZ</v>
          </cell>
        </row>
        <row r="336">
          <cell r="A336">
            <v>100025451</v>
          </cell>
          <cell r="B336">
            <v>7503031949209</v>
          </cell>
          <cell r="C336" t="str">
            <v>MARLBORO VISTA FOREST FUSION 100 BOX 20 (LATA CENICERO '25) CAJETILLA PZ</v>
          </cell>
        </row>
        <row r="337">
          <cell r="A337">
            <v>100024305</v>
          </cell>
          <cell r="B337">
            <v>7503031949001</v>
          </cell>
          <cell r="C337" t="str">
            <v>MARLBORO VISTA CARIBBEAN FUSION 100 BOX 20 LATA MEXICO 2024 CAJETILLA PZ</v>
          </cell>
        </row>
        <row r="338">
          <cell r="A338">
            <v>100025450</v>
          </cell>
          <cell r="B338">
            <v>7503031949223</v>
          </cell>
          <cell r="C338" t="str">
            <v>MARLBORO VISTA CARIBBEAN FUSION 100 BOX 20 (LATA CENICERO '25) CAJETILLA PZ</v>
          </cell>
        </row>
        <row r="339">
          <cell r="A339">
            <v>100022332</v>
          </cell>
          <cell r="B339">
            <v>75018832</v>
          </cell>
          <cell r="C339" t="str">
            <v>MARLBORO VISTA BLOSSOM 14´S CAJETILLAPZ</v>
          </cell>
        </row>
        <row r="340">
          <cell r="A340">
            <v>100024304</v>
          </cell>
          <cell r="B340">
            <v>7503031950991</v>
          </cell>
          <cell r="C340" t="str">
            <v>MARLBORO VISTA BLOSSOM 100 BOX 20 LATA MEXICO 2024 CAJETILLA PZ</v>
          </cell>
        </row>
        <row r="341">
          <cell r="A341">
            <v>100022331</v>
          </cell>
          <cell r="B341">
            <v>75004408</v>
          </cell>
          <cell r="C341" t="str">
            <v>MARLBORO VISTA ARTIC 14S CAJETILLAPZ</v>
          </cell>
        </row>
        <row r="342">
          <cell r="A342">
            <v>100019003</v>
          </cell>
          <cell r="B342">
            <v>75001445</v>
          </cell>
          <cell r="C342" t="str">
            <v>MARLBORO TROPIC SHUFFLE 20 1 CAJETILLA</v>
          </cell>
        </row>
        <row r="343">
          <cell r="A343">
            <v>100006296</v>
          </cell>
          <cell r="B343">
            <v>75053758</v>
          </cell>
          <cell r="C343" t="str">
            <v>MARLBORO TABACO REPOSADO GOLD</v>
          </cell>
        </row>
        <row r="344">
          <cell r="A344">
            <v>100022139</v>
          </cell>
          <cell r="B344">
            <v>7503031950274</v>
          </cell>
          <cell r="C344" t="str">
            <v>MARLBORO SUMMER LPE SUMMER 1 CAJETILLA</v>
          </cell>
        </row>
        <row r="345">
          <cell r="A345">
            <v>100022845</v>
          </cell>
          <cell r="B345">
            <v>7503031950458</v>
          </cell>
          <cell r="C345" t="str">
            <v>MARLBORO SUMMER LATA 23 CAJET PZ</v>
          </cell>
        </row>
        <row r="346">
          <cell r="A346">
            <v>100023891</v>
          </cell>
          <cell r="B346">
            <v>7503031950939</v>
          </cell>
          <cell r="C346" t="str">
            <v>MARLBORO SUMMER FUSION MNT LATA DISCO 24 MARLBORO SUMMER LATA 24 DISCO CAJETILLA PZ</v>
          </cell>
        </row>
        <row r="347">
          <cell r="A347">
            <v>100022968</v>
          </cell>
          <cell r="B347">
            <v>75025359</v>
          </cell>
          <cell r="C347" t="str">
            <v>MARLBORO SOL SHUFFLE MNT 100 BOX 20</v>
          </cell>
        </row>
        <row r="348">
          <cell r="A348">
            <v>100010332</v>
          </cell>
          <cell r="B348">
            <v>75062736</v>
          </cell>
          <cell r="C348" t="str">
            <v>MARLBORO SHINE 100S 1 CAJETILLA</v>
          </cell>
        </row>
        <row r="349">
          <cell r="A349">
            <v>100006294</v>
          </cell>
          <cell r="B349">
            <v>75053765</v>
          </cell>
          <cell r="C349" t="str">
            <v>MARLBORO SELECCION ARTESANAL 20</v>
          </cell>
        </row>
        <row r="350">
          <cell r="A350">
            <v>100018586</v>
          </cell>
          <cell r="B350">
            <v>75001414</v>
          </cell>
          <cell r="C350" t="str">
            <v>MARLBORO SELECC ARTESANAL 14 1 CAJETILLA</v>
          </cell>
        </row>
        <row r="351">
          <cell r="A351">
            <v>100080990</v>
          </cell>
          <cell r="B351">
            <v>75050450</v>
          </cell>
          <cell r="C351" t="str">
            <v>MARLBORO RUBYFRESH CAJET</v>
          </cell>
        </row>
        <row r="352">
          <cell r="A352">
            <v>100021422</v>
          </cell>
          <cell r="B352">
            <v>75022242</v>
          </cell>
          <cell r="C352" t="str">
            <v>MARLBORO RED CA RED CAPS MEX 1 CAJETILLA</v>
          </cell>
        </row>
        <row r="353">
          <cell r="A353">
            <v>100019696</v>
          </cell>
          <cell r="B353">
            <v>75072612</v>
          </cell>
          <cell r="C353" t="str">
            <v>MARLBORO MEXICO RED LS BOX MEXICO 1 CAJETILLA</v>
          </cell>
        </row>
        <row r="354">
          <cell r="A354">
            <v>100015219</v>
          </cell>
          <cell r="B354">
            <v>75069933</v>
          </cell>
          <cell r="C354" t="str">
            <v>MARLBORO MEXICO LATA 1 CAJETILLA</v>
          </cell>
        </row>
        <row r="355">
          <cell r="A355">
            <v>100019698</v>
          </cell>
          <cell r="B355">
            <v>75072605</v>
          </cell>
          <cell r="C355" t="str">
            <v>MARLBORO MEXICO GOLD KS 100 MEXICO 1 CAJETILLA</v>
          </cell>
        </row>
        <row r="356">
          <cell r="A356">
            <v>100021413</v>
          </cell>
          <cell r="B356">
            <v>7503031950229</v>
          </cell>
          <cell r="C356" t="str">
            <v>MARLBORO LPE ME MEXICO SUMMER 1 CAJETILLA</v>
          </cell>
        </row>
        <row r="357">
          <cell r="A357">
            <v>100021421</v>
          </cell>
          <cell r="B357">
            <v>75012717</v>
          </cell>
          <cell r="C357" t="str">
            <v>MARLBORO LPE ME MEXICO RED 1 CAJETILLA</v>
          </cell>
        </row>
        <row r="358">
          <cell r="A358">
            <v>100021415</v>
          </cell>
          <cell r="B358">
            <v>75022259</v>
          </cell>
          <cell r="C358" t="str">
            <v>MARLBORO LPE ME MEXICO GOLD 1 CAJETILLA</v>
          </cell>
        </row>
        <row r="359">
          <cell r="A359">
            <v>100021411</v>
          </cell>
          <cell r="B359">
            <v>7503031950236</v>
          </cell>
          <cell r="C359" t="str">
            <v xml:space="preserve">MARLBORO LPE ME MEXICO GARDEN 1 CAJETILLA	</v>
          </cell>
        </row>
        <row r="360">
          <cell r="A360">
            <v>100021409</v>
          </cell>
          <cell r="B360">
            <v>7503031950250</v>
          </cell>
          <cell r="C360" t="str">
            <v>MARLBORO LPE ME MEXICO BLOSSOM 1 CAJETILLA</v>
          </cell>
        </row>
        <row r="361">
          <cell r="A361">
            <v>100021407</v>
          </cell>
          <cell r="B361">
            <v>7503031950243</v>
          </cell>
          <cell r="C361" t="str">
            <v>MARLBORO LPE ME MEXICO ARCTIC 1 CAJETILLA</v>
          </cell>
        </row>
        <row r="362">
          <cell r="A362">
            <v>100021418</v>
          </cell>
          <cell r="B362">
            <v>75015718</v>
          </cell>
          <cell r="C362" t="str">
            <v>MARLBORO LPE GO GOLD CAPS MEXICO 1 CAJETILLA</v>
          </cell>
        </row>
        <row r="363">
          <cell r="A363">
            <v>100022334</v>
          </cell>
          <cell r="B363">
            <v>7503031950441</v>
          </cell>
          <cell r="C363" t="str">
            <v>MARLBORO LPE ARTIC CAJETILLAPZ</v>
          </cell>
        </row>
        <row r="364">
          <cell r="A364">
            <v>100020135</v>
          </cell>
          <cell r="B364">
            <v>7503031950137</v>
          </cell>
          <cell r="C364" t="str">
            <v>MARLBORO LATAS  SUMMER DICIEMBRE  1 CAJETILLA</v>
          </cell>
        </row>
        <row r="365">
          <cell r="A365">
            <v>100020134</v>
          </cell>
          <cell r="B365">
            <v>7503031950144</v>
          </cell>
          <cell r="C365" t="str">
            <v>MARLBORO LATAS  GARDEN DICIEMBRE  1 CAJETILLA</v>
          </cell>
        </row>
        <row r="366">
          <cell r="A366">
            <v>100020136</v>
          </cell>
          <cell r="B366">
            <v>7503031950151</v>
          </cell>
          <cell r="C366" t="str">
            <v>MARLBORO LATAS  ARTIC DICIEMBRE  1 CAJETILLA</v>
          </cell>
        </row>
        <row r="367">
          <cell r="A367">
            <v>100019578</v>
          </cell>
          <cell r="B367">
            <v>7503031950052</v>
          </cell>
          <cell r="C367" t="str">
            <v>MARLBORO LATA SUMMER MEXICO 1 CAJETILLA</v>
          </cell>
        </row>
        <row r="368">
          <cell r="A368">
            <v>100020724</v>
          </cell>
          <cell r="B368">
            <v>7503031950182</v>
          </cell>
          <cell r="C368" t="str">
            <v>MARLBORO LATA L SUMMER 1 CAJETILLA</v>
          </cell>
        </row>
        <row r="369">
          <cell r="A369">
            <v>100020725</v>
          </cell>
          <cell r="B369">
            <v>7503031950199</v>
          </cell>
          <cell r="C369" t="str">
            <v>MARLBORO LATA L GARDEN 1 CAJETILLA</v>
          </cell>
        </row>
        <row r="370">
          <cell r="A370">
            <v>100020726</v>
          </cell>
          <cell r="B370">
            <v>7503031950205</v>
          </cell>
          <cell r="C370" t="str">
            <v>MARLBORO LATA L ARCTIC 1 CAJETILLA</v>
          </cell>
        </row>
        <row r="371">
          <cell r="A371">
            <v>100019576</v>
          </cell>
          <cell r="B371">
            <v>7503031950069</v>
          </cell>
          <cell r="C371" t="str">
            <v>MARLBORO LATA GARDEN MEXICO 1 CAJETILLA</v>
          </cell>
        </row>
        <row r="372">
          <cell r="A372">
            <v>100020429</v>
          </cell>
          <cell r="B372">
            <v>7503031950175</v>
          </cell>
          <cell r="C372" t="str">
            <v>MARLBORO LATA B BLOSSOM 1 CAJETILLA</v>
          </cell>
        </row>
        <row r="373">
          <cell r="A373">
            <v>100021091</v>
          </cell>
          <cell r="B373">
            <v>7503031950212</v>
          </cell>
          <cell r="C373" t="str">
            <v>MARLBORO LATA B BLOSOM LPE 1 CAJETILLA</v>
          </cell>
        </row>
        <row r="374">
          <cell r="A374">
            <v>100022138</v>
          </cell>
          <cell r="B374">
            <v>7503031950281</v>
          </cell>
          <cell r="C374" t="str">
            <v xml:space="preserve">MARLBORO GARDEN LPE GARDEN 1 CAJETILLA	</v>
          </cell>
        </row>
        <row r="375">
          <cell r="A375">
            <v>100022849</v>
          </cell>
          <cell r="B375">
            <v>7503031950465</v>
          </cell>
          <cell r="C375" t="str">
            <v>MARLBORO GARDEN LATA 23 CAJET PZ</v>
          </cell>
        </row>
        <row r="376">
          <cell r="A376">
            <v>100023889</v>
          </cell>
          <cell r="B376">
            <v>7503031950953</v>
          </cell>
          <cell r="C376" t="str">
            <v>MARLBORO FOREST FUSION MNT LATA DISCO 24</v>
          </cell>
        </row>
        <row r="377">
          <cell r="A377">
            <v>100022276</v>
          </cell>
          <cell r="B377">
            <v>75004415</v>
          </cell>
          <cell r="C377" t="str">
            <v>MARLBORO EXOTIC VISTA EXOTIC 1 CAJETILLA</v>
          </cell>
        </row>
        <row r="378">
          <cell r="A378">
            <v>100023362</v>
          </cell>
          <cell r="B378">
            <v>7503031950533</v>
          </cell>
          <cell r="C378" t="str">
            <v>MARLBORO CRAFTED 2.0 RED KS BOX 20 STD - VAO CAJETILLA PZ</v>
          </cell>
        </row>
        <row r="379">
          <cell r="A379">
            <v>100020137</v>
          </cell>
          <cell r="B379">
            <v>7503031950168</v>
          </cell>
          <cell r="C379" t="str">
            <v>MARLBORO CRAFTE CRAFTED ARTESANAL  1 CAJETILLA</v>
          </cell>
        </row>
        <row r="380">
          <cell r="A380">
            <v>100080937</v>
          </cell>
          <cell r="B380">
            <v>75046781</v>
          </cell>
          <cell r="C380" t="str">
            <v>MARLBORO CIGARRO 18 ROJO</v>
          </cell>
        </row>
        <row r="381">
          <cell r="A381">
            <v>100080829</v>
          </cell>
          <cell r="B381">
            <v>75034375</v>
          </cell>
          <cell r="C381" t="str">
            <v>MARLBORO CIGARR TOUCH CAJET</v>
          </cell>
        </row>
        <row r="382">
          <cell r="A382">
            <v>100007987</v>
          </cell>
          <cell r="B382">
            <v>9583</v>
          </cell>
          <cell r="C382" t="str">
            <v>MARLBORO CIGARR ROJO CD CAJETBC</v>
          </cell>
        </row>
        <row r="383">
          <cell r="A383">
            <v>100080029</v>
          </cell>
          <cell r="B383">
            <v>75001292</v>
          </cell>
          <cell r="C383" t="str">
            <v>MARLBORO CIGARR LIGTH EL CS CAJET</v>
          </cell>
        </row>
        <row r="384">
          <cell r="A384">
            <v>100007989</v>
          </cell>
          <cell r="B384">
            <v>9584</v>
          </cell>
          <cell r="C384" t="str">
            <v>MARLBORO CIGARR LIGHT FT CD CAJETBC</v>
          </cell>
        </row>
        <row r="385">
          <cell r="A385">
            <v>100080420</v>
          </cell>
          <cell r="B385">
            <v>75014551</v>
          </cell>
          <cell r="C385" t="str">
            <v>MARLBORO CIGARR LIGHT FT CD CAJET</v>
          </cell>
        </row>
        <row r="386">
          <cell r="A386">
            <v>100080769</v>
          </cell>
          <cell r="B386">
            <v>75027018</v>
          </cell>
          <cell r="C386" t="str">
            <v>MARLBORO CIGARR LIGHT 14S CD CAJET</v>
          </cell>
        </row>
        <row r="387">
          <cell r="A387">
            <v>100080797</v>
          </cell>
          <cell r="B387">
            <v>75029388</v>
          </cell>
          <cell r="C387" t="str">
            <v>MARLBORO CIGARR FRESH CD CAJET</v>
          </cell>
        </row>
        <row r="388">
          <cell r="A388">
            <v>100022848</v>
          </cell>
          <cell r="B388">
            <v>7503031950496</v>
          </cell>
          <cell r="C388" t="str">
            <v>MARLBORO CARIBBEAN LATA 23 CAJET PZ</v>
          </cell>
        </row>
        <row r="389">
          <cell r="A389">
            <v>101000061</v>
          </cell>
          <cell r="B389">
            <v>75006204</v>
          </cell>
          <cell r="C389" t="str">
            <v>MARLBORO CARIBBEAN FUSION 100 BOX 14 CAJETILLA PZ</v>
          </cell>
        </row>
        <row r="390">
          <cell r="A390">
            <v>100022137</v>
          </cell>
          <cell r="B390">
            <v>7503031950311</v>
          </cell>
          <cell r="C390" t="str">
            <v>MARLBORO CARIBB LPE CARIBBEAN 1 CAJETILLA</v>
          </cell>
        </row>
        <row r="391">
          <cell r="A391">
            <v>100023892</v>
          </cell>
          <cell r="B391">
            <v>7503031950946</v>
          </cell>
          <cell r="C391" t="str">
            <v>MARLBORO BLOSSOM MIST MNT LATA DISCO 24 PZ</v>
          </cell>
        </row>
        <row r="392">
          <cell r="A392">
            <v>100022846</v>
          </cell>
          <cell r="B392">
            <v>7503031950489</v>
          </cell>
          <cell r="C392" t="str">
            <v>MARLBORO BLOSSOM LATA 23 CAJET PZ</v>
          </cell>
        </row>
        <row r="393">
          <cell r="A393">
            <v>100022136</v>
          </cell>
          <cell r="B393">
            <v>7503031950304</v>
          </cell>
          <cell r="C393" t="str">
            <v>MARLBORO BLOSSO LPE BLOSSOM 1 CAJETILLA</v>
          </cell>
        </row>
        <row r="394">
          <cell r="A394">
            <v>100022847</v>
          </cell>
          <cell r="B394">
            <v>7503031950472</v>
          </cell>
          <cell r="C394" t="str">
            <v>MARLBORO ARTIC LATA 23 CAJET PZ</v>
          </cell>
        </row>
        <row r="395">
          <cell r="A395">
            <v>100022134</v>
          </cell>
          <cell r="B395">
            <v>7503031950298</v>
          </cell>
          <cell r="C395" t="str">
            <v>MARLBORO ARCTIC LPE ARCTIC 1 CAJETILLA</v>
          </cell>
        </row>
        <row r="396">
          <cell r="A396">
            <v>100007424</v>
          </cell>
          <cell r="B396">
            <v>75056001</v>
          </cell>
          <cell r="C396" t="str">
            <v>MARLBORO AMBER ADVANCE 1CAJ</v>
          </cell>
        </row>
        <row r="397">
          <cell r="A397">
            <v>100015222</v>
          </cell>
          <cell r="B397">
            <v>75068790</v>
          </cell>
          <cell r="C397" t="str">
            <v>MARLBORO AMBER 100 BOX 20 1 CAJETILLA</v>
          </cell>
        </row>
        <row r="398">
          <cell r="A398">
            <v>100023361</v>
          </cell>
          <cell r="B398">
            <v>7503031950540</v>
          </cell>
          <cell r="C398" t="str">
            <v>MARLBORO  MARLBORO CRAFTED 2.0 GOLD KS BOX 20 STD - VAO CAJETILLA PZ</v>
          </cell>
        </row>
        <row r="399">
          <cell r="A399">
            <v>100080977</v>
          </cell>
          <cell r="B399">
            <v>75047078</v>
          </cell>
          <cell r="C399" t="str">
            <v>MALBORO ICE XPRESS</v>
          </cell>
        </row>
        <row r="400">
          <cell r="A400">
            <v>100023423</v>
          </cell>
          <cell r="B400">
            <v>75079888</v>
          </cell>
          <cell r="C400" t="str">
            <v>LUCKY STRIKE ORIGINS RICH 20 PZ</v>
          </cell>
        </row>
        <row r="401">
          <cell r="A401">
            <v>100023422</v>
          </cell>
          <cell r="B401">
            <v>75079901</v>
          </cell>
          <cell r="C401" t="str">
            <v>LUCKY STRIKE ORIGINS DARK 20 PZ</v>
          </cell>
        </row>
        <row r="402">
          <cell r="A402">
            <v>100023424</v>
          </cell>
          <cell r="B402">
            <v>75079895</v>
          </cell>
          <cell r="C402" t="str">
            <v>LUCKY STRIKE ORIGINS BRIGHT 20 PZ</v>
          </cell>
        </row>
        <row r="403">
          <cell r="A403">
            <v>100023426</v>
          </cell>
          <cell r="B403">
            <v>75079956</v>
          </cell>
          <cell r="C403" t="str">
            <v>LUCKY STRIKE ORIGINAL RED 20 PZ</v>
          </cell>
        </row>
        <row r="404">
          <cell r="A404">
            <v>100019548</v>
          </cell>
          <cell r="B404">
            <v>75073978</v>
          </cell>
          <cell r="C404" t="str">
            <v>LUCKY STRIKE NOVA LATA 1 CAJETILLA</v>
          </cell>
        </row>
        <row r="405">
          <cell r="A405">
            <v>100019549</v>
          </cell>
          <cell r="B405">
            <v>75073985</v>
          </cell>
          <cell r="C405" t="str">
            <v>LUCKY STRIKE NOVA 20S 1 CAJETILLA</v>
          </cell>
        </row>
        <row r="406">
          <cell r="A406">
            <v>100007451</v>
          </cell>
          <cell r="B406">
            <v>75057732</v>
          </cell>
          <cell r="C406" t="str">
            <v>LUCKY STRIKE ME T+C FRESH 1PZ</v>
          </cell>
        </row>
        <row r="407">
          <cell r="A407">
            <v>100023714</v>
          </cell>
          <cell r="B407">
            <v>75080105</v>
          </cell>
          <cell r="C407" t="str">
            <v>LUCKY STRIKE LATA CLÁSICA RED 20 PZ</v>
          </cell>
        </row>
        <row r="408">
          <cell r="A408">
            <v>100017662</v>
          </cell>
          <cell r="B408">
            <v>75072506</v>
          </cell>
          <cell r="C408" t="str">
            <v>LUCKY STRIKE LATA CINEMA 25S 1 PZ</v>
          </cell>
        </row>
        <row r="409">
          <cell r="A409">
            <v>100011378</v>
          </cell>
          <cell r="B409">
            <v>75063351</v>
          </cell>
          <cell r="C409" t="str">
            <v>LUCKY STRIKE FF DARK INFUSE LATA 20S</v>
          </cell>
        </row>
        <row r="410">
          <cell r="A410">
            <v>100011380</v>
          </cell>
          <cell r="B410">
            <v>75063344</v>
          </cell>
          <cell r="C410" t="str">
            <v>LUCKY STRIKE FF BLOND INFUSE LATA 20S</v>
          </cell>
        </row>
        <row r="411">
          <cell r="A411">
            <v>100018747</v>
          </cell>
          <cell r="B411">
            <v>75074197</v>
          </cell>
          <cell r="C411" t="str">
            <v>LUCKY STRIKE ENIGMA LATA 1 CAJETILLA</v>
          </cell>
        </row>
        <row r="412">
          <cell r="A412">
            <v>100018748</v>
          </cell>
          <cell r="B412">
            <v>75074203</v>
          </cell>
          <cell r="C412" t="str">
            <v>LUCKY STRIKE ECLIPS LATA 1 CAJETILLA</v>
          </cell>
        </row>
        <row r="413">
          <cell r="A413">
            <v>100008777</v>
          </cell>
          <cell r="B413">
            <v>75061135</v>
          </cell>
          <cell r="C413" t="str">
            <v>LUCKY STRIKE CONVERTIBLES ENIGMA PZ</v>
          </cell>
        </row>
        <row r="414">
          <cell r="A414">
            <v>100080954</v>
          </cell>
          <cell r="B414">
            <v>75047283</v>
          </cell>
          <cell r="C414" t="str">
            <v>LUCKY STRIKE CAJA DURA</v>
          </cell>
        </row>
        <row r="415">
          <cell r="A415">
            <v>100013301</v>
          </cell>
          <cell r="B415">
            <v>75066611</v>
          </cell>
          <cell r="C415" t="str">
            <v>LUCKY STRIKE BLOND 100S 1PZ</v>
          </cell>
        </row>
        <row r="416">
          <cell r="A416">
            <v>100015645</v>
          </cell>
          <cell r="B416">
            <v>75070373</v>
          </cell>
          <cell r="C416" t="str">
            <v xml:space="preserve">LUCKY STRIKE 94MM WINTER STORM 1 CAJETILLA		</v>
          </cell>
        </row>
        <row r="417">
          <cell r="A417">
            <v>100015174</v>
          </cell>
          <cell r="B417">
            <v>75067878</v>
          </cell>
          <cell r="C417" t="str">
            <v xml:space="preserve">LUCKY STRIKE 94MM SUNSHINE BLAST 1 CAJETILLA				</v>
          </cell>
        </row>
        <row r="418">
          <cell r="A418">
            <v>100015648</v>
          </cell>
          <cell r="B418">
            <v>75070588</v>
          </cell>
          <cell r="C418" t="str">
            <v>LUCKY STRIKE 100S MYSTIC 1 CAJETILLA</v>
          </cell>
        </row>
        <row r="419">
          <cell r="A419">
            <v>100017624</v>
          </cell>
          <cell r="B419">
            <v>75072674</v>
          </cell>
          <cell r="C419" t="str">
            <v>LUCKY STRIKE 100S ECLIPSE 20S 1 PZ</v>
          </cell>
        </row>
        <row r="420">
          <cell r="A420">
            <v>100008441</v>
          </cell>
          <cell r="B420">
            <v>75058470</v>
          </cell>
          <cell r="C420" t="str">
            <v>LUCKY STRICKE ORIGINAL 145AÑOS PZ</v>
          </cell>
        </row>
        <row r="421">
          <cell r="A421">
            <v>100010934</v>
          </cell>
          <cell r="B421">
            <v>75062675</v>
          </cell>
          <cell r="C421" t="str">
            <v>LUCKIE  STRIKE BLOND INFUSE 20S FF</v>
          </cell>
        </row>
        <row r="422">
          <cell r="A422">
            <v>900000012</v>
          </cell>
          <cell r="B422">
            <v>8356</v>
          </cell>
          <cell r="C422" t="str">
            <v>LM CIGARRO</v>
          </cell>
        </row>
        <row r="423">
          <cell r="A423">
            <v>100020228</v>
          </cell>
          <cell r="B423">
            <v>5410706884555</v>
          </cell>
          <cell r="C423" t="str">
            <v>IQOS IQOS 3 IQOS DUO WHITE KIT 1 PZ</v>
          </cell>
        </row>
        <row r="424">
          <cell r="A424">
            <v>100017011</v>
          </cell>
          <cell r="B424">
            <v>5410706851496</v>
          </cell>
          <cell r="C424" t="str">
            <v>IQOS HISOPO LIMPIADORES 1 CAJETILLA</v>
          </cell>
        </row>
        <row r="425">
          <cell r="A425">
            <v>100021272</v>
          </cell>
          <cell r="B425">
            <v>7622100711049</v>
          </cell>
          <cell r="C425" t="str">
            <v xml:space="preserve">IQOS HISOPO GLICERINA  1 CAJETILLA	</v>
          </cell>
        </row>
        <row r="426">
          <cell r="A426">
            <v>100018398</v>
          </cell>
          <cell r="B426">
            <v>7622100806332</v>
          </cell>
          <cell r="C426" t="str">
            <v>IQOS HISOPO 10 1 CAJETILLA</v>
          </cell>
        </row>
        <row r="427">
          <cell r="A427">
            <v>100020901</v>
          </cell>
          <cell r="B427">
            <v>5410706903331</v>
          </cell>
          <cell r="C427" t="str">
            <v>IQOS DUO WH IQOS WHITE 1 CAJETILLA</v>
          </cell>
        </row>
        <row r="428">
          <cell r="A428">
            <v>100020906</v>
          </cell>
          <cell r="B428">
            <v>5410706903317</v>
          </cell>
          <cell r="C428" t="str">
            <v>IQOS DUO GR IQOS GREY 1 CAJETILLA</v>
          </cell>
        </row>
        <row r="429">
          <cell r="A429">
            <v>100020904</v>
          </cell>
          <cell r="B429">
            <v>5410706903294</v>
          </cell>
          <cell r="C429" t="str">
            <v>IQOS DUO GO IQOS GOLD 1 CAJETILLA</v>
          </cell>
        </row>
        <row r="430">
          <cell r="A430">
            <v>100020905</v>
          </cell>
          <cell r="B430">
            <v>5410706903355</v>
          </cell>
          <cell r="C430" t="str">
            <v>IQOS DUO BL IQOS BLUE 1 CAJETILLA</v>
          </cell>
        </row>
        <row r="431">
          <cell r="A431">
            <v>100020177</v>
          </cell>
          <cell r="B431">
            <v>5410706884739</v>
          </cell>
          <cell r="C431" t="str">
            <v>IQOS 3 IQOS DUO GREY KIT 1 PZ</v>
          </cell>
        </row>
        <row r="432">
          <cell r="A432">
            <v>100020178</v>
          </cell>
          <cell r="B432">
            <v>5410706884715</v>
          </cell>
          <cell r="C432" t="str">
            <v>IQOS 3 IQOS DUO GOLD KIT 1 PZ</v>
          </cell>
        </row>
        <row r="433">
          <cell r="A433">
            <v>100020179</v>
          </cell>
          <cell r="B433">
            <v>5410706884654</v>
          </cell>
          <cell r="C433" t="str">
            <v>IQOS 3 IQOS DUO BLUE KIT 1 PZ</v>
          </cell>
        </row>
        <row r="434">
          <cell r="A434">
            <v>100020992</v>
          </cell>
          <cell r="B434">
            <v>5410710000000</v>
          </cell>
          <cell r="C434" t="str">
            <v>IQOS 2.4 NA IQOS 2.4 1 CAJETILLA</v>
          </cell>
        </row>
        <row r="435">
          <cell r="A435">
            <v>100015421</v>
          </cell>
          <cell r="B435">
            <v>7501045357423</v>
          </cell>
          <cell r="C435" t="str">
            <v>HEETS YELLOW SELECTION 1 CAJETILLA</v>
          </cell>
        </row>
        <row r="436">
          <cell r="A436">
            <v>100015420</v>
          </cell>
          <cell r="B436">
            <v>7501045357416</v>
          </cell>
          <cell r="C436" t="str">
            <v>HEETS TURQUO SELECTION 1 CAJETILLA</v>
          </cell>
        </row>
        <row r="437">
          <cell r="A437">
            <v>100015419</v>
          </cell>
          <cell r="B437">
            <v>7501045357430</v>
          </cell>
          <cell r="C437" t="str">
            <v>HEETS SIENNA SELECTION 1 CAJETILLA</v>
          </cell>
        </row>
        <row r="438">
          <cell r="A438">
            <v>100018638</v>
          </cell>
          <cell r="B438">
            <v>7501045357898</v>
          </cell>
          <cell r="C438" t="str">
            <v>HEETS RUSSET SELECTION 1 CAJETILLA</v>
          </cell>
        </row>
        <row r="439">
          <cell r="A439">
            <v>100015418</v>
          </cell>
          <cell r="B439">
            <v>7501045357454</v>
          </cell>
          <cell r="C439" t="str">
            <v>HEETS PURPLE SELECTION 1 CAJETILLA</v>
          </cell>
        </row>
        <row r="440">
          <cell r="A440">
            <v>100018639</v>
          </cell>
          <cell r="B440">
            <v>7501045357966</v>
          </cell>
          <cell r="C440" t="str">
            <v>HEETS GREEN ZING 1 CAJETILLA</v>
          </cell>
        </row>
        <row r="441">
          <cell r="A441">
            <v>100017980</v>
          </cell>
          <cell r="B441">
            <v>7501045357881</v>
          </cell>
          <cell r="C441" t="str">
            <v>HEETS BRONZE SELECTION 1 CAJETILLA</v>
          </cell>
        </row>
        <row r="442">
          <cell r="A442">
            <v>100015417</v>
          </cell>
          <cell r="B442">
            <v>7501045357447</v>
          </cell>
          <cell r="C442" t="str">
            <v>HEETS BLUE  SELECTION 1 CAJETILLA</v>
          </cell>
        </row>
        <row r="443">
          <cell r="A443">
            <v>100022970</v>
          </cell>
          <cell r="B443">
            <v>7503031950571</v>
          </cell>
          <cell r="C443" t="str">
            <v>HEETS BLACK GREEN SELECTION S50 PRI 20 SLI</v>
          </cell>
        </row>
        <row r="444">
          <cell r="A444">
            <v>100015416</v>
          </cell>
          <cell r="B444">
            <v>7501045356259</v>
          </cell>
          <cell r="C444" t="str">
            <v>HEETS AMBER SELECTION 1 CAJETILLA</v>
          </cell>
        </row>
        <row r="445">
          <cell r="A445">
            <v>100021950</v>
          </cell>
          <cell r="B445">
            <v>75004392</v>
          </cell>
          <cell r="C445" t="str">
            <v>FAROS 20 1 CAJETILLA</v>
          </cell>
        </row>
        <row r="446">
          <cell r="A446">
            <v>100012007</v>
          </cell>
          <cell r="B446">
            <v>75063900</v>
          </cell>
          <cell r="C446" t="str">
            <v>DELICADOS ORIGINALES 20 FAMILIARIZE 1CAJ</v>
          </cell>
        </row>
        <row r="447">
          <cell r="A447">
            <v>100011702</v>
          </cell>
          <cell r="B447">
            <v>75063894</v>
          </cell>
          <cell r="C447" t="str">
            <v>DELICADOS ORIGINALES 20 ENDO 1CAJE</v>
          </cell>
        </row>
        <row r="448">
          <cell r="A448">
            <v>100010267</v>
          </cell>
          <cell r="B448">
            <v>75061463</v>
          </cell>
          <cell r="C448" t="str">
            <v>DELICADOS FRESCOS 14S 1CAJ</v>
          </cell>
        </row>
        <row r="449">
          <cell r="A449">
            <v>100012003</v>
          </cell>
          <cell r="B449">
            <v>75063863</v>
          </cell>
          <cell r="C449" t="str">
            <v>DELICADOS FRESCOS 14 FAMILIAR 1CAJ</v>
          </cell>
        </row>
        <row r="450">
          <cell r="A450">
            <v>100009575</v>
          </cell>
          <cell r="B450">
            <v>75061449</v>
          </cell>
          <cell r="C450" t="str">
            <v>DELICADOS DELICA ORIGINAL 14S 1CAJE</v>
          </cell>
        </row>
        <row r="451">
          <cell r="A451">
            <v>100012005</v>
          </cell>
          <cell r="B451">
            <v>75063948</v>
          </cell>
          <cell r="C451" t="str">
            <v>DELICADOS CLAROS 24 FAMILIAR 1CAJ</v>
          </cell>
        </row>
        <row r="452">
          <cell r="A452">
            <v>100011705</v>
          </cell>
          <cell r="B452">
            <v>75063931</v>
          </cell>
          <cell r="C452" t="str">
            <v>DELICADOS CLAROS 24 ENDORSE 1CAJE</v>
          </cell>
        </row>
        <row r="453">
          <cell r="A453">
            <v>100080984</v>
          </cell>
          <cell r="B453">
            <v>75049607</v>
          </cell>
          <cell r="C453" t="str">
            <v>DELICADOS CLAROS 24</v>
          </cell>
        </row>
        <row r="454">
          <cell r="A454">
            <v>100012002</v>
          </cell>
          <cell r="B454">
            <v>75063849</v>
          </cell>
          <cell r="C454" t="str">
            <v>DELICADOS CLAROS 14 FAMILIAR 1CAJ</v>
          </cell>
        </row>
        <row r="455">
          <cell r="A455">
            <v>100011706</v>
          </cell>
          <cell r="B455">
            <v>75063832</v>
          </cell>
          <cell r="C455" t="str">
            <v>DELICADOS CLAROS 14 ENDORSE 1CAJE</v>
          </cell>
        </row>
        <row r="456">
          <cell r="A456">
            <v>100080976</v>
          </cell>
          <cell r="B456">
            <v>75049591</v>
          </cell>
          <cell r="C456" t="str">
            <v>DELICADOS CLAROS</v>
          </cell>
        </row>
        <row r="457">
          <cell r="A457">
            <v>100080951</v>
          </cell>
          <cell r="B457">
            <v>75047092</v>
          </cell>
          <cell r="C457" t="str">
            <v>DELICADOS CIGARROS 24S CAJET</v>
          </cell>
        </row>
        <row r="458">
          <cell r="A458">
            <v>100080869</v>
          </cell>
          <cell r="B458">
            <v>75037048</v>
          </cell>
          <cell r="C458" t="str">
            <v>DELICADOS CIGARR C/FILTRO LS20 CAJET</v>
          </cell>
        </row>
        <row r="459">
          <cell r="A459">
            <v>100005287</v>
          </cell>
          <cell r="B459">
            <v>75053048</v>
          </cell>
          <cell r="C459" t="str">
            <v>DELICADOS CAPSULA</v>
          </cell>
        </row>
        <row r="460">
          <cell r="A460">
            <v>100012006</v>
          </cell>
          <cell r="B460">
            <v>75063924</v>
          </cell>
          <cell r="C460" t="str">
            <v>DELICADOS 24 FAMILIARIZE 1CAJ</v>
          </cell>
        </row>
        <row r="461">
          <cell r="A461">
            <v>100011704</v>
          </cell>
          <cell r="B461">
            <v>75063917</v>
          </cell>
          <cell r="C461" t="str">
            <v>DELICADOS 24 ENDORSE 1CAJE</v>
          </cell>
        </row>
        <row r="462">
          <cell r="A462">
            <v>100011708</v>
          </cell>
          <cell r="B462">
            <v>75063870</v>
          </cell>
          <cell r="C462" t="str">
            <v>DELICADOS 14 ENDORSE 1CAJE</v>
          </cell>
        </row>
        <row r="463">
          <cell r="A463">
            <v>100008186</v>
          </cell>
          <cell r="B463">
            <v>75057817</v>
          </cell>
          <cell r="C463" t="str">
            <v>CHESTERFIELD ROJO 14S CAJET</v>
          </cell>
        </row>
        <row r="464">
          <cell r="A464">
            <v>100011671</v>
          </cell>
          <cell r="B464">
            <v>75063771</v>
          </cell>
          <cell r="C464" t="str">
            <v>CHESTERFIELD REMIX PASSION</v>
          </cell>
        </row>
        <row r="465">
          <cell r="A465">
            <v>100018204</v>
          </cell>
          <cell r="B465">
            <v>7501045300139</v>
          </cell>
          <cell r="C465" t="str">
            <v>CHESTERFIELD REMIX  LATA PASSION 1 CAJETILLA</v>
          </cell>
        </row>
        <row r="466">
          <cell r="A466">
            <v>100018203</v>
          </cell>
          <cell r="B466">
            <v>7501045300122</v>
          </cell>
          <cell r="C466" t="str">
            <v>CHESTERFIELD REMIX  LATA 20S 1 CAJETILLA</v>
          </cell>
        </row>
        <row r="467">
          <cell r="A467">
            <v>100004742</v>
          </cell>
          <cell r="B467">
            <v>75052867</v>
          </cell>
          <cell r="C467" t="str">
            <v>CHESTERFIELD RED 16</v>
          </cell>
        </row>
        <row r="468">
          <cell r="A468">
            <v>100080980</v>
          </cell>
          <cell r="B468">
            <v>75049577</v>
          </cell>
          <cell r="C468" t="str">
            <v>CHESTERFIELD PURPLE CAPS CAJET</v>
          </cell>
        </row>
        <row r="469">
          <cell r="A469">
            <v>100012202</v>
          </cell>
          <cell r="B469">
            <v>75064112</v>
          </cell>
          <cell r="C469" t="str">
            <v>CHESTERFIELD ORIGINALES 24 1CAJE</v>
          </cell>
        </row>
        <row r="470">
          <cell r="A470">
            <v>100011674</v>
          </cell>
          <cell r="B470">
            <v>75063726</v>
          </cell>
          <cell r="C470" t="str">
            <v>CHESTERFIELD ORIGINALES 20 1CAJ</v>
          </cell>
        </row>
        <row r="471">
          <cell r="A471">
            <v>100011678</v>
          </cell>
          <cell r="B471">
            <v>75063757</v>
          </cell>
          <cell r="C471" t="str">
            <v>CHESTERFIELD ORIGINALES 14 1CAJ</v>
          </cell>
        </row>
        <row r="472">
          <cell r="A472">
            <v>100018490</v>
          </cell>
          <cell r="B472">
            <v>7501045300146</v>
          </cell>
          <cell r="C472" t="str">
            <v>CHESTERFIELD ORIGIN STREET ART LATA 1 CAJETILLA</v>
          </cell>
        </row>
        <row r="473">
          <cell r="A473">
            <v>100014571</v>
          </cell>
          <cell r="B473">
            <v>75069506</v>
          </cell>
          <cell r="C473" t="str">
            <v>CHESTERFIELD ORIGIN REMIX 100 1CAJE</v>
          </cell>
        </row>
        <row r="474">
          <cell r="A474">
            <v>100013983</v>
          </cell>
          <cell r="B474">
            <v>75067854</v>
          </cell>
          <cell r="C474" t="str">
            <v>CHESTERFIELD ORIGIN 25 PERMANENT 1CAJE</v>
          </cell>
        </row>
        <row r="475">
          <cell r="A475">
            <v>100013785</v>
          </cell>
          <cell r="B475">
            <v>75067892</v>
          </cell>
          <cell r="C475" t="str">
            <v xml:space="preserve">CHESTERFIELD ORIGIN 25 ENDORSEMENT 1CAJE									</v>
          </cell>
        </row>
        <row r="476">
          <cell r="A476">
            <v>100013982</v>
          </cell>
          <cell r="B476">
            <v>75067823</v>
          </cell>
          <cell r="C476" t="str">
            <v>CHESTERFIELD ORIGIN 15 PERMANENT 1CAJE</v>
          </cell>
        </row>
        <row r="477">
          <cell r="A477">
            <v>100008185</v>
          </cell>
          <cell r="B477">
            <v>75057824</v>
          </cell>
          <cell r="C477" t="str">
            <v>CHESTERFIELD MINT 14S CAJET</v>
          </cell>
        </row>
        <row r="478">
          <cell r="A478">
            <v>100080979</v>
          </cell>
          <cell r="B478">
            <v>75049584</v>
          </cell>
          <cell r="C478" t="str">
            <v>CHESTERFIELD MINI CAPSULE</v>
          </cell>
        </row>
        <row r="479">
          <cell r="A479">
            <v>100021797</v>
          </cell>
          <cell r="B479">
            <v>7503031950267</v>
          </cell>
          <cell r="C479" t="str">
            <v>CHESTERFIELD LPE OR LPE 125 1 CAJETILLA</v>
          </cell>
        </row>
        <row r="480">
          <cell r="A480">
            <v>100019960</v>
          </cell>
          <cell r="B480">
            <v>7503031950113</v>
          </cell>
          <cell r="C480" t="str">
            <v>CHESTERFIELD LATA P REMIX PASSION 1 CAJETILLA</v>
          </cell>
        </row>
        <row r="481">
          <cell r="A481">
            <v>100019961</v>
          </cell>
          <cell r="B481">
            <v>7503031950106</v>
          </cell>
          <cell r="C481" t="str">
            <v>CHESTERFIELD LATA F REMIX FRESH 1 CAJETILLA</v>
          </cell>
        </row>
        <row r="482">
          <cell r="A482">
            <v>100014579</v>
          </cell>
          <cell r="B482">
            <v>75069773</v>
          </cell>
          <cell r="C482" t="str">
            <v>CHESTERFIELD INCOGN 1CAJE</v>
          </cell>
        </row>
        <row r="483">
          <cell r="A483">
            <v>100080958</v>
          </cell>
          <cell r="B483">
            <v>75047498</v>
          </cell>
          <cell r="C483" t="str">
            <v>CHESTERFIELD CIGARR RED 20S</v>
          </cell>
        </row>
        <row r="484">
          <cell r="A484">
            <v>100080961</v>
          </cell>
          <cell r="B484">
            <v>75047467</v>
          </cell>
          <cell r="C484" t="str">
            <v>CHESTERFIELD CIGAR BLUE 20S 1CJT</v>
          </cell>
        </row>
        <row r="485">
          <cell r="A485">
            <v>100012203</v>
          </cell>
          <cell r="B485">
            <v>75061715</v>
          </cell>
          <cell r="C485" t="str">
            <v>CHESTERFIELD BLUE 24 1CAJE</v>
          </cell>
        </row>
        <row r="486">
          <cell r="A486">
            <v>100011673</v>
          </cell>
          <cell r="B486">
            <v>75063825</v>
          </cell>
          <cell r="C486" t="str">
            <v>CHESTERFIELD BLUE 20 1CAJ</v>
          </cell>
        </row>
        <row r="487">
          <cell r="A487">
            <v>100008184</v>
          </cell>
          <cell r="B487">
            <v>75057800</v>
          </cell>
          <cell r="C487" t="str">
            <v>CHESTERFIELD BLUE 14S CAJET</v>
          </cell>
        </row>
        <row r="488">
          <cell r="A488">
            <v>100011677</v>
          </cell>
          <cell r="B488">
            <v>75063740</v>
          </cell>
          <cell r="C488" t="str">
            <v>CHESTERFIELD BLUE 14 1CAJ</v>
          </cell>
        </row>
        <row r="489">
          <cell r="A489">
            <v>100018931</v>
          </cell>
          <cell r="B489">
            <v>7503023959346</v>
          </cell>
          <cell r="C489" t="str">
            <v>CAMEL FILTER LEP ANIMALS 20S 23 G</v>
          </cell>
        </row>
        <row r="490">
          <cell r="A490">
            <v>100017393</v>
          </cell>
          <cell r="B490">
            <v>7503023959230</v>
          </cell>
          <cell r="C490" t="str">
            <v>CAMEL FILTER GREETINGS 20S 1 PZ</v>
          </cell>
        </row>
        <row r="491">
          <cell r="A491">
            <v>100080917</v>
          </cell>
          <cell r="B491">
            <v>75045135</v>
          </cell>
          <cell r="C491" t="str">
            <v>CAMEL CIGARR WHITE 20S CAJET</v>
          </cell>
        </row>
        <row r="492">
          <cell r="A492">
            <v>100080184</v>
          </cell>
          <cell r="B492">
            <v>8308315</v>
          </cell>
          <cell r="C492" t="str">
            <v>CAMEL CIGARR FF CD CAJET</v>
          </cell>
        </row>
        <row r="493">
          <cell r="A493">
            <v>100080865</v>
          </cell>
          <cell r="B493">
            <v>75039370</v>
          </cell>
          <cell r="C493" t="str">
            <v>CAMEL CIGARR FF 100S CAJET</v>
          </cell>
        </row>
        <row r="494">
          <cell r="A494">
            <v>100080895</v>
          </cell>
          <cell r="B494">
            <v>75043230</v>
          </cell>
          <cell r="C494" t="str">
            <v>CAMEL CIGARR ACTIVA LI CAJET</v>
          </cell>
        </row>
        <row r="495">
          <cell r="A495">
            <v>100080695</v>
          </cell>
          <cell r="B495">
            <v>8338918</v>
          </cell>
          <cell r="C495" t="str">
            <v>CAMEL CIGARR 14S FF CD CAJET</v>
          </cell>
        </row>
        <row r="496">
          <cell r="A496">
            <v>100014240</v>
          </cell>
          <cell r="B496">
            <v>7503023959025</v>
          </cell>
          <cell r="C496" t="str">
            <v>CAMEL CAMEL  FILTERS 14S 1CAJE</v>
          </cell>
        </row>
        <row r="497">
          <cell r="A497">
            <v>100014242</v>
          </cell>
          <cell r="B497">
            <v>7503023959117</v>
          </cell>
          <cell r="C497" t="str">
            <v>CAMEL CAMEL  ACTIVA MINT PURPLE 1CAJE</v>
          </cell>
        </row>
        <row r="498">
          <cell r="A498">
            <v>100014243</v>
          </cell>
          <cell r="B498">
            <v>7503023959131</v>
          </cell>
          <cell r="C498" t="str">
            <v>CAMEL CAMEL  ACTIVA 100S 1CAJE</v>
          </cell>
        </row>
        <row r="499">
          <cell r="A499">
            <v>100020727</v>
          </cell>
          <cell r="B499">
            <v>75015725</v>
          </cell>
          <cell r="C499" t="str">
            <v>BENSON&amp;HEDGE LUX SA SAPPHIRE 1 CAJETILLA</v>
          </cell>
        </row>
        <row r="500">
          <cell r="A500">
            <v>100022210</v>
          </cell>
          <cell r="B500">
            <v>75012694</v>
          </cell>
          <cell r="C500" t="str">
            <v>BENSON&amp;HEDGE LUX QU QUARTZ 1 CAJETILLA</v>
          </cell>
        </row>
        <row r="501">
          <cell r="A501">
            <v>100020728</v>
          </cell>
          <cell r="B501">
            <v>75018825</v>
          </cell>
          <cell r="C501" t="str">
            <v>BENSON&amp;HEDGE LUX JA JADE 1 CAJETILLA</v>
          </cell>
        </row>
        <row r="502">
          <cell r="A502">
            <v>100020729</v>
          </cell>
          <cell r="B502">
            <v>75012564</v>
          </cell>
          <cell r="C502" t="str">
            <v>BENSON&amp;HEDGE LUX AM AMBER 1 CAJETILLA</v>
          </cell>
        </row>
        <row r="503">
          <cell r="A503">
            <v>100015187</v>
          </cell>
          <cell r="B503">
            <v>75068752</v>
          </cell>
          <cell r="C503" t="str">
            <v>BENSON&amp;HEDGE GOLD 100 SOF 20 1 CAJETILLA</v>
          </cell>
        </row>
        <row r="504">
          <cell r="A504">
            <v>100014718</v>
          </cell>
          <cell r="B504">
            <v>75068806</v>
          </cell>
          <cell r="C504" t="str">
            <v>BENSON&amp;HEDGE GOLD 100 BOX 14 1CAJE</v>
          </cell>
        </row>
        <row r="505">
          <cell r="A505">
            <v>100080033</v>
          </cell>
          <cell r="B505">
            <v>75001247</v>
          </cell>
          <cell r="C505" t="str">
            <v>BENSON&amp;HEDGE CIGARR MENTHOL CS CAJET</v>
          </cell>
        </row>
        <row r="506">
          <cell r="A506">
            <v>100080862</v>
          </cell>
          <cell r="B506">
            <v>75038007</v>
          </cell>
          <cell r="C506" t="str">
            <v>BENSON&amp;HEDGE CIGARR MENTHOL 14S CAJET</v>
          </cell>
        </row>
        <row r="507">
          <cell r="A507">
            <v>100080439</v>
          </cell>
          <cell r="B507">
            <v>75016760</v>
          </cell>
          <cell r="C507" t="str">
            <v>BENSON&amp;HEDGE CIGARR FF CD CAJET</v>
          </cell>
        </row>
        <row r="508">
          <cell r="A508">
            <v>100080861</v>
          </cell>
          <cell r="B508">
            <v>75037994</v>
          </cell>
          <cell r="C508" t="str">
            <v>BENSON&amp;HEDGE CIGARR FF 14S CAJET</v>
          </cell>
        </row>
        <row r="509">
          <cell r="A509">
            <v>100080031</v>
          </cell>
          <cell r="B509">
            <v>75001254</v>
          </cell>
          <cell r="C509" t="str">
            <v>BENSON&amp;HEDGE CIGARR CS CAJET</v>
          </cell>
        </row>
        <row r="510">
          <cell r="A510">
            <v>100080926</v>
          </cell>
          <cell r="B510">
            <v>75045692</v>
          </cell>
          <cell r="C510" t="str">
            <v>BENSON &amp; HEDGES POLAR ICE</v>
          </cell>
        </row>
        <row r="511">
          <cell r="A511">
            <v>100022054</v>
          </cell>
          <cell r="B511">
            <v>7503023959438</v>
          </cell>
          <cell r="C511" t="str">
            <v xml:space="preserve"> WINSTON OASIS FRES 27.4 G	</v>
          </cell>
        </row>
        <row r="512">
          <cell r="A512">
            <v>100026143</v>
          </cell>
          <cell r="B512">
            <v>75084011</v>
          </cell>
          <cell r="C512" t="str">
            <v>TEREA RIVIERA PEARL 2 CAJETILLA PZ</v>
          </cell>
        </row>
        <row r="513">
          <cell r="A513">
            <v>100024418</v>
          </cell>
          <cell r="B513">
            <v>7702303253338</v>
          </cell>
          <cell r="C513" t="str">
            <v>VELO STRAWBERRY ICE 6 MG 15 PZ</v>
          </cell>
        </row>
        <row r="514">
          <cell r="A514">
            <v>100026302</v>
          </cell>
          <cell r="B514">
            <v>7503039738553</v>
          </cell>
          <cell r="C514" t="str">
            <v>VELO STRAWBERRY ICE 6MG TC COLOR 15 PZ</v>
          </cell>
        </row>
        <row r="515">
          <cell r="A515">
            <v>100025296</v>
          </cell>
          <cell r="B515">
            <v>7503039738409</v>
          </cell>
          <cell r="C515" t="str">
            <v>VELO STRAWBERRY ICE 8 MG 20 PZ</v>
          </cell>
        </row>
        <row r="516">
          <cell r="A516">
            <v>100026069</v>
          </cell>
          <cell r="B516">
            <v>7503039738430</v>
          </cell>
          <cell r="C516" t="str">
            <v>VELO SWEET PAPAYA 8 MG 20 PZ</v>
          </cell>
        </row>
        <row r="517">
          <cell r="A517">
            <v>100024415</v>
          </cell>
          <cell r="B517">
            <v>7702303630924</v>
          </cell>
          <cell r="C517" t="str">
            <v>VELO TROPICAL MANGO 4 MG 15 PZ</v>
          </cell>
        </row>
        <row r="518">
          <cell r="A518">
            <v>100026074</v>
          </cell>
          <cell r="B518">
            <v>7503039738522</v>
          </cell>
          <cell r="C518" t="str">
            <v>VELO TROPICAL MANGO 4MG TC BK 15 PZ</v>
          </cell>
        </row>
        <row r="519">
          <cell r="A519">
            <v>100024416</v>
          </cell>
          <cell r="B519">
            <v>7702303813235</v>
          </cell>
          <cell r="C519" t="str">
            <v>VELO TROPICAL MANGO 6 MG 15 PZ</v>
          </cell>
        </row>
        <row r="520">
          <cell r="A520">
            <v>100026304</v>
          </cell>
          <cell r="B520">
            <v>7503039738560</v>
          </cell>
          <cell r="C520" t="str">
            <v>VELO TROPICAL MANGO 6MG TC COLOR 15 PZ</v>
          </cell>
        </row>
        <row r="521">
          <cell r="A521">
            <v>100026383</v>
          </cell>
          <cell r="B521">
            <v>75084004</v>
          </cell>
          <cell r="C521" t="str">
            <v>TEREA BERRINE EDITION 20 CAJETILLA PZ</v>
          </cell>
        </row>
        <row r="522">
          <cell r="A522">
            <v>100025292</v>
          </cell>
          <cell r="B522">
            <v>7503039738386</v>
          </cell>
          <cell r="C522" t="str">
            <v>VELO TROPICAL MANGO 8 MG 20 PZ</v>
          </cell>
        </row>
        <row r="523">
          <cell r="A523">
            <v>100025895</v>
          </cell>
          <cell r="B523">
            <v>7503039738478</v>
          </cell>
          <cell r="C523" t="str">
            <v>VELO WATERMELON ICE 6 MG 15 PZ</v>
          </cell>
        </row>
        <row r="524">
          <cell r="A524">
            <v>100026382</v>
          </cell>
          <cell r="B524">
            <v>75085384</v>
          </cell>
          <cell r="C524" t="str">
            <v>MARLBORO CRAFTED BLOSSOM MIX 100</v>
          </cell>
        </row>
        <row r="525">
          <cell r="A525">
            <v>100026305</v>
          </cell>
          <cell r="B525">
            <v>7503039738577</v>
          </cell>
          <cell r="C525" t="str">
            <v>VELO WATERMELON ICE 6MG TC COLOR 15 PZ</v>
          </cell>
        </row>
        <row r="526">
          <cell r="A526">
            <v>100026380</v>
          </cell>
          <cell r="B526">
            <v>75086091</v>
          </cell>
          <cell r="C526" t="str">
            <v>MARLBORO CRAFTED SUMMER MIX 100</v>
          </cell>
        </row>
        <row r="527">
          <cell r="A527">
            <v>100011672</v>
          </cell>
          <cell r="B527">
            <v>75063801</v>
          </cell>
          <cell r="C527" t="str">
            <v>MARLBORO CRAFTED ICE MIX</v>
          </cell>
        </row>
        <row r="528">
          <cell r="A528">
            <v>100026471</v>
          </cell>
          <cell r="B528">
            <v>7622100510727</v>
          </cell>
          <cell r="C528" t="str">
            <v>IQOS ILUMA I ONE MIDNIGHT BLACK  PZ</v>
          </cell>
        </row>
        <row r="529">
          <cell r="A529">
            <v>100026467</v>
          </cell>
          <cell r="B529">
            <v>7622100511076</v>
          </cell>
          <cell r="C529" t="str">
            <v>IQOS ILUMA I MIDNIGHT BLACK  PZ</v>
          </cell>
        </row>
        <row r="530">
          <cell r="A530">
            <v>100026473</v>
          </cell>
          <cell r="B530">
            <v>7622100510765</v>
          </cell>
          <cell r="C530" t="str">
            <v>IQOS ILUMA I ONE BREEZE BLUE  PZ</v>
          </cell>
        </row>
        <row r="531">
          <cell r="A531">
            <v>100026616</v>
          </cell>
          <cell r="B531">
            <v>7622100511038</v>
          </cell>
          <cell r="C531" t="str">
            <v>IQOS ILUMA I BREEZE BLUE  PZ</v>
          </cell>
        </row>
        <row r="532">
          <cell r="A532">
            <v>100026687</v>
          </cell>
          <cell r="B532">
            <v>75084585</v>
          </cell>
          <cell r="C532" t="str">
            <v>PALL MALL AIRLINES ALASKA 20 PZ</v>
          </cell>
        </row>
        <row r="533">
          <cell r="A533">
            <v>100026688</v>
          </cell>
          <cell r="B533">
            <v>75084608</v>
          </cell>
          <cell r="C533" t="str">
            <v>PALL MALL AIRLINES TOKYO 20 PZ</v>
          </cell>
        </row>
        <row r="534">
          <cell r="A534">
            <v>100026689</v>
          </cell>
          <cell r="B534">
            <v>75084592</v>
          </cell>
          <cell r="C534" t="str">
            <v>PALL MALL AIRLINES MYKONOS 20 PZ</v>
          </cell>
        </row>
        <row r="535">
          <cell r="A535">
            <v>100026690</v>
          </cell>
          <cell r="B535">
            <v>75084646</v>
          </cell>
          <cell r="C535" t="str">
            <v>PALL MALL AIRLINES HAWAII 20 PZ</v>
          </cell>
        </row>
        <row r="536">
          <cell r="A536">
            <v>100026691</v>
          </cell>
          <cell r="B536">
            <v>75084639</v>
          </cell>
          <cell r="C536" t="str">
            <v>PALL MALL AIRLINES BORA BORA 20 PZ</v>
          </cell>
        </row>
        <row r="537">
          <cell r="A537">
            <v>100026692</v>
          </cell>
          <cell r="B537">
            <v>75084653</v>
          </cell>
          <cell r="C537" t="str">
            <v>PALL MALL AIRLINES MANILA 20 PZ</v>
          </cell>
        </row>
        <row r="538">
          <cell r="A538">
            <v>100026676</v>
          </cell>
          <cell r="B538">
            <v>75087142</v>
          </cell>
          <cell r="C538" t="str">
            <v>PALL MALL SUMMER ALASKA 20 PZ</v>
          </cell>
        </row>
        <row r="539">
          <cell r="A539">
            <v>100026677</v>
          </cell>
          <cell r="B539">
            <v>75087159</v>
          </cell>
          <cell r="C539" t="str">
            <v>PALL MALL SUMMER TOKYO 20 PZ</v>
          </cell>
        </row>
        <row r="540">
          <cell r="A540">
            <v>100026678</v>
          </cell>
          <cell r="B540">
            <v>75087166</v>
          </cell>
          <cell r="C540" t="str">
            <v>PALL MALL SUMMER MYKONOS 20 PZ</v>
          </cell>
        </row>
        <row r="541">
          <cell r="A541">
            <v>100026679</v>
          </cell>
          <cell r="B541">
            <v>75087173</v>
          </cell>
          <cell r="C541" t="str">
            <v>PALL MALL SUMMER HAWAII 20 PZ</v>
          </cell>
        </row>
        <row r="542">
          <cell r="A542">
            <v>100026680</v>
          </cell>
          <cell r="B542">
            <v>75087180</v>
          </cell>
          <cell r="C542" t="str">
            <v>PALL MALL SUMMER MANILA 20 PZ</v>
          </cell>
        </row>
        <row r="543">
          <cell r="A543">
            <v>100026684</v>
          </cell>
          <cell r="B543">
            <v>75084493</v>
          </cell>
          <cell r="C543" t="str">
            <v>PALL MALL AMALFI 20 PZ</v>
          </cell>
        </row>
        <row r="544">
          <cell r="A544">
            <v>100026681</v>
          </cell>
          <cell r="B544">
            <v>75087197</v>
          </cell>
          <cell r="C544" t="str">
            <v>PALL MALL SUMMER SELECT RED 25 PZ</v>
          </cell>
        </row>
        <row r="545">
          <cell r="A545">
            <v>100026682</v>
          </cell>
          <cell r="B545">
            <v>75087203</v>
          </cell>
          <cell r="C545" t="str">
            <v>PALL MALL SUMMER SELECT GOLD 14 PZ</v>
          </cell>
        </row>
        <row r="546">
          <cell r="A546">
            <v>100026683</v>
          </cell>
          <cell r="B546">
            <v>75087210</v>
          </cell>
          <cell r="C546" t="str">
            <v>SHOTS CLASSICS SUMMER 25 PZ</v>
          </cell>
        </row>
        <row r="547">
          <cell r="A547">
            <v>100026685</v>
          </cell>
          <cell r="B547">
            <v>75086381</v>
          </cell>
          <cell r="C547" t="str">
            <v>MARLBORO CRAFTED RUBY PZ</v>
          </cell>
        </row>
        <row r="548">
          <cell r="A548">
            <v>100026614</v>
          </cell>
          <cell r="B548">
            <v>7501045300177</v>
          </cell>
          <cell r="C548" t="str">
            <v>MARLBORO VISTA BLOSSOM MIST 100 PZ</v>
          </cell>
        </row>
        <row r="549">
          <cell r="A549">
            <v>100027095</v>
          </cell>
          <cell r="B549">
            <v>75087586</v>
          </cell>
          <cell r="C549" t="str">
            <v>MARLBORO CRAFTED POLAR MIX 100 BOX 20  CAJETILLA PZ</v>
          </cell>
        </row>
        <row r="550">
          <cell r="A550">
            <v>100027096</v>
          </cell>
          <cell r="B550">
            <v>7311250035586</v>
          </cell>
          <cell r="C550" t="str">
            <v>ZYN APPLE MINT 3MG CAJETILLA PZ</v>
          </cell>
        </row>
        <row r="551">
          <cell r="A551">
            <v>100027097</v>
          </cell>
          <cell r="B551">
            <v>7311250035609</v>
          </cell>
          <cell r="C551" t="str">
            <v>ZYN APPLE MINT 6MG CAJETILLA PZ</v>
          </cell>
        </row>
        <row r="552">
          <cell r="A552">
            <v>100027103</v>
          </cell>
          <cell r="B552">
            <v>7503039738805</v>
          </cell>
          <cell r="C552" t="str">
            <v>VELO GREEN SPEARMINT 8MG 15 PZ</v>
          </cell>
        </row>
        <row r="553">
          <cell r="A553">
            <v>100027104</v>
          </cell>
          <cell r="B553">
            <v>7503039738812</v>
          </cell>
          <cell r="C553" t="str">
            <v>VELO TROPICAL MANGO 8MG 15 PZ</v>
          </cell>
        </row>
        <row r="554">
          <cell r="A554">
            <v>100027105</v>
          </cell>
          <cell r="B554">
            <v>7503039738829</v>
          </cell>
          <cell r="C554" t="str">
            <v>VELO STRAWBERRY ICE 8MG 15 PZ</v>
          </cell>
        </row>
        <row r="555">
          <cell r="A555">
            <v>100027106</v>
          </cell>
          <cell r="B555">
            <v>7503039738836</v>
          </cell>
          <cell r="C555" t="str">
            <v>VELO POLAR PEPPERMINT 8MG 15 PZ</v>
          </cell>
        </row>
        <row r="556">
          <cell r="A556">
            <v>100027098</v>
          </cell>
          <cell r="B556">
            <v>7503039738843</v>
          </cell>
          <cell r="C556" t="str">
            <v>VELO MANGO ICE 4MG  15 PZ</v>
          </cell>
        </row>
        <row r="557">
          <cell r="A557">
            <v>100027099</v>
          </cell>
          <cell r="B557">
            <v>7503039738867</v>
          </cell>
          <cell r="C557" t="str">
            <v>VELO MANGO FLAME 10MG 15 PZ</v>
          </cell>
        </row>
        <row r="558">
          <cell r="A558">
            <v>100027102</v>
          </cell>
          <cell r="B558">
            <v>7503039738874</v>
          </cell>
          <cell r="C558" t="str">
            <v>VELO PEPPERMINT STORM 10.9 MG 15 PZ</v>
          </cell>
        </row>
        <row r="559">
          <cell r="A559">
            <v>100080354</v>
          </cell>
          <cell r="C559" t="str">
            <v>CANOS PURO C/5 NATURAL CAJET</v>
          </cell>
        </row>
        <row r="560">
          <cell r="A560">
            <v>100080382</v>
          </cell>
          <cell r="C560" t="str">
            <v>MATACAN PURO NATURAL CAJET</v>
          </cell>
        </row>
        <row r="561">
          <cell r="A561">
            <v>100013782</v>
          </cell>
          <cell r="C561" t="str">
            <v xml:space="preserve">CHESTERFIELD ORIGIN 20 ENDORSEMENT 1CAJE									</v>
          </cell>
        </row>
        <row r="562">
          <cell r="A562">
            <v>100024718</v>
          </cell>
          <cell r="C562" t="str">
            <v>VUSE GO 1000 MANGO ICE 34 MGML 1 PZ</v>
          </cell>
        </row>
        <row r="563">
          <cell r="A563">
            <v>101000060</v>
          </cell>
          <cell r="C563" t="str">
            <v>MARLBORO CARIBEAN FUSION 100 BOX 14</v>
          </cell>
        </row>
        <row r="564">
          <cell r="A564">
            <v>100017238</v>
          </cell>
          <cell r="C564" t="str">
            <v>AC DUMMY CIGARROS</v>
          </cell>
        </row>
        <row r="565">
          <cell r="A565">
            <v>100024719</v>
          </cell>
          <cell r="B565">
            <v>7707200945799</v>
          </cell>
          <cell r="C565" t="str">
            <v>VUSE GO 5000 GREEN APPLE 34 MGML 1 PZ</v>
          </cell>
        </row>
        <row r="566">
          <cell r="A566">
            <v>100080894</v>
          </cell>
          <cell r="B566">
            <v>75043209</v>
          </cell>
          <cell r="C566" t="str">
            <v>CAMEL CIGARR ACTIVA FF CAJET</v>
          </cell>
        </row>
        <row r="567">
          <cell r="A567">
            <v>100011675</v>
          </cell>
          <cell r="B567">
            <v>75063702</v>
          </cell>
          <cell r="C567" t="str">
            <v>CHESTERFIELD MINT 14 1CAJ</v>
          </cell>
        </row>
        <row r="568">
          <cell r="A568">
            <v>100009363</v>
          </cell>
          <cell r="B568">
            <v>7503023648035</v>
          </cell>
          <cell r="C568" t="str">
            <v>MAZATAN PURO SHORT TORPEDO PZ</v>
          </cell>
        </row>
        <row r="569">
          <cell r="A569">
            <v>100009365</v>
          </cell>
          <cell r="B569">
            <v>7503023648028</v>
          </cell>
          <cell r="C569" t="str">
            <v>MAZATAN PURO DOBLE ROBUSTO PZ</v>
          </cell>
        </row>
        <row r="570">
          <cell r="A570">
            <v>100080406</v>
          </cell>
          <cell r="B570">
            <v>7501609500968</v>
          </cell>
          <cell r="C570" t="str">
            <v>PUROS CANOS/PIEZA</v>
          </cell>
        </row>
        <row r="571">
          <cell r="A571">
            <v>100011025</v>
          </cell>
          <cell r="B571">
            <v>10000</v>
          </cell>
          <cell r="C571" t="str">
            <v>MARLBORO CIGARR ROJO CD CAJET</v>
          </cell>
        </row>
        <row r="572">
          <cell r="A572">
            <v>100013300</v>
          </cell>
          <cell r="B572">
            <v>75066901</v>
          </cell>
          <cell r="C572" t="str">
            <v>LUCKY STRIKE HAZEL 100S 1PZ</v>
          </cell>
        </row>
        <row r="573">
          <cell r="A573">
            <v>100016260</v>
          </cell>
          <cell r="B573">
            <v>25900000288</v>
          </cell>
          <cell r="C573" t="str">
            <v>KING EDWARD PURO  VAINILLA 1 PZ</v>
          </cell>
        </row>
        <row r="574">
          <cell r="A574">
            <v>100017183</v>
          </cell>
          <cell r="B574">
            <v>42230748</v>
          </cell>
          <cell r="C574" t="str">
            <v>GIZEH PAPEL  ZIGZAG 1 PZ</v>
          </cell>
        </row>
        <row r="575">
          <cell r="A575">
            <v>100016041</v>
          </cell>
          <cell r="B575">
            <v>25900213053</v>
          </cell>
          <cell r="C575" t="str">
            <v>MINITIP CIGARR CHERRY 1 PZ</v>
          </cell>
        </row>
        <row r="576">
          <cell r="A576">
            <v>100080949</v>
          </cell>
          <cell r="B576">
            <v>7503006684265</v>
          </cell>
          <cell r="C576" t="str">
            <v>CIGARR BLACK LABEL PZ</v>
          </cell>
        </row>
        <row r="577">
          <cell r="A577">
            <v>100015384</v>
          </cell>
          <cell r="B577">
            <v>85000100</v>
          </cell>
          <cell r="C577" t="str">
            <v>COHIBA COHIBA COHIBA CAJETILLA C 1 CAJETILLA</v>
          </cell>
        </row>
        <row r="578">
          <cell r="A578">
            <v>100024717</v>
          </cell>
          <cell r="B578">
            <v>7707200947854</v>
          </cell>
          <cell r="C578" t="str">
            <v>VUSE GO 1000 GRAPE ICE 34 MGML 1 PZ</v>
          </cell>
        </row>
        <row r="579">
          <cell r="A579">
            <v>100024723</v>
          </cell>
          <cell r="B579">
            <v>7707200947311</v>
          </cell>
          <cell r="C579" t="str">
            <v>VUSE GO 5000 MENTHOL ICE 34 MGML 1 PZ</v>
          </cell>
        </row>
        <row r="580">
          <cell r="A580">
            <v>100024893</v>
          </cell>
          <cell r="B580">
            <v>7707200943825</v>
          </cell>
          <cell r="C580" t="str">
            <v>VUSE GO 1000 WATERMELON ICE 34 MG/ML 1 PZ</v>
          </cell>
        </row>
        <row r="581">
          <cell r="A581">
            <v>100027108</v>
          </cell>
          <cell r="B581">
            <v>7502274777471</v>
          </cell>
          <cell r="C581" t="str">
            <v>SESH MINT 10 2MG 1 PZ</v>
          </cell>
        </row>
        <row r="582">
          <cell r="A582">
            <v>100027109</v>
          </cell>
          <cell r="B582">
            <v>7502274777501</v>
          </cell>
          <cell r="C582" t="str">
            <v>SESH MINT 10 4MG 1 PZ</v>
          </cell>
        </row>
        <row r="583">
          <cell r="A583">
            <v>100027110</v>
          </cell>
          <cell r="B583">
            <v>7502274777488</v>
          </cell>
          <cell r="C583" t="str">
            <v>SESH MANGO 10S 2MG 1 PZ</v>
          </cell>
        </row>
        <row r="584">
          <cell r="A584">
            <v>100027111</v>
          </cell>
          <cell r="B584">
            <v>7502274777464</v>
          </cell>
          <cell r="C584" t="str">
            <v>SESH CLEAR 10S 2MG 1 PZ</v>
          </cell>
        </row>
        <row r="585">
          <cell r="A585">
            <v>100027324</v>
          </cell>
          <cell r="B585">
            <v>75086145</v>
          </cell>
          <cell r="C585" t="str">
            <v>PALL MALL ICELAND 14 PZ</v>
          </cell>
        </row>
        <row r="586">
          <cell r="A586">
            <v>100027323</v>
          </cell>
          <cell r="B586">
            <v>75086176</v>
          </cell>
          <cell r="C586" t="str">
            <v>PALL MALL HONOLULU 14 PZ</v>
          </cell>
        </row>
        <row r="587">
          <cell r="A587">
            <v>100027464</v>
          </cell>
          <cell r="B587">
            <v>7503039738904</v>
          </cell>
          <cell r="C587" t="str">
            <v>VELO PURPLE GRAPE 8MG 15 PZ</v>
          </cell>
        </row>
        <row r="588">
          <cell r="A588">
            <v>100027462</v>
          </cell>
          <cell r="B588">
            <v>7503039738911</v>
          </cell>
          <cell r="C588" t="str">
            <v>VELO PEACH ICE 8MG 15 PZ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oja1"/>
    </sheetNames>
    <sheetDataSet>
      <sheetData sheetId="0" refreshError="1">
        <row r="1">
          <cell r="B1" t="str">
            <v>LP SKU</v>
          </cell>
          <cell r="C1" t="str">
            <v>LP DESC</v>
          </cell>
          <cell r="D1" t="str">
            <v>Actividad</v>
          </cell>
        </row>
        <row r="2">
          <cell r="B2">
            <v>100019228</v>
          </cell>
          <cell r="C2" t="str">
            <v>PALL MALL XL WHITE&amp; CLICK 15S 1 CAJETILLA</v>
          </cell>
          <cell r="D2" t="str">
            <v>Próxima devolución BAT (Ago 2025)</v>
          </cell>
        </row>
        <row r="3">
          <cell r="B3">
            <v>100019232</v>
          </cell>
          <cell r="C3" t="str">
            <v>PALL MALL XL RED &amp; CLICK 15S 1 CAJETILLA</v>
          </cell>
          <cell r="D3" t="str">
            <v>Próxima devolución BAT (Ago 2025)</v>
          </cell>
        </row>
        <row r="4">
          <cell r="B4">
            <v>100023423</v>
          </cell>
          <cell r="C4" t="str">
            <v>LUCKY STRIKE ORIGINS RICH 20 PZ</v>
          </cell>
          <cell r="D4" t="str">
            <v>Próxima devolución BAT (Ago 2025)</v>
          </cell>
        </row>
        <row r="5">
          <cell r="B5">
            <v>100024134</v>
          </cell>
          <cell r="C5" t="str">
            <v>MARLBORO LUNA SHUFFLE 100 BOX 20 STD CAJETILLA PZ</v>
          </cell>
          <cell r="D5" t="str">
            <v>Descontinuado PMI</v>
          </cell>
        </row>
        <row r="6">
          <cell r="B6">
            <v>100019959</v>
          </cell>
          <cell r="C6" t="str">
            <v>PALL MALL XL ATHENS 20S 1 CAJETILLA</v>
          </cell>
          <cell r="D6" t="str">
            <v>Devolución 2025 BAT Ola 1 (Nacional excepto Tamps)</v>
          </cell>
        </row>
        <row r="7">
          <cell r="B7">
            <v>100023424</v>
          </cell>
          <cell r="C7" t="str">
            <v>LUCKY STRIKE ORIGINS BRIGHT 20 PZ</v>
          </cell>
          <cell r="D7" t="str">
            <v>Devolución 2025 BAT Ola 2 (Nacional excepto Tamps)</v>
          </cell>
        </row>
        <row r="8">
          <cell r="B8">
            <v>100024303</v>
          </cell>
          <cell r="C8" t="str">
            <v>MARLBORO VISTA GARDEN FUSION 100 BOX 20 LATA MEXICO 2024 CAJETILLA PZ</v>
          </cell>
          <cell r="D8" t="str">
            <v>Devolución PMI 2025</v>
          </cell>
        </row>
        <row r="9">
          <cell r="B9">
            <v>100024887</v>
          </cell>
          <cell r="C9" t="str">
            <v>PALL MALL 125 AÑOS CASE HAWAII 20 PZ</v>
          </cell>
          <cell r="D9" t="str">
            <v>Artículos In&amp;Out</v>
          </cell>
        </row>
        <row r="10">
          <cell r="B10">
            <v>100024304</v>
          </cell>
          <cell r="C10" t="str">
            <v>MARLBORO VISTA BLOSSOM 100 BOX 20 LATA MEXICO 2024 CAJETILLA PZ</v>
          </cell>
          <cell r="D10" t="str">
            <v>Artículos In&amp;Out</v>
          </cell>
        </row>
        <row r="11">
          <cell r="B11">
            <v>100024883</v>
          </cell>
          <cell r="C11" t="str">
            <v>PALL MALL 125 AÑOS CASE BORA BORA 20 PZ</v>
          </cell>
          <cell r="D11" t="str">
            <v>Artículos In&amp;Out</v>
          </cell>
        </row>
        <row r="12">
          <cell r="B12">
            <v>100024886</v>
          </cell>
          <cell r="C12" t="str">
            <v>PALL MALL 125 AÑOS CASE LONDON 20 PZ</v>
          </cell>
          <cell r="D12" t="str">
            <v>Artículos In&amp;Out</v>
          </cell>
        </row>
        <row r="13">
          <cell r="B13">
            <v>100022968</v>
          </cell>
          <cell r="C13" t="str">
            <v>MARLBORO SOL SHUFFLE MNT 100 BOX 20</v>
          </cell>
          <cell r="D13" t="str">
            <v>Artículos In&amp;Out</v>
          </cell>
        </row>
        <row r="14">
          <cell r="B14">
            <v>100024884</v>
          </cell>
          <cell r="C14" t="str">
            <v>PALL MALL 125 AÑOS CASE TOKYO 20 PZ</v>
          </cell>
          <cell r="D14" t="str">
            <v>Artículos In&amp;Out</v>
          </cell>
        </row>
        <row r="15">
          <cell r="B15">
            <v>100024885</v>
          </cell>
          <cell r="C15" t="str">
            <v>PALL MALL 125 AÑOS CASE MYKONOS 20 PZ</v>
          </cell>
          <cell r="D15" t="str">
            <v>Próxima devolución BAT (Ago 2025)</v>
          </cell>
        </row>
        <row r="16">
          <cell r="B16">
            <v>100023426</v>
          </cell>
          <cell r="C16" t="str">
            <v>LUCKY STRIKE ORIGINAL RED 20 PZ</v>
          </cell>
          <cell r="D16" t="str">
            <v>Devolución 2024 PMI</v>
          </cell>
        </row>
        <row r="17">
          <cell r="B17">
            <v>100024882</v>
          </cell>
          <cell r="C17" t="str">
            <v>PALL MALL 125 AÑOS CASE ALASKA 20 PZ</v>
          </cell>
          <cell r="D17" t="str">
            <v>Artículos In&amp;Out</v>
          </cell>
        </row>
        <row r="18">
          <cell r="B18">
            <v>100080897</v>
          </cell>
          <cell r="C18" t="str">
            <v>WINSTON CIGARR CLASSIC 20S CAJET</v>
          </cell>
          <cell r="D18" t="str">
            <v>Próxima devolución BAT (Ago 2025)</v>
          </cell>
        </row>
        <row r="19">
          <cell r="B19">
            <v>101000061</v>
          </cell>
          <cell r="C19" t="str">
            <v>MARLBORO CARIBBEAN FUSION 100 BOX 14 CAJETILLA PZ</v>
          </cell>
          <cell r="D19" t="str">
            <v>Artículos In&amp;Out</v>
          </cell>
        </row>
        <row r="20">
          <cell r="B20">
            <v>100024888</v>
          </cell>
          <cell r="C20" t="str">
            <v>PALL MALL 125 AÑOS CASE MIAMI 20 PZ</v>
          </cell>
          <cell r="D20" t="str">
            <v>Artículos In&amp;Out</v>
          </cell>
        </row>
        <row r="21">
          <cell r="B21">
            <v>100023422</v>
          </cell>
          <cell r="C21" t="str">
            <v>LUCKY STRIKE ORIGINS DARK 20 PZ</v>
          </cell>
          <cell r="D21" t="str">
            <v>Artículos In&amp;Out</v>
          </cell>
        </row>
        <row r="22">
          <cell r="B22">
            <v>100080896</v>
          </cell>
          <cell r="C22" t="str">
            <v>WINSTON CIGARR CLASSIC  14S CAJET</v>
          </cell>
          <cell r="D22" t="str">
            <v>Artículos In&amp;Out</v>
          </cell>
        </row>
        <row r="23">
          <cell r="B23">
            <v>100023317</v>
          </cell>
          <cell r="C23" t="str">
            <v>MONTANA SHOTS CLASSICS 25 PZ</v>
          </cell>
          <cell r="D23" t="str">
            <v>Próxima devolución BAT (Ago 2025)</v>
          </cell>
        </row>
        <row r="24">
          <cell r="B24">
            <v>100022331</v>
          </cell>
          <cell r="C24" t="str">
            <v>MARLBORO VISTA ARTIC 14S CAJETILLAPZ</v>
          </cell>
          <cell r="D24" t="str">
            <v>Descontinuado PMI</v>
          </cell>
        </row>
        <row r="25">
          <cell r="B25">
            <v>100014678</v>
          </cell>
          <cell r="C25" t="str">
            <v>CAMEL NATURAL FLAVOR 20</v>
          </cell>
          <cell r="D25" t="str">
            <v>Devolución 2025 BAT Ola 1 (Nacional excepto Tamps)</v>
          </cell>
        </row>
        <row r="26">
          <cell r="B26">
            <v>100019052</v>
          </cell>
          <cell r="C26" t="str">
            <v>MONTANA SHOTS XL 20S 1 CAJETILLA</v>
          </cell>
          <cell r="D26" t="str">
            <v>Artículos In&amp;Out</v>
          </cell>
        </row>
        <row r="27">
          <cell r="B27">
            <v>100021950</v>
          </cell>
          <cell r="C27" t="str">
            <v>FAROS 20 1 CAJETILLA</v>
          </cell>
          <cell r="D27" t="str">
            <v>Activo JTI</v>
          </cell>
        </row>
        <row r="28">
          <cell r="B28">
            <v>100016411</v>
          </cell>
          <cell r="C28" t="str">
            <v>WINSTON WINSTO WATERMELON 100S 1CAJE</v>
          </cell>
          <cell r="D28" t="str">
            <v>Próxima devolución BAT (Ago 2025)</v>
          </cell>
        </row>
        <row r="29">
          <cell r="B29">
            <v>100020528</v>
          </cell>
          <cell r="C29" t="str">
            <v>PALL MALL XL FUJI 20S 1 CAJETILLA</v>
          </cell>
          <cell r="D29" t="str">
            <v>Devolución 2024 PMI</v>
          </cell>
        </row>
        <row r="30">
          <cell r="B30">
            <v>100014850</v>
          </cell>
          <cell r="C30" t="str">
            <v>WINSTON CLASSIC 25S</v>
          </cell>
          <cell r="D30" t="str">
            <v>Artículos In&amp;Out</v>
          </cell>
        </row>
        <row r="31">
          <cell r="B31">
            <v>100022276</v>
          </cell>
          <cell r="C31" t="str">
            <v>MARLBORO EXOTIC VISTA EXOTIC 1 CAJETILLA</v>
          </cell>
          <cell r="D31" t="str">
            <v>Devolución PMI 2025</v>
          </cell>
        </row>
        <row r="32">
          <cell r="B32">
            <v>100020970</v>
          </cell>
          <cell r="C32" t="str">
            <v>MONTANA CLASSI 14S 1 CAJETILLA</v>
          </cell>
          <cell r="D32" t="str">
            <v>Artículos In&amp;Out</v>
          </cell>
        </row>
        <row r="33">
          <cell r="B33">
            <v>100023684</v>
          </cell>
          <cell r="C33" t="str">
            <v>TEREA PURPLE CAJETILLA PZ</v>
          </cell>
          <cell r="D33" t="str">
            <v>Devoluciones Terea</v>
          </cell>
        </row>
        <row r="34">
          <cell r="B34">
            <v>100023680</v>
          </cell>
          <cell r="C34" t="str">
            <v>TEREA BLACK GREEN CAJETILLA PZ</v>
          </cell>
          <cell r="D34" t="str">
            <v>Devoluciones Terea</v>
          </cell>
        </row>
        <row r="35">
          <cell r="B35">
            <v>100023683</v>
          </cell>
          <cell r="C35" t="str">
            <v>TEREA GREEN ZING CAJETILLA PZ</v>
          </cell>
          <cell r="D35" t="str">
            <v>Devoluciones Terea</v>
          </cell>
        </row>
        <row r="36">
          <cell r="B36">
            <v>100015174</v>
          </cell>
          <cell r="C36" t="str">
            <v xml:space="preserve">LUCKY STRIKE 94MM SUNSHINE BLAST 1 CAJETILLA				</v>
          </cell>
          <cell r="D36" t="str">
            <v>Descontinuado BAT</v>
          </cell>
        </row>
        <row r="37">
          <cell r="B37">
            <v>100021272</v>
          </cell>
          <cell r="C37" t="str">
            <v xml:space="preserve">IQOS HISOPO GLICERINA  1 CAJETILLA	</v>
          </cell>
          <cell r="D37" t="str">
            <v>Por devolver Iqos</v>
          </cell>
        </row>
        <row r="38">
          <cell r="B38">
            <v>100015648</v>
          </cell>
          <cell r="C38" t="str">
            <v>LUCKY STRIKE 100S MYSTIC 1 CAJETILLA</v>
          </cell>
          <cell r="D38" t="str">
            <v>Próxima devolución BAT (Ago 2025)</v>
          </cell>
        </row>
        <row r="39">
          <cell r="B39">
            <v>100019548</v>
          </cell>
          <cell r="C39" t="str">
            <v>LUCKY STRIKE NOVA LATA 1 CAJETILLA</v>
          </cell>
          <cell r="D39" t="str">
            <v>Próxima devolución BAT (Ago 2025)</v>
          </cell>
        </row>
        <row r="40">
          <cell r="B40">
            <v>101000089</v>
          </cell>
          <cell r="C40" t="str">
            <v>VUSE GO 3000 MENTHOL ICE 34 MG 1 PZ</v>
          </cell>
          <cell r="D40" t="str">
            <v>Devoluciones Vuse (feb 2025)</v>
          </cell>
        </row>
        <row r="41">
          <cell r="B41">
            <v>101000090</v>
          </cell>
          <cell r="C41" t="str">
            <v>VUSE GO 3000 BLUE RASPBERRY 34 MG 1 PZ</v>
          </cell>
          <cell r="D41" t="str">
            <v>Devoluciones Vuse (feb 2025)</v>
          </cell>
        </row>
        <row r="42">
          <cell r="B42">
            <v>101000084</v>
          </cell>
          <cell r="C42" t="str">
            <v>VUSE  GO 700 MENTHOL ICE 34 MG 1 PZ</v>
          </cell>
          <cell r="D42" t="str">
            <v>Devoluciones Vuse (feb 2025)</v>
          </cell>
        </row>
        <row r="43">
          <cell r="B43">
            <v>100024722</v>
          </cell>
          <cell r="C43" t="str">
            <v>VUSE GO 5000 BLUEBERRY RASPBERRY 34 MGML 1 PZ</v>
          </cell>
          <cell r="D43" t="str">
            <v>Devoluciones Vuse (feb 2025)</v>
          </cell>
        </row>
        <row r="44">
          <cell r="B44">
            <v>100015416</v>
          </cell>
          <cell r="C44" t="str">
            <v>HEETS AMBER SELECTION 1 CAJETILLA</v>
          </cell>
          <cell r="D44" t="str">
            <v>Devoluciones Heets</v>
          </cell>
        </row>
        <row r="45">
          <cell r="B45">
            <v>100015215</v>
          </cell>
          <cell r="C45" t="str">
            <v>PALL MALL CALIFORNIA NIGHTS 20</v>
          </cell>
          <cell r="D45" t="str">
            <v>Descontinuado BAT</v>
          </cell>
        </row>
        <row r="46">
          <cell r="B46">
            <v>101000093</v>
          </cell>
          <cell r="C46" t="str">
            <v>VUSE GO 3000 APPLE SOUR 34 MG 1 PZ</v>
          </cell>
          <cell r="D46" t="str">
            <v>Devoluciones Vuse (feb 2025)</v>
          </cell>
        </row>
        <row r="47">
          <cell r="B47">
            <v>101000087</v>
          </cell>
          <cell r="C47" t="str">
            <v>VUSE GO 700 GRAPE ICE 34 MG 1 PZ</v>
          </cell>
          <cell r="D47" t="str">
            <v>Devoluciones Vuse (feb 2025)</v>
          </cell>
        </row>
        <row r="48">
          <cell r="B48">
            <v>100017980</v>
          </cell>
          <cell r="C48" t="str">
            <v>HEETS BRONZE SELECTION 1 CAJETILLA</v>
          </cell>
          <cell r="D48" t="str">
            <v>Devoluciones Heets</v>
          </cell>
        </row>
        <row r="49">
          <cell r="B49">
            <v>100020728</v>
          </cell>
          <cell r="C49" t="str">
            <v>BENSON&amp;HEDGE LUX JA JADE 1 CAJETILLA</v>
          </cell>
          <cell r="D49" t="str">
            <v>Devolución 2024 PMI</v>
          </cell>
        </row>
        <row r="50">
          <cell r="B50">
            <v>101000088</v>
          </cell>
          <cell r="C50" t="str">
            <v>VUSE GO 700 MANGO ICE 34 MG 1 PZ</v>
          </cell>
          <cell r="D50" t="str">
            <v>Devoluciones Vuse (feb 2025)</v>
          </cell>
        </row>
        <row r="51">
          <cell r="B51">
            <v>101000091</v>
          </cell>
          <cell r="C51" t="str">
            <v>VUSE GO 3000 BERRY BLEND 34 MG 1 PZ</v>
          </cell>
          <cell r="D51" t="str">
            <v>Devoluciones Vuse (feb 2025)</v>
          </cell>
        </row>
        <row r="52">
          <cell r="B52">
            <v>101000085</v>
          </cell>
          <cell r="C52" t="str">
            <v>VUSE GO 700 BLUEBERRY ICE 34 MG 1 PZ</v>
          </cell>
          <cell r="D52" t="str">
            <v>Devoluciones Vuse (feb 2025)</v>
          </cell>
        </row>
        <row r="53">
          <cell r="B53">
            <v>101000080</v>
          </cell>
          <cell r="C53" t="str">
            <v>VUSE VIVID MINT ICE 0 MG 1 PZ</v>
          </cell>
          <cell r="D53" t="str">
            <v>Devoluciones Vuse (feb 2025)</v>
          </cell>
        </row>
        <row r="54">
          <cell r="B54">
            <v>100015417</v>
          </cell>
          <cell r="C54" t="str">
            <v>HEETS BLUE  SELECTION 1 CAJETILLA</v>
          </cell>
          <cell r="D54" t="str">
            <v>Devoluciones Heets</v>
          </cell>
        </row>
        <row r="55">
          <cell r="B55">
            <v>100006296</v>
          </cell>
          <cell r="C55" t="str">
            <v>MARLBORO TABACO REPOSADO GOLD</v>
          </cell>
          <cell r="D55" t="str">
            <v>Descontinuado PMI</v>
          </cell>
        </row>
        <row r="56">
          <cell r="B56">
            <v>101000092</v>
          </cell>
          <cell r="C56" t="str">
            <v>VUSE GO 3000 BLUEBERRY ICE 34 MG 1 PZ</v>
          </cell>
          <cell r="D56" t="str">
            <v>Devoluciones Vuse (feb 2025)</v>
          </cell>
        </row>
        <row r="57">
          <cell r="B57">
            <v>100019549</v>
          </cell>
          <cell r="C57" t="str">
            <v>LUCKY STRIKE NOVA 20S 1 CAJETILLA</v>
          </cell>
          <cell r="D57" t="str">
            <v>Próxima devolución BAT (Ago 2025)</v>
          </cell>
        </row>
        <row r="58">
          <cell r="B58">
            <v>100020727</v>
          </cell>
          <cell r="C58" t="str">
            <v>BENSON&amp;HEDGE LUX SA SAPPHIRE 1 CAJETILLA</v>
          </cell>
          <cell r="D58" t="str">
            <v>Devolución 2024 PMI</v>
          </cell>
        </row>
        <row r="59">
          <cell r="B59">
            <v>100024721</v>
          </cell>
          <cell r="C59" t="str">
            <v>VUSE GO 5000 BERRY BLEND 34 MGML 1 PZ</v>
          </cell>
          <cell r="D59" t="str">
            <v>Devoluciones Vuse (feb 2025)</v>
          </cell>
        </row>
        <row r="60">
          <cell r="B60">
            <v>100018931</v>
          </cell>
          <cell r="C60" t="str">
            <v>CAMEL FILTER LEP ANIMALS 20S 23 G</v>
          </cell>
          <cell r="D60" t="str">
            <v>Descontinuado JTI</v>
          </cell>
        </row>
        <row r="61">
          <cell r="B61">
            <v>100015645</v>
          </cell>
          <cell r="C61" t="str">
            <v xml:space="preserve">LUCKY STRIKE 94MM WINTER STORM 1 CAJETILLA		</v>
          </cell>
          <cell r="D61" t="str">
            <v>Descontinuado BAT</v>
          </cell>
        </row>
        <row r="62">
          <cell r="B62">
            <v>101000081</v>
          </cell>
          <cell r="C62" t="str">
            <v>VUSE VIVID MINT ICE 18 MG 1 PZ</v>
          </cell>
          <cell r="D62" t="str">
            <v>Devoluciones Vuse (feb 2025)</v>
          </cell>
        </row>
        <row r="63">
          <cell r="B63">
            <v>101000086</v>
          </cell>
          <cell r="C63" t="str">
            <v>VUSE GO 700 BERRY BLEND 34 MG 1 PZ</v>
          </cell>
          <cell r="D63" t="str">
            <v>Devoluciones Vuse (feb 2025)</v>
          </cell>
        </row>
        <row r="64">
          <cell r="B64">
            <v>101000082</v>
          </cell>
          <cell r="C64" t="str">
            <v>VUSE VIVID STRAWBERRY ICE 18 MG 1 PZ</v>
          </cell>
          <cell r="D64" t="str">
            <v>Devoluciones Vuse (feb 2025)</v>
          </cell>
        </row>
        <row r="65">
          <cell r="B65">
            <v>100022054</v>
          </cell>
          <cell r="C65" t="str">
            <v xml:space="preserve"> WINSTON OASIS FRES 27.4 G	</v>
          </cell>
          <cell r="D65" t="str">
            <v>Descontinuado JTI</v>
          </cell>
        </row>
        <row r="66">
          <cell r="B66">
            <v>100011677</v>
          </cell>
          <cell r="C66" t="str">
            <v>CHESTERFIELD BLUE 14 1CAJ</v>
          </cell>
          <cell r="D66" t="str">
            <v>Devolución 2024 PMI</v>
          </cell>
        </row>
        <row r="67">
          <cell r="B67">
            <v>100024720</v>
          </cell>
          <cell r="C67" t="str">
            <v>VUSE GO 5000 BLUEBERRY ICE 34 MGML 1 PZ</v>
          </cell>
          <cell r="D67" t="str">
            <v>Devoluciones Vuse (feb 2025)</v>
          </cell>
        </row>
        <row r="68">
          <cell r="B68">
            <v>100015418</v>
          </cell>
          <cell r="C68" t="str">
            <v>HEETS PURPLE SELECTION 1 CAJETILLA</v>
          </cell>
          <cell r="D68" t="str">
            <v>Devoluciones Heets</v>
          </cell>
        </row>
        <row r="69">
          <cell r="B69">
            <v>100023714</v>
          </cell>
          <cell r="C69" t="str">
            <v>LUCKY STRIKE LATA CLÁSICA RED 20 PZ</v>
          </cell>
          <cell r="D69" t="str">
            <v>Próxima devolución BAT (Ago 2025)</v>
          </cell>
        </row>
        <row r="70">
          <cell r="B70">
            <v>100022848</v>
          </cell>
          <cell r="C70" t="str">
            <v>MARLBORO CARIBBEAN LATA 23 CAJET PZ</v>
          </cell>
          <cell r="D70" t="str">
            <v>Descontinuado PMI</v>
          </cell>
        </row>
        <row r="71">
          <cell r="B71">
            <v>100024306</v>
          </cell>
          <cell r="C71" t="str">
            <v>MARLBORO VISTA FOREST FUSION 100 BOX 20 LATA MEXICO 2024 CAJETILLA PZ</v>
          </cell>
          <cell r="D71" t="str">
            <v>Descontinuado PMI</v>
          </cell>
        </row>
        <row r="72">
          <cell r="B72">
            <v>101000083</v>
          </cell>
          <cell r="C72" t="str">
            <v>VUSE VIVID BLUEBERRY ICE 18 MG 1 PZ</v>
          </cell>
          <cell r="D72" t="str">
            <v>Devoluciones Vuse (feb 2025)</v>
          </cell>
        </row>
        <row r="73">
          <cell r="B73">
            <v>100022137</v>
          </cell>
          <cell r="C73" t="str">
            <v>MARLBORO CARIBB LPE CARIBBEAN 1 CAJETILLA</v>
          </cell>
          <cell r="D73" t="str">
            <v>Descontinuado PMI</v>
          </cell>
        </row>
        <row r="74">
          <cell r="B74">
            <v>100023892</v>
          </cell>
          <cell r="C74" t="str">
            <v>MARLBORO BLOSSOM MIST MNT LATA DISCO 24 PZ</v>
          </cell>
          <cell r="D74" t="str">
            <v>Descontinuado PMI</v>
          </cell>
        </row>
        <row r="75">
          <cell r="B75">
            <v>100080899</v>
          </cell>
          <cell r="C75" t="str">
            <v>WINSTON CIGARR BLUE 14S CAJET</v>
          </cell>
          <cell r="D75" t="str">
            <v>Descontinuado JTI</v>
          </cell>
        </row>
        <row r="76">
          <cell r="B76">
            <v>100022210</v>
          </cell>
          <cell r="C76" t="str">
            <v>BENSON&amp;HEDGE LUX QU QUARTZ 1 CAJETILLA</v>
          </cell>
          <cell r="D76" t="str">
            <v>Devolución 2024 PMI</v>
          </cell>
        </row>
        <row r="77">
          <cell r="B77">
            <v>100022847</v>
          </cell>
          <cell r="C77" t="str">
            <v>MARLBORO ARTIC LATA 23 CAJET PZ</v>
          </cell>
          <cell r="D77" t="str">
            <v>Descontinuado PMI</v>
          </cell>
        </row>
        <row r="78">
          <cell r="B78">
            <v>100018748</v>
          </cell>
          <cell r="C78" t="str">
            <v>LUCKY STRIKE ECLIPS LATA 1 CAJETILLA</v>
          </cell>
          <cell r="D78" t="str">
            <v>Próxima devolución BAT (Ago 2025)</v>
          </cell>
        </row>
        <row r="79">
          <cell r="B79">
            <v>100022845</v>
          </cell>
          <cell r="C79" t="str">
            <v>MARLBORO SUMMER LATA 23 CAJET PZ</v>
          </cell>
          <cell r="D79" t="str">
            <v>Descontinuado PMI</v>
          </cell>
        </row>
        <row r="80">
          <cell r="B80">
            <v>100022849</v>
          </cell>
          <cell r="C80" t="str">
            <v>MARLBORO GARDEN LATA 23 CAJET PZ</v>
          </cell>
          <cell r="D80" t="str">
            <v>Descontinuado PMI</v>
          </cell>
        </row>
        <row r="81">
          <cell r="B81">
            <v>100022785</v>
          </cell>
          <cell r="C81" t="str">
            <v>VUSE EPOD2 STRAWBERRY 0MG 1 PZ</v>
          </cell>
          <cell r="D81" t="str">
            <v>Devoluciones Vuse (feb 2025)</v>
          </cell>
        </row>
        <row r="82">
          <cell r="B82">
            <v>100024725</v>
          </cell>
          <cell r="C82" t="str">
            <v>VUSE GO RELOAD BLACK 1 PZ</v>
          </cell>
          <cell r="D82" t="str">
            <v>Devoluciones Vuse (feb 2025)</v>
          </cell>
        </row>
        <row r="83">
          <cell r="B83">
            <v>100011672</v>
          </cell>
          <cell r="C83" t="str">
            <v>MARLBORO CRAFTED ICE MIX</v>
          </cell>
          <cell r="D83" t="str">
            <v>Devolución PMI 2025</v>
          </cell>
        </row>
        <row r="84">
          <cell r="B84">
            <v>100020729</v>
          </cell>
          <cell r="C84" t="str">
            <v>BENSON&amp;HEDGE LUX AM AMBER 1 CAJETILLA</v>
          </cell>
          <cell r="D84" t="str">
            <v>Devolución 2024 PMI</v>
          </cell>
        </row>
        <row r="85">
          <cell r="B85">
            <v>100023126</v>
          </cell>
          <cell r="C85" t="str">
            <v>VUSE GRAPHITE BLACK DEVICE 1 PZ</v>
          </cell>
          <cell r="D85" t="str">
            <v>Devoluciones Vuse (feb 2025)</v>
          </cell>
        </row>
        <row r="86">
          <cell r="B86">
            <v>100015222</v>
          </cell>
          <cell r="C86" t="str">
            <v>MARLBORO AMBER 100 BOX 20 1 CAJETILLA</v>
          </cell>
          <cell r="D86" t="str">
            <v>Descontinuado PMI</v>
          </cell>
        </row>
        <row r="87">
          <cell r="B87">
            <v>100080862</v>
          </cell>
          <cell r="C87" t="str">
            <v>BENSON&amp;HEDGE CIGARR MENTHOL 14S CAJET</v>
          </cell>
          <cell r="D87" t="str">
            <v>Devolución 2024 PMI</v>
          </cell>
        </row>
        <row r="88">
          <cell r="B88">
            <v>100014718</v>
          </cell>
          <cell r="C88" t="str">
            <v>BENSON&amp;HEDGE GOLD 100 BOX 14 1CAJE</v>
          </cell>
          <cell r="D88" t="str">
            <v>Devolución 2024 PMI</v>
          </cell>
        </row>
        <row r="89">
          <cell r="B89">
            <v>100080829</v>
          </cell>
          <cell r="C89" t="str">
            <v>MARLBORO CIGARR TOUCH CAJET</v>
          </cell>
          <cell r="D89" t="str">
            <v>Descontinuado PMI</v>
          </cell>
        </row>
        <row r="90">
          <cell r="B90">
            <v>100015420</v>
          </cell>
          <cell r="C90" t="str">
            <v>HEETS TURQUO SELECTION 1 CAJETILLA</v>
          </cell>
          <cell r="D90" t="str">
            <v>Devoluciones Heets</v>
          </cell>
        </row>
        <row r="91">
          <cell r="B91">
            <v>100006294</v>
          </cell>
          <cell r="C91" t="str">
            <v>MARLBORO SELECCION ARTESANAL 20</v>
          </cell>
          <cell r="D91" t="str">
            <v>Descontinuado PMI</v>
          </cell>
        </row>
        <row r="92">
          <cell r="B92">
            <v>100017624</v>
          </cell>
          <cell r="C92" t="str">
            <v>LUCKY STRIKE 100S ECLIPSE 20S 1 PZ</v>
          </cell>
          <cell r="D92" t="str">
            <v>Próxima devolución BAT (Ago 2025)</v>
          </cell>
        </row>
        <row r="93">
          <cell r="B93">
            <v>100021091</v>
          </cell>
          <cell r="C93" t="str">
            <v>MARLBORO LATA B BLOSOM LPE 1 CAJETILLA</v>
          </cell>
          <cell r="D93" t="str">
            <v>Descontinuado PMI</v>
          </cell>
        </row>
        <row r="94">
          <cell r="B94">
            <v>100024712</v>
          </cell>
          <cell r="C94" t="str">
            <v>VUSE GO 1000 GOLDEN BLEND  1 PZ</v>
          </cell>
          <cell r="D94" t="str">
            <v>Devoluciones Vuse (feb 2025)</v>
          </cell>
        </row>
        <row r="95">
          <cell r="B95">
            <v>100018586</v>
          </cell>
          <cell r="C95" t="str">
            <v>MARLBORO SELECC ARTESANAL 14 1 CAJETILLA</v>
          </cell>
          <cell r="D95" t="str">
            <v>Descontinuado PMI</v>
          </cell>
        </row>
        <row r="96">
          <cell r="B96">
            <v>100080797</v>
          </cell>
          <cell r="C96" t="str">
            <v>MARLBORO CIGARR FRESH CD CAJET</v>
          </cell>
          <cell r="D96" t="str">
            <v>Descontinuado PMI</v>
          </cell>
        </row>
        <row r="97">
          <cell r="B97">
            <v>100024305</v>
          </cell>
          <cell r="C97" t="str">
            <v>MARLBORO VISTA CARIBBEAN FUSION 100 BOX 20 LATA MEXICO 2024 CAJETILLA PZ</v>
          </cell>
          <cell r="D97" t="str">
            <v>Devolución PMI 2025</v>
          </cell>
        </row>
        <row r="98">
          <cell r="B98">
            <v>100022139</v>
          </cell>
          <cell r="C98" t="str">
            <v>MARLBORO SUMMER LPE SUMMER 1 CAJETILLA</v>
          </cell>
          <cell r="D98" t="str">
            <v>Descontinuado PMI</v>
          </cell>
        </row>
        <row r="99">
          <cell r="B99">
            <v>100014571</v>
          </cell>
          <cell r="C99" t="str">
            <v>CHESTERFIELD ORIGIN REMIX 100 1CAJE</v>
          </cell>
          <cell r="D99" t="str">
            <v>Devolución 2024 PMI</v>
          </cell>
        </row>
        <row r="100">
          <cell r="B100">
            <v>100080029</v>
          </cell>
          <cell r="C100" t="str">
            <v>MARLBORO CIGARR LIGTH EL CS CAJET</v>
          </cell>
          <cell r="D100" t="str">
            <v>Descontinuado PMI</v>
          </cell>
        </row>
        <row r="101">
          <cell r="B101">
            <v>100018639</v>
          </cell>
          <cell r="C101" t="str">
            <v>HEETS GREEN ZING 1 CAJETILLA</v>
          </cell>
          <cell r="D101" t="str">
            <v>Devoluciones Heets</v>
          </cell>
        </row>
        <row r="102">
          <cell r="B102">
            <v>100022136</v>
          </cell>
          <cell r="C102" t="str">
            <v>MARLBORO BLOSSO LPE BLOSSOM 1 CAJETILLA</v>
          </cell>
          <cell r="D102" t="str">
            <v>Descontinuado PMI</v>
          </cell>
        </row>
        <row r="103">
          <cell r="B103">
            <v>100014242</v>
          </cell>
          <cell r="C103" t="str">
            <v>CAMEL CAMEL  ACTIVA MINT PURPLE 1CAJE</v>
          </cell>
          <cell r="D103" t="str">
            <v>Descontinuado JTI</v>
          </cell>
        </row>
        <row r="104">
          <cell r="B104">
            <v>100010332</v>
          </cell>
          <cell r="C104" t="str">
            <v>MARLBORO SHINE 100S 1 CAJETILLA</v>
          </cell>
          <cell r="D104" t="str">
            <v>Descontinuado PMI</v>
          </cell>
        </row>
        <row r="105">
          <cell r="B105">
            <v>100020770</v>
          </cell>
          <cell r="C105" t="str">
            <v>MARLBORO WINTER EDICION LIMITADA W 1 CAJETILLA</v>
          </cell>
          <cell r="D105" t="str">
            <v>Devolución PMI 2025</v>
          </cell>
        </row>
        <row r="106">
          <cell r="B106">
            <v>100023361</v>
          </cell>
          <cell r="C106" t="str">
            <v>MARLBORO  MARLBORO CRAFTED 2.0 GOLD KS BOX 20 STD - VAO CAJETILLA PZ</v>
          </cell>
          <cell r="D106" t="str">
            <v>Descontinuado PMI</v>
          </cell>
        </row>
        <row r="107">
          <cell r="B107">
            <v>100019958</v>
          </cell>
          <cell r="C107" t="str">
            <v>PALL MALL XL ICEBER 20S 1 CAJETILLA</v>
          </cell>
          <cell r="D107" t="str">
            <v>Descontinuado BAT</v>
          </cell>
        </row>
        <row r="108">
          <cell r="B108">
            <v>100024728</v>
          </cell>
          <cell r="C108" t="str">
            <v>VUSE V- PODPACK BLUEBERRY ICE 20 MG 1 PZ</v>
          </cell>
          <cell r="D108" t="str">
            <v>Devoluciones Vuse (feb 2025)</v>
          </cell>
        </row>
        <row r="109">
          <cell r="B109">
            <v>100015419</v>
          </cell>
          <cell r="C109" t="str">
            <v>HEETS SIENNA SELECTION 1 CAJETILLA</v>
          </cell>
          <cell r="D109" t="str">
            <v>Devoluciones Heets</v>
          </cell>
        </row>
        <row r="110">
          <cell r="B110">
            <v>100022332</v>
          </cell>
          <cell r="C110" t="str">
            <v>MARLBORO VISTA BLOSSOM 14´S CAJETILLAPZ</v>
          </cell>
          <cell r="D110" t="str">
            <v>Devolución PMI 2025</v>
          </cell>
        </row>
        <row r="111">
          <cell r="B111">
            <v>100080031</v>
          </cell>
          <cell r="C111" t="str">
            <v>BENSON&amp;HEDGE CIGARR CS CAJET</v>
          </cell>
          <cell r="D111" t="str">
            <v>Devolución 2024 PMI</v>
          </cell>
        </row>
        <row r="112">
          <cell r="B112">
            <v>100024727</v>
          </cell>
          <cell r="C112" t="str">
            <v>VUSE V- PODPACK MENTHOL ICE 20 MG 1 PZ</v>
          </cell>
          <cell r="D112" t="str">
            <v>Devoluciones Vuse (feb 2025)</v>
          </cell>
        </row>
        <row r="113">
          <cell r="B113">
            <v>100022970</v>
          </cell>
          <cell r="C113" t="str">
            <v>HEETS BLACK GREEN SELECTION S50 PRI 20 SLI</v>
          </cell>
          <cell r="D113" t="str">
            <v>Devoluciones Heets</v>
          </cell>
        </row>
        <row r="114">
          <cell r="B114">
            <v>100022138</v>
          </cell>
          <cell r="C114" t="str">
            <v xml:space="preserve">MARLBORO GARDEN LPE GARDEN 1 CAJETILLA	</v>
          </cell>
          <cell r="D114" t="str">
            <v>Descontinuado PMI</v>
          </cell>
        </row>
        <row r="115">
          <cell r="B115">
            <v>100024726</v>
          </cell>
          <cell r="C115" t="str">
            <v>VUSE V- PODPACK MENTHOL ICE 0 MG 1 PZ</v>
          </cell>
          <cell r="D115" t="str">
            <v>Devoluciones Vuse (feb 2025)</v>
          </cell>
        </row>
        <row r="116">
          <cell r="B116">
            <v>100010934</v>
          </cell>
          <cell r="C116" t="str">
            <v>LUCKIE  STRIKE BLOND INFUSE 20S FF</v>
          </cell>
          <cell r="D116" t="str">
            <v>Descontinuado BAT</v>
          </cell>
        </row>
        <row r="117">
          <cell r="B117">
            <v>100023891</v>
          </cell>
          <cell r="C117" t="str">
            <v>MARLBORO SUMMER FUSION MNT LATA DISCO 24 MARLBORO SUMMER LATA 24 DISCO CAJETILLA PZ</v>
          </cell>
          <cell r="D117" t="str">
            <v>Descontinuado PMI</v>
          </cell>
        </row>
        <row r="118">
          <cell r="B118">
            <v>100022134</v>
          </cell>
          <cell r="C118" t="str">
            <v>MARLBORO ARCTIC LPE ARCTIC 1 CAJETILLA</v>
          </cell>
          <cell r="D118" t="str">
            <v>Descontinuado PMI</v>
          </cell>
        </row>
        <row r="119">
          <cell r="B119">
            <v>100018203</v>
          </cell>
          <cell r="C119" t="str">
            <v>CHESTERFIELD REMIX  LATA 20S 1 CAJETILLA</v>
          </cell>
          <cell r="D119" t="str">
            <v>Devolución 2024 PMI</v>
          </cell>
        </row>
        <row r="120">
          <cell r="B120">
            <v>100080184</v>
          </cell>
          <cell r="C120" t="str">
            <v>CAMEL CIGARR FF CD CAJET</v>
          </cell>
          <cell r="D120" t="str">
            <v>Descontinuado JTI</v>
          </cell>
        </row>
        <row r="121">
          <cell r="B121">
            <v>100017662</v>
          </cell>
          <cell r="C121" t="str">
            <v>LUCKY STRIKE LATA CINEMA 25S 1 PZ</v>
          </cell>
          <cell r="D121" t="str">
            <v>Descontinuado BAT</v>
          </cell>
        </row>
        <row r="122">
          <cell r="B122">
            <v>100023889</v>
          </cell>
          <cell r="C122" t="str">
            <v>MARLBORO FOREST FUSION MNT LATA DISCO 24</v>
          </cell>
          <cell r="D122" t="str">
            <v>Descontinuado PMI</v>
          </cell>
        </row>
        <row r="123">
          <cell r="B123">
            <v>100018638</v>
          </cell>
          <cell r="C123" t="str">
            <v>HEETS RUSSET SELECTION 1 CAJETILLA</v>
          </cell>
          <cell r="D123" t="str">
            <v>Devoluciones Heets</v>
          </cell>
        </row>
        <row r="124">
          <cell r="B124">
            <v>100024729</v>
          </cell>
          <cell r="C124" t="str">
            <v>VUSE V- PODPACK STRAWBERRY ICE 20 MG 1 PZ</v>
          </cell>
          <cell r="D124" t="str">
            <v>Devoluciones Vuse (feb 2025)</v>
          </cell>
        </row>
        <row r="125">
          <cell r="B125">
            <v>100022846</v>
          </cell>
          <cell r="C125" t="str">
            <v>MARLBORO BLOSSOM LATA 23 CAJET PZ</v>
          </cell>
          <cell r="D125" t="str">
            <v>Devolución PMI 2025</v>
          </cell>
        </row>
        <row r="126">
          <cell r="B126">
            <v>100021797</v>
          </cell>
          <cell r="C126" t="str">
            <v>CHESTERFIELD LPE OR LPE 125 1 CAJETILLA</v>
          </cell>
          <cell r="D126" t="str">
            <v>Devolución 2024 PMI</v>
          </cell>
        </row>
        <row r="127">
          <cell r="B127">
            <v>100024724</v>
          </cell>
          <cell r="C127" t="str">
            <v>VUSE GO 5000 BANANA ICE 34 MGML 1 PZ</v>
          </cell>
          <cell r="D127" t="str">
            <v>Devoluciones Vuse (feb 2025)</v>
          </cell>
        </row>
        <row r="128">
          <cell r="B128">
            <v>100012202</v>
          </cell>
          <cell r="C128" t="str">
            <v>CHESTERFIELD ORIGINALES 24 1CAJE</v>
          </cell>
          <cell r="D128" t="str">
            <v>Devolución 2024 PMI</v>
          </cell>
        </row>
        <row r="129">
          <cell r="B129">
            <v>100008441</v>
          </cell>
          <cell r="C129" t="str">
            <v>LUCKY STRICKE ORIGINAL 145AÑOS PZ</v>
          </cell>
          <cell r="D129" t="str">
            <v>Descontinuado BAT</v>
          </cell>
        </row>
        <row r="130">
          <cell r="B130">
            <v>100024716</v>
          </cell>
          <cell r="C130" t="str">
            <v>VUSE GO 1000 BERRY BLEND 34 MGML 1 PZ</v>
          </cell>
          <cell r="D130" t="str">
            <v>Devoluciones Vuse (feb 2025)</v>
          </cell>
        </row>
        <row r="131">
          <cell r="B131">
            <v>100023362</v>
          </cell>
          <cell r="C131" t="str">
            <v>MARLBORO CRAFTED 2.0 RED KS BOX 20 STD - VAO CAJETILLA PZ</v>
          </cell>
          <cell r="D131" t="str">
            <v>Devolución PMI 2024</v>
          </cell>
        </row>
        <row r="132">
          <cell r="B132">
            <v>100020137</v>
          </cell>
          <cell r="C132" t="str">
            <v>MARLBORO CRAFTE CRAFTED ARTESANAL  1 CAJETILLA</v>
          </cell>
          <cell r="D132" t="str">
            <v>Descontinuado PMI</v>
          </cell>
        </row>
        <row r="133">
          <cell r="B133">
            <v>100020888</v>
          </cell>
          <cell r="C133" t="str">
            <v>VUSE EPOD2  GOLDEN BLEND 18MG 1 PZ</v>
          </cell>
          <cell r="D133" t="str">
            <v>Devoluciones Vuse (feb 2025)</v>
          </cell>
        </row>
        <row r="134">
          <cell r="B134">
            <v>100020877</v>
          </cell>
          <cell r="C134" t="str">
            <v>VUSE EPOD2  CLASSIC MINT 18MG 1 PZ</v>
          </cell>
          <cell r="D134" t="str">
            <v>Devoluciones Vuse (feb 2025)</v>
          </cell>
        </row>
        <row r="135">
          <cell r="B135">
            <v>100080865</v>
          </cell>
          <cell r="C135" t="str">
            <v>CAMEL CIGARR FF 100S CAJET</v>
          </cell>
          <cell r="D135" t="str">
            <v>Descontinuado JTI</v>
          </cell>
        </row>
        <row r="136">
          <cell r="B136">
            <v>100008185</v>
          </cell>
          <cell r="C136" t="str">
            <v>CHESTERFIELD MINT 14S CAJET</v>
          </cell>
          <cell r="D136" t="str">
            <v>Devolución 2024 PMI</v>
          </cell>
        </row>
        <row r="137">
          <cell r="B137">
            <v>100013983</v>
          </cell>
          <cell r="C137" t="str">
            <v>CHESTERFIELD ORIGIN 25 PERMANENT 1CAJE</v>
          </cell>
          <cell r="D137" t="str">
            <v>Devolución 2024 PMI</v>
          </cell>
        </row>
        <row r="138">
          <cell r="B138">
            <v>100022784</v>
          </cell>
          <cell r="C138" t="str">
            <v>VUSE DEVICE ROSE GOLD 1 PZ</v>
          </cell>
          <cell r="D138" t="str">
            <v>Devoluciones Vuse (feb 2025)</v>
          </cell>
        </row>
        <row r="139">
          <cell r="B139">
            <v>100080937</v>
          </cell>
          <cell r="C139" t="str">
            <v>MARLBORO CIGARRO 18 ROJO</v>
          </cell>
          <cell r="D139" t="str">
            <v>Descontinuado PMI</v>
          </cell>
        </row>
        <row r="140">
          <cell r="B140">
            <v>100021415</v>
          </cell>
          <cell r="C140" t="str">
            <v>MARLBORO LPE ME MEXICO GOLD 1 CAJETILLA</v>
          </cell>
          <cell r="D140" t="str">
            <v>Devolución PMI 2024</v>
          </cell>
        </row>
        <row r="141">
          <cell r="B141">
            <v>100024301</v>
          </cell>
          <cell r="C141" t="str">
            <v>MARLBORO VISTA SUMMER FUSION 100 BOX 20 LATA MEXICO 2024 CAJETILLA PZ</v>
          </cell>
          <cell r="D141" t="str">
            <v>Devolución PMI 2024</v>
          </cell>
        </row>
        <row r="142">
          <cell r="B142">
            <v>100080991</v>
          </cell>
          <cell r="C142" t="str">
            <v>PALL MALL XL BLACK EDITION</v>
          </cell>
          <cell r="D142" t="str">
            <v>Descontinuado BAT</v>
          </cell>
        </row>
        <row r="143">
          <cell r="B143">
            <v>100080695</v>
          </cell>
          <cell r="C143" t="str">
            <v>CAMEL CIGARR 14S FF CD CAJET</v>
          </cell>
          <cell r="D143" t="str">
            <v>Descontinuado JTI</v>
          </cell>
        </row>
        <row r="144">
          <cell r="B144">
            <v>100008777</v>
          </cell>
          <cell r="C144" t="str">
            <v>LUCKY STRIKE CONVERTIBLES ENIGMA PZ</v>
          </cell>
          <cell r="D144" t="str">
            <v>Descontinuado BAT</v>
          </cell>
        </row>
        <row r="145">
          <cell r="B145">
            <v>100020724</v>
          </cell>
          <cell r="C145" t="str">
            <v>MARLBORO LATA L SUMMER 1 CAJETILLA</v>
          </cell>
          <cell r="D145" t="str">
            <v>Devolución PMI 2024</v>
          </cell>
        </row>
        <row r="146">
          <cell r="B146">
            <v>100020725</v>
          </cell>
          <cell r="C146" t="str">
            <v>MARLBORO LATA L GARDEN 1 CAJETILLA</v>
          </cell>
          <cell r="D146" t="str">
            <v>Devolución PMI 2024</v>
          </cell>
        </row>
        <row r="147">
          <cell r="B147">
            <v>100080891</v>
          </cell>
          <cell r="C147" t="str">
            <v>PALL MALL CIGARR XL 14S MENTHO CAJET</v>
          </cell>
          <cell r="D147" t="str">
            <v>Descontinuado BAT</v>
          </cell>
        </row>
        <row r="148">
          <cell r="B148">
            <v>100011671</v>
          </cell>
          <cell r="C148" t="str">
            <v>CHESTERFIELD REMIX PASSION</v>
          </cell>
          <cell r="D148" t="str">
            <v>Devolución 2024 PMI</v>
          </cell>
        </row>
        <row r="149">
          <cell r="B149">
            <v>100015219</v>
          </cell>
          <cell r="C149" t="str">
            <v>MARLBORO MEXICO LATA 1 CAJETILLA</v>
          </cell>
          <cell r="D149" t="str">
            <v>Devolución PMI 2024</v>
          </cell>
        </row>
        <row r="150">
          <cell r="B150">
            <v>100008184</v>
          </cell>
          <cell r="C150" t="str">
            <v>CHESTERFIELD BLUE 14S CAJET</v>
          </cell>
          <cell r="D150" t="str">
            <v>Devolución 2024 PMI</v>
          </cell>
        </row>
        <row r="151">
          <cell r="B151">
            <v>100010267</v>
          </cell>
          <cell r="C151" t="str">
            <v>DELICADOS FRESCOS 14S 1CAJ</v>
          </cell>
          <cell r="D151" t="str">
            <v>Descontinuados JTI</v>
          </cell>
        </row>
        <row r="152">
          <cell r="B152">
            <v>100020135</v>
          </cell>
          <cell r="C152" t="str">
            <v>MARLBORO LATAS  SUMMER DICIEMBRE  1 CAJETILLA</v>
          </cell>
          <cell r="D152" t="str">
            <v>Descontinuado PMI</v>
          </cell>
        </row>
        <row r="153">
          <cell r="B153">
            <v>100080895</v>
          </cell>
          <cell r="C153" t="str">
            <v>CAMEL CIGARR ACTIVA LI CAJET</v>
          </cell>
          <cell r="D153" t="str">
            <v>Descontinuado JTI</v>
          </cell>
        </row>
        <row r="154">
          <cell r="B154">
            <v>100020873</v>
          </cell>
          <cell r="C154" t="str">
            <v>VUSE EPOD2  BLUSHED MANGO 18MG 1 PZ</v>
          </cell>
          <cell r="D154" t="str">
            <v>Devoluciones Vuse (feb 2025)</v>
          </cell>
        </row>
        <row r="155">
          <cell r="B155">
            <v>100024718</v>
          </cell>
          <cell r="C155" t="str">
            <v>VUSE GO 1000 MANGO ICE 34 MGML 1 PZ</v>
          </cell>
          <cell r="D155" t="str">
            <v>Devoluciones Vuse (feb 2025)</v>
          </cell>
        </row>
        <row r="156">
          <cell r="B156">
            <v>100024715</v>
          </cell>
          <cell r="C156" t="str">
            <v>VUSE GO 1000 BLUEBERRY ICE 34 MGML 1 PZ</v>
          </cell>
          <cell r="D156" t="str">
            <v>Devoluciones Vuse (feb 2025)</v>
          </cell>
        </row>
        <row r="157">
          <cell r="B157">
            <v>100080917</v>
          </cell>
          <cell r="C157" t="str">
            <v>CAMEL CIGARR WHITE 20S CAJET</v>
          </cell>
          <cell r="D157" t="str">
            <v>Descontinuado JTI</v>
          </cell>
        </row>
        <row r="158">
          <cell r="B158">
            <v>100013301</v>
          </cell>
          <cell r="C158" t="str">
            <v>LUCKY STRIKE BLOND 100S 1PZ</v>
          </cell>
          <cell r="D158" t="str">
            <v>Descontinuado BAT</v>
          </cell>
        </row>
        <row r="159">
          <cell r="B159">
            <v>100021886</v>
          </cell>
          <cell r="C159" t="str">
            <v>PALL MALL LT ALA 20S 1 CAJETILLA</v>
          </cell>
          <cell r="D159" t="str">
            <v>Descontinuado BAT</v>
          </cell>
        </row>
        <row r="160">
          <cell r="B160">
            <v>100021422</v>
          </cell>
          <cell r="C160" t="str">
            <v>MARLBORO RED CA RED CAPS MEX 1 CAJETILLA</v>
          </cell>
          <cell r="D160" t="str">
            <v>Descontinuado PMI</v>
          </cell>
        </row>
        <row r="161">
          <cell r="B161">
            <v>100080980</v>
          </cell>
          <cell r="C161" t="str">
            <v>CHESTERFIELD PURPLE CAPS CAJET</v>
          </cell>
          <cell r="D161" t="str">
            <v>Devolución 2024 PMI</v>
          </cell>
        </row>
        <row r="162">
          <cell r="B162">
            <v>100080877</v>
          </cell>
          <cell r="C162" t="str">
            <v>PALL MALL CIGARR XL 14S FRESH CAJET</v>
          </cell>
          <cell r="D162" t="str">
            <v>Descontinuado BAT</v>
          </cell>
        </row>
        <row r="163">
          <cell r="B163">
            <v>100080834</v>
          </cell>
          <cell r="C163" t="str">
            <v>PALL MALL CIGARR XL FRESH CAJET</v>
          </cell>
          <cell r="D163" t="str">
            <v>Descontinuado BAT</v>
          </cell>
        </row>
        <row r="164">
          <cell r="B164">
            <v>100020879</v>
          </cell>
          <cell r="C164" t="str">
            <v>VUSE EPOD2  CLASSIC WATERMELON 1 PZ</v>
          </cell>
          <cell r="D164" t="str">
            <v>Devoluciones Vuse (feb 2025)</v>
          </cell>
        </row>
        <row r="165">
          <cell r="B165">
            <v>100024714</v>
          </cell>
          <cell r="C165" t="str">
            <v>VUSE GO 1000 MENTHOL ICE 34 MGML 1 PZ</v>
          </cell>
          <cell r="D165" t="str">
            <v>Devoluciones Vuse (feb 2025)</v>
          </cell>
        </row>
        <row r="166">
          <cell r="B166">
            <v>100080976</v>
          </cell>
          <cell r="C166" t="str">
            <v>DELICADOS CLAROS</v>
          </cell>
          <cell r="D166" t="str">
            <v>Descontinuados JTI</v>
          </cell>
        </row>
        <row r="167">
          <cell r="B167">
            <v>100080769</v>
          </cell>
          <cell r="C167" t="str">
            <v>MARLBORO CIGARR LIGHT 14S CD CAJET</v>
          </cell>
          <cell r="D167" t="str">
            <v>Descontinuado PMI</v>
          </cell>
        </row>
        <row r="168">
          <cell r="B168">
            <v>100015421</v>
          </cell>
          <cell r="C168" t="str">
            <v>HEETS YELLOW SELECTION 1 CAJETILLA</v>
          </cell>
          <cell r="D168" t="str">
            <v>Devoluciones Heets</v>
          </cell>
        </row>
        <row r="169">
          <cell r="B169">
            <v>100006386</v>
          </cell>
          <cell r="C169" t="str">
            <v>PALL MALL XL 99M MAUI CREPUSCULE 20 CAJ</v>
          </cell>
          <cell r="D169" t="str">
            <v>Descontinuado BAT</v>
          </cell>
        </row>
        <row r="170">
          <cell r="B170">
            <v>100020899</v>
          </cell>
          <cell r="C170" t="str">
            <v>VUSE DISPOS GOLDEN  1 PZ</v>
          </cell>
          <cell r="D170" t="str">
            <v>Devoluciones Vuse (feb 2025)</v>
          </cell>
        </row>
        <row r="171">
          <cell r="B171">
            <v>100011706</v>
          </cell>
          <cell r="C171" t="str">
            <v>DELICADOS CLAROS 14 ENDORSE 1CAJE</v>
          </cell>
          <cell r="D171" t="str">
            <v>Descontinuados JTI</v>
          </cell>
        </row>
        <row r="172">
          <cell r="B172">
            <v>100080861</v>
          </cell>
          <cell r="C172" t="str">
            <v>BENSON&amp;HEDGE CIGARR FF 14S CAJET</v>
          </cell>
          <cell r="D172" t="str">
            <v>Devolución 2024 PMI</v>
          </cell>
        </row>
        <row r="173">
          <cell r="B173">
            <v>100021421</v>
          </cell>
          <cell r="C173" t="str">
            <v>MARLBORO LPE ME MEXICO RED 1 CAJETILLA</v>
          </cell>
          <cell r="D173" t="str">
            <v>Descontinuado PMI</v>
          </cell>
        </row>
        <row r="174">
          <cell r="B174">
            <v>100019698</v>
          </cell>
          <cell r="C174" t="str">
            <v>MARLBORO MEXICO GOLD KS 100 MEXICO 1 CAJETILLA</v>
          </cell>
          <cell r="D174" t="str">
            <v>Descontinuado PMI</v>
          </cell>
        </row>
        <row r="175">
          <cell r="B175">
            <v>100020726</v>
          </cell>
          <cell r="C175" t="str">
            <v>MARLBORO LATA L ARCTIC 1 CAJETILLA</v>
          </cell>
          <cell r="D175" t="str">
            <v>Descontinuado PMI</v>
          </cell>
        </row>
        <row r="176">
          <cell r="B176">
            <v>100021889</v>
          </cell>
          <cell r="C176" t="str">
            <v>PALL MALL LT RÍO 20S 1 CAJETILLA</v>
          </cell>
          <cell r="D176" t="str">
            <v>Descontinuado BAT</v>
          </cell>
        </row>
        <row r="177">
          <cell r="B177">
            <v>100011708</v>
          </cell>
          <cell r="C177" t="str">
            <v>DELICADOS 14 ENDORSE 1CAJE</v>
          </cell>
          <cell r="D177" t="str">
            <v>Descontinuados JTI</v>
          </cell>
        </row>
        <row r="178">
          <cell r="B178">
            <v>100080990</v>
          </cell>
          <cell r="C178" t="str">
            <v>MARLBORO RUBYFRESH CAJET</v>
          </cell>
          <cell r="D178" t="str">
            <v>Descontinuado PMI</v>
          </cell>
        </row>
        <row r="179">
          <cell r="B179">
            <v>100011673</v>
          </cell>
          <cell r="C179" t="str">
            <v>CHESTERFIELD BLUE 20 1CAJ</v>
          </cell>
          <cell r="D179" t="str">
            <v>Devolución 2024 PMI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7EE93BC-6693-42D7-9A82-F691AA5CD347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6d05bf7f-d8d5-4e12-8337-39ebbb023d8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3CCA5-4D92-457D-9CBF-97F54250C4A8}">
  <dimension ref="A1:N590"/>
  <sheetViews>
    <sheetView tabSelected="1" zoomScale="47" zoomScaleNormal="60" workbookViewId="0">
      <selection activeCell="M1" sqref="M1"/>
    </sheetView>
  </sheetViews>
  <sheetFormatPr baseColWidth="10" defaultColWidth="11.453125" defaultRowHeight="14.5" x14ac:dyDescent="0.35"/>
  <cols>
    <col min="1" max="1" width="13.7265625" customWidth="1"/>
    <col min="2" max="2" width="16.36328125" bestFit="1" customWidth="1"/>
    <col min="3" max="3" width="110.08984375" bestFit="1" customWidth="1"/>
    <col min="4" max="4" width="36.453125" customWidth="1"/>
    <col min="5" max="5" width="24.26953125" customWidth="1"/>
    <col min="6" max="6" width="15.36328125" customWidth="1"/>
    <col min="7" max="7" width="20.81640625" customWidth="1"/>
    <col min="8" max="8" width="22.26953125" customWidth="1"/>
    <col min="9" max="9" width="31.7265625" bestFit="1" customWidth="1"/>
    <col min="10" max="10" width="16.453125" bestFit="1" customWidth="1"/>
    <col min="11" max="11" width="12.81640625" bestFit="1" customWidth="1"/>
    <col min="12" max="12" width="12.26953125" bestFit="1" customWidth="1"/>
    <col min="13" max="13" width="12.6328125" bestFit="1" customWidth="1"/>
    <col min="14" max="14" width="14" bestFit="1" customWidth="1"/>
  </cols>
  <sheetData>
    <row r="1" spans="1:14" x14ac:dyDescent="0.35">
      <c r="A1" s="15" t="s">
        <v>0</v>
      </c>
      <c r="B1" s="15" t="s">
        <v>1</v>
      </c>
      <c r="C1" s="15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5" t="s">
        <v>8</v>
      </c>
      <c r="J1" s="11" t="s">
        <v>9</v>
      </c>
      <c r="K1" s="11" t="s">
        <v>673</v>
      </c>
      <c r="L1" s="11" t="s">
        <v>678</v>
      </c>
      <c r="M1" s="11" t="s">
        <v>703</v>
      </c>
      <c r="N1" s="11" t="s">
        <v>704</v>
      </c>
    </row>
    <row r="2" spans="1:14" x14ac:dyDescent="0.35">
      <c r="A2">
        <v>100024998</v>
      </c>
      <c r="B2" s="6">
        <v>7311250046988</v>
      </c>
      <c r="C2" t="s">
        <v>10</v>
      </c>
      <c r="D2" s="2" t="s">
        <v>11</v>
      </c>
      <c r="E2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t="str">
        <f>+_xlfn.XLOOKUP(B2,INNOVACIÓN!A:A,INNOVACIÓN!B:B,"NO")</f>
        <v>NO</v>
      </c>
      <c r="K2">
        <v>15</v>
      </c>
      <c r="L2" t="s">
        <v>676</v>
      </c>
      <c r="M2">
        <f>+_xlfn.XLOOKUP(A2,'COSTO Y PRECIO'!$A:$A,'COSTO Y PRECIO'!B:B)</f>
        <v>47.150000000000006</v>
      </c>
      <c r="N2">
        <f>+_xlfn.XLOOKUP(A2,'COSTO Y PRECIO'!$A:$A,'COSTO Y PRECIO'!C:C)</f>
        <v>85</v>
      </c>
    </row>
    <row r="3" spans="1:14" x14ac:dyDescent="0.35">
      <c r="A3">
        <v>100024997</v>
      </c>
      <c r="B3" s="6">
        <v>7311250046971</v>
      </c>
      <c r="C3" t="s">
        <v>17</v>
      </c>
      <c r="D3" s="2" t="s">
        <v>11</v>
      </c>
      <c r="E3" t="s">
        <v>12</v>
      </c>
      <c r="F3" s="1" t="s">
        <v>13</v>
      </c>
      <c r="G3" s="1" t="s">
        <v>14</v>
      </c>
      <c r="H3" s="1" t="s">
        <v>15</v>
      </c>
      <c r="I3" s="1" t="s">
        <v>16</v>
      </c>
      <c r="J3" t="str">
        <f>+_xlfn.XLOOKUP(B3,INNOVACIÓN!A:A,INNOVACIÓN!B:B,"NO")</f>
        <v>NO</v>
      </c>
      <c r="K3">
        <v>15</v>
      </c>
      <c r="L3" t="s">
        <v>675</v>
      </c>
      <c r="M3">
        <f>+_xlfn.XLOOKUP(A3,'COSTO Y PRECIO'!$A:$A,'COSTO Y PRECIO'!B:B)</f>
        <v>47.150000000000006</v>
      </c>
      <c r="N3">
        <f>+_xlfn.XLOOKUP(A3,'COSTO Y PRECIO'!$A:$A,'COSTO Y PRECIO'!C:C)</f>
        <v>85</v>
      </c>
    </row>
    <row r="4" spans="1:14" x14ac:dyDescent="0.35">
      <c r="A4">
        <v>100025304</v>
      </c>
      <c r="B4" s="6">
        <v>7311250048388</v>
      </c>
      <c r="C4" t="s">
        <v>18</v>
      </c>
      <c r="D4" s="2" t="s">
        <v>11</v>
      </c>
      <c r="E4" t="s">
        <v>12</v>
      </c>
      <c r="F4" s="1" t="s">
        <v>13</v>
      </c>
      <c r="G4" s="1" t="s">
        <v>14</v>
      </c>
      <c r="H4" s="1" t="s">
        <v>15</v>
      </c>
      <c r="I4" s="1" t="s">
        <v>16</v>
      </c>
      <c r="J4" t="str">
        <f>+_xlfn.XLOOKUP(B4,INNOVACIÓN!A:A,INNOVACIÓN!B:B,"NO")</f>
        <v>NO</v>
      </c>
      <c r="K4">
        <v>15</v>
      </c>
      <c r="L4" t="s">
        <v>674</v>
      </c>
      <c r="M4">
        <f>+_xlfn.XLOOKUP(A4,'COSTO Y PRECIO'!$A:$A,'COSTO Y PRECIO'!B:B)</f>
        <v>47.150000000000006</v>
      </c>
      <c r="N4">
        <f>+_xlfn.XLOOKUP(A4,'COSTO Y PRECIO'!$A:$A,'COSTO Y PRECIO'!C:C)</f>
        <v>85</v>
      </c>
    </row>
    <row r="5" spans="1:14" x14ac:dyDescent="0.35">
      <c r="A5">
        <v>100026067</v>
      </c>
      <c r="B5" s="6">
        <v>7311250035579</v>
      </c>
      <c r="C5" t="s">
        <v>19</v>
      </c>
      <c r="D5" s="14" t="s">
        <v>11</v>
      </c>
      <c r="E5" s="2" t="s">
        <v>12</v>
      </c>
      <c r="F5" s="1" t="s">
        <v>13</v>
      </c>
      <c r="G5" s="1" t="s">
        <v>14</v>
      </c>
      <c r="H5" s="2" t="s">
        <v>15</v>
      </c>
      <c r="I5" s="1" t="s">
        <v>16</v>
      </c>
      <c r="J5" t="str">
        <f>+_xlfn.XLOOKUP(B5,INNOVACIÓN!A:A,INNOVACIÓN!B:B,"NO")</f>
        <v>NO</v>
      </c>
      <c r="K5">
        <v>15</v>
      </c>
      <c r="L5" t="s">
        <v>676</v>
      </c>
      <c r="M5">
        <f>+_xlfn.XLOOKUP(A5,'COSTO Y PRECIO'!$A:$A,'COSTO Y PRECIO'!B:B)</f>
        <v>47.150000000000006</v>
      </c>
      <c r="N5">
        <f>+_xlfn.XLOOKUP(A5,'COSTO Y PRECIO'!$A:$A,'COSTO Y PRECIO'!C:C)</f>
        <v>85</v>
      </c>
    </row>
    <row r="6" spans="1:14" x14ac:dyDescent="0.35">
      <c r="A6">
        <v>100026065</v>
      </c>
      <c r="B6" s="6">
        <v>7311250035593</v>
      </c>
      <c r="C6" t="s">
        <v>20</v>
      </c>
      <c r="D6" s="14" t="s">
        <v>11</v>
      </c>
      <c r="E6" s="2" t="s">
        <v>12</v>
      </c>
      <c r="F6" s="1" t="s">
        <v>13</v>
      </c>
      <c r="G6" s="1" t="s">
        <v>14</v>
      </c>
      <c r="H6" s="2" t="s">
        <v>15</v>
      </c>
      <c r="I6" s="1" t="s">
        <v>16</v>
      </c>
      <c r="J6" t="str">
        <f>+_xlfn.XLOOKUP(B6,INNOVACIÓN!A:A,INNOVACIÓN!B:B,"NO")</f>
        <v>NO</v>
      </c>
      <c r="K6">
        <v>15</v>
      </c>
      <c r="L6" t="s">
        <v>675</v>
      </c>
      <c r="M6">
        <f>+_xlfn.XLOOKUP(A6,'COSTO Y PRECIO'!$A:$A,'COSTO Y PRECIO'!B:B)</f>
        <v>47.150000000000006</v>
      </c>
      <c r="N6">
        <f>+_xlfn.XLOOKUP(A6,'COSTO Y PRECIO'!$A:$A,'COSTO Y PRECIO'!C:C)</f>
        <v>85</v>
      </c>
    </row>
    <row r="7" spans="1:14" x14ac:dyDescent="0.35">
      <c r="A7">
        <v>100024400</v>
      </c>
      <c r="B7" s="4">
        <v>7311250044441</v>
      </c>
      <c r="C7" t="s">
        <v>21</v>
      </c>
      <c r="D7" s="1" t="s">
        <v>11</v>
      </c>
      <c r="E7" s="1" t="s">
        <v>33</v>
      </c>
      <c r="F7" s="1" t="s">
        <v>13</v>
      </c>
      <c r="G7" s="1" t="s">
        <v>14</v>
      </c>
      <c r="H7" s="1" t="s">
        <v>15</v>
      </c>
      <c r="I7" s="1" t="s">
        <v>109</v>
      </c>
      <c r="J7" t="str">
        <f>+_xlfn.XLOOKUP(B7,INNOVACIÓN!A:A,INNOVACIÓN!B:B,"NO")</f>
        <v>NO</v>
      </c>
      <c r="K7">
        <v>15</v>
      </c>
      <c r="L7" t="s">
        <v>676</v>
      </c>
      <c r="M7">
        <f>+_xlfn.XLOOKUP(A7,'COSTO Y PRECIO'!$A:$A,'COSTO Y PRECIO'!B:B)</f>
        <v>47.150000000000006</v>
      </c>
      <c r="N7">
        <f>+_xlfn.XLOOKUP(A7,'COSTO Y PRECIO'!$A:$A,'COSTO Y PRECIO'!C:C)</f>
        <v>85</v>
      </c>
    </row>
    <row r="8" spans="1:14" x14ac:dyDescent="0.35">
      <c r="A8" s="1">
        <v>100024295</v>
      </c>
      <c r="B8" s="4">
        <v>7311250044434</v>
      </c>
      <c r="C8" s="1" t="s">
        <v>22</v>
      </c>
      <c r="D8" s="2" t="s">
        <v>11</v>
      </c>
      <c r="E8" s="2" t="s">
        <v>33</v>
      </c>
      <c r="F8" s="1" t="s">
        <v>13</v>
      </c>
      <c r="G8" s="1" t="s">
        <v>14</v>
      </c>
      <c r="H8" s="1" t="s">
        <v>15</v>
      </c>
      <c r="I8" s="1" t="s">
        <v>109</v>
      </c>
      <c r="J8" t="str">
        <f>+_xlfn.XLOOKUP(B8,INNOVACIÓN!A:A,INNOVACIÓN!B:B,"NO")</f>
        <v>NO</v>
      </c>
      <c r="K8">
        <v>15</v>
      </c>
      <c r="L8" t="s">
        <v>675</v>
      </c>
      <c r="M8">
        <f>+_xlfn.XLOOKUP(A8,'COSTO Y PRECIO'!$A:$A,'COSTO Y PRECIO'!B:B)</f>
        <v>47.150000000000006</v>
      </c>
      <c r="N8">
        <f>+_xlfn.XLOOKUP(A8,'COSTO Y PRECIO'!$A:$A,'COSTO Y PRECIO'!C:C)</f>
        <v>85</v>
      </c>
    </row>
    <row r="9" spans="1:14" x14ac:dyDescent="0.35">
      <c r="A9">
        <v>100024399</v>
      </c>
      <c r="B9" s="4">
        <v>7311250044403</v>
      </c>
      <c r="C9" t="s">
        <v>23</v>
      </c>
      <c r="D9" s="1" t="s">
        <v>11</v>
      </c>
      <c r="E9" s="1" t="s">
        <v>12</v>
      </c>
      <c r="F9" s="1" t="s">
        <v>13</v>
      </c>
      <c r="G9" s="1" t="s">
        <v>14</v>
      </c>
      <c r="H9" s="1" t="s">
        <v>15</v>
      </c>
      <c r="I9" s="1" t="s">
        <v>16</v>
      </c>
      <c r="J9" t="str">
        <f>+_xlfn.XLOOKUP(B9,INNOVACIÓN!A:A,INNOVACIÓN!B:B,"NO")</f>
        <v>NO</v>
      </c>
      <c r="K9">
        <v>15</v>
      </c>
      <c r="L9" t="s">
        <v>676</v>
      </c>
      <c r="M9">
        <f>+_xlfn.XLOOKUP(A9,'COSTO Y PRECIO'!$A:$A,'COSTO Y PRECIO'!B:B)</f>
        <v>47.150000000000006</v>
      </c>
      <c r="N9">
        <f>+_xlfn.XLOOKUP(A9,'COSTO Y PRECIO'!$A:$A,'COSTO Y PRECIO'!C:C)</f>
        <v>85</v>
      </c>
    </row>
    <row r="10" spans="1:14" x14ac:dyDescent="0.35">
      <c r="A10" s="1">
        <v>100024294</v>
      </c>
      <c r="B10" s="4">
        <v>7311250044397</v>
      </c>
      <c r="C10" s="1" t="s">
        <v>24</v>
      </c>
      <c r="D10" s="2" t="s">
        <v>11</v>
      </c>
      <c r="E10" s="2" t="s">
        <v>12</v>
      </c>
      <c r="F10" s="1" t="s">
        <v>13</v>
      </c>
      <c r="G10" s="1" t="s">
        <v>14</v>
      </c>
      <c r="H10" s="1" t="s">
        <v>15</v>
      </c>
      <c r="I10" s="1" t="s">
        <v>16</v>
      </c>
      <c r="J10" t="str">
        <f>+_xlfn.XLOOKUP(B10,INNOVACIÓN!A:A,INNOVACIÓN!B:B,"NO")</f>
        <v>NO</v>
      </c>
      <c r="K10">
        <v>15</v>
      </c>
      <c r="L10" t="s">
        <v>675</v>
      </c>
      <c r="M10">
        <f>+_xlfn.XLOOKUP(A10,'COSTO Y PRECIO'!$A:$A,'COSTO Y PRECIO'!B:B)</f>
        <v>47.150000000000006</v>
      </c>
      <c r="N10">
        <f>+_xlfn.XLOOKUP(A10,'COSTO Y PRECIO'!$A:$A,'COSTO Y PRECIO'!C:C)</f>
        <v>85</v>
      </c>
    </row>
    <row r="11" spans="1:14" x14ac:dyDescent="0.35">
      <c r="A11">
        <v>100026064</v>
      </c>
      <c r="B11" s="6">
        <v>7311250035562</v>
      </c>
      <c r="C11" t="s">
        <v>25</v>
      </c>
      <c r="D11" s="14" t="s">
        <v>11</v>
      </c>
      <c r="E11" s="2" t="s">
        <v>12</v>
      </c>
      <c r="F11" s="1" t="s">
        <v>13</v>
      </c>
      <c r="G11" s="1" t="s">
        <v>14</v>
      </c>
      <c r="H11" s="2" t="s">
        <v>15</v>
      </c>
      <c r="I11" s="1" t="s">
        <v>16</v>
      </c>
      <c r="J11" t="str">
        <f>+_xlfn.XLOOKUP(B11,INNOVACIÓN!A:A,INNOVACIÓN!B:B,"NO")</f>
        <v>NO</v>
      </c>
      <c r="K11">
        <v>15</v>
      </c>
      <c r="L11" t="s">
        <v>674</v>
      </c>
      <c r="M11">
        <f>+_xlfn.XLOOKUP(A11,'COSTO Y PRECIO'!$A:$A,'COSTO Y PRECIO'!B:B)</f>
        <v>47.150000000000006</v>
      </c>
      <c r="N11">
        <f>+_xlfn.XLOOKUP(A11,'COSTO Y PRECIO'!$A:$A,'COSTO Y PRECIO'!C:C)</f>
        <v>85</v>
      </c>
    </row>
    <row r="12" spans="1:14" x14ac:dyDescent="0.35">
      <c r="A12">
        <v>100024398</v>
      </c>
      <c r="B12" s="4">
        <v>7311250044427</v>
      </c>
      <c r="C12" t="s">
        <v>26</v>
      </c>
      <c r="D12" s="1" t="s">
        <v>11</v>
      </c>
      <c r="E12" s="1" t="s">
        <v>12</v>
      </c>
      <c r="F12" s="1" t="s">
        <v>13</v>
      </c>
      <c r="G12" s="1" t="s">
        <v>14</v>
      </c>
      <c r="H12" s="1" t="s">
        <v>15</v>
      </c>
      <c r="I12" s="1" t="s">
        <v>16</v>
      </c>
      <c r="J12" t="str">
        <f>+_xlfn.XLOOKUP(B12,INNOVACIÓN!A:A,INNOVACIÓN!B:B,"NO")</f>
        <v>NO</v>
      </c>
      <c r="K12">
        <v>15</v>
      </c>
      <c r="L12" t="s">
        <v>676</v>
      </c>
      <c r="M12">
        <f>+_xlfn.XLOOKUP(A12,'COSTO Y PRECIO'!$A:$A,'COSTO Y PRECIO'!B:B)</f>
        <v>47.150000000000006</v>
      </c>
      <c r="N12">
        <f>+_xlfn.XLOOKUP(A12,'COSTO Y PRECIO'!$A:$A,'COSTO Y PRECIO'!C:C)</f>
        <v>85</v>
      </c>
    </row>
    <row r="13" spans="1:14" x14ac:dyDescent="0.35">
      <c r="A13" s="1">
        <v>100024293</v>
      </c>
      <c r="B13" s="4">
        <v>7311250044410</v>
      </c>
      <c r="C13" s="1" t="s">
        <v>27</v>
      </c>
      <c r="D13" s="2" t="s">
        <v>11</v>
      </c>
      <c r="E13" s="2" t="s">
        <v>12</v>
      </c>
      <c r="F13" s="1" t="s">
        <v>13</v>
      </c>
      <c r="G13" s="1" t="s">
        <v>14</v>
      </c>
      <c r="H13" s="1" t="s">
        <v>15</v>
      </c>
      <c r="I13" s="1" t="s">
        <v>16</v>
      </c>
      <c r="J13" t="str">
        <f>+_xlfn.XLOOKUP(B13,INNOVACIÓN!A:A,INNOVACIÓN!B:B,"NO")</f>
        <v>NO</v>
      </c>
      <c r="K13">
        <v>15</v>
      </c>
      <c r="L13" t="s">
        <v>675</v>
      </c>
      <c r="M13">
        <f>+_xlfn.XLOOKUP(A13,'COSTO Y PRECIO'!$A:$A,'COSTO Y PRECIO'!B:B)</f>
        <v>47.150000000000006</v>
      </c>
      <c r="N13">
        <f>+_xlfn.XLOOKUP(A13,'COSTO Y PRECIO'!$A:$A,'COSTO Y PRECIO'!C:C)</f>
        <v>85</v>
      </c>
    </row>
    <row r="14" spans="1:14" x14ac:dyDescent="0.35">
      <c r="A14">
        <v>100024397</v>
      </c>
      <c r="B14" s="4">
        <v>7311250044380</v>
      </c>
      <c r="C14" t="s">
        <v>28</v>
      </c>
      <c r="D14" s="1" t="s">
        <v>11</v>
      </c>
      <c r="E14" s="1" t="s">
        <v>12</v>
      </c>
      <c r="F14" s="1" t="s">
        <v>13</v>
      </c>
      <c r="G14" s="1" t="s">
        <v>14</v>
      </c>
      <c r="H14" s="1" t="s">
        <v>15</v>
      </c>
      <c r="I14" s="1" t="s">
        <v>16</v>
      </c>
      <c r="J14" t="str">
        <f>+_xlfn.XLOOKUP(B14,INNOVACIÓN!A:A,INNOVACIÓN!B:B,"NO")</f>
        <v>NO</v>
      </c>
      <c r="K14">
        <v>15</v>
      </c>
      <c r="L14" t="s">
        <v>676</v>
      </c>
      <c r="M14">
        <f>+_xlfn.XLOOKUP(A14,'COSTO Y PRECIO'!$A:$A,'COSTO Y PRECIO'!B:B)</f>
        <v>47.150000000000006</v>
      </c>
      <c r="N14">
        <f>+_xlfn.XLOOKUP(A14,'COSTO Y PRECIO'!$A:$A,'COSTO Y PRECIO'!C:C)</f>
        <v>85</v>
      </c>
    </row>
    <row r="15" spans="1:14" x14ac:dyDescent="0.35">
      <c r="A15" s="1">
        <v>100024289</v>
      </c>
      <c r="B15" s="4">
        <v>7311250044373</v>
      </c>
      <c r="C15" s="1" t="s">
        <v>29</v>
      </c>
      <c r="D15" s="2" t="s">
        <v>11</v>
      </c>
      <c r="E15" s="2" t="s">
        <v>12</v>
      </c>
      <c r="F15" s="1" t="s">
        <v>13</v>
      </c>
      <c r="G15" s="1" t="s">
        <v>14</v>
      </c>
      <c r="H15" s="1" t="s">
        <v>15</v>
      </c>
      <c r="I15" s="1" t="s">
        <v>16</v>
      </c>
      <c r="J15" t="str">
        <f>+_xlfn.XLOOKUP(B15,INNOVACIÓN!A:A,INNOVACIÓN!B:B,"NO")</f>
        <v>NO</v>
      </c>
      <c r="K15">
        <v>15</v>
      </c>
      <c r="L15" t="s">
        <v>675</v>
      </c>
      <c r="M15">
        <f>+_xlfn.XLOOKUP(A15,'COSTO Y PRECIO'!$A:$A,'COSTO Y PRECIO'!B:B)</f>
        <v>47.150000000000006</v>
      </c>
      <c r="N15">
        <f>+_xlfn.XLOOKUP(A15,'COSTO Y PRECIO'!$A:$A,'COSTO Y PRECIO'!C:C)</f>
        <v>85</v>
      </c>
    </row>
    <row r="16" spans="1:14" x14ac:dyDescent="0.35">
      <c r="A16">
        <v>100026062</v>
      </c>
      <c r="B16" s="6">
        <v>7311250035555</v>
      </c>
      <c r="C16" t="s">
        <v>30</v>
      </c>
      <c r="D16" s="14" t="s">
        <v>11</v>
      </c>
      <c r="E16" s="2" t="s">
        <v>12</v>
      </c>
      <c r="F16" s="1" t="s">
        <v>13</v>
      </c>
      <c r="G16" s="1" t="s">
        <v>14</v>
      </c>
      <c r="H16" s="2" t="s">
        <v>15</v>
      </c>
      <c r="I16" s="1" t="s">
        <v>16</v>
      </c>
      <c r="J16" t="str">
        <f>+_xlfn.XLOOKUP(B16,INNOVACIÓN!A:A,INNOVACIÓN!B:B,"NO")</f>
        <v>NO</v>
      </c>
      <c r="K16">
        <v>15</v>
      </c>
      <c r="L16" t="s">
        <v>674</v>
      </c>
      <c r="M16">
        <f>+_xlfn.XLOOKUP(A16,'COSTO Y PRECIO'!$A:$A,'COSTO Y PRECIO'!B:B)</f>
        <v>47.150000000000006</v>
      </c>
      <c r="N16">
        <f>+_xlfn.XLOOKUP(A16,'COSTO Y PRECIO'!$A:$A,'COSTO Y PRECIO'!C:C)</f>
        <v>85</v>
      </c>
    </row>
    <row r="17" spans="1:14" x14ac:dyDescent="0.35">
      <c r="A17" s="1">
        <v>100022995</v>
      </c>
      <c r="B17" s="4">
        <v>7503023959520</v>
      </c>
      <c r="C17" s="1" t="s">
        <v>31</v>
      </c>
      <c r="D17" s="2" t="s">
        <v>32</v>
      </c>
      <c r="E17" s="14" t="s">
        <v>589</v>
      </c>
      <c r="F17" s="2" t="s">
        <v>609</v>
      </c>
      <c r="G17" s="2" t="s">
        <v>35</v>
      </c>
      <c r="H17" s="1" t="s">
        <v>36</v>
      </c>
      <c r="I17" s="1" t="s">
        <v>16</v>
      </c>
      <c r="J17" t="str">
        <f>+_xlfn.XLOOKUP(B17,INNOVACIÓN!A:A,INNOVACIÓN!B:B,"NO")</f>
        <v>NO</v>
      </c>
      <c r="K17">
        <v>25</v>
      </c>
      <c r="M17">
        <f>+_xlfn.XLOOKUP(A17,'COSTO Y PRECIO'!$A:$A,'COSTO Y PRECIO'!B:B)</f>
        <v>31.522499999999997</v>
      </c>
      <c r="N17">
        <f>+_xlfn.XLOOKUP(A17,'COSTO Y PRECIO'!$A:$A,'COSTO Y PRECIO'!C:C)</f>
        <v>79</v>
      </c>
    </row>
    <row r="18" spans="1:14" x14ac:dyDescent="0.35">
      <c r="A18" s="1">
        <v>100022996</v>
      </c>
      <c r="B18" s="4">
        <v>7503023959513</v>
      </c>
      <c r="C18" s="1" t="s">
        <v>37</v>
      </c>
      <c r="D18" s="2" t="s">
        <v>32</v>
      </c>
      <c r="E18" s="14" t="s">
        <v>589</v>
      </c>
      <c r="F18" s="2" t="s">
        <v>609</v>
      </c>
      <c r="G18" s="2" t="s">
        <v>35</v>
      </c>
      <c r="H18" s="1" t="s">
        <v>36</v>
      </c>
      <c r="I18" s="1" t="s">
        <v>16</v>
      </c>
      <c r="J18" t="str">
        <f>+_xlfn.XLOOKUP(B18,INNOVACIÓN!A:A,INNOVACIÓN!B:B,"NO")</f>
        <v>NO</v>
      </c>
      <c r="K18">
        <v>20</v>
      </c>
      <c r="M18">
        <f>+_xlfn.XLOOKUP(A18,'COSTO Y PRECIO'!$A:$A,'COSTO Y PRECIO'!B:B)</f>
        <v>31.204000000000004</v>
      </c>
      <c r="N18">
        <f>+_xlfn.XLOOKUP(A18,'COSTO Y PRECIO'!$A:$A,'COSTO Y PRECIO'!C:C)</f>
        <v>70</v>
      </c>
    </row>
    <row r="19" spans="1:14" x14ac:dyDescent="0.35">
      <c r="A19">
        <v>100025162</v>
      </c>
      <c r="B19" s="27">
        <v>7503023959452</v>
      </c>
      <c r="C19" t="s">
        <v>38</v>
      </c>
      <c r="D19" s="1" t="s">
        <v>32</v>
      </c>
      <c r="E19" s="14" t="s">
        <v>33</v>
      </c>
      <c r="F19" s="2" t="s">
        <v>41</v>
      </c>
      <c r="G19" s="2" t="s">
        <v>35</v>
      </c>
      <c r="H19" s="1" t="s">
        <v>36</v>
      </c>
      <c r="I19" s="1" t="s">
        <v>109</v>
      </c>
      <c r="J19" t="str">
        <f>+_xlfn.XLOOKUP(B19,INNOVACIÓN!A:A,INNOVACIÓN!B:B,"NO")</f>
        <v>NO</v>
      </c>
      <c r="K19">
        <v>25</v>
      </c>
      <c r="M19">
        <f>+_xlfn.XLOOKUP(A19,'COSTO Y PRECIO'!$A:$A,'COSTO Y PRECIO'!B:B)</f>
        <v>47.472499999999982</v>
      </c>
      <c r="N19">
        <f>+_xlfn.XLOOKUP(A19,'COSTO Y PRECIO'!$A:$A,'COSTO Y PRECIO'!C:C)</f>
        <v>78</v>
      </c>
    </row>
    <row r="20" spans="1:14" x14ac:dyDescent="0.35">
      <c r="A20" s="2">
        <v>100080896</v>
      </c>
      <c r="B20" s="3">
        <v>40331362</v>
      </c>
      <c r="C20" s="2" t="s">
        <v>40</v>
      </c>
      <c r="D20" s="2" t="s">
        <v>32</v>
      </c>
      <c r="E20" s="14" t="s">
        <v>33</v>
      </c>
      <c r="F20" s="2" t="s">
        <v>41</v>
      </c>
      <c r="G20" s="2" t="s">
        <v>35</v>
      </c>
      <c r="H20" s="1" t="s">
        <v>36</v>
      </c>
      <c r="I20" s="1" t="s">
        <v>109</v>
      </c>
      <c r="J20" t="str">
        <f>+_xlfn.XLOOKUP(B20,INNOVACIÓN!A:A,INNOVACIÓN!B:B,"NO")</f>
        <v>NO</v>
      </c>
      <c r="K20">
        <v>14</v>
      </c>
      <c r="M20">
        <f>+_xlfn.XLOOKUP(A20,'COSTO Y PRECIO'!$A:$A,'COSTO Y PRECIO'!B:B)</f>
        <v>38.25</v>
      </c>
      <c r="N20">
        <f>+_xlfn.XLOOKUP(A20,'COSTO Y PRECIO'!$A:$A,'COSTO Y PRECIO'!C:C)</f>
        <v>55</v>
      </c>
    </row>
    <row r="21" spans="1:14" x14ac:dyDescent="0.35">
      <c r="A21" s="1">
        <v>100080898</v>
      </c>
      <c r="B21" s="1">
        <v>42138051</v>
      </c>
      <c r="C21" s="1" t="s">
        <v>42</v>
      </c>
      <c r="D21" s="1" t="s">
        <v>32</v>
      </c>
      <c r="E21" s="14" t="s">
        <v>589</v>
      </c>
      <c r="F21" s="2" t="s">
        <v>41</v>
      </c>
      <c r="G21" s="1" t="s">
        <v>35</v>
      </c>
      <c r="H21" s="1" t="s">
        <v>36</v>
      </c>
      <c r="I21" s="1" t="s">
        <v>16</v>
      </c>
      <c r="J21" t="str">
        <f>+_xlfn.XLOOKUP(B21,INNOVACIÓN!A:A,INNOVACIÓN!B:B,"NO")</f>
        <v>NO</v>
      </c>
      <c r="K21">
        <v>20</v>
      </c>
      <c r="M21">
        <f>+_xlfn.XLOOKUP(A21,'COSTO Y PRECIO'!$A:$A,'COSTO Y PRECIO'!B:B)</f>
        <v>47.149000000000001</v>
      </c>
      <c r="N21">
        <f>+_xlfn.XLOOKUP(A21,'COSTO Y PRECIO'!$A:$A,'COSTO Y PRECIO'!C:C)</f>
        <v>87</v>
      </c>
    </row>
    <row r="22" spans="1:14" x14ac:dyDescent="0.35">
      <c r="A22">
        <v>100025053</v>
      </c>
      <c r="B22" s="6">
        <v>75081942</v>
      </c>
      <c r="C22" t="s">
        <v>43</v>
      </c>
      <c r="D22" s="2" t="s">
        <v>44</v>
      </c>
      <c r="E22" s="1" t="s">
        <v>33</v>
      </c>
      <c r="F22" s="1" t="s">
        <v>46</v>
      </c>
      <c r="G22" s="1" t="s">
        <v>14</v>
      </c>
      <c r="H22" s="1" t="s">
        <v>36</v>
      </c>
      <c r="I22" s="1" t="s">
        <v>109</v>
      </c>
      <c r="J22" t="str">
        <f>+_xlfn.XLOOKUP(B22,INNOVACIÓN!A:A,INNOVACIÓN!B:B,"NO")</f>
        <v>NO</v>
      </c>
      <c r="K22">
        <v>20</v>
      </c>
      <c r="M22">
        <f>+_xlfn.XLOOKUP(A22,'COSTO Y PRECIO'!$A:$A,'COSTO Y PRECIO'!B:B)</f>
        <v>57.54</v>
      </c>
      <c r="N22">
        <f>+_xlfn.XLOOKUP(A22,'COSTO Y PRECIO'!$A:$A,'COSTO Y PRECIO'!C:C)</f>
        <v>89</v>
      </c>
    </row>
    <row r="23" spans="1:14" x14ac:dyDescent="0.35">
      <c r="A23">
        <v>100024321</v>
      </c>
      <c r="B23">
        <v>75080679</v>
      </c>
      <c r="C23" t="s">
        <v>47</v>
      </c>
      <c r="D23" s="1" t="s">
        <v>44</v>
      </c>
      <c r="E23" s="1" t="s">
        <v>33</v>
      </c>
      <c r="F23" s="1" t="s">
        <v>41</v>
      </c>
      <c r="G23" s="1" t="s">
        <v>35</v>
      </c>
      <c r="H23" s="1" t="s">
        <v>36</v>
      </c>
      <c r="I23" s="1" t="s">
        <v>109</v>
      </c>
      <c r="J23" t="str">
        <f>+_xlfn.XLOOKUP(B23,INNOVACIÓN!A:A,INNOVACIÓN!B:B,"NO")</f>
        <v>NO</v>
      </c>
      <c r="K23">
        <v>25</v>
      </c>
      <c r="M23">
        <f>+_xlfn.XLOOKUP(A23,'COSTO Y PRECIO'!$A:$A,'COSTO Y PRECIO'!B:B)</f>
        <v>64.010000000000005</v>
      </c>
      <c r="N23">
        <f>+_xlfn.XLOOKUP(A23,'COSTO Y PRECIO'!$A:$A,'COSTO Y PRECIO'!C:C)</f>
        <v>99</v>
      </c>
    </row>
    <row r="24" spans="1:14" x14ac:dyDescent="0.35">
      <c r="A24" s="2">
        <v>100012153</v>
      </c>
      <c r="B24" s="3">
        <v>75063504</v>
      </c>
      <c r="C24" s="2" t="s">
        <v>48</v>
      </c>
      <c r="D24" s="2" t="s">
        <v>44</v>
      </c>
      <c r="E24" s="2" t="s">
        <v>45</v>
      </c>
      <c r="F24" s="2" t="s">
        <v>39</v>
      </c>
      <c r="G24" s="2" t="s">
        <v>14</v>
      </c>
      <c r="H24" s="1" t="s">
        <v>36</v>
      </c>
      <c r="I24" s="1" t="s">
        <v>16</v>
      </c>
      <c r="J24" t="str">
        <f>+_xlfn.XLOOKUP(B24,INNOVACIÓN!A:A,INNOVACIÓN!B:B,"NO")</f>
        <v>NO</v>
      </c>
      <c r="K24">
        <v>20</v>
      </c>
      <c r="M24">
        <f>+_xlfn.XLOOKUP(A24,'COSTO Y PRECIO'!$A:$A,'COSTO Y PRECIO'!B:B)</f>
        <v>68.53</v>
      </c>
      <c r="N24">
        <f>+_xlfn.XLOOKUP(A24,'COSTO Y PRECIO'!$A:$A,'COSTO Y PRECIO'!C:C)</f>
        <v>106</v>
      </c>
    </row>
    <row r="25" spans="1:14" x14ac:dyDescent="0.35">
      <c r="A25" s="2">
        <v>100080955</v>
      </c>
      <c r="B25" s="3">
        <v>75046521</v>
      </c>
      <c r="C25" s="2" t="s">
        <v>49</v>
      </c>
      <c r="D25" s="2" t="s">
        <v>44</v>
      </c>
      <c r="E25" s="2" t="s">
        <v>45</v>
      </c>
      <c r="F25" s="2" t="s">
        <v>46</v>
      </c>
      <c r="G25" s="2" t="s">
        <v>35</v>
      </c>
      <c r="H25" s="1" t="s">
        <v>36</v>
      </c>
      <c r="I25" s="1" t="s">
        <v>16</v>
      </c>
      <c r="J25" t="str">
        <f>+_xlfn.XLOOKUP(B25,INNOVACIÓN!A:A,INNOVACIÓN!B:B,"NO")</f>
        <v>NO</v>
      </c>
      <c r="K25">
        <v>20</v>
      </c>
      <c r="M25">
        <f>+_xlfn.XLOOKUP(A25,'COSTO Y PRECIO'!$A:$A,'COSTO Y PRECIO'!B:B)</f>
        <v>59.48</v>
      </c>
      <c r="N25">
        <f>+_xlfn.XLOOKUP(A25,'COSTO Y PRECIO'!$A:$A,'COSTO Y PRECIO'!C:C)</f>
        <v>92</v>
      </c>
    </row>
    <row r="26" spans="1:14" x14ac:dyDescent="0.35">
      <c r="A26" s="2">
        <v>100080952</v>
      </c>
      <c r="B26" s="3">
        <v>75046545</v>
      </c>
      <c r="C26" s="2" t="s">
        <v>50</v>
      </c>
      <c r="D26" s="2" t="s">
        <v>44</v>
      </c>
      <c r="E26" s="2" t="s">
        <v>45</v>
      </c>
      <c r="F26" s="2" t="s">
        <v>46</v>
      </c>
      <c r="G26" s="2" t="s">
        <v>35</v>
      </c>
      <c r="H26" s="1" t="s">
        <v>36</v>
      </c>
      <c r="I26" s="1" t="s">
        <v>16</v>
      </c>
      <c r="J26" t="str">
        <f>+_xlfn.XLOOKUP(B26,INNOVACIÓN!A:A,INNOVACIÓN!B:B,"NO")</f>
        <v>NO</v>
      </c>
      <c r="K26">
        <v>25</v>
      </c>
      <c r="M26">
        <f>+_xlfn.XLOOKUP(A26,'COSTO Y PRECIO'!$A:$A,'COSTO Y PRECIO'!B:B)</f>
        <v>64.010000000000005</v>
      </c>
      <c r="N26">
        <f>+_xlfn.XLOOKUP(A26,'COSTO Y PRECIO'!$A:$A,'COSTO Y PRECIO'!C:C)</f>
        <v>99</v>
      </c>
    </row>
    <row r="27" spans="1:14" x14ac:dyDescent="0.35">
      <c r="A27" s="1">
        <v>100004788</v>
      </c>
      <c r="B27" s="1">
        <v>75051785</v>
      </c>
      <c r="C27" s="1" t="s">
        <v>51</v>
      </c>
      <c r="D27" s="1" t="s">
        <v>44</v>
      </c>
      <c r="E27" s="1" t="s">
        <v>45</v>
      </c>
      <c r="F27" s="1" t="s">
        <v>39</v>
      </c>
      <c r="G27" s="1" t="s">
        <v>52</v>
      </c>
      <c r="H27" s="1" t="s">
        <v>36</v>
      </c>
      <c r="I27" s="1" t="s">
        <v>16</v>
      </c>
      <c r="J27" t="str">
        <f>+_xlfn.XLOOKUP(B27,INNOVACIÓN!A:A,INNOVACIÓN!B:B,"NO")</f>
        <v>NO</v>
      </c>
      <c r="K27">
        <v>20</v>
      </c>
      <c r="M27">
        <f>+_xlfn.XLOOKUP(A27,'COSTO Y PRECIO'!$A:$A,'COSTO Y PRECIO'!B:B)</f>
        <v>68.53</v>
      </c>
      <c r="N27">
        <f>+_xlfn.XLOOKUP(A27,'COSTO Y PRECIO'!$A:$A,'COSTO Y PRECIO'!C:C)</f>
        <v>106</v>
      </c>
    </row>
    <row r="28" spans="1:14" x14ac:dyDescent="0.35">
      <c r="A28" s="2">
        <v>100019550</v>
      </c>
      <c r="B28" s="3">
        <v>75074227</v>
      </c>
      <c r="C28" s="2" t="s">
        <v>53</v>
      </c>
      <c r="D28" s="2" t="s">
        <v>44</v>
      </c>
      <c r="E28" s="2" t="s">
        <v>45</v>
      </c>
      <c r="F28" s="2" t="s">
        <v>46</v>
      </c>
      <c r="G28" s="2" t="s">
        <v>54</v>
      </c>
      <c r="H28" s="1" t="s">
        <v>36</v>
      </c>
      <c r="I28" s="1" t="s">
        <v>16</v>
      </c>
      <c r="J28" t="str">
        <f>+_xlfn.XLOOKUP(B28,INNOVACIÓN!A:A,INNOVACIÓN!B:B,"NO")</f>
        <v>NO</v>
      </c>
      <c r="K28">
        <v>20</v>
      </c>
      <c r="M28">
        <f>+_xlfn.XLOOKUP(A28,'COSTO Y PRECIO'!$A:$A,'COSTO Y PRECIO'!B:B)</f>
        <v>63.36</v>
      </c>
      <c r="N28">
        <f>+_xlfn.XLOOKUP(A28,'COSTO Y PRECIO'!$A:$A,'COSTO Y PRECIO'!C:C)</f>
        <v>98</v>
      </c>
    </row>
    <row r="29" spans="1:14" x14ac:dyDescent="0.35">
      <c r="A29" s="2">
        <v>100012997</v>
      </c>
      <c r="B29" s="3">
        <v>75064716</v>
      </c>
      <c r="C29" s="2" t="s">
        <v>55</v>
      </c>
      <c r="D29" s="2" t="s">
        <v>44</v>
      </c>
      <c r="E29" s="2" t="s">
        <v>45</v>
      </c>
      <c r="F29" s="2" t="s">
        <v>46</v>
      </c>
      <c r="G29" s="2" t="s">
        <v>14</v>
      </c>
      <c r="H29" s="1" t="s">
        <v>36</v>
      </c>
      <c r="I29" s="1" t="s">
        <v>16</v>
      </c>
      <c r="J29" t="str">
        <f>+_xlfn.XLOOKUP(B29,INNOVACIÓN!A:A,INNOVACIÓN!B:B,"NO")</f>
        <v>NO</v>
      </c>
      <c r="K29">
        <v>20</v>
      </c>
      <c r="M29">
        <f>+_xlfn.XLOOKUP(A29,'COSTO Y PRECIO'!$A:$A,'COSTO Y PRECIO'!B:B)</f>
        <v>63.36</v>
      </c>
      <c r="N29">
        <f>+_xlfn.XLOOKUP(A29,'COSTO Y PRECIO'!$A:$A,'COSTO Y PRECIO'!C:C)</f>
        <v>98</v>
      </c>
    </row>
    <row r="30" spans="1:14" x14ac:dyDescent="0.35">
      <c r="A30">
        <v>100026068</v>
      </c>
      <c r="B30" s="6">
        <v>75084332</v>
      </c>
      <c r="C30" t="s">
        <v>56</v>
      </c>
      <c r="D30" s="14" t="s">
        <v>44</v>
      </c>
      <c r="E30" s="2" t="s">
        <v>33</v>
      </c>
      <c r="F30" s="7" t="s">
        <v>46</v>
      </c>
      <c r="H30" s="2" t="s">
        <v>36</v>
      </c>
      <c r="I30" s="1" t="s">
        <v>109</v>
      </c>
      <c r="J30" t="str">
        <f>+_xlfn.XLOOKUP(B30,INNOVACIÓN!A:A,INNOVACIÓN!B:B,"NO")</f>
        <v>NO</v>
      </c>
      <c r="K30">
        <v>20</v>
      </c>
      <c r="M30">
        <f>+_xlfn.XLOOKUP(A30,'COSTO Y PRECIO'!$A:$A,'COSTO Y PRECIO'!B:B)</f>
        <v>56.25</v>
      </c>
      <c r="N30">
        <f>+_xlfn.XLOOKUP(A30,'COSTO Y PRECIO'!$A:$A,'COSTO Y PRECIO'!C:C)</f>
        <v>87</v>
      </c>
    </row>
    <row r="31" spans="1:14" x14ac:dyDescent="0.35">
      <c r="A31" s="1">
        <v>100011590</v>
      </c>
      <c r="B31" s="4">
        <v>7501031700028</v>
      </c>
      <c r="C31" s="1" t="s">
        <v>57</v>
      </c>
      <c r="D31" s="1" t="s">
        <v>44</v>
      </c>
      <c r="E31" s="14" t="s">
        <v>33</v>
      </c>
      <c r="F31" s="1" t="s">
        <v>39</v>
      </c>
      <c r="G31" s="1" t="s">
        <v>58</v>
      </c>
      <c r="H31" s="1" t="s">
        <v>36</v>
      </c>
      <c r="I31" s="1" t="s">
        <v>109</v>
      </c>
      <c r="J31" t="str">
        <f>+_xlfn.XLOOKUP(B31,INNOVACIÓN!A:A,INNOVACIÓN!B:B,"NO")</f>
        <v>NO</v>
      </c>
      <c r="K31">
        <v>25</v>
      </c>
      <c r="M31">
        <f>+_xlfn.XLOOKUP(A31,'COSTO Y PRECIO'!$A:$A,'COSTO Y PRECIO'!B:B)</f>
        <v>50</v>
      </c>
      <c r="N31" t="e">
        <f>+_xlfn.XLOOKUP(A31,'COSTO Y PRECIO'!$A:$A,'COSTO Y PRECIO'!C:C)</f>
        <v>#N/A</v>
      </c>
    </row>
    <row r="32" spans="1:14" x14ac:dyDescent="0.35">
      <c r="A32" s="2">
        <v>100080975</v>
      </c>
      <c r="B32" s="3">
        <v>75048129</v>
      </c>
      <c r="C32" s="2" t="s">
        <v>59</v>
      </c>
      <c r="D32" s="2" t="s">
        <v>44</v>
      </c>
      <c r="E32" s="2" t="s">
        <v>45</v>
      </c>
      <c r="F32" s="2" t="s">
        <v>46</v>
      </c>
      <c r="G32" s="2" t="s">
        <v>35</v>
      </c>
      <c r="H32" s="1" t="s">
        <v>36</v>
      </c>
      <c r="I32" s="1" t="s">
        <v>16</v>
      </c>
      <c r="J32" t="str">
        <f>+_xlfn.XLOOKUP(B32,INNOVACIÓN!A:A,INNOVACIÓN!B:B,"NO")</f>
        <v>NO</v>
      </c>
      <c r="K32">
        <v>20</v>
      </c>
      <c r="M32">
        <f>+_xlfn.XLOOKUP(A32,'COSTO Y PRECIO'!$A:$A,'COSTO Y PRECIO'!B:B)</f>
        <v>57.54</v>
      </c>
      <c r="N32">
        <f>+_xlfn.XLOOKUP(A32,'COSTO Y PRECIO'!$A:$A,'COSTO Y PRECIO'!C:C)</f>
        <v>89</v>
      </c>
    </row>
    <row r="33" spans="1:14" x14ac:dyDescent="0.35">
      <c r="A33" s="2">
        <v>100020970</v>
      </c>
      <c r="B33" s="3">
        <v>75076405</v>
      </c>
      <c r="C33" s="2" t="s">
        <v>60</v>
      </c>
      <c r="D33" s="2" t="s">
        <v>44</v>
      </c>
      <c r="E33" s="2" t="s">
        <v>61</v>
      </c>
      <c r="F33" s="2" t="s">
        <v>609</v>
      </c>
      <c r="G33" s="2" t="s">
        <v>35</v>
      </c>
      <c r="H33" s="1" t="s">
        <v>36</v>
      </c>
      <c r="I33" s="1" t="s">
        <v>16</v>
      </c>
      <c r="J33" t="str">
        <f>+_xlfn.XLOOKUP(B33,INNOVACIÓN!A:A,INNOVACIÓN!B:B,"NO")</f>
        <v>NO</v>
      </c>
      <c r="K33">
        <v>14</v>
      </c>
      <c r="M33">
        <f>+_xlfn.XLOOKUP(A33,'COSTO Y PRECIO'!$A:$A,'COSTO Y PRECIO'!B:B)</f>
        <v>33.409999999999997</v>
      </c>
      <c r="N33">
        <f>+_xlfn.XLOOKUP(A33,'COSTO Y PRECIO'!$A:$A,'COSTO Y PRECIO'!C:C)</f>
        <v>51</v>
      </c>
    </row>
    <row r="34" spans="1:14" x14ac:dyDescent="0.35">
      <c r="A34" s="2">
        <v>100020969</v>
      </c>
      <c r="B34" s="3">
        <v>75076740</v>
      </c>
      <c r="C34" s="2" t="s">
        <v>62</v>
      </c>
      <c r="D34" s="2" t="s">
        <v>44</v>
      </c>
      <c r="E34" s="2" t="s">
        <v>61</v>
      </c>
      <c r="F34" s="2" t="s">
        <v>609</v>
      </c>
      <c r="G34" s="2" t="s">
        <v>35</v>
      </c>
      <c r="H34" s="1" t="s">
        <v>36</v>
      </c>
      <c r="I34" s="1" t="s">
        <v>16</v>
      </c>
      <c r="J34" t="str">
        <f>+_xlfn.XLOOKUP(B34,INNOVACIÓN!A:A,INNOVACIÓN!B:B,"NO")</f>
        <v>NO</v>
      </c>
      <c r="K34">
        <v>20</v>
      </c>
      <c r="M34">
        <f>+_xlfn.XLOOKUP(A34,'COSTO Y PRECIO'!$A:$A,'COSTO Y PRECIO'!B:B)</f>
        <v>47.17</v>
      </c>
      <c r="N34">
        <f>+_xlfn.XLOOKUP(A34,'COSTO Y PRECIO'!$A:$A,'COSTO Y PRECIO'!C:C)</f>
        <v>72</v>
      </c>
    </row>
    <row r="35" spans="1:14" x14ac:dyDescent="0.35">
      <c r="A35" s="2">
        <v>100013075</v>
      </c>
      <c r="B35" s="3">
        <v>75064747</v>
      </c>
      <c r="C35" s="2" t="s">
        <v>63</v>
      </c>
      <c r="D35" s="2" t="s">
        <v>44</v>
      </c>
      <c r="E35" s="2" t="s">
        <v>61</v>
      </c>
      <c r="F35" s="2" t="s">
        <v>41</v>
      </c>
      <c r="G35" s="2" t="s">
        <v>35</v>
      </c>
      <c r="H35" s="1" t="s">
        <v>36</v>
      </c>
      <c r="I35" s="1" t="s">
        <v>16</v>
      </c>
      <c r="J35" t="str">
        <f>+_xlfn.XLOOKUP(B35,INNOVACIÓN!A:A,INNOVACIÓN!B:B,"NO")</f>
        <v>NO</v>
      </c>
      <c r="K35">
        <v>15</v>
      </c>
      <c r="M35">
        <f>+_xlfn.XLOOKUP(A35,'COSTO Y PRECIO'!$A:$A,'COSTO Y PRECIO'!B:B)</f>
        <v>45.05</v>
      </c>
      <c r="N35">
        <f>+_xlfn.XLOOKUP(A35,'COSTO Y PRECIO'!$A:$A,'COSTO Y PRECIO'!C:C)</f>
        <v>67</v>
      </c>
    </row>
    <row r="36" spans="1:14" x14ac:dyDescent="0.35">
      <c r="A36" s="2">
        <v>100013892</v>
      </c>
      <c r="B36" s="3">
        <v>75064754</v>
      </c>
      <c r="C36" s="2" t="s">
        <v>64</v>
      </c>
      <c r="D36" s="2" t="s">
        <v>44</v>
      </c>
      <c r="E36" s="2" t="s">
        <v>61</v>
      </c>
      <c r="F36" s="2" t="s">
        <v>41</v>
      </c>
      <c r="G36" s="2" t="s">
        <v>35</v>
      </c>
      <c r="H36" s="1" t="s">
        <v>36</v>
      </c>
      <c r="I36" s="1" t="s">
        <v>16</v>
      </c>
      <c r="J36" t="str">
        <f>+_xlfn.XLOOKUP(B36,INNOVACIÓN!A:A,INNOVACIÓN!B:B,"NO")</f>
        <v>NO</v>
      </c>
      <c r="K36">
        <v>20</v>
      </c>
      <c r="M36">
        <f>+_xlfn.XLOOKUP(A36,'COSTO Y PRECIO'!$A:$A,'COSTO Y PRECIO'!B:B)</f>
        <v>66.569999999999993</v>
      </c>
      <c r="N36">
        <f>+_xlfn.XLOOKUP(A36,'COSTO Y PRECIO'!$A:$A,'COSTO Y PRECIO'!C:C)</f>
        <v>99</v>
      </c>
    </row>
    <row r="37" spans="1:14" x14ac:dyDescent="0.35">
      <c r="A37" s="1">
        <v>100023317</v>
      </c>
      <c r="B37" s="1">
        <v>75078843</v>
      </c>
      <c r="C37" s="1" t="s">
        <v>65</v>
      </c>
      <c r="D37" s="1" t="s">
        <v>44</v>
      </c>
      <c r="E37" s="1" t="s">
        <v>61</v>
      </c>
      <c r="F37" s="2" t="s">
        <v>609</v>
      </c>
      <c r="G37" s="2" t="s">
        <v>35</v>
      </c>
      <c r="H37" s="1" t="s">
        <v>36</v>
      </c>
      <c r="I37" s="1" t="s">
        <v>16</v>
      </c>
      <c r="J37" t="str">
        <f>+_xlfn.XLOOKUP(B37,INNOVACIÓN!A:A,INNOVACIÓN!B:B,"NO")</f>
        <v>NO</v>
      </c>
      <c r="K37">
        <v>25</v>
      </c>
      <c r="M37">
        <f>+_xlfn.XLOOKUP(A37,'COSTO Y PRECIO'!$A:$A,'COSTO Y PRECIO'!B:B)</f>
        <v>53.72</v>
      </c>
      <c r="N37">
        <f>+_xlfn.XLOOKUP(A37,'COSTO Y PRECIO'!$A:$A,'COSTO Y PRECIO'!C:C)</f>
        <v>82</v>
      </c>
    </row>
    <row r="38" spans="1:14" x14ac:dyDescent="0.35">
      <c r="A38" s="1">
        <v>100016489</v>
      </c>
      <c r="B38" s="1">
        <v>75071301</v>
      </c>
      <c r="C38" s="1" t="s">
        <v>66</v>
      </c>
      <c r="D38" s="2" t="s">
        <v>44</v>
      </c>
      <c r="E38" s="7" t="s">
        <v>33</v>
      </c>
      <c r="F38" s="7" t="s">
        <v>46</v>
      </c>
      <c r="G38" s="7" t="s">
        <v>54</v>
      </c>
      <c r="H38" s="1" t="s">
        <v>36</v>
      </c>
      <c r="I38" s="1" t="s">
        <v>109</v>
      </c>
      <c r="J38" t="str">
        <f>+_xlfn.XLOOKUP(B38,INNOVACIÓN!A:A,INNOVACIÓN!B:B,"NO")</f>
        <v>NO</v>
      </c>
      <c r="K38">
        <v>15</v>
      </c>
      <c r="M38">
        <f>+_xlfn.XLOOKUP(A38,'COSTO Y PRECIO'!$A:$A,'COSTO Y PRECIO'!B:B)</f>
        <v>53.79</v>
      </c>
      <c r="N38" t="e">
        <f>+_xlfn.XLOOKUP(A38,'COSTO Y PRECIO'!$A:$A,'COSTO Y PRECIO'!C:C)</f>
        <v>#N/A</v>
      </c>
    </row>
    <row r="39" spans="1:14" x14ac:dyDescent="0.35">
      <c r="A39" s="2">
        <v>100016443</v>
      </c>
      <c r="B39" s="3">
        <v>75071295</v>
      </c>
      <c r="C39" s="2" t="s">
        <v>68</v>
      </c>
      <c r="D39" s="2" t="s">
        <v>44</v>
      </c>
      <c r="E39" s="2" t="s">
        <v>67</v>
      </c>
      <c r="F39" s="2" t="s">
        <v>46</v>
      </c>
      <c r="G39" s="2" t="s">
        <v>54</v>
      </c>
      <c r="H39" s="1" t="s">
        <v>36</v>
      </c>
      <c r="I39" s="1" t="s">
        <v>16</v>
      </c>
      <c r="J39" t="str">
        <f>+_xlfn.XLOOKUP(B39,INNOVACIÓN!A:A,INNOVACIÓN!B:B,"NO")</f>
        <v>NO</v>
      </c>
      <c r="K39">
        <v>20</v>
      </c>
      <c r="M39">
        <f>+_xlfn.XLOOKUP(A39,'COSTO Y PRECIO'!$A:$A,'COSTO Y PRECIO'!B:B)</f>
        <v>65.900000000000006</v>
      </c>
      <c r="N39">
        <f>+_xlfn.XLOOKUP(A39,'COSTO Y PRECIO'!$A:$A,'COSTO Y PRECIO'!C:C)</f>
        <v>98</v>
      </c>
    </row>
    <row r="40" spans="1:14" x14ac:dyDescent="0.35">
      <c r="A40">
        <v>100026387</v>
      </c>
      <c r="B40" s="6">
        <v>75080501</v>
      </c>
      <c r="C40" t="s">
        <v>69</v>
      </c>
      <c r="D40" s="2" t="s">
        <v>44</v>
      </c>
      <c r="E40" s="14" t="s">
        <v>67</v>
      </c>
      <c r="F40" s="2" t="s">
        <v>608</v>
      </c>
      <c r="G40" s="2" t="s">
        <v>71</v>
      </c>
      <c r="H40" s="1" t="s">
        <v>36</v>
      </c>
      <c r="I40" s="1" t="s">
        <v>16</v>
      </c>
      <c r="J40" t="str">
        <f>+_xlfn.XLOOKUP(B40,INNOVACIÓN!A:A,INNOVACIÓN!B:B,"NO")</f>
        <v>NO</v>
      </c>
      <c r="K40">
        <v>20</v>
      </c>
      <c r="M40">
        <f>+_xlfn.XLOOKUP(A40,'COSTO Y PRECIO'!$A:$A,'COSTO Y PRECIO'!B:B)</f>
        <v>51.1</v>
      </c>
      <c r="N40">
        <f>+_xlfn.XLOOKUP(A40,'COSTO Y PRECIO'!$A:$A,'COSTO Y PRECIO'!C:C)</f>
        <v>76</v>
      </c>
    </row>
    <row r="41" spans="1:14" x14ac:dyDescent="0.35">
      <c r="A41" s="2">
        <v>101000079</v>
      </c>
      <c r="B41" s="3">
        <v>75079017</v>
      </c>
      <c r="C41" s="2" t="s">
        <v>72</v>
      </c>
      <c r="D41" s="2" t="s">
        <v>44</v>
      </c>
      <c r="E41" s="2" t="s">
        <v>67</v>
      </c>
      <c r="F41" s="2" t="s">
        <v>46</v>
      </c>
      <c r="G41" s="2" t="s">
        <v>14</v>
      </c>
      <c r="H41" s="1" t="s">
        <v>36</v>
      </c>
      <c r="I41" s="1" t="s">
        <v>16</v>
      </c>
      <c r="J41" t="str">
        <f>+_xlfn.XLOOKUP(B41,INNOVACIÓN!A:A,INNOVACIÓN!B:B,"NO")</f>
        <v>NO</v>
      </c>
      <c r="K41">
        <v>20</v>
      </c>
      <c r="M41">
        <f>+_xlfn.XLOOKUP(A41,'COSTO Y PRECIO'!$A:$A,'COSTO Y PRECIO'!B:B)</f>
        <v>65.900000000000006</v>
      </c>
      <c r="N41">
        <f>+_xlfn.XLOOKUP(A41,'COSTO Y PRECIO'!$A:$A,'COSTO Y PRECIO'!C:C)</f>
        <v>98</v>
      </c>
    </row>
    <row r="42" spans="1:14" x14ac:dyDescent="0.35">
      <c r="A42">
        <v>100025311</v>
      </c>
      <c r="B42" s="6">
        <v>75083656</v>
      </c>
      <c r="C42" t="s">
        <v>73</v>
      </c>
      <c r="D42" s="2" t="s">
        <v>11</v>
      </c>
      <c r="E42" t="s">
        <v>74</v>
      </c>
      <c r="F42" s="14" t="s">
        <v>41</v>
      </c>
      <c r="G42" s="2" t="s">
        <v>75</v>
      </c>
      <c r="H42" s="1" t="s">
        <v>70</v>
      </c>
      <c r="I42" s="1" t="s">
        <v>16</v>
      </c>
      <c r="J42" t="str">
        <f>+_xlfn.XLOOKUP(B42,INNOVACIÓN!A:A,INNOVACIÓN!B:B,"NO")</f>
        <v>NO</v>
      </c>
      <c r="M42">
        <f>+_xlfn.XLOOKUP(A42,'COSTO Y PRECIO'!$A:$A,'COSTO Y PRECIO'!B:B)</f>
        <v>60.120000000000005</v>
      </c>
      <c r="N42">
        <f>+_xlfn.XLOOKUP(A42,'COSTO Y PRECIO'!$A:$A,'COSTO Y PRECIO'!C:C)</f>
        <v>85</v>
      </c>
    </row>
    <row r="43" spans="1:14" x14ac:dyDescent="0.35">
      <c r="A43">
        <v>100024244</v>
      </c>
      <c r="B43" s="4">
        <v>75006358</v>
      </c>
      <c r="C43" t="s">
        <v>76</v>
      </c>
      <c r="D43" s="1" t="s">
        <v>11</v>
      </c>
      <c r="E43" s="1" t="s">
        <v>74</v>
      </c>
      <c r="F43" s="14" t="s">
        <v>41</v>
      </c>
      <c r="G43" s="2" t="s">
        <v>75</v>
      </c>
      <c r="H43" s="1" t="s">
        <v>70</v>
      </c>
      <c r="I43" s="1" t="s">
        <v>16</v>
      </c>
      <c r="J43" t="str">
        <f>+_xlfn.XLOOKUP(B43,INNOVACIÓN!A:A,INNOVACIÓN!B:B,"NO")</f>
        <v>NO</v>
      </c>
      <c r="M43">
        <f>+_xlfn.XLOOKUP(A43,'COSTO Y PRECIO'!$A:$A,'COSTO Y PRECIO'!B:B)</f>
        <v>60.120000000000005</v>
      </c>
      <c r="N43">
        <f>+_xlfn.XLOOKUP(A43,'COSTO Y PRECIO'!$A:$A,'COSTO Y PRECIO'!C:C)</f>
        <v>85</v>
      </c>
    </row>
    <row r="44" spans="1:14" x14ac:dyDescent="0.35">
      <c r="A44" s="2">
        <v>100023686</v>
      </c>
      <c r="B44" s="4">
        <v>75006938</v>
      </c>
      <c r="C44" s="2" t="s">
        <v>77</v>
      </c>
      <c r="D44" s="2" t="s">
        <v>11</v>
      </c>
      <c r="E44" s="2" t="s">
        <v>74</v>
      </c>
      <c r="F44" s="14" t="s">
        <v>41</v>
      </c>
      <c r="G44" s="2" t="s">
        <v>75</v>
      </c>
      <c r="H44" s="1" t="s">
        <v>70</v>
      </c>
      <c r="I44" s="1" t="s">
        <v>16</v>
      </c>
      <c r="J44" t="str">
        <f>+_xlfn.XLOOKUP(B44,INNOVACIÓN!A:A,INNOVACIÓN!B:B,"NO")</f>
        <v>NO</v>
      </c>
      <c r="M44">
        <f>+_xlfn.XLOOKUP(A44,'COSTO Y PRECIO'!$A:$A,'COSTO Y PRECIO'!B:B)</f>
        <v>60.120000000000005</v>
      </c>
      <c r="N44">
        <f>+_xlfn.XLOOKUP(A44,'COSTO Y PRECIO'!$A:$A,'COSTO Y PRECIO'!C:C)</f>
        <v>85</v>
      </c>
    </row>
    <row r="45" spans="1:14" x14ac:dyDescent="0.35">
      <c r="A45" s="2">
        <v>100023685</v>
      </c>
      <c r="B45" s="4">
        <v>75007461</v>
      </c>
      <c r="C45" s="2" t="s">
        <v>78</v>
      </c>
      <c r="D45" s="2" t="s">
        <v>11</v>
      </c>
      <c r="E45" s="2" t="s">
        <v>74</v>
      </c>
      <c r="F45" s="14" t="s">
        <v>41</v>
      </c>
      <c r="G45" s="2" t="s">
        <v>75</v>
      </c>
      <c r="H45" s="1" t="s">
        <v>70</v>
      </c>
      <c r="I45" s="1" t="s">
        <v>16</v>
      </c>
      <c r="J45" t="str">
        <f>+_xlfn.XLOOKUP(B45,INNOVACIÓN!A:A,INNOVACIÓN!B:B,"NO")</f>
        <v>NO</v>
      </c>
      <c r="M45">
        <f>+_xlfn.XLOOKUP(A45,'COSTO Y PRECIO'!$A:$A,'COSTO Y PRECIO'!B:B)</f>
        <v>60.120000000000005</v>
      </c>
      <c r="N45">
        <f>+_xlfn.XLOOKUP(A45,'COSTO Y PRECIO'!$A:$A,'COSTO Y PRECIO'!C:C)</f>
        <v>85</v>
      </c>
    </row>
    <row r="46" spans="1:14" x14ac:dyDescent="0.35">
      <c r="A46">
        <v>100024999</v>
      </c>
      <c r="B46" s="6">
        <v>75081652</v>
      </c>
      <c r="C46" t="s">
        <v>79</v>
      </c>
      <c r="D46" s="2" t="s">
        <v>11</v>
      </c>
      <c r="E46" t="s">
        <v>74</v>
      </c>
      <c r="F46" s="14" t="s">
        <v>41</v>
      </c>
      <c r="G46" s="1" t="s">
        <v>70</v>
      </c>
      <c r="H46" s="1" t="s">
        <v>70</v>
      </c>
      <c r="I46" s="1" t="s">
        <v>16</v>
      </c>
      <c r="J46" t="str">
        <f>+_xlfn.XLOOKUP(B46,INNOVACIÓN!A:A,INNOVACIÓN!B:B,"NO")</f>
        <v>NO</v>
      </c>
      <c r="M46">
        <f>+_xlfn.XLOOKUP(A46,'COSTO Y PRECIO'!$A:$A,'COSTO Y PRECIO'!B:B)</f>
        <v>60.120000000000005</v>
      </c>
      <c r="N46">
        <f>+_xlfn.XLOOKUP(A46,'COSTO Y PRECIO'!$A:$A,'COSTO Y PRECIO'!C:C)</f>
        <v>85</v>
      </c>
    </row>
    <row r="47" spans="1:14" x14ac:dyDescent="0.35">
      <c r="A47">
        <v>100025310</v>
      </c>
      <c r="B47" s="6">
        <v>75083649</v>
      </c>
      <c r="C47" t="s">
        <v>80</v>
      </c>
      <c r="D47" s="2" t="s">
        <v>11</v>
      </c>
      <c r="E47" t="s">
        <v>74</v>
      </c>
      <c r="F47" s="14" t="s">
        <v>41</v>
      </c>
      <c r="G47" s="2" t="s">
        <v>75</v>
      </c>
      <c r="H47" s="1" t="s">
        <v>70</v>
      </c>
      <c r="I47" s="1" t="s">
        <v>16</v>
      </c>
      <c r="J47" t="str">
        <f>+_xlfn.XLOOKUP(B47,INNOVACIÓN!A:A,INNOVACIÓN!B:B,"NO")</f>
        <v>NO</v>
      </c>
      <c r="M47">
        <f>+_xlfn.XLOOKUP(A47,'COSTO Y PRECIO'!$A:$A,'COSTO Y PRECIO'!B:B)</f>
        <v>60.120000000000005</v>
      </c>
      <c r="N47">
        <f>+_xlfn.XLOOKUP(A47,'COSTO Y PRECIO'!$A:$A,'COSTO Y PRECIO'!C:C)</f>
        <v>85</v>
      </c>
    </row>
    <row r="48" spans="1:14" x14ac:dyDescent="0.35">
      <c r="A48" s="2">
        <v>100023682</v>
      </c>
      <c r="B48" s="4">
        <v>75006396</v>
      </c>
      <c r="C48" s="2" t="s">
        <v>81</v>
      </c>
      <c r="D48" s="2" t="s">
        <v>11</v>
      </c>
      <c r="E48" s="2" t="s">
        <v>74</v>
      </c>
      <c r="F48" s="14" t="s">
        <v>41</v>
      </c>
      <c r="G48" s="2" t="s">
        <v>75</v>
      </c>
      <c r="H48" s="1" t="s">
        <v>70</v>
      </c>
      <c r="I48" s="1" t="s">
        <v>16</v>
      </c>
      <c r="J48" t="str">
        <f>+_xlfn.XLOOKUP(B48,INNOVACIÓN!A:A,INNOVACIÓN!B:B,"NO")</f>
        <v>NO</v>
      </c>
      <c r="M48">
        <f>+_xlfn.XLOOKUP(A48,'COSTO Y PRECIO'!$A:$A,'COSTO Y PRECIO'!B:B)</f>
        <v>60.120000000000005</v>
      </c>
      <c r="N48">
        <f>+_xlfn.XLOOKUP(A48,'COSTO Y PRECIO'!$A:$A,'COSTO Y PRECIO'!C:C)</f>
        <v>85</v>
      </c>
    </row>
    <row r="49" spans="1:14" x14ac:dyDescent="0.35">
      <c r="A49" s="2">
        <v>100023681</v>
      </c>
      <c r="B49" s="4">
        <v>75006389</v>
      </c>
      <c r="C49" s="2" t="s">
        <v>82</v>
      </c>
      <c r="D49" s="2" t="s">
        <v>11</v>
      </c>
      <c r="E49" s="2" t="s">
        <v>74</v>
      </c>
      <c r="F49" s="14" t="s">
        <v>41</v>
      </c>
      <c r="G49" s="2" t="s">
        <v>75</v>
      </c>
      <c r="H49" s="1" t="s">
        <v>70</v>
      </c>
      <c r="I49" s="1" t="s">
        <v>16</v>
      </c>
      <c r="J49" t="str">
        <f>+_xlfn.XLOOKUP(B49,INNOVACIÓN!A:A,INNOVACIÓN!B:B,"NO")</f>
        <v>NO</v>
      </c>
      <c r="M49">
        <f>+_xlfn.XLOOKUP(A49,'COSTO Y PRECIO'!$A:$A,'COSTO Y PRECIO'!B:B)</f>
        <v>60.120000000000005</v>
      </c>
      <c r="N49">
        <f>+_xlfn.XLOOKUP(A49,'COSTO Y PRECIO'!$A:$A,'COSTO Y PRECIO'!C:C)</f>
        <v>85</v>
      </c>
    </row>
    <row r="50" spans="1:14" x14ac:dyDescent="0.35">
      <c r="A50">
        <v>100024932</v>
      </c>
      <c r="B50" s="6">
        <v>75081362</v>
      </c>
      <c r="C50" t="s">
        <v>83</v>
      </c>
      <c r="D50" s="2" t="s">
        <v>11</v>
      </c>
      <c r="E50" t="s">
        <v>74</v>
      </c>
      <c r="F50" s="14" t="s">
        <v>41</v>
      </c>
      <c r="G50" s="1" t="s">
        <v>70</v>
      </c>
      <c r="H50" s="1" t="s">
        <v>70</v>
      </c>
      <c r="I50" s="1" t="s">
        <v>16</v>
      </c>
      <c r="J50" t="str">
        <f>+_xlfn.XLOOKUP(B50,INNOVACIÓN!A:A,INNOVACIÓN!B:B,"NO")</f>
        <v>NO</v>
      </c>
      <c r="M50">
        <f>+_xlfn.XLOOKUP(A50,'COSTO Y PRECIO'!$A:$A,'COSTO Y PRECIO'!B:B)</f>
        <v>60.120000000000005</v>
      </c>
      <c r="N50">
        <f>+_xlfn.XLOOKUP(A50,'COSTO Y PRECIO'!$A:$A,'COSTO Y PRECIO'!C:C)</f>
        <v>85</v>
      </c>
    </row>
    <row r="51" spans="1:14" x14ac:dyDescent="0.35">
      <c r="A51">
        <v>100024246</v>
      </c>
      <c r="B51" s="4">
        <v>75007454</v>
      </c>
      <c r="C51" t="s">
        <v>84</v>
      </c>
      <c r="D51" s="1" t="s">
        <v>11</v>
      </c>
      <c r="E51" s="1" t="s">
        <v>74</v>
      </c>
      <c r="F51" s="14" t="s">
        <v>41</v>
      </c>
      <c r="G51" s="2" t="s">
        <v>75</v>
      </c>
      <c r="H51" s="1" t="s">
        <v>70</v>
      </c>
      <c r="I51" s="1" t="s">
        <v>16</v>
      </c>
      <c r="J51" t="str">
        <f>+_xlfn.XLOOKUP(B51,INNOVACIÓN!A:A,INNOVACIÓN!B:B,"NO")</f>
        <v>NO</v>
      </c>
      <c r="M51">
        <f>+_xlfn.XLOOKUP(A51,'COSTO Y PRECIO'!$A:$A,'COSTO Y PRECIO'!B:B)</f>
        <v>60.120000000000005</v>
      </c>
      <c r="N51">
        <f>+_xlfn.XLOOKUP(A51,'COSTO Y PRECIO'!$A:$A,'COSTO Y PRECIO'!C:C)</f>
        <v>85</v>
      </c>
    </row>
    <row r="52" spans="1:14" x14ac:dyDescent="0.35">
      <c r="A52" s="2">
        <v>100023679</v>
      </c>
      <c r="B52" s="4">
        <v>75032784</v>
      </c>
      <c r="C52" s="2" t="s">
        <v>85</v>
      </c>
      <c r="D52" s="2" t="s">
        <v>11</v>
      </c>
      <c r="E52" s="2" t="s">
        <v>74</v>
      </c>
      <c r="F52" s="14" t="s">
        <v>41</v>
      </c>
      <c r="G52" s="2" t="s">
        <v>75</v>
      </c>
      <c r="H52" s="1" t="s">
        <v>70</v>
      </c>
      <c r="I52" s="1" t="s">
        <v>16</v>
      </c>
      <c r="J52" t="str">
        <f>+_xlfn.XLOOKUP(B52,INNOVACIÓN!A:A,INNOVACIÓN!B:B,"NO")</f>
        <v>NO</v>
      </c>
      <c r="M52">
        <f>+_xlfn.XLOOKUP(A52,'COSTO Y PRECIO'!$A:$A,'COSTO Y PRECIO'!B:B)</f>
        <v>60.120000000000005</v>
      </c>
      <c r="N52">
        <f>+_xlfn.XLOOKUP(A52,'COSTO Y PRECIO'!$A:$A,'COSTO Y PRECIO'!C:C)</f>
        <v>85</v>
      </c>
    </row>
    <row r="53" spans="1:14" x14ac:dyDescent="0.35">
      <c r="A53">
        <v>100080351</v>
      </c>
      <c r="B53" s="6">
        <v>7501609500241</v>
      </c>
      <c r="C53" t="s">
        <v>86</v>
      </c>
      <c r="D53" s="14" t="s">
        <v>87</v>
      </c>
      <c r="E53" s="2" t="s">
        <v>33</v>
      </c>
      <c r="F53" s="2" t="s">
        <v>87</v>
      </c>
      <c r="G53" s="2" t="s">
        <v>87</v>
      </c>
      <c r="H53" s="2" t="s">
        <v>87</v>
      </c>
      <c r="I53" s="1" t="s">
        <v>16</v>
      </c>
      <c r="J53" t="str">
        <f>+_xlfn.XLOOKUP(B53,INNOVACIÓN!A:A,INNOVACIÓN!B:B,"NO")</f>
        <v>NO</v>
      </c>
      <c r="M53">
        <f>+_xlfn.XLOOKUP(A53,'COSTO Y PRECIO'!$A:$A,'COSTO Y PRECIO'!B:B)</f>
        <v>54</v>
      </c>
      <c r="N53">
        <f>+_xlfn.XLOOKUP(A53,'COSTO Y PRECIO'!$A:$A,'COSTO Y PRECIO'!C:C)</f>
        <v>79.333333333333329</v>
      </c>
    </row>
    <row r="54" spans="1:14" x14ac:dyDescent="0.35">
      <c r="A54">
        <v>100080762</v>
      </c>
      <c r="B54" s="6">
        <v>7501609506939</v>
      </c>
      <c r="C54" t="s">
        <v>88</v>
      </c>
      <c r="D54" s="14" t="s">
        <v>87</v>
      </c>
      <c r="E54" s="2" t="s">
        <v>33</v>
      </c>
      <c r="F54" s="2" t="s">
        <v>87</v>
      </c>
      <c r="G54" s="2" t="s">
        <v>87</v>
      </c>
      <c r="H54" s="2" t="s">
        <v>87</v>
      </c>
      <c r="I54" s="1" t="s">
        <v>16</v>
      </c>
      <c r="J54" t="str">
        <f>+_xlfn.XLOOKUP(B54,INNOVACIÓN!A:A,INNOVACIÓN!B:B,"NO")</f>
        <v>NO</v>
      </c>
      <c r="M54">
        <f>+_xlfn.XLOOKUP(A54,'COSTO Y PRECIO'!$A:$A,'COSTO Y PRECIO'!B:B)</f>
        <v>29.319999999999997</v>
      </c>
      <c r="N54">
        <f>+_xlfn.XLOOKUP(A54,'COSTO Y PRECIO'!$A:$A,'COSTO Y PRECIO'!C:C)</f>
        <v>44</v>
      </c>
    </row>
    <row r="55" spans="1:14" x14ac:dyDescent="0.35">
      <c r="A55">
        <v>100017182</v>
      </c>
      <c r="B55" s="6">
        <v>8414775013578</v>
      </c>
      <c r="C55" t="s">
        <v>89</v>
      </c>
      <c r="D55" s="14" t="s">
        <v>87</v>
      </c>
      <c r="E55" s="2" t="s">
        <v>33</v>
      </c>
      <c r="F55" s="2" t="s">
        <v>87</v>
      </c>
      <c r="G55" s="2" t="s">
        <v>87</v>
      </c>
      <c r="H55" s="2" t="s">
        <v>87</v>
      </c>
      <c r="I55" s="1" t="s">
        <v>16</v>
      </c>
      <c r="J55" t="str">
        <f>+_xlfn.XLOOKUP(B55,INNOVACIÓN!A:A,INNOVACIÓN!B:B,"NO")</f>
        <v>NO</v>
      </c>
      <c r="M55">
        <f>+_xlfn.XLOOKUP(A55,'COSTO Y PRECIO'!$A:$A,'COSTO Y PRECIO'!B:B)</f>
        <v>32</v>
      </c>
      <c r="N55" t="e">
        <f>+_xlfn.XLOOKUP(A55,'COSTO Y PRECIO'!$A:$A,'COSTO Y PRECIO'!C:C)</f>
        <v>#N/A</v>
      </c>
    </row>
    <row r="56" spans="1:14" x14ac:dyDescent="0.35">
      <c r="A56">
        <v>100080938</v>
      </c>
      <c r="B56" s="6">
        <v>7503006684791</v>
      </c>
      <c r="C56" t="s">
        <v>90</v>
      </c>
      <c r="D56" s="14" t="s">
        <v>87</v>
      </c>
      <c r="E56" s="2" t="s">
        <v>33</v>
      </c>
      <c r="F56" s="2" t="s">
        <v>87</v>
      </c>
      <c r="G56" s="2" t="s">
        <v>87</v>
      </c>
      <c r="H56" s="2" t="s">
        <v>87</v>
      </c>
      <c r="I56" s="1" t="s">
        <v>16</v>
      </c>
      <c r="J56" t="str">
        <f>+_xlfn.XLOOKUP(B56,INNOVACIÓN!A:A,INNOVACIÓN!B:B,"NO")</f>
        <v>NO</v>
      </c>
      <c r="M56">
        <f>+_xlfn.XLOOKUP(A56,'COSTO Y PRECIO'!$A:$A,'COSTO Y PRECIO'!B:B)</f>
        <v>69</v>
      </c>
      <c r="N56" t="e">
        <f>+_xlfn.XLOOKUP(A56,'COSTO Y PRECIO'!$A:$A,'COSTO Y PRECIO'!C:C)</f>
        <v>#N/A</v>
      </c>
    </row>
    <row r="57" spans="1:14" x14ac:dyDescent="0.35">
      <c r="A57">
        <v>100024599</v>
      </c>
      <c r="B57" s="6">
        <v>7501609515894</v>
      </c>
      <c r="C57" t="s">
        <v>91</v>
      </c>
      <c r="D57" s="14" t="s">
        <v>87</v>
      </c>
      <c r="E57" s="2" t="s">
        <v>33</v>
      </c>
      <c r="F57" s="2" t="s">
        <v>87</v>
      </c>
      <c r="G57" s="2" t="s">
        <v>87</v>
      </c>
      <c r="H57" s="2" t="s">
        <v>87</v>
      </c>
      <c r="I57" s="1" t="s">
        <v>16</v>
      </c>
      <c r="J57" t="str">
        <f>+_xlfn.XLOOKUP(B57,INNOVACIÓN!A:A,INNOVACIÓN!B:B,"NO")</f>
        <v>NO</v>
      </c>
      <c r="M57">
        <f>+_xlfn.XLOOKUP(A57,'COSTO Y PRECIO'!$A:$A,'COSTO Y PRECIO'!B:B)</f>
        <v>46</v>
      </c>
      <c r="N57">
        <f>+_xlfn.XLOOKUP(A57,'COSTO Y PRECIO'!$A:$A,'COSTO Y PRECIO'!C:C)</f>
        <v>85</v>
      </c>
    </row>
    <row r="58" spans="1:14" x14ac:dyDescent="0.35">
      <c r="A58">
        <v>100080942</v>
      </c>
      <c r="B58" s="6">
        <v>7503006684838</v>
      </c>
      <c r="C58" t="s">
        <v>92</v>
      </c>
      <c r="D58" s="14" t="s">
        <v>87</v>
      </c>
      <c r="E58" s="2" t="s">
        <v>33</v>
      </c>
      <c r="F58" s="2" t="s">
        <v>87</v>
      </c>
      <c r="G58" s="2" t="s">
        <v>87</v>
      </c>
      <c r="H58" s="2" t="s">
        <v>87</v>
      </c>
      <c r="I58" s="1" t="s">
        <v>16</v>
      </c>
      <c r="J58" t="str">
        <f>+_xlfn.XLOOKUP(B58,INNOVACIÓN!A:A,INNOVACIÓN!B:B,"NO")</f>
        <v>NO</v>
      </c>
      <c r="M58">
        <f>+_xlfn.XLOOKUP(A58,'COSTO Y PRECIO'!$A:$A,'COSTO Y PRECIO'!B:B)</f>
        <v>69</v>
      </c>
      <c r="N58" t="e">
        <f>+_xlfn.XLOOKUP(A58,'COSTO Y PRECIO'!$A:$A,'COSTO Y PRECIO'!C:C)</f>
        <v>#N/A</v>
      </c>
    </row>
    <row r="59" spans="1:14" x14ac:dyDescent="0.35">
      <c r="A59">
        <v>100080943</v>
      </c>
      <c r="B59" s="6">
        <v>7503006684852</v>
      </c>
      <c r="C59" t="s">
        <v>92</v>
      </c>
      <c r="D59" s="14" t="s">
        <v>87</v>
      </c>
      <c r="E59" s="2" t="s">
        <v>33</v>
      </c>
      <c r="F59" s="2" t="s">
        <v>87</v>
      </c>
      <c r="G59" s="2" t="s">
        <v>87</v>
      </c>
      <c r="H59" s="2" t="s">
        <v>87</v>
      </c>
      <c r="I59" s="1" t="s">
        <v>16</v>
      </c>
      <c r="J59" t="str">
        <f>+_xlfn.XLOOKUP(B59,INNOVACIÓN!A:A,INNOVACIÓN!B:B,"NO")</f>
        <v>NO</v>
      </c>
      <c r="M59">
        <f>+_xlfn.XLOOKUP(A59,'COSTO Y PRECIO'!$A:$A,'COSTO Y PRECIO'!B:B)</f>
        <v>69</v>
      </c>
      <c r="N59" t="e">
        <f>+_xlfn.XLOOKUP(A59,'COSTO Y PRECIO'!$A:$A,'COSTO Y PRECIO'!C:C)</f>
        <v>#N/A</v>
      </c>
    </row>
    <row r="60" spans="1:14" x14ac:dyDescent="0.35">
      <c r="A60">
        <v>100080941</v>
      </c>
      <c r="B60" s="6">
        <v>7503006684043</v>
      </c>
      <c r="C60" t="s">
        <v>92</v>
      </c>
      <c r="D60" s="14" t="s">
        <v>87</v>
      </c>
      <c r="E60" s="2" t="s">
        <v>33</v>
      </c>
      <c r="F60" s="2" t="s">
        <v>87</v>
      </c>
      <c r="G60" s="2" t="s">
        <v>87</v>
      </c>
      <c r="H60" s="2" t="s">
        <v>87</v>
      </c>
      <c r="I60" s="1" t="s">
        <v>16</v>
      </c>
      <c r="J60" t="str">
        <f>+_xlfn.XLOOKUP(B60,INNOVACIÓN!A:A,INNOVACIÓN!B:B,"NO")</f>
        <v>NO</v>
      </c>
      <c r="M60">
        <f>+_xlfn.XLOOKUP(A60,'COSTO Y PRECIO'!$A:$A,'COSTO Y PRECIO'!B:B)</f>
        <v>69</v>
      </c>
      <c r="N60" t="e">
        <f>+_xlfn.XLOOKUP(A60,'COSTO Y PRECIO'!$A:$A,'COSTO Y PRECIO'!C:C)</f>
        <v>#N/A</v>
      </c>
    </row>
    <row r="61" spans="1:14" x14ac:dyDescent="0.35">
      <c r="A61">
        <v>100080939</v>
      </c>
      <c r="B61" s="6">
        <v>7503006684395</v>
      </c>
      <c r="C61" t="s">
        <v>93</v>
      </c>
      <c r="D61" s="14" t="s">
        <v>87</v>
      </c>
      <c r="E61" s="2" t="s">
        <v>33</v>
      </c>
      <c r="F61" s="2" t="s">
        <v>87</v>
      </c>
      <c r="G61" s="2" t="s">
        <v>87</v>
      </c>
      <c r="H61" s="2" t="s">
        <v>87</v>
      </c>
      <c r="I61" s="1" t="s">
        <v>16</v>
      </c>
      <c r="J61" t="str">
        <f>+_xlfn.XLOOKUP(B61,INNOVACIÓN!A:A,INNOVACIÓN!B:B,"NO")</f>
        <v>NO</v>
      </c>
      <c r="M61">
        <f>+_xlfn.XLOOKUP(A61,'COSTO Y PRECIO'!$A:$A,'COSTO Y PRECIO'!B:B)</f>
        <v>69</v>
      </c>
      <c r="N61">
        <f>+_xlfn.XLOOKUP(A61,'COSTO Y PRECIO'!$A:$A,'COSTO Y PRECIO'!C:C)</f>
        <v>120</v>
      </c>
    </row>
    <row r="62" spans="1:14" x14ac:dyDescent="0.35">
      <c r="A62">
        <v>100080940</v>
      </c>
      <c r="B62" s="6">
        <v>7503006684807</v>
      </c>
      <c r="C62" t="s">
        <v>94</v>
      </c>
      <c r="D62" s="14" t="s">
        <v>87</v>
      </c>
      <c r="E62" s="2" t="s">
        <v>33</v>
      </c>
      <c r="F62" s="2" t="s">
        <v>87</v>
      </c>
      <c r="G62" s="2" t="s">
        <v>87</v>
      </c>
      <c r="H62" s="2" t="s">
        <v>87</v>
      </c>
      <c r="I62" s="1" t="s">
        <v>16</v>
      </c>
      <c r="J62" t="str">
        <f>+_xlfn.XLOOKUP(B62,INNOVACIÓN!A:A,INNOVACIÓN!B:B,"NO")</f>
        <v>NO</v>
      </c>
      <c r="M62">
        <f>+_xlfn.XLOOKUP(A62,'COSTO Y PRECIO'!$A:$A,'COSTO Y PRECIO'!B:B)</f>
        <v>69</v>
      </c>
      <c r="N62" t="e">
        <f>+_xlfn.XLOOKUP(A62,'COSTO Y PRECIO'!$A:$A,'COSTO Y PRECIO'!C:C)</f>
        <v>#N/A</v>
      </c>
    </row>
    <row r="63" spans="1:14" x14ac:dyDescent="0.35">
      <c r="A63">
        <v>100016044</v>
      </c>
      <c r="B63" s="6">
        <v>7465603183667</v>
      </c>
      <c r="C63" t="s">
        <v>95</v>
      </c>
      <c r="D63" s="14" t="s">
        <v>87</v>
      </c>
      <c r="E63" s="2" t="s">
        <v>33</v>
      </c>
      <c r="F63" s="2" t="s">
        <v>87</v>
      </c>
      <c r="G63" s="2" t="s">
        <v>87</v>
      </c>
      <c r="H63" s="2" t="s">
        <v>87</v>
      </c>
      <c r="I63" s="1" t="s">
        <v>16</v>
      </c>
      <c r="J63" t="str">
        <f>+_xlfn.XLOOKUP(B63,INNOVACIÓN!A:A,INNOVACIÓN!B:B,"NO")</f>
        <v>NO</v>
      </c>
      <c r="M63">
        <f>+_xlfn.XLOOKUP(A63,'COSTO Y PRECIO'!$A:$A,'COSTO Y PRECIO'!B:B)</f>
        <v>69</v>
      </c>
      <c r="N63" t="e">
        <f>+_xlfn.XLOOKUP(A63,'COSTO Y PRECIO'!$A:$A,'COSTO Y PRECIO'!C:C)</f>
        <v>#N/A</v>
      </c>
    </row>
    <row r="64" spans="1:14" x14ac:dyDescent="0.35">
      <c r="A64">
        <v>100016043</v>
      </c>
      <c r="B64" s="6">
        <v>7465603183636</v>
      </c>
      <c r="C64" t="s">
        <v>96</v>
      </c>
      <c r="D64" s="14" t="s">
        <v>87</v>
      </c>
      <c r="E64" s="2" t="s">
        <v>33</v>
      </c>
      <c r="F64" s="2" t="s">
        <v>87</v>
      </c>
      <c r="G64" s="2" t="s">
        <v>87</v>
      </c>
      <c r="H64" s="2" t="s">
        <v>87</v>
      </c>
      <c r="I64" s="1" t="s">
        <v>16</v>
      </c>
      <c r="J64" t="str">
        <f>+_xlfn.XLOOKUP(B64,INNOVACIÓN!A:A,INNOVACIÓN!B:B,"NO")</f>
        <v>NO</v>
      </c>
      <c r="M64">
        <f>+_xlfn.XLOOKUP(A64,'COSTO Y PRECIO'!$A:$A,'COSTO Y PRECIO'!B:B)</f>
        <v>69</v>
      </c>
      <c r="N64" t="e">
        <f>+_xlfn.XLOOKUP(A64,'COSTO Y PRECIO'!$A:$A,'COSTO Y PRECIO'!C:C)</f>
        <v>#N/A</v>
      </c>
    </row>
    <row r="65" spans="1:14" x14ac:dyDescent="0.35">
      <c r="A65">
        <v>100016042</v>
      </c>
      <c r="B65" s="6">
        <v>7465603183629</v>
      </c>
      <c r="C65" t="s">
        <v>97</v>
      </c>
      <c r="D65" s="14" t="s">
        <v>87</v>
      </c>
      <c r="E65" s="2" t="s">
        <v>33</v>
      </c>
      <c r="F65" s="2" t="s">
        <v>87</v>
      </c>
      <c r="G65" s="2" t="s">
        <v>87</v>
      </c>
      <c r="H65" s="2" t="s">
        <v>87</v>
      </c>
      <c r="I65" s="1" t="s">
        <v>16</v>
      </c>
      <c r="J65" t="str">
        <f>+_xlfn.XLOOKUP(B65,INNOVACIÓN!A:A,INNOVACIÓN!B:B,"NO")</f>
        <v>NO</v>
      </c>
      <c r="M65">
        <f>+_xlfn.XLOOKUP(A65,'COSTO Y PRECIO'!$A:$A,'COSTO Y PRECIO'!B:B)</f>
        <v>69</v>
      </c>
      <c r="N65" t="e">
        <f>+_xlfn.XLOOKUP(A65,'COSTO Y PRECIO'!$A:$A,'COSTO Y PRECIO'!C:C)</f>
        <v>#N/A</v>
      </c>
    </row>
    <row r="66" spans="1:14" x14ac:dyDescent="0.35">
      <c r="A66">
        <v>100016045</v>
      </c>
      <c r="B66" s="6">
        <v>7465603180529</v>
      </c>
      <c r="C66" t="s">
        <v>98</v>
      </c>
      <c r="D66" s="14" t="s">
        <v>87</v>
      </c>
      <c r="E66" s="2" t="s">
        <v>33</v>
      </c>
      <c r="F66" s="2" t="s">
        <v>87</v>
      </c>
      <c r="G66" s="2" t="s">
        <v>87</v>
      </c>
      <c r="H66" s="2" t="s">
        <v>87</v>
      </c>
      <c r="I66" s="1" t="s">
        <v>16</v>
      </c>
      <c r="J66" t="str">
        <f>+_xlfn.XLOOKUP(B66,INNOVACIÓN!A:A,INNOVACIÓN!B:B,"NO")</f>
        <v>NO</v>
      </c>
      <c r="M66">
        <f>+_xlfn.XLOOKUP(A66,'COSTO Y PRECIO'!$A:$A,'COSTO Y PRECIO'!B:B)</f>
        <v>69</v>
      </c>
      <c r="N66" t="e">
        <f>+_xlfn.XLOOKUP(A66,'COSTO Y PRECIO'!$A:$A,'COSTO Y PRECIO'!C:C)</f>
        <v>#N/A</v>
      </c>
    </row>
    <row r="67" spans="1:14" x14ac:dyDescent="0.35">
      <c r="A67" s="1">
        <v>100017982</v>
      </c>
      <c r="B67" s="1">
        <v>75071776</v>
      </c>
      <c r="C67" s="1" t="s">
        <v>99</v>
      </c>
      <c r="D67" s="1" t="s">
        <v>44</v>
      </c>
      <c r="E67" s="1" t="s">
        <v>67</v>
      </c>
      <c r="F67" s="1" t="s">
        <v>100</v>
      </c>
      <c r="G67" s="2" t="s">
        <v>35</v>
      </c>
      <c r="H67" s="1" t="s">
        <v>36</v>
      </c>
      <c r="I67" s="1" t="s">
        <v>16</v>
      </c>
      <c r="J67" t="str">
        <f>+_xlfn.XLOOKUP(B67,INNOVACIÓN!A:A,INNOVACIÓN!B:B,"NO")</f>
        <v>NO</v>
      </c>
      <c r="K67">
        <v>20</v>
      </c>
      <c r="M67">
        <f>+_xlfn.XLOOKUP(A67,'COSTO Y PRECIO'!$A:$A,'COSTO Y PRECIO'!B:B)</f>
        <v>50.45</v>
      </c>
      <c r="N67">
        <f>+_xlfn.XLOOKUP(A67,'COSTO Y PRECIO'!$A:$A,'COSTO Y PRECIO'!C:C)</f>
        <v>77</v>
      </c>
    </row>
    <row r="68" spans="1:14" x14ac:dyDescent="0.35">
      <c r="A68" s="2">
        <v>100023425</v>
      </c>
      <c r="B68" s="3">
        <v>75079963</v>
      </c>
      <c r="C68" s="2" t="s">
        <v>101</v>
      </c>
      <c r="D68" s="2" t="s">
        <v>44</v>
      </c>
      <c r="E68" s="2" t="s">
        <v>67</v>
      </c>
      <c r="F68" s="2" t="s">
        <v>100</v>
      </c>
      <c r="G68" s="2" t="s">
        <v>35</v>
      </c>
      <c r="H68" s="1" t="s">
        <v>36</v>
      </c>
      <c r="I68" s="1" t="s">
        <v>16</v>
      </c>
      <c r="J68" t="str">
        <f>+_xlfn.XLOOKUP(B68,INNOVACIÓN!A:A,INNOVACIÓN!B:B,"NO")</f>
        <v>NO</v>
      </c>
      <c r="K68">
        <v>25</v>
      </c>
      <c r="M68">
        <f>+_xlfn.XLOOKUP(A68,'COSTO Y PRECIO'!$A:$A,'COSTO Y PRECIO'!B:B)</f>
        <v>57</v>
      </c>
      <c r="N68">
        <f>+_xlfn.XLOOKUP(A68,'COSTO Y PRECIO'!$A:$A,'COSTO Y PRECIO'!C:C)</f>
        <v>87</v>
      </c>
    </row>
    <row r="69" spans="1:14" x14ac:dyDescent="0.35">
      <c r="A69" s="2">
        <v>100020837</v>
      </c>
      <c r="B69" s="3">
        <v>75074081</v>
      </c>
      <c r="C69" s="2" t="s">
        <v>102</v>
      </c>
      <c r="D69" s="2" t="s">
        <v>44</v>
      </c>
      <c r="E69" s="2" t="s">
        <v>67</v>
      </c>
      <c r="F69" s="2" t="s">
        <v>100</v>
      </c>
      <c r="G69" s="2" t="s">
        <v>35</v>
      </c>
      <c r="H69" s="1" t="s">
        <v>36</v>
      </c>
      <c r="I69" s="1" t="s">
        <v>16</v>
      </c>
      <c r="J69" t="str">
        <f>+_xlfn.XLOOKUP(B69,INNOVACIÓN!A:A,INNOVACIÓN!B:B,"NO")</f>
        <v>NO</v>
      </c>
      <c r="K69">
        <v>14</v>
      </c>
      <c r="M69">
        <f>+_xlfn.XLOOKUP(A69,'COSTO Y PRECIO'!$A:$A,'COSTO Y PRECIO'!B:B)</f>
        <v>35.380000000000003</v>
      </c>
      <c r="N69">
        <f>+_xlfn.XLOOKUP(A69,'COSTO Y PRECIO'!$A:$A,'COSTO Y PRECIO'!C:C)</f>
        <v>54</v>
      </c>
    </row>
    <row r="70" spans="1:14" x14ac:dyDescent="0.35">
      <c r="A70" s="2">
        <v>100021658</v>
      </c>
      <c r="B70" s="3">
        <v>75076757</v>
      </c>
      <c r="C70" s="2" t="s">
        <v>103</v>
      </c>
      <c r="D70" s="2" t="s">
        <v>44</v>
      </c>
      <c r="E70" s="2" t="s">
        <v>67</v>
      </c>
      <c r="F70" s="2" t="s">
        <v>100</v>
      </c>
      <c r="G70" s="2" t="s">
        <v>71</v>
      </c>
      <c r="H70" s="1" t="s">
        <v>36</v>
      </c>
      <c r="I70" s="1" t="s">
        <v>16</v>
      </c>
      <c r="J70" t="str">
        <f>+_xlfn.XLOOKUP(B70,INNOVACIÓN!A:A,INNOVACIÓN!B:B,"NO")</f>
        <v>NO</v>
      </c>
      <c r="K70">
        <v>14</v>
      </c>
      <c r="M70">
        <f>+_xlfn.XLOOKUP(A70,'COSTO Y PRECIO'!$A:$A,'COSTO Y PRECIO'!B:B)</f>
        <v>35.380000000000003</v>
      </c>
      <c r="N70">
        <f>+_xlfn.XLOOKUP(A70,'COSTO Y PRECIO'!$A:$A,'COSTO Y PRECIO'!C:C)</f>
        <v>54</v>
      </c>
    </row>
    <row r="71" spans="1:14" x14ac:dyDescent="0.35">
      <c r="A71" s="2">
        <v>100021978</v>
      </c>
      <c r="B71" s="3">
        <v>75078638</v>
      </c>
      <c r="C71" s="2" t="s">
        <v>104</v>
      </c>
      <c r="D71" s="2" t="s">
        <v>44</v>
      </c>
      <c r="E71" s="2" t="s">
        <v>67</v>
      </c>
      <c r="F71" s="2" t="s">
        <v>100</v>
      </c>
      <c r="G71" s="2" t="s">
        <v>71</v>
      </c>
      <c r="H71" s="1" t="s">
        <v>36</v>
      </c>
      <c r="I71" s="1" t="s">
        <v>16</v>
      </c>
      <c r="J71" t="str">
        <f>+_xlfn.XLOOKUP(B71,INNOVACIÓN!A:A,INNOVACIÓN!B:B,"NO")</f>
        <v>NO</v>
      </c>
      <c r="K71">
        <v>20</v>
      </c>
      <c r="M71">
        <f>+_xlfn.XLOOKUP(A71,'COSTO Y PRECIO'!$A:$A,'COSTO Y PRECIO'!B:B)</f>
        <v>50.45</v>
      </c>
      <c r="N71">
        <f>+_xlfn.XLOOKUP(A71,'COSTO Y PRECIO'!$A:$A,'COSTO Y PRECIO'!C:C)</f>
        <v>77</v>
      </c>
    </row>
    <row r="72" spans="1:14" x14ac:dyDescent="0.35">
      <c r="A72" s="2">
        <v>100018746</v>
      </c>
      <c r="B72" s="3">
        <v>75073534</v>
      </c>
      <c r="C72" s="2" t="s">
        <v>105</v>
      </c>
      <c r="D72" s="2" t="s">
        <v>44</v>
      </c>
      <c r="E72" s="2" t="s">
        <v>33</v>
      </c>
      <c r="F72" s="2" t="s">
        <v>41</v>
      </c>
      <c r="G72" s="2" t="s">
        <v>35</v>
      </c>
      <c r="H72" s="1" t="s">
        <v>36</v>
      </c>
      <c r="I72" s="1" t="s">
        <v>109</v>
      </c>
      <c r="J72" t="str">
        <f>+_xlfn.XLOOKUP(B72,INNOVACIÓN!A:A,INNOVACIÓN!B:B,"NO")</f>
        <v>NO</v>
      </c>
      <c r="K72">
        <v>15</v>
      </c>
      <c r="M72">
        <f>+_xlfn.XLOOKUP(A72,'COSTO Y PRECIO'!$A:$A,'COSTO Y PRECIO'!B:B)</f>
        <v>45.05</v>
      </c>
      <c r="N72">
        <f>+_xlfn.XLOOKUP(A72,'COSTO Y PRECIO'!$A:$A,'COSTO Y PRECIO'!C:C)</f>
        <v>67</v>
      </c>
    </row>
    <row r="73" spans="1:14" x14ac:dyDescent="0.35">
      <c r="A73" s="2">
        <v>100018745</v>
      </c>
      <c r="B73" s="3">
        <v>75073541</v>
      </c>
      <c r="C73" s="2" t="s">
        <v>106</v>
      </c>
      <c r="D73" s="2" t="s">
        <v>44</v>
      </c>
      <c r="E73" s="2" t="s">
        <v>67</v>
      </c>
      <c r="F73" s="2" t="s">
        <v>41</v>
      </c>
      <c r="G73" s="2" t="s">
        <v>71</v>
      </c>
      <c r="H73" s="1" t="s">
        <v>36</v>
      </c>
      <c r="I73" s="1" t="s">
        <v>16</v>
      </c>
      <c r="J73" t="str">
        <f>+_xlfn.XLOOKUP(B73,INNOVACIÓN!A:A,INNOVACIÓN!B:B,"NO")</f>
        <v>NO</v>
      </c>
      <c r="K73">
        <v>15</v>
      </c>
      <c r="M73">
        <f>+_xlfn.XLOOKUP(A73,'COSTO Y PRECIO'!$A:$A,'COSTO Y PRECIO'!B:B)</f>
        <v>45.05</v>
      </c>
      <c r="N73">
        <f>+_xlfn.XLOOKUP(A73,'COSTO Y PRECIO'!$A:$A,'COSTO Y PRECIO'!C:C)</f>
        <v>67</v>
      </c>
    </row>
    <row r="74" spans="1:14" x14ac:dyDescent="0.35">
      <c r="A74">
        <v>100025670</v>
      </c>
      <c r="B74" s="6">
        <v>75083786</v>
      </c>
      <c r="C74" t="s">
        <v>107</v>
      </c>
      <c r="D74" s="2" t="s">
        <v>44</v>
      </c>
      <c r="E74" s="2" t="s">
        <v>67</v>
      </c>
      <c r="F74" s="2" t="s">
        <v>609</v>
      </c>
      <c r="G74" s="2" t="s">
        <v>35</v>
      </c>
      <c r="H74" s="1" t="s">
        <v>36</v>
      </c>
      <c r="I74" s="1" t="s">
        <v>16</v>
      </c>
      <c r="J74" t="str">
        <f>+_xlfn.XLOOKUP(B74,INNOVACIÓN!A:A,INNOVACIÓN!B:B,"NO")</f>
        <v>NO</v>
      </c>
      <c r="K74">
        <v>14</v>
      </c>
      <c r="M74">
        <f>+_xlfn.XLOOKUP(A74,'COSTO Y PRECIO'!$A:$A,'COSTO Y PRECIO'!B:B)</f>
        <v>33.409999999999997</v>
      </c>
      <c r="N74">
        <f>+_xlfn.XLOOKUP(A74,'COSTO Y PRECIO'!$A:$A,'COSTO Y PRECIO'!C:C)</f>
        <v>51</v>
      </c>
    </row>
    <row r="75" spans="1:14" x14ac:dyDescent="0.35">
      <c r="A75">
        <v>100025843</v>
      </c>
      <c r="B75" s="6">
        <v>75084165</v>
      </c>
      <c r="C75" t="s">
        <v>108</v>
      </c>
      <c r="D75" s="2" t="s">
        <v>44</v>
      </c>
      <c r="E75" s="14" t="s">
        <v>33</v>
      </c>
      <c r="F75" s="1" t="s">
        <v>46</v>
      </c>
      <c r="G75" s="2" t="s">
        <v>14</v>
      </c>
      <c r="H75" s="1" t="s">
        <v>36</v>
      </c>
      <c r="I75" s="1" t="s">
        <v>109</v>
      </c>
      <c r="J75" t="str">
        <f>+_xlfn.XLOOKUP(B75,INNOVACIÓN!A:A,INNOVACIÓN!B:B,"NO")</f>
        <v>NO</v>
      </c>
      <c r="K75">
        <v>20</v>
      </c>
      <c r="M75">
        <f>+_xlfn.XLOOKUP(A75,'COSTO Y PRECIO'!$A:$A,'COSTO Y PRECIO'!B:B)</f>
        <v>53.79</v>
      </c>
      <c r="N75">
        <f>+_xlfn.XLOOKUP(A75,'COSTO Y PRECIO'!$A:$A,'COSTO Y PRECIO'!C:C)</f>
        <v>80</v>
      </c>
    </row>
    <row r="76" spans="1:14" x14ac:dyDescent="0.35">
      <c r="A76" s="2">
        <v>100022118</v>
      </c>
      <c r="B76" s="3">
        <v>75076429</v>
      </c>
      <c r="C76" s="2" t="s">
        <v>110</v>
      </c>
      <c r="D76" s="2" t="s">
        <v>44</v>
      </c>
      <c r="E76" s="2" t="s">
        <v>67</v>
      </c>
      <c r="F76" s="2" t="s">
        <v>46</v>
      </c>
      <c r="G76" s="2" t="s">
        <v>14</v>
      </c>
      <c r="H76" s="1" t="s">
        <v>36</v>
      </c>
      <c r="I76" s="1" t="s">
        <v>16</v>
      </c>
      <c r="J76" t="str">
        <f>+_xlfn.XLOOKUP(B76,INNOVACIÓN!A:A,INNOVACIÓN!B:B,"NO")</f>
        <v>NO</v>
      </c>
      <c r="K76">
        <v>20</v>
      </c>
      <c r="M76">
        <f>+_xlfn.XLOOKUP(A76,'COSTO Y PRECIO'!$A:$A,'COSTO Y PRECIO'!B:B)</f>
        <v>65.900000000000006</v>
      </c>
      <c r="N76">
        <f>+_xlfn.XLOOKUP(A76,'COSTO Y PRECIO'!$A:$A,'COSTO Y PRECIO'!C:C)</f>
        <v>98</v>
      </c>
    </row>
    <row r="77" spans="1:14" x14ac:dyDescent="0.35">
      <c r="A77">
        <v>100025282</v>
      </c>
      <c r="B77" s="6">
        <v>75082543</v>
      </c>
      <c r="C77" t="s">
        <v>111</v>
      </c>
      <c r="D77" s="2" t="s">
        <v>44</v>
      </c>
      <c r="E77" t="s">
        <v>67</v>
      </c>
      <c r="F77" s="1" t="s">
        <v>46</v>
      </c>
      <c r="G77" s="1" t="s">
        <v>14</v>
      </c>
      <c r="H77" s="1" t="s">
        <v>36</v>
      </c>
      <c r="I77" s="1" t="s">
        <v>16</v>
      </c>
      <c r="J77" t="str">
        <f>+_xlfn.XLOOKUP(B77,INNOVACIÓN!A:A,INNOVACIÓN!B:B,"NO")</f>
        <v>NO</v>
      </c>
      <c r="K77">
        <v>15</v>
      </c>
      <c r="M77">
        <f>+_xlfn.XLOOKUP(A77,'COSTO Y PRECIO'!$A:$A,'COSTO Y PRECIO'!B:B)</f>
        <v>49.76</v>
      </c>
      <c r="N77">
        <f>+_xlfn.XLOOKUP(A77,'COSTO Y PRECIO'!$A:$A,'COSTO Y PRECIO'!C:C)</f>
        <v>74</v>
      </c>
    </row>
    <row r="78" spans="1:14" x14ac:dyDescent="0.35">
      <c r="A78">
        <v>100026385</v>
      </c>
      <c r="B78" s="6">
        <v>75080525</v>
      </c>
      <c r="C78" t="s">
        <v>112</v>
      </c>
      <c r="D78" s="2" t="s">
        <v>44</v>
      </c>
      <c r="E78" s="14" t="s">
        <v>67</v>
      </c>
      <c r="F78" s="2" t="s">
        <v>608</v>
      </c>
      <c r="G78" s="2" t="s">
        <v>71</v>
      </c>
      <c r="H78" s="1" t="s">
        <v>36</v>
      </c>
      <c r="I78" s="1" t="s">
        <v>16</v>
      </c>
      <c r="J78" t="str">
        <f>+_xlfn.XLOOKUP(B78,INNOVACIÓN!A:A,INNOVACIÓN!B:B,"NO")</f>
        <v>NO</v>
      </c>
      <c r="K78">
        <v>20</v>
      </c>
      <c r="M78">
        <f>+_xlfn.XLOOKUP(A78,'COSTO Y PRECIO'!$A:$A,'COSTO Y PRECIO'!B:B)</f>
        <v>51.1</v>
      </c>
      <c r="N78">
        <f>+_xlfn.XLOOKUP(A78,'COSTO Y PRECIO'!$A:$A,'COSTO Y PRECIO'!C:C)</f>
        <v>76</v>
      </c>
    </row>
    <row r="79" spans="1:14" x14ac:dyDescent="0.35">
      <c r="A79">
        <v>100026386</v>
      </c>
      <c r="B79" s="6">
        <v>75080495</v>
      </c>
      <c r="C79" t="s">
        <v>113</v>
      </c>
      <c r="D79" s="2" t="s">
        <v>44</v>
      </c>
      <c r="E79" s="14" t="s">
        <v>67</v>
      </c>
      <c r="F79" s="2" t="s">
        <v>608</v>
      </c>
      <c r="G79" s="2" t="s">
        <v>71</v>
      </c>
      <c r="H79" s="1" t="s">
        <v>36</v>
      </c>
      <c r="I79" s="1" t="s">
        <v>16</v>
      </c>
      <c r="J79" t="str">
        <f>+_xlfn.XLOOKUP(B79,INNOVACIÓN!A:A,INNOVACIÓN!B:B,"NO")</f>
        <v>NO</v>
      </c>
      <c r="K79">
        <v>20</v>
      </c>
      <c r="M79">
        <f>+_xlfn.XLOOKUP(A79,'COSTO Y PRECIO'!$A:$A,'COSTO Y PRECIO'!B:B)</f>
        <v>51.1</v>
      </c>
      <c r="N79">
        <f>+_xlfn.XLOOKUP(A79,'COSTO Y PRECIO'!$A:$A,'COSTO Y PRECIO'!C:C)</f>
        <v>76</v>
      </c>
    </row>
    <row r="80" spans="1:14" x14ac:dyDescent="0.35">
      <c r="A80" s="1">
        <v>100022233</v>
      </c>
      <c r="B80" s="1">
        <v>75076412</v>
      </c>
      <c r="C80" s="1" t="s">
        <v>114</v>
      </c>
      <c r="D80" s="1" t="s">
        <v>44</v>
      </c>
      <c r="E80" s="1" t="s">
        <v>67</v>
      </c>
      <c r="F80" s="1" t="s">
        <v>46</v>
      </c>
      <c r="G80" s="1" t="s">
        <v>52</v>
      </c>
      <c r="H80" s="1" t="s">
        <v>36</v>
      </c>
      <c r="I80" s="1" t="s">
        <v>16</v>
      </c>
      <c r="J80" t="str">
        <f>+_xlfn.XLOOKUP(B80,INNOVACIÓN!A:A,INNOVACIÓN!B:B,"NO")</f>
        <v>NO</v>
      </c>
      <c r="K80">
        <v>20</v>
      </c>
      <c r="M80">
        <f>+_xlfn.XLOOKUP(A80,'COSTO Y PRECIO'!$A:$A,'COSTO Y PRECIO'!B:B)</f>
        <v>65.900000000000006</v>
      </c>
      <c r="N80">
        <f>+_xlfn.XLOOKUP(A80,'COSTO Y PRECIO'!$A:$A,'COSTO Y PRECIO'!C:C)</f>
        <v>98</v>
      </c>
    </row>
    <row r="81" spans="1:14" x14ac:dyDescent="0.35">
      <c r="A81" s="2">
        <v>100012746</v>
      </c>
      <c r="B81" s="3">
        <v>75064648</v>
      </c>
      <c r="C81" s="2" t="s">
        <v>115</v>
      </c>
      <c r="D81" s="2" t="s">
        <v>44</v>
      </c>
      <c r="E81" s="2" t="s">
        <v>67</v>
      </c>
      <c r="F81" s="2" t="s">
        <v>46</v>
      </c>
      <c r="G81" s="2" t="s">
        <v>14</v>
      </c>
      <c r="H81" s="1" t="s">
        <v>36</v>
      </c>
      <c r="I81" s="1" t="s">
        <v>16</v>
      </c>
      <c r="J81" t="str">
        <f>+_xlfn.XLOOKUP(B81,INNOVACIÓN!A:A,INNOVACIÓN!B:B,"NO")</f>
        <v>NO</v>
      </c>
      <c r="K81">
        <v>20</v>
      </c>
      <c r="M81">
        <f>+_xlfn.XLOOKUP(A81,'COSTO Y PRECIO'!$A:$A,'COSTO Y PRECIO'!B:B)</f>
        <v>65.900000000000006</v>
      </c>
      <c r="N81">
        <f>+_xlfn.XLOOKUP(A81,'COSTO Y PRECIO'!$A:$A,'COSTO Y PRECIO'!C:C)</f>
        <v>98</v>
      </c>
    </row>
    <row r="82" spans="1:14" x14ac:dyDescent="0.35">
      <c r="A82" s="2">
        <v>100014187</v>
      </c>
      <c r="B82" s="3">
        <v>75068363</v>
      </c>
      <c r="C82" s="2" t="s">
        <v>116</v>
      </c>
      <c r="D82" s="2" t="s">
        <v>44</v>
      </c>
      <c r="E82" s="2" t="s">
        <v>67</v>
      </c>
      <c r="F82" s="2" t="s">
        <v>46</v>
      </c>
      <c r="G82" s="2" t="s">
        <v>14</v>
      </c>
      <c r="H82" s="1" t="s">
        <v>36</v>
      </c>
      <c r="I82" s="1" t="s">
        <v>16</v>
      </c>
      <c r="J82" t="str">
        <f>+_xlfn.XLOOKUP(B82,INNOVACIÓN!A:A,INNOVACIÓN!B:B,"NO")</f>
        <v>NO</v>
      </c>
      <c r="K82">
        <v>20</v>
      </c>
      <c r="M82">
        <f>+_xlfn.XLOOKUP(A82,'COSTO Y PRECIO'!$A:$A,'COSTO Y PRECIO'!B:B)</f>
        <v>65.900000000000006</v>
      </c>
      <c r="N82">
        <f>+_xlfn.XLOOKUP(A82,'COSTO Y PRECIO'!$A:$A,'COSTO Y PRECIO'!C:C)</f>
        <v>98</v>
      </c>
    </row>
    <row r="83" spans="1:14" x14ac:dyDescent="0.35">
      <c r="A83">
        <v>100026388</v>
      </c>
      <c r="B83" s="6">
        <v>75080518</v>
      </c>
      <c r="C83" t="s">
        <v>117</v>
      </c>
      <c r="D83" s="2" t="s">
        <v>44</v>
      </c>
      <c r="E83" s="14" t="s">
        <v>67</v>
      </c>
      <c r="F83" s="2" t="s">
        <v>608</v>
      </c>
      <c r="G83" s="2" t="s">
        <v>71</v>
      </c>
      <c r="H83" s="1" t="s">
        <v>36</v>
      </c>
      <c r="I83" s="1" t="s">
        <v>16</v>
      </c>
      <c r="J83" t="str">
        <f>+_xlfn.XLOOKUP(B83,INNOVACIÓN!A:A,INNOVACIÓN!B:B,"NO")</f>
        <v>NO</v>
      </c>
      <c r="K83">
        <v>20</v>
      </c>
      <c r="M83">
        <f>+_xlfn.XLOOKUP(A83,'COSTO Y PRECIO'!$A:$A,'COSTO Y PRECIO'!B:B)</f>
        <v>51.1</v>
      </c>
      <c r="N83">
        <f>+_xlfn.XLOOKUP(A83,'COSTO Y PRECIO'!$A:$A,'COSTO Y PRECIO'!C:C)</f>
        <v>76</v>
      </c>
    </row>
    <row r="84" spans="1:14" x14ac:dyDescent="0.35">
      <c r="A84">
        <v>100025673</v>
      </c>
      <c r="B84" s="6">
        <v>75083779</v>
      </c>
      <c r="C84" t="s">
        <v>118</v>
      </c>
      <c r="D84" s="2" t="s">
        <v>44</v>
      </c>
      <c r="E84" s="2" t="s">
        <v>67</v>
      </c>
      <c r="F84" s="2" t="s">
        <v>609</v>
      </c>
      <c r="G84" s="2" t="s">
        <v>35</v>
      </c>
      <c r="H84" s="1" t="s">
        <v>36</v>
      </c>
      <c r="I84" s="1" t="s">
        <v>16</v>
      </c>
      <c r="J84" t="str">
        <f>+_xlfn.XLOOKUP(B84,INNOVACIÓN!A:A,INNOVACIÓN!B:B,"NO")</f>
        <v>NO</v>
      </c>
      <c r="K84">
        <v>20</v>
      </c>
      <c r="M84">
        <f>+_xlfn.XLOOKUP(A84,'COSTO Y PRECIO'!$A:$A,'COSTO Y PRECIO'!B:B)</f>
        <v>47.17</v>
      </c>
      <c r="N84">
        <f>+_xlfn.XLOOKUP(A84,'COSTO Y PRECIO'!$A:$A,'COSTO Y PRECIO'!C:C)</f>
        <v>72</v>
      </c>
    </row>
    <row r="85" spans="1:14" x14ac:dyDescent="0.35">
      <c r="A85">
        <v>100025677</v>
      </c>
      <c r="B85" s="6">
        <v>75083793</v>
      </c>
      <c r="C85" t="s">
        <v>119</v>
      </c>
      <c r="D85" s="2" t="s">
        <v>44</v>
      </c>
      <c r="E85" s="2" t="s">
        <v>67</v>
      </c>
      <c r="F85" s="2" t="s">
        <v>609</v>
      </c>
      <c r="G85" s="2" t="s">
        <v>35</v>
      </c>
      <c r="H85" s="1" t="s">
        <v>36</v>
      </c>
      <c r="I85" s="1" t="s">
        <v>16</v>
      </c>
      <c r="J85" t="str">
        <f>+_xlfn.XLOOKUP(B85,INNOVACIÓN!A:A,INNOVACIÓN!B:B,"NO")</f>
        <v>NO</v>
      </c>
      <c r="K85">
        <v>25</v>
      </c>
      <c r="M85">
        <f>+_xlfn.XLOOKUP(A85,'COSTO Y PRECIO'!$A:$A,'COSTO Y PRECIO'!B:B)</f>
        <v>53.72</v>
      </c>
      <c r="N85">
        <f>+_xlfn.XLOOKUP(A85,'COSTO Y PRECIO'!$A:$A,'COSTO Y PRECIO'!C:C)</f>
        <v>82</v>
      </c>
    </row>
    <row r="86" spans="1:14" x14ac:dyDescent="0.35">
      <c r="A86">
        <v>100025672</v>
      </c>
      <c r="B86" s="6">
        <v>75083762</v>
      </c>
      <c r="C86" t="s">
        <v>120</v>
      </c>
      <c r="D86" s="2" t="s">
        <v>44</v>
      </c>
      <c r="E86" s="2" t="s">
        <v>67</v>
      </c>
      <c r="F86" s="2" t="s">
        <v>609</v>
      </c>
      <c r="G86" s="2" t="s">
        <v>35</v>
      </c>
      <c r="H86" s="1" t="s">
        <v>36</v>
      </c>
      <c r="I86" s="1" t="s">
        <v>16</v>
      </c>
      <c r="J86" t="str">
        <f>+_xlfn.XLOOKUP(B86,INNOVACIÓN!A:A,INNOVACIÓN!B:B,"NO")</f>
        <v>SI</v>
      </c>
      <c r="K86">
        <v>14</v>
      </c>
      <c r="M86">
        <f>+_xlfn.XLOOKUP(A86,'COSTO Y PRECIO'!$A:$A,'COSTO Y PRECIO'!B:B)</f>
        <v>33.409999999999997</v>
      </c>
      <c r="N86">
        <f>+_xlfn.XLOOKUP(A86,'COSTO Y PRECIO'!$A:$A,'COSTO Y PRECIO'!C:C)</f>
        <v>51</v>
      </c>
    </row>
    <row r="87" spans="1:14" x14ac:dyDescent="0.35">
      <c r="A87">
        <v>100025675</v>
      </c>
      <c r="B87" s="6">
        <v>75083755</v>
      </c>
      <c r="C87" t="s">
        <v>121</v>
      </c>
      <c r="D87" s="2" t="s">
        <v>44</v>
      </c>
      <c r="E87" s="2" t="s">
        <v>67</v>
      </c>
      <c r="F87" s="2" t="s">
        <v>609</v>
      </c>
      <c r="G87" s="2" t="s">
        <v>35</v>
      </c>
      <c r="H87" s="1" t="s">
        <v>36</v>
      </c>
      <c r="I87" s="1" t="s">
        <v>16</v>
      </c>
      <c r="J87" t="str">
        <f>+_xlfn.XLOOKUP(B87,INNOVACIÓN!A:A,INNOVACIÓN!B:B,"NO")</f>
        <v>SI</v>
      </c>
      <c r="K87">
        <v>20</v>
      </c>
      <c r="M87">
        <f>+_xlfn.XLOOKUP(A87,'COSTO Y PRECIO'!$A:$A,'COSTO Y PRECIO'!B:B)</f>
        <v>47.17</v>
      </c>
      <c r="N87">
        <f>+_xlfn.XLOOKUP(A87,'COSTO Y PRECIO'!$A:$A,'COSTO Y PRECIO'!C:C)</f>
        <v>72</v>
      </c>
    </row>
    <row r="88" spans="1:14" x14ac:dyDescent="0.35">
      <c r="A88">
        <v>100025844</v>
      </c>
      <c r="B88" s="6">
        <v>75084172</v>
      </c>
      <c r="C88" t="s">
        <v>122</v>
      </c>
      <c r="D88" s="2" t="s">
        <v>44</v>
      </c>
      <c r="E88" s="14" t="s">
        <v>33</v>
      </c>
      <c r="F88" s="1" t="s">
        <v>46</v>
      </c>
      <c r="G88" s="2" t="s">
        <v>14</v>
      </c>
      <c r="H88" s="1" t="s">
        <v>36</v>
      </c>
      <c r="I88" s="1" t="s">
        <v>109</v>
      </c>
      <c r="J88" t="str">
        <f>+_xlfn.XLOOKUP(B88,INNOVACIÓN!A:A,INNOVACIÓN!B:B,"NO")</f>
        <v>NO</v>
      </c>
      <c r="K88">
        <v>20</v>
      </c>
      <c r="M88">
        <f>+_xlfn.XLOOKUP(A88,'COSTO Y PRECIO'!$A:$A,'COSTO Y PRECIO'!B:B)</f>
        <v>53.79</v>
      </c>
      <c r="N88">
        <f>+_xlfn.XLOOKUP(A88,'COSTO Y PRECIO'!$A:$A,'COSTO Y PRECIO'!C:C)</f>
        <v>80</v>
      </c>
    </row>
    <row r="89" spans="1:14" x14ac:dyDescent="0.35">
      <c r="A89">
        <v>100025850</v>
      </c>
      <c r="B89" s="6">
        <v>75083632</v>
      </c>
      <c r="C89" t="s">
        <v>123</v>
      </c>
      <c r="D89" s="2" t="s">
        <v>44</v>
      </c>
      <c r="E89" s="2" t="s">
        <v>67</v>
      </c>
      <c r="F89" s="1" t="s">
        <v>46</v>
      </c>
      <c r="G89" s="2" t="s">
        <v>14</v>
      </c>
      <c r="H89" s="1" t="s">
        <v>36</v>
      </c>
      <c r="I89" s="1" t="s">
        <v>16</v>
      </c>
      <c r="J89" t="str">
        <f>+_xlfn.XLOOKUP(B89,INNOVACIÓN!A:A,INNOVACIÓN!B:B,"NO")</f>
        <v>NO</v>
      </c>
      <c r="K89">
        <v>20</v>
      </c>
      <c r="M89">
        <f>+_xlfn.XLOOKUP(A89,'COSTO Y PRECIO'!$A:$A,'COSTO Y PRECIO'!B:B)</f>
        <v>65.900000000000006</v>
      </c>
      <c r="N89">
        <f>+_xlfn.XLOOKUP(A89,'COSTO Y PRECIO'!$A:$A,'COSTO Y PRECIO'!C:C)</f>
        <v>98</v>
      </c>
    </row>
    <row r="90" spans="1:14" x14ac:dyDescent="0.35">
      <c r="A90">
        <v>100025847</v>
      </c>
      <c r="B90" s="6">
        <v>75084141</v>
      </c>
      <c r="C90" t="s">
        <v>124</v>
      </c>
      <c r="D90" s="2" t="s">
        <v>44</v>
      </c>
      <c r="E90" s="14" t="s">
        <v>33</v>
      </c>
      <c r="F90" s="1" t="s">
        <v>46</v>
      </c>
      <c r="G90" s="2" t="s">
        <v>14</v>
      </c>
      <c r="H90" s="1" t="s">
        <v>36</v>
      </c>
      <c r="I90" s="1" t="s">
        <v>109</v>
      </c>
      <c r="J90" t="str">
        <f>+_xlfn.XLOOKUP(B90,INNOVACIÓN!A:A,INNOVACIÓN!B:B,"NO")</f>
        <v>NO</v>
      </c>
      <c r="K90">
        <v>20</v>
      </c>
      <c r="M90">
        <f>+_xlfn.XLOOKUP(A90,'COSTO Y PRECIO'!$A:$A,'COSTO Y PRECIO'!B:B)</f>
        <v>53.79</v>
      </c>
      <c r="N90">
        <f>+_xlfn.XLOOKUP(A90,'COSTO Y PRECIO'!$A:$A,'COSTO Y PRECIO'!C:C)</f>
        <v>80</v>
      </c>
    </row>
    <row r="91" spans="1:14" x14ac:dyDescent="0.35">
      <c r="A91">
        <v>100025848</v>
      </c>
      <c r="B91" s="6">
        <v>75084486</v>
      </c>
      <c r="C91" t="s">
        <v>125</v>
      </c>
      <c r="D91" s="2" t="s">
        <v>44</v>
      </c>
      <c r="E91" s="14" t="s">
        <v>33</v>
      </c>
      <c r="F91" s="1" t="s">
        <v>46</v>
      </c>
      <c r="G91" s="2" t="s">
        <v>14</v>
      </c>
      <c r="H91" s="1" t="s">
        <v>36</v>
      </c>
      <c r="I91" s="1" t="s">
        <v>109</v>
      </c>
      <c r="J91" t="str">
        <f>+_xlfn.XLOOKUP(B91,INNOVACIÓN!A:A,INNOVACIÓN!B:B,"NO")</f>
        <v>NO</v>
      </c>
      <c r="K91">
        <v>20</v>
      </c>
      <c r="M91">
        <f>+_xlfn.XLOOKUP(A91,'COSTO Y PRECIO'!$A:$A,'COSTO Y PRECIO'!B:B)</f>
        <v>53.79</v>
      </c>
      <c r="N91">
        <f>+_xlfn.XLOOKUP(A91,'COSTO Y PRECIO'!$A:$A,'COSTO Y PRECIO'!C:C)</f>
        <v>80</v>
      </c>
    </row>
    <row r="92" spans="1:14" x14ac:dyDescent="0.35">
      <c r="A92" s="1">
        <v>100013077</v>
      </c>
      <c r="B92" s="1">
        <v>75064761</v>
      </c>
      <c r="C92" s="1" t="s">
        <v>126</v>
      </c>
      <c r="D92" s="2" t="s">
        <v>44</v>
      </c>
      <c r="E92" s="7" t="s">
        <v>33</v>
      </c>
      <c r="F92" s="7" t="s">
        <v>41</v>
      </c>
      <c r="G92" s="7" t="s">
        <v>35</v>
      </c>
      <c r="H92" s="1" t="s">
        <v>36</v>
      </c>
      <c r="I92" s="1" t="s">
        <v>109</v>
      </c>
      <c r="J92" t="str">
        <f>+_xlfn.XLOOKUP(B92,INNOVACIÓN!A:A,INNOVACIÓN!B:B,"NO")</f>
        <v>NO</v>
      </c>
      <c r="K92">
        <v>15</v>
      </c>
      <c r="M92">
        <f>+_xlfn.XLOOKUP(A92,'COSTO Y PRECIO'!$A:$A,'COSTO Y PRECIO'!B:B)</f>
        <v>47.74</v>
      </c>
      <c r="N92" t="e">
        <f>+_xlfn.XLOOKUP(A92,'COSTO Y PRECIO'!$A:$A,'COSTO Y PRECIO'!C:C)</f>
        <v>#N/A</v>
      </c>
    </row>
    <row r="93" spans="1:14" x14ac:dyDescent="0.35">
      <c r="A93" s="2">
        <v>100016413</v>
      </c>
      <c r="B93" s="3">
        <v>75071455</v>
      </c>
      <c r="C93" s="2" t="s">
        <v>127</v>
      </c>
      <c r="D93" s="2" t="s">
        <v>44</v>
      </c>
      <c r="E93" s="2" t="s">
        <v>67</v>
      </c>
      <c r="F93" s="2" t="s">
        <v>41</v>
      </c>
      <c r="G93" s="2" t="s">
        <v>35</v>
      </c>
      <c r="H93" s="1" t="s">
        <v>36</v>
      </c>
      <c r="I93" s="1" t="s">
        <v>16</v>
      </c>
      <c r="J93" t="str">
        <f>+_xlfn.XLOOKUP(B93,INNOVACIÓN!A:A,INNOVACIÓN!B:B,"NO")</f>
        <v>NO</v>
      </c>
      <c r="K93">
        <v>20</v>
      </c>
      <c r="M93">
        <f>+_xlfn.XLOOKUP(A93,'COSTO Y PRECIO'!$A:$A,'COSTO Y PRECIO'!B:B)</f>
        <v>59.84</v>
      </c>
      <c r="N93">
        <f>+_xlfn.XLOOKUP(A93,'COSTO Y PRECIO'!$A:$A,'COSTO Y PRECIO'!C:C)</f>
        <v>89</v>
      </c>
    </row>
    <row r="94" spans="1:14" x14ac:dyDescent="0.35">
      <c r="A94">
        <v>100025845</v>
      </c>
      <c r="B94" s="6">
        <v>75084127</v>
      </c>
      <c r="C94" t="s">
        <v>128</v>
      </c>
      <c r="D94" s="2" t="s">
        <v>44</v>
      </c>
      <c r="E94" s="14" t="s">
        <v>33</v>
      </c>
      <c r="F94" s="1" t="s">
        <v>46</v>
      </c>
      <c r="G94" s="2" t="s">
        <v>14</v>
      </c>
      <c r="H94" s="1" t="s">
        <v>36</v>
      </c>
      <c r="I94" s="1" t="s">
        <v>109</v>
      </c>
      <c r="J94" t="str">
        <f>+_xlfn.XLOOKUP(B94,INNOVACIÓN!A:A,INNOVACIÓN!B:B,"NO")</f>
        <v>NO</v>
      </c>
      <c r="K94">
        <v>20</v>
      </c>
      <c r="M94">
        <f>+_xlfn.XLOOKUP(A94,'COSTO Y PRECIO'!$A:$A,'COSTO Y PRECIO'!B:B)</f>
        <v>53.79</v>
      </c>
      <c r="N94">
        <f>+_xlfn.XLOOKUP(A94,'COSTO Y PRECIO'!$A:$A,'COSTO Y PRECIO'!C:C)</f>
        <v>80</v>
      </c>
    </row>
    <row r="95" spans="1:14" x14ac:dyDescent="0.35">
      <c r="A95" s="2">
        <v>100013891</v>
      </c>
      <c r="B95" s="3">
        <v>75064778</v>
      </c>
      <c r="C95" s="2" t="s">
        <v>129</v>
      </c>
      <c r="D95" s="2" t="s">
        <v>44</v>
      </c>
      <c r="E95" s="2" t="s">
        <v>33</v>
      </c>
      <c r="F95" s="2" t="s">
        <v>41</v>
      </c>
      <c r="G95" s="2" t="s">
        <v>35</v>
      </c>
      <c r="H95" s="1" t="s">
        <v>36</v>
      </c>
      <c r="I95" s="1" t="s">
        <v>109</v>
      </c>
      <c r="J95" t="str">
        <f>+_xlfn.XLOOKUP(B95,INNOVACIÓN!A:A,INNOVACIÓN!B:B,"NO")</f>
        <v>NO</v>
      </c>
      <c r="K95">
        <v>25</v>
      </c>
      <c r="M95">
        <f>+_xlfn.XLOOKUP(A95,'COSTO Y PRECIO'!$A:$A,'COSTO Y PRECIO'!B:B)</f>
        <v>66.569999999999993</v>
      </c>
      <c r="N95">
        <f>+_xlfn.XLOOKUP(A95,'COSTO Y PRECIO'!$A:$A,'COSTO Y PRECIO'!C:C)</f>
        <v>99</v>
      </c>
    </row>
    <row r="96" spans="1:14" x14ac:dyDescent="0.35">
      <c r="A96" s="1">
        <v>100080802</v>
      </c>
      <c r="B96" s="1">
        <v>75027766</v>
      </c>
      <c r="C96" s="1" t="s">
        <v>130</v>
      </c>
      <c r="D96" s="1" t="s">
        <v>44</v>
      </c>
      <c r="E96" s="1" t="s">
        <v>67</v>
      </c>
      <c r="F96" s="1" t="s">
        <v>46</v>
      </c>
      <c r="G96" s="1" t="s">
        <v>58</v>
      </c>
      <c r="H96" s="1" t="s">
        <v>36</v>
      </c>
      <c r="I96" s="1" t="s">
        <v>16</v>
      </c>
      <c r="J96" t="str">
        <f>+_xlfn.XLOOKUP(B96,INNOVACIÓN!A:A,INNOVACIÓN!B:B,"NO")</f>
        <v>NO</v>
      </c>
      <c r="K96">
        <v>20</v>
      </c>
      <c r="M96">
        <f>+_xlfn.XLOOKUP(A96,'COSTO Y PRECIO'!$A:$A,'COSTO Y PRECIO'!B:B)</f>
        <v>66.569999999999993</v>
      </c>
      <c r="N96">
        <f>+_xlfn.XLOOKUP(A96,'COSTO Y PRECIO'!$A:$A,'COSTO Y PRECIO'!C:C)</f>
        <v>99</v>
      </c>
    </row>
    <row r="97" spans="1:14" x14ac:dyDescent="0.35">
      <c r="A97" s="1">
        <v>100010093</v>
      </c>
      <c r="B97" s="1">
        <v>75061777</v>
      </c>
      <c r="C97" s="1" t="s">
        <v>131</v>
      </c>
      <c r="D97" s="2" t="s">
        <v>44</v>
      </c>
      <c r="E97" s="7" t="s">
        <v>33</v>
      </c>
      <c r="F97" s="7" t="s">
        <v>46</v>
      </c>
      <c r="G97" s="7" t="s">
        <v>54</v>
      </c>
      <c r="H97" s="1" t="s">
        <v>36</v>
      </c>
      <c r="I97" s="1" t="s">
        <v>109</v>
      </c>
      <c r="J97" t="str">
        <f>+_xlfn.XLOOKUP(B97,INNOVACIÓN!A:A,INNOVACIÓN!B:B,"NO")</f>
        <v>NO</v>
      </c>
      <c r="K97">
        <v>15</v>
      </c>
      <c r="M97">
        <f>+_xlfn.XLOOKUP(A97,'COSTO Y PRECIO'!$A:$A,'COSTO Y PRECIO'!B:B)</f>
        <v>53.79</v>
      </c>
      <c r="N97" t="e">
        <f>+_xlfn.XLOOKUP(A97,'COSTO Y PRECIO'!$A:$A,'COSTO Y PRECIO'!C:C)</f>
        <v>#N/A</v>
      </c>
    </row>
    <row r="98" spans="1:14" x14ac:dyDescent="0.35">
      <c r="A98" s="2">
        <v>100005585</v>
      </c>
      <c r="B98" s="3">
        <v>75052836</v>
      </c>
      <c r="C98" s="2" t="s">
        <v>132</v>
      </c>
      <c r="D98" s="2" t="s">
        <v>44</v>
      </c>
      <c r="E98" s="2" t="s">
        <v>67</v>
      </c>
      <c r="F98" s="2" t="s">
        <v>46</v>
      </c>
      <c r="G98" s="2" t="s">
        <v>14</v>
      </c>
      <c r="H98" s="1" t="s">
        <v>36</v>
      </c>
      <c r="I98" s="1" t="s">
        <v>16</v>
      </c>
      <c r="J98" t="str">
        <f>+_xlfn.XLOOKUP(B98,INNOVACIÓN!A:A,INNOVACIÓN!B:B,"NO")</f>
        <v>NO</v>
      </c>
      <c r="K98">
        <v>20</v>
      </c>
      <c r="M98">
        <f>+_xlfn.XLOOKUP(A98,'COSTO Y PRECIO'!$A:$A,'COSTO Y PRECIO'!B:B)</f>
        <v>65.900000000000006</v>
      </c>
      <c r="N98">
        <f>+_xlfn.XLOOKUP(A98,'COSTO Y PRECIO'!$A:$A,'COSTO Y PRECIO'!C:C)</f>
        <v>98</v>
      </c>
    </row>
    <row r="99" spans="1:14" x14ac:dyDescent="0.35">
      <c r="A99" s="2">
        <v>100013078</v>
      </c>
      <c r="B99" s="3">
        <v>75064785</v>
      </c>
      <c r="C99" s="2" t="s">
        <v>133</v>
      </c>
      <c r="D99" s="2" t="s">
        <v>44</v>
      </c>
      <c r="E99" s="7" t="s">
        <v>33</v>
      </c>
      <c r="F99" s="2" t="s">
        <v>41</v>
      </c>
      <c r="G99" s="2" t="s">
        <v>71</v>
      </c>
      <c r="H99" s="1" t="s">
        <v>36</v>
      </c>
      <c r="I99" s="1" t="s">
        <v>109</v>
      </c>
      <c r="J99" t="str">
        <f>+_xlfn.XLOOKUP(B99,INNOVACIÓN!A:A,INNOVACIÓN!B:B,"NO")</f>
        <v>NO</v>
      </c>
      <c r="K99">
        <v>15</v>
      </c>
      <c r="M99">
        <f>+_xlfn.XLOOKUP(A99,'COSTO Y PRECIO'!$A:$A,'COSTO Y PRECIO'!B:B)</f>
        <v>36.31</v>
      </c>
      <c r="N99">
        <f>+_xlfn.XLOOKUP(A99,'COSTO Y PRECIO'!$A:$A,'COSTO Y PRECIO'!C:C)</f>
        <v>66</v>
      </c>
    </row>
    <row r="100" spans="1:14" x14ac:dyDescent="0.35">
      <c r="A100" s="2">
        <v>100016412</v>
      </c>
      <c r="B100" s="3">
        <v>75071479</v>
      </c>
      <c r="C100" s="2" t="s">
        <v>134</v>
      </c>
      <c r="D100" s="2" t="s">
        <v>44</v>
      </c>
      <c r="E100" s="2" t="s">
        <v>67</v>
      </c>
      <c r="F100" s="2" t="s">
        <v>41</v>
      </c>
      <c r="G100" s="2" t="s">
        <v>71</v>
      </c>
      <c r="H100" s="1" t="s">
        <v>36</v>
      </c>
      <c r="I100" s="1" t="s">
        <v>16</v>
      </c>
      <c r="J100" t="str">
        <f>+_xlfn.XLOOKUP(B100,INNOVACIÓN!A:A,INNOVACIÓN!B:B,"NO")</f>
        <v>NO</v>
      </c>
      <c r="K100">
        <v>20</v>
      </c>
      <c r="M100">
        <f>+_xlfn.XLOOKUP(A100,'COSTO Y PRECIO'!$A:$A,'COSTO Y PRECIO'!B:B)</f>
        <v>59.84</v>
      </c>
      <c r="N100">
        <f>+_xlfn.XLOOKUP(A100,'COSTO Y PRECIO'!$A:$A,'COSTO Y PRECIO'!C:C)</f>
        <v>89</v>
      </c>
    </row>
    <row r="101" spans="1:14" x14ac:dyDescent="0.35">
      <c r="A101" s="1">
        <v>100080644</v>
      </c>
      <c r="B101" s="1">
        <v>8346917</v>
      </c>
      <c r="C101" s="1" t="s">
        <v>135</v>
      </c>
      <c r="D101" s="1" t="s">
        <v>44</v>
      </c>
      <c r="E101" s="1" t="s">
        <v>67</v>
      </c>
      <c r="F101" s="1" t="s">
        <v>46</v>
      </c>
      <c r="G101" s="1" t="s">
        <v>136</v>
      </c>
      <c r="H101" s="1" t="s">
        <v>36</v>
      </c>
      <c r="I101" s="1" t="s">
        <v>16</v>
      </c>
      <c r="J101" t="str">
        <f>+_xlfn.XLOOKUP(B101,INNOVACIÓN!A:A,INNOVACIÓN!B:B,"NO")</f>
        <v>NO</v>
      </c>
      <c r="K101">
        <v>20</v>
      </c>
      <c r="M101">
        <f>+_xlfn.XLOOKUP(A101,'COSTO Y PRECIO'!$A:$A,'COSTO Y PRECIO'!B:B)</f>
        <v>66.569999999999993</v>
      </c>
      <c r="N101">
        <f>+_xlfn.XLOOKUP(A101,'COSTO Y PRECIO'!$A:$A,'COSTO Y PRECIO'!C:C)</f>
        <v>99</v>
      </c>
    </row>
    <row r="102" spans="1:14" x14ac:dyDescent="0.35">
      <c r="A102" s="2">
        <v>100019234</v>
      </c>
      <c r="B102" s="3">
        <v>75074975</v>
      </c>
      <c r="C102" s="2" t="s">
        <v>137</v>
      </c>
      <c r="D102" s="2" t="s">
        <v>44</v>
      </c>
      <c r="E102" s="2" t="s">
        <v>67</v>
      </c>
      <c r="F102" s="2" t="s">
        <v>46</v>
      </c>
      <c r="G102" s="2" t="s">
        <v>54</v>
      </c>
      <c r="H102" s="1" t="s">
        <v>36</v>
      </c>
      <c r="I102" s="1" t="s">
        <v>16</v>
      </c>
      <c r="J102" t="str">
        <f>+_xlfn.XLOOKUP(B102,INNOVACIÓN!A:A,INNOVACIÓN!B:B,"NO")</f>
        <v>NO</v>
      </c>
      <c r="K102">
        <v>15</v>
      </c>
      <c r="M102">
        <f>+_xlfn.XLOOKUP(A102,'COSTO Y PRECIO'!$A:$A,'COSTO Y PRECIO'!B:B)</f>
        <v>49.76</v>
      </c>
      <c r="N102">
        <f>+_xlfn.XLOOKUP(A102,'COSTO Y PRECIO'!$A:$A,'COSTO Y PRECIO'!C:C)</f>
        <v>74</v>
      </c>
    </row>
    <row r="103" spans="1:14" x14ac:dyDescent="0.35">
      <c r="A103">
        <v>100024596</v>
      </c>
      <c r="B103" s="6">
        <v>75081058</v>
      </c>
      <c r="C103" t="s">
        <v>138</v>
      </c>
      <c r="D103" s="1" t="s">
        <v>44</v>
      </c>
      <c r="E103" s="1" t="s">
        <v>33</v>
      </c>
      <c r="F103" s="1" t="s">
        <v>46</v>
      </c>
      <c r="G103" s="1" t="s">
        <v>139</v>
      </c>
      <c r="H103" s="1" t="s">
        <v>36</v>
      </c>
      <c r="I103" s="1" t="s">
        <v>109</v>
      </c>
      <c r="J103" t="str">
        <f>+_xlfn.XLOOKUP(B103,INNOVACIÓN!A:A,INNOVACIÓN!B:B,"NO")</f>
        <v>NO</v>
      </c>
      <c r="K103">
        <v>20</v>
      </c>
      <c r="M103">
        <f>+_xlfn.XLOOKUP(A103,'COSTO Y PRECIO'!$A:$A,'COSTO Y PRECIO'!B:B)</f>
        <v>65.900000000000006</v>
      </c>
      <c r="N103">
        <f>+_xlfn.XLOOKUP(A103,'COSTO Y PRECIO'!$A:$A,'COSTO Y PRECIO'!C:C)</f>
        <v>98</v>
      </c>
    </row>
    <row r="104" spans="1:14" x14ac:dyDescent="0.35">
      <c r="A104" s="2">
        <v>100019233</v>
      </c>
      <c r="B104" s="3">
        <v>75074999</v>
      </c>
      <c r="C104" s="2" t="s">
        <v>140</v>
      </c>
      <c r="D104" s="2" t="s">
        <v>44</v>
      </c>
      <c r="E104" s="2" t="s">
        <v>67</v>
      </c>
      <c r="F104" s="2" t="s">
        <v>46</v>
      </c>
      <c r="G104" s="2" t="s">
        <v>14</v>
      </c>
      <c r="H104" s="1" t="s">
        <v>36</v>
      </c>
      <c r="I104" s="1" t="s">
        <v>16</v>
      </c>
      <c r="J104" t="str">
        <f>+_xlfn.XLOOKUP(B104,INNOVACIÓN!A:A,INNOVACIÓN!B:B,"NO")</f>
        <v>NO</v>
      </c>
      <c r="K104">
        <v>15</v>
      </c>
      <c r="M104">
        <f>+_xlfn.XLOOKUP(A104,'COSTO Y PRECIO'!$A:$A,'COSTO Y PRECIO'!B:B)</f>
        <v>49.090000000000011</v>
      </c>
      <c r="N104">
        <f>+_xlfn.XLOOKUP(A104,'COSTO Y PRECIO'!$A:$A,'COSTO Y PRECIO'!C:C)</f>
        <v>73</v>
      </c>
    </row>
    <row r="105" spans="1:14" x14ac:dyDescent="0.35">
      <c r="A105">
        <v>100025846</v>
      </c>
      <c r="B105" s="6">
        <v>75084134</v>
      </c>
      <c r="C105" t="s">
        <v>141</v>
      </c>
      <c r="D105" s="2" t="s">
        <v>44</v>
      </c>
      <c r="E105" s="14" t="s">
        <v>33</v>
      </c>
      <c r="F105" s="1" t="s">
        <v>46</v>
      </c>
      <c r="G105" s="2" t="s">
        <v>14</v>
      </c>
      <c r="H105" s="1" t="s">
        <v>36</v>
      </c>
      <c r="I105" s="1" t="s">
        <v>109</v>
      </c>
      <c r="J105" t="str">
        <f>+_xlfn.XLOOKUP(B105,INNOVACIÓN!A:A,INNOVACIÓN!B:B,"NO")</f>
        <v>NO</v>
      </c>
      <c r="K105">
        <v>20</v>
      </c>
      <c r="M105">
        <f>+_xlfn.XLOOKUP(A105,'COSTO Y PRECIO'!$A:$A,'COSTO Y PRECIO'!B:B)</f>
        <v>53.79</v>
      </c>
      <c r="N105">
        <f>+_xlfn.XLOOKUP(A105,'COSTO Y PRECIO'!$A:$A,'COSTO Y PRECIO'!C:C)</f>
        <v>80</v>
      </c>
    </row>
    <row r="106" spans="1:14" x14ac:dyDescent="0.35">
      <c r="A106">
        <v>100025842</v>
      </c>
      <c r="B106" s="6">
        <v>75084189</v>
      </c>
      <c r="C106" t="s">
        <v>142</v>
      </c>
      <c r="D106" s="2" t="s">
        <v>44</v>
      </c>
      <c r="E106" s="14" t="s">
        <v>33</v>
      </c>
      <c r="F106" s="1" t="s">
        <v>46</v>
      </c>
      <c r="G106" s="2" t="s">
        <v>14</v>
      </c>
      <c r="H106" s="1" t="s">
        <v>36</v>
      </c>
      <c r="I106" s="1" t="s">
        <v>109</v>
      </c>
      <c r="J106" t="str">
        <f>+_xlfn.XLOOKUP(B106,INNOVACIÓN!A:A,INNOVACIÓN!B:B,"NO")</f>
        <v>NO</v>
      </c>
      <c r="K106">
        <v>20</v>
      </c>
      <c r="M106">
        <f>+_xlfn.XLOOKUP(A106,'COSTO Y PRECIO'!$A:$A,'COSTO Y PRECIO'!B:B)</f>
        <v>53.79</v>
      </c>
      <c r="N106">
        <f>+_xlfn.XLOOKUP(A106,'COSTO Y PRECIO'!$A:$A,'COSTO Y PRECIO'!C:C)</f>
        <v>80</v>
      </c>
    </row>
    <row r="107" spans="1:14" x14ac:dyDescent="0.35">
      <c r="A107" s="2">
        <v>100020838</v>
      </c>
      <c r="B107" s="3">
        <v>75074944</v>
      </c>
      <c r="C107" s="2" t="s">
        <v>143</v>
      </c>
      <c r="D107" s="2" t="s">
        <v>44</v>
      </c>
      <c r="E107" s="2" t="s">
        <v>33</v>
      </c>
      <c r="F107" s="2" t="s">
        <v>46</v>
      </c>
      <c r="G107" s="2" t="s">
        <v>14</v>
      </c>
      <c r="H107" s="1" t="s">
        <v>36</v>
      </c>
      <c r="I107" s="1" t="s">
        <v>109</v>
      </c>
      <c r="J107" t="str">
        <f>+_xlfn.XLOOKUP(B107,INNOVACIÓN!A:A,INNOVACIÓN!B:B,"NO")</f>
        <v>NO</v>
      </c>
      <c r="K107">
        <v>20</v>
      </c>
      <c r="M107">
        <f>+_xlfn.XLOOKUP(A107,'COSTO Y PRECIO'!$A:$A,'COSTO Y PRECIO'!B:B)</f>
        <v>65.900000000000006</v>
      </c>
      <c r="N107">
        <f>+_xlfn.XLOOKUP(A107,'COSTO Y PRECIO'!$A:$A,'COSTO Y PRECIO'!C:C)</f>
        <v>98</v>
      </c>
    </row>
    <row r="108" spans="1:14" x14ac:dyDescent="0.35">
      <c r="A108" s="2">
        <v>100019230</v>
      </c>
      <c r="B108" s="3">
        <v>75074982</v>
      </c>
      <c r="C108" s="2" t="s">
        <v>144</v>
      </c>
      <c r="D108" s="2" t="s">
        <v>44</v>
      </c>
      <c r="E108" s="2" t="s">
        <v>67</v>
      </c>
      <c r="F108" s="2" t="s">
        <v>46</v>
      </c>
      <c r="G108" s="2" t="s">
        <v>14</v>
      </c>
      <c r="H108" s="1" t="s">
        <v>36</v>
      </c>
      <c r="I108" s="1" t="s">
        <v>16</v>
      </c>
      <c r="J108" t="str">
        <f>+_xlfn.XLOOKUP(B108,INNOVACIÓN!A:A,INNOVACIÓN!B:B,"NO")</f>
        <v>NO</v>
      </c>
      <c r="K108">
        <v>15</v>
      </c>
      <c r="M108">
        <f>+_xlfn.XLOOKUP(A108,'COSTO Y PRECIO'!$A:$A,'COSTO Y PRECIO'!B:B)</f>
        <v>49.76</v>
      </c>
      <c r="N108">
        <f>+_xlfn.XLOOKUP(A108,'COSTO Y PRECIO'!$A:$A,'COSTO Y PRECIO'!C:C)</f>
        <v>74</v>
      </c>
    </row>
    <row r="109" spans="1:14" x14ac:dyDescent="0.35">
      <c r="A109">
        <v>100025893</v>
      </c>
      <c r="B109" s="6">
        <v>7503039738447</v>
      </c>
      <c r="C109" t="s">
        <v>145</v>
      </c>
      <c r="D109" s="2" t="s">
        <v>44</v>
      </c>
      <c r="E109" s="14" t="s">
        <v>33</v>
      </c>
      <c r="F109" s="1" t="s">
        <v>13</v>
      </c>
      <c r="G109" s="2" t="s">
        <v>14</v>
      </c>
      <c r="H109" s="1" t="s">
        <v>15</v>
      </c>
      <c r="I109" s="1" t="s">
        <v>109</v>
      </c>
      <c r="J109" t="str">
        <f>+_xlfn.XLOOKUP(B109,INNOVACIÓN!A:A,INNOVACIÓN!B:B,"NO")</f>
        <v>NO</v>
      </c>
      <c r="K109">
        <v>15</v>
      </c>
      <c r="L109" t="s">
        <v>676</v>
      </c>
      <c r="M109">
        <f>+_xlfn.XLOOKUP(A109,'COSTO Y PRECIO'!$A:$A,'COSTO Y PRECIO'!B:B)</f>
        <v>61.659999999999975</v>
      </c>
      <c r="N109">
        <f>+_xlfn.XLOOKUP(A109,'COSTO Y PRECIO'!$A:$A,'COSTO Y PRECIO'!C:C)</f>
        <v>80</v>
      </c>
    </row>
    <row r="110" spans="1:14" x14ac:dyDescent="0.35">
      <c r="A110">
        <v>100026306</v>
      </c>
      <c r="B110" s="6">
        <v>7503039738584</v>
      </c>
      <c r="C110" t="s">
        <v>147</v>
      </c>
      <c r="D110" s="2" t="s">
        <v>44</v>
      </c>
      <c r="E110" s="2" t="s">
        <v>33</v>
      </c>
      <c r="F110" s="2" t="s">
        <v>13</v>
      </c>
      <c r="G110" s="2" t="s">
        <v>14</v>
      </c>
      <c r="H110" s="1" t="s">
        <v>15</v>
      </c>
      <c r="I110" s="1" t="s">
        <v>109</v>
      </c>
      <c r="J110" t="str">
        <f>+_xlfn.XLOOKUP(B110,INNOVACIÓN!A:A,INNOVACIÓN!B:B,"NO")</f>
        <v>NO</v>
      </c>
      <c r="K110">
        <v>15</v>
      </c>
      <c r="L110" t="s">
        <v>676</v>
      </c>
      <c r="M110">
        <f>+_xlfn.XLOOKUP(A110,'COSTO Y PRECIO'!$A:$A,'COSTO Y PRECIO'!B:B)</f>
        <v>61.659999999999975</v>
      </c>
      <c r="N110">
        <f>+_xlfn.XLOOKUP(A110,'COSTO Y PRECIO'!$A:$A,'COSTO Y PRECIO'!C:C)</f>
        <v>80</v>
      </c>
    </row>
    <row r="111" spans="1:14" x14ac:dyDescent="0.35">
      <c r="A111">
        <v>100024419</v>
      </c>
      <c r="B111" s="6">
        <v>7702303622080</v>
      </c>
      <c r="C111" t="s">
        <v>148</v>
      </c>
      <c r="D111" s="1" t="s">
        <v>44</v>
      </c>
      <c r="E111" s="1" t="s">
        <v>146</v>
      </c>
      <c r="F111" s="1" t="s">
        <v>13</v>
      </c>
      <c r="G111" s="2" t="s">
        <v>14</v>
      </c>
      <c r="H111" s="1" t="s">
        <v>15</v>
      </c>
      <c r="I111" s="1" t="s">
        <v>16</v>
      </c>
      <c r="J111" t="str">
        <f>+_xlfn.XLOOKUP(B111,INNOVACIÓN!A:A,INNOVACIÓN!B:B,"NO")</f>
        <v>NO</v>
      </c>
      <c r="K111">
        <v>15</v>
      </c>
      <c r="L111" t="s">
        <v>675</v>
      </c>
      <c r="M111">
        <f>+_xlfn.XLOOKUP(A111,'COSTO Y PRECIO'!$A:$A,'COSTO Y PRECIO'!B:B)</f>
        <v>61.659999999999975</v>
      </c>
      <c r="N111">
        <f>+_xlfn.XLOOKUP(A111,'COSTO Y PRECIO'!$A:$A,'COSTO Y PRECIO'!C:C)</f>
        <v>80</v>
      </c>
    </row>
    <row r="112" spans="1:14" x14ac:dyDescent="0.35">
      <c r="A112">
        <v>100026071</v>
      </c>
      <c r="B112" s="6">
        <v>7503039738508</v>
      </c>
      <c r="C112" t="s">
        <v>149</v>
      </c>
      <c r="D112" s="14" t="s">
        <v>44</v>
      </c>
      <c r="E112" s="2" t="s">
        <v>33</v>
      </c>
      <c r="F112" s="1" t="s">
        <v>13</v>
      </c>
      <c r="G112" s="2" t="s">
        <v>14</v>
      </c>
      <c r="H112" s="2" t="s">
        <v>15</v>
      </c>
      <c r="I112" s="1" t="s">
        <v>109</v>
      </c>
      <c r="J112" t="str">
        <f>+_xlfn.XLOOKUP(B112,INNOVACIÓN!A:A,INNOVACIÓN!B:B,"NO")</f>
        <v>NO</v>
      </c>
      <c r="K112">
        <v>15</v>
      </c>
      <c r="L112" t="s">
        <v>675</v>
      </c>
      <c r="M112">
        <f>+_xlfn.XLOOKUP(A112,'COSTO Y PRECIO'!$A:$A,'COSTO Y PRECIO'!B:B)</f>
        <v>61.659999999999975</v>
      </c>
      <c r="N112">
        <f>+_xlfn.XLOOKUP(A112,'COSTO Y PRECIO'!$A:$A,'COSTO Y PRECIO'!C:C)</f>
        <v>80</v>
      </c>
    </row>
    <row r="113" spans="1:14" x14ac:dyDescent="0.35">
      <c r="A113">
        <v>100024420</v>
      </c>
      <c r="B113" s="6">
        <v>7702303121477</v>
      </c>
      <c r="C113" t="s">
        <v>150</v>
      </c>
      <c r="D113" s="1" t="s">
        <v>44</v>
      </c>
      <c r="E113" s="1" t="s">
        <v>146</v>
      </c>
      <c r="F113" s="1" t="s">
        <v>13</v>
      </c>
      <c r="G113" s="2" t="s">
        <v>14</v>
      </c>
      <c r="H113" s="1" t="s">
        <v>15</v>
      </c>
      <c r="I113" s="1" t="s">
        <v>16</v>
      </c>
      <c r="J113" t="str">
        <f>+_xlfn.XLOOKUP(B113,INNOVACIÓN!A:A,INNOVACIÓN!B:B,"NO")</f>
        <v>NO</v>
      </c>
      <c r="K113">
        <v>15</v>
      </c>
      <c r="L113" t="s">
        <v>676</v>
      </c>
      <c r="M113">
        <f>+_xlfn.XLOOKUP(A113,'COSTO Y PRECIO'!$A:$A,'COSTO Y PRECIO'!B:B)</f>
        <v>61.659999999999975</v>
      </c>
      <c r="N113">
        <f>+_xlfn.XLOOKUP(A113,'COSTO Y PRECIO'!$A:$A,'COSTO Y PRECIO'!C:C)</f>
        <v>80</v>
      </c>
    </row>
    <row r="114" spans="1:14" x14ac:dyDescent="0.35">
      <c r="A114" s="6">
        <v>100016248</v>
      </c>
      <c r="B114" s="6">
        <v>25900000400</v>
      </c>
      <c r="C114" t="s">
        <v>151</v>
      </c>
      <c r="D114" s="14" t="s">
        <v>87</v>
      </c>
      <c r="E114" s="2" t="s">
        <v>33</v>
      </c>
      <c r="F114" s="2" t="s">
        <v>87</v>
      </c>
      <c r="G114" s="2" t="s">
        <v>87</v>
      </c>
      <c r="H114" s="2" t="s">
        <v>87</v>
      </c>
      <c r="I114" s="1" t="s">
        <v>16</v>
      </c>
      <c r="J114" t="str">
        <f>+_xlfn.XLOOKUP(B114,INNOVACIÓN!A:A,INNOVACIÓN!B:B,"NO")</f>
        <v>NO</v>
      </c>
      <c r="M114">
        <f>+_xlfn.XLOOKUP(A114,'COSTO Y PRECIO'!$A:$A,'COSTO Y PRECIO'!B:B)</f>
        <v>50</v>
      </c>
      <c r="N114" t="e">
        <f>+_xlfn.XLOOKUP(A114,'COSTO Y PRECIO'!$A:$A,'COSTO Y PRECIO'!C:C)</f>
        <v>#N/A</v>
      </c>
    </row>
    <row r="115" spans="1:14" x14ac:dyDescent="0.35">
      <c r="A115">
        <v>100009364</v>
      </c>
      <c r="B115" s="6">
        <v>7503023648011</v>
      </c>
      <c r="C115" t="s">
        <v>152</v>
      </c>
      <c r="D115" s="14" t="s">
        <v>87</v>
      </c>
      <c r="E115" s="2" t="s">
        <v>33</v>
      </c>
      <c r="F115" s="2" t="s">
        <v>87</v>
      </c>
      <c r="G115" s="2" t="s">
        <v>87</v>
      </c>
      <c r="H115" s="2" t="s">
        <v>87</v>
      </c>
      <c r="I115" s="1" t="s">
        <v>16</v>
      </c>
      <c r="J115" t="str">
        <f>+_xlfn.XLOOKUP(B115,INNOVACIÓN!A:A,INNOVACIÓN!B:B,"NO")</f>
        <v>NO</v>
      </c>
      <c r="M115">
        <f>+_xlfn.XLOOKUP(A115,'COSTO Y PRECIO'!$A:$A,'COSTO Y PRECIO'!B:B)</f>
        <v>38.819000000000003</v>
      </c>
      <c r="N115" t="e">
        <f>+_xlfn.XLOOKUP(A115,'COSTO Y PRECIO'!$A:$A,'COSTO Y PRECIO'!C:C)</f>
        <v>#N/A</v>
      </c>
    </row>
    <row r="116" spans="1:14" x14ac:dyDescent="0.35">
      <c r="A116">
        <v>100009359</v>
      </c>
      <c r="B116" s="6">
        <v>7503023648042</v>
      </c>
      <c r="C116" t="s">
        <v>153</v>
      </c>
      <c r="D116" s="14" t="s">
        <v>87</v>
      </c>
      <c r="E116" s="2" t="s">
        <v>33</v>
      </c>
      <c r="F116" s="2" t="s">
        <v>87</v>
      </c>
      <c r="G116" s="2" t="s">
        <v>87</v>
      </c>
      <c r="H116" s="2" t="s">
        <v>87</v>
      </c>
      <c r="I116" s="1" t="s">
        <v>16</v>
      </c>
      <c r="J116" t="str">
        <f>+_xlfn.XLOOKUP(B116,INNOVACIÓN!A:A,INNOVACIÓN!B:B,"NO")</f>
        <v>NO</v>
      </c>
      <c r="M116">
        <f>+_xlfn.XLOOKUP(A116,'COSTO Y PRECIO'!$A:$A,'COSTO Y PRECIO'!B:B)</f>
        <v>24.700199999999999</v>
      </c>
      <c r="N116" t="e">
        <f>+_xlfn.XLOOKUP(A116,'COSTO Y PRECIO'!$A:$A,'COSTO Y PRECIO'!C:C)</f>
        <v>#N/A</v>
      </c>
    </row>
    <row r="117" spans="1:14" x14ac:dyDescent="0.35">
      <c r="A117">
        <v>100080381</v>
      </c>
      <c r="B117" s="6">
        <v>7501609501804</v>
      </c>
      <c r="C117" t="s">
        <v>154</v>
      </c>
      <c r="D117" s="14" t="s">
        <v>87</v>
      </c>
      <c r="E117" s="2" t="s">
        <v>33</v>
      </c>
      <c r="F117" s="2" t="s">
        <v>87</v>
      </c>
      <c r="G117" s="2" t="s">
        <v>87</v>
      </c>
      <c r="H117" s="2" t="s">
        <v>87</v>
      </c>
      <c r="I117" s="1" t="s">
        <v>16</v>
      </c>
      <c r="J117" t="str">
        <f>+_xlfn.XLOOKUP(B117,INNOVACIÓN!A:A,INNOVACIÓN!B:B,"NO")</f>
        <v>NO</v>
      </c>
      <c r="M117">
        <f>+_xlfn.XLOOKUP(A117,'COSTO Y PRECIO'!$A:$A,'COSTO Y PRECIO'!B:B)</f>
        <v>29.37</v>
      </c>
      <c r="N117">
        <f>+_xlfn.XLOOKUP(A117,'COSTO Y PRECIO'!$A:$A,'COSTO Y PRECIO'!C:C)</f>
        <v>54.166666666666664</v>
      </c>
    </row>
    <row r="118" spans="1:14" x14ac:dyDescent="0.35">
      <c r="A118" s="1">
        <v>100020133</v>
      </c>
      <c r="B118" s="4">
        <v>75075217</v>
      </c>
      <c r="C118" s="1" t="s">
        <v>155</v>
      </c>
      <c r="D118" s="2" t="s">
        <v>11</v>
      </c>
      <c r="E118" s="2" t="s">
        <v>156</v>
      </c>
      <c r="F118" s="2" t="s">
        <v>46</v>
      </c>
      <c r="G118" s="2" t="s">
        <v>14</v>
      </c>
      <c r="H118" s="1" t="s">
        <v>36</v>
      </c>
      <c r="I118" s="1" t="s">
        <v>16</v>
      </c>
      <c r="J118" t="str">
        <f>+_xlfn.XLOOKUP(B118,INNOVACIÓN!A:A,INNOVACIÓN!B:B,"NO")</f>
        <v>NO</v>
      </c>
      <c r="K118">
        <v>20</v>
      </c>
      <c r="M118">
        <f>+_xlfn.XLOOKUP(A118,'COSTO Y PRECIO'!$A:$A,'COSTO Y PRECIO'!B:B)</f>
        <v>48.87</v>
      </c>
      <c r="N118">
        <f>+_xlfn.XLOOKUP(A118,'COSTO Y PRECIO'!$A:$A,'COSTO Y PRECIO'!C:C)</f>
        <v>72</v>
      </c>
    </row>
    <row r="119" spans="1:14" x14ac:dyDescent="0.35">
      <c r="A119" s="1">
        <v>100018656</v>
      </c>
      <c r="B119" s="4">
        <v>75001360</v>
      </c>
      <c r="C119" s="1" t="s">
        <v>157</v>
      </c>
      <c r="D119" s="1" t="s">
        <v>11</v>
      </c>
      <c r="E119" s="1" t="s">
        <v>156</v>
      </c>
      <c r="F119" s="1" t="s">
        <v>46</v>
      </c>
      <c r="G119" s="1" t="s">
        <v>14</v>
      </c>
      <c r="H119" s="1" t="s">
        <v>36</v>
      </c>
      <c r="I119" s="1" t="s">
        <v>16</v>
      </c>
      <c r="J119" t="str">
        <f>+_xlfn.XLOOKUP(B119,INNOVACIÓN!A:A,INNOVACIÓN!B:B,"NO")</f>
        <v>NO</v>
      </c>
      <c r="K119">
        <v>20</v>
      </c>
      <c r="M119">
        <f>+_xlfn.XLOOKUP(A119,'COSTO Y PRECIO'!$A:$A,'COSTO Y PRECIO'!B:B)</f>
        <v>66.680000000000007</v>
      </c>
      <c r="N119">
        <f>+_xlfn.XLOOKUP(A119,'COSTO Y PRECIO'!$A:$A,'COSTO Y PRECIO'!C:C)</f>
        <v>98</v>
      </c>
    </row>
    <row r="120" spans="1:14" x14ac:dyDescent="0.35">
      <c r="A120" s="2">
        <v>100018872</v>
      </c>
      <c r="B120" s="4">
        <v>75001384</v>
      </c>
      <c r="C120" s="2" t="s">
        <v>158</v>
      </c>
      <c r="D120" s="2" t="s">
        <v>11</v>
      </c>
      <c r="E120" s="2" t="s">
        <v>156</v>
      </c>
      <c r="F120" s="2" t="s">
        <v>46</v>
      </c>
      <c r="G120" s="2" t="s">
        <v>54</v>
      </c>
      <c r="H120" s="1" t="s">
        <v>36</v>
      </c>
      <c r="I120" s="1" t="s">
        <v>16</v>
      </c>
      <c r="J120" t="str">
        <f>+_xlfn.XLOOKUP(B120,INNOVACIÓN!A:A,INNOVACIÓN!B:B,"NO")</f>
        <v>NO</v>
      </c>
      <c r="K120">
        <v>20</v>
      </c>
      <c r="M120">
        <f>+_xlfn.XLOOKUP(A120,'COSTO Y PRECIO'!$A:$A,'COSTO Y PRECIO'!B:B)</f>
        <v>66.680000000000007</v>
      </c>
      <c r="N120">
        <f>+_xlfn.XLOOKUP(A120,'COSTO Y PRECIO'!$A:$A,'COSTO Y PRECIO'!C:C)</f>
        <v>98</v>
      </c>
    </row>
    <row r="121" spans="1:14" x14ac:dyDescent="0.35">
      <c r="A121" s="2">
        <v>100021790</v>
      </c>
      <c r="B121" s="4">
        <v>75019006</v>
      </c>
      <c r="C121" s="2" t="s">
        <v>159</v>
      </c>
      <c r="D121" s="2" t="s">
        <v>11</v>
      </c>
      <c r="E121" s="2" t="s">
        <v>156</v>
      </c>
      <c r="F121" s="2" t="s">
        <v>46</v>
      </c>
      <c r="G121" s="2" t="s">
        <v>14</v>
      </c>
      <c r="H121" s="1" t="s">
        <v>36</v>
      </c>
      <c r="I121" s="1" t="s">
        <v>16</v>
      </c>
      <c r="J121" t="str">
        <f>+_xlfn.XLOOKUP(B121,INNOVACIÓN!A:A,INNOVACIÓN!B:B,"NO")</f>
        <v>NO</v>
      </c>
      <c r="K121">
        <v>20</v>
      </c>
      <c r="M121">
        <f>+_xlfn.XLOOKUP(A121,'COSTO Y PRECIO'!$A:$A,'COSTO Y PRECIO'!B:B)</f>
        <v>66.680000000000007</v>
      </c>
      <c r="N121">
        <f>+_xlfn.XLOOKUP(A121,'COSTO Y PRECIO'!$A:$A,'COSTO Y PRECIO'!C:C)</f>
        <v>98</v>
      </c>
    </row>
    <row r="122" spans="1:14" x14ac:dyDescent="0.35">
      <c r="A122" s="2">
        <v>100014868</v>
      </c>
      <c r="B122" s="4">
        <v>75068769</v>
      </c>
      <c r="C122" s="2" t="s">
        <v>160</v>
      </c>
      <c r="D122" s="2" t="s">
        <v>11</v>
      </c>
      <c r="E122" s="2" t="s">
        <v>161</v>
      </c>
      <c r="F122" s="2" t="s">
        <v>39</v>
      </c>
      <c r="G122" s="2" t="s">
        <v>14</v>
      </c>
      <c r="H122" s="1" t="s">
        <v>36</v>
      </c>
      <c r="I122" s="1" t="s">
        <v>16</v>
      </c>
      <c r="J122" t="str">
        <f>+_xlfn.XLOOKUP(B122,INNOVACIÓN!A:A,INNOVACIÓN!B:B,"NO")</f>
        <v>NO</v>
      </c>
      <c r="K122">
        <v>20</v>
      </c>
      <c r="M122">
        <f>+_xlfn.XLOOKUP(A122,'COSTO Y PRECIO'!$A:$A,'COSTO Y PRECIO'!B:B)</f>
        <v>72.39</v>
      </c>
      <c r="N122">
        <f>+_xlfn.XLOOKUP(A122,'COSTO Y PRECIO'!$A:$A,'COSTO Y PRECIO'!C:C)</f>
        <v>105</v>
      </c>
    </row>
    <row r="123" spans="1:14" x14ac:dyDescent="0.35">
      <c r="A123">
        <v>100025332</v>
      </c>
      <c r="B123" s="6">
        <v>75032807</v>
      </c>
      <c r="C123" t="s">
        <v>162</v>
      </c>
      <c r="D123" s="2" t="s">
        <v>11</v>
      </c>
      <c r="E123" s="2" t="s">
        <v>33</v>
      </c>
      <c r="F123" s="1" t="s">
        <v>46</v>
      </c>
      <c r="G123" s="1" t="s">
        <v>14</v>
      </c>
      <c r="H123" s="1" t="s">
        <v>36</v>
      </c>
      <c r="I123" s="1" t="s">
        <v>109</v>
      </c>
      <c r="J123" t="str">
        <f>+_xlfn.XLOOKUP(B123,INNOVACIÓN!A:A,INNOVACIÓN!B:B,"NO")</f>
        <v>NO</v>
      </c>
      <c r="K123">
        <v>20</v>
      </c>
      <c r="M123">
        <f>+_xlfn.XLOOKUP(A123,'COSTO Y PRECIO'!$A:$A,'COSTO Y PRECIO'!B:B)</f>
        <v>66.680000000000007</v>
      </c>
      <c r="N123">
        <f>+_xlfn.XLOOKUP(A123,'COSTO Y PRECIO'!$A:$A,'COSTO Y PRECIO'!C:C)</f>
        <v>98</v>
      </c>
    </row>
    <row r="124" spans="1:14" x14ac:dyDescent="0.35">
      <c r="A124" s="1">
        <v>100013110</v>
      </c>
      <c r="B124" s="4">
        <v>75065515</v>
      </c>
      <c r="C124" s="1" t="s">
        <v>163</v>
      </c>
      <c r="D124" s="1" t="s">
        <v>11</v>
      </c>
      <c r="E124" s="1" t="s">
        <v>33</v>
      </c>
      <c r="F124" s="1" t="s">
        <v>39</v>
      </c>
      <c r="G124" s="1" t="s">
        <v>14</v>
      </c>
      <c r="H124" s="1" t="s">
        <v>36</v>
      </c>
      <c r="I124" s="1" t="s">
        <v>109</v>
      </c>
      <c r="J124" t="str">
        <f>+_xlfn.XLOOKUP(B124,INNOVACIÓN!A:A,INNOVACIÓN!B:B,"NO")</f>
        <v>NO</v>
      </c>
      <c r="K124">
        <v>14</v>
      </c>
      <c r="M124">
        <f>+_xlfn.XLOOKUP(A124,'COSTO Y PRECIO'!$A:$A,'COSTO Y PRECIO'!B:B)</f>
        <v>52.96</v>
      </c>
      <c r="N124">
        <f>+_xlfn.XLOOKUP(A124,'COSTO Y PRECIO'!$A:$A,'COSTO Y PRECIO'!C:C)</f>
        <v>77</v>
      </c>
    </row>
    <row r="125" spans="1:14" x14ac:dyDescent="0.35">
      <c r="A125" s="2">
        <v>100014711</v>
      </c>
      <c r="B125" s="4">
        <v>75068783</v>
      </c>
      <c r="C125" s="2" t="s">
        <v>164</v>
      </c>
      <c r="D125" s="2" t="s">
        <v>11</v>
      </c>
      <c r="E125" s="2" t="s">
        <v>161</v>
      </c>
      <c r="F125" s="2" t="s">
        <v>39</v>
      </c>
      <c r="G125" s="2" t="s">
        <v>14</v>
      </c>
      <c r="H125" s="1" t="s">
        <v>36</v>
      </c>
      <c r="I125" s="1" t="s">
        <v>16</v>
      </c>
      <c r="J125" t="str">
        <f>+_xlfn.XLOOKUP(B125,INNOVACIÓN!A:A,INNOVACIÓN!B:B,"NO")</f>
        <v>NO</v>
      </c>
      <c r="K125">
        <v>20</v>
      </c>
      <c r="M125">
        <f>+_xlfn.XLOOKUP(A125,'COSTO Y PRECIO'!$A:$A,'COSTO Y PRECIO'!B:B)</f>
        <v>72.39</v>
      </c>
      <c r="N125">
        <f>+_xlfn.XLOOKUP(A125,'COSTO Y PRECIO'!$A:$A,'COSTO Y PRECIO'!C:C)</f>
        <v>105</v>
      </c>
    </row>
    <row r="126" spans="1:14" x14ac:dyDescent="0.35">
      <c r="A126" s="1">
        <v>100014569</v>
      </c>
      <c r="B126" s="4">
        <v>75068813</v>
      </c>
      <c r="C126" s="1" t="s">
        <v>165</v>
      </c>
      <c r="D126" s="1" t="s">
        <v>11</v>
      </c>
      <c r="E126" s="1" t="s">
        <v>161</v>
      </c>
      <c r="F126" s="1" t="s">
        <v>39</v>
      </c>
      <c r="G126" s="1" t="s">
        <v>54</v>
      </c>
      <c r="H126" s="1" t="s">
        <v>36</v>
      </c>
      <c r="I126" s="1" t="s">
        <v>16</v>
      </c>
      <c r="J126" t="str">
        <f>+_xlfn.XLOOKUP(B126,INNOVACIÓN!A:A,INNOVACIÓN!B:B,"NO")</f>
        <v>NO</v>
      </c>
      <c r="K126">
        <v>14</v>
      </c>
      <c r="M126">
        <f>+_xlfn.XLOOKUP(A126,'COSTO Y PRECIO'!$A:$A,'COSTO Y PRECIO'!B:B)</f>
        <v>52.96</v>
      </c>
      <c r="N126">
        <f>+_xlfn.XLOOKUP(A126,'COSTO Y PRECIO'!$A:$A,'COSTO Y PRECIO'!C:C)</f>
        <v>77</v>
      </c>
    </row>
    <row r="127" spans="1:14" x14ac:dyDescent="0.35">
      <c r="A127">
        <v>100024881</v>
      </c>
      <c r="B127" s="6">
        <v>75082345</v>
      </c>
      <c r="C127" t="s">
        <v>166</v>
      </c>
      <c r="D127" s="2" t="s">
        <v>11</v>
      </c>
      <c r="E127" t="s">
        <v>161</v>
      </c>
      <c r="F127" s="1" t="s">
        <v>46</v>
      </c>
      <c r="G127" s="1" t="s">
        <v>14</v>
      </c>
      <c r="H127" s="1" t="s">
        <v>36</v>
      </c>
      <c r="I127" s="1" t="s">
        <v>16</v>
      </c>
      <c r="J127" t="str">
        <f>+_xlfn.XLOOKUP(B127,INNOVACIÓN!A:A,INNOVACIÓN!B:B,"NO")</f>
        <v>NO</v>
      </c>
      <c r="K127">
        <v>20</v>
      </c>
      <c r="M127">
        <f>+_xlfn.XLOOKUP(A127,'COSTO Y PRECIO'!$A:$A,'COSTO Y PRECIO'!B:B)</f>
        <v>66.680000000000007</v>
      </c>
      <c r="N127">
        <f>+_xlfn.XLOOKUP(A127,'COSTO Y PRECIO'!$A:$A,'COSTO Y PRECIO'!C:C)</f>
        <v>98</v>
      </c>
    </row>
    <row r="128" spans="1:14" x14ac:dyDescent="0.35">
      <c r="A128" s="2">
        <v>100023312</v>
      </c>
      <c r="B128" s="4">
        <v>75006297</v>
      </c>
      <c r="C128" s="2" t="s">
        <v>167</v>
      </c>
      <c r="D128" s="2" t="s">
        <v>11</v>
      </c>
      <c r="E128" s="2" t="s">
        <v>168</v>
      </c>
      <c r="F128" s="2" t="s">
        <v>41</v>
      </c>
      <c r="G128" s="2" t="s">
        <v>54</v>
      </c>
      <c r="H128" s="1" t="s">
        <v>36</v>
      </c>
      <c r="I128" s="1" t="s">
        <v>16</v>
      </c>
      <c r="J128" t="str">
        <f>+_xlfn.XLOOKUP(B128,INNOVACIÓN!A:A,INNOVACIÓN!B:B,"NO")</f>
        <v>NO</v>
      </c>
      <c r="K128">
        <v>20</v>
      </c>
      <c r="M128">
        <f>+_xlfn.XLOOKUP(A128,'COSTO Y PRECIO'!$A:$A,'COSTO Y PRECIO'!B:B)</f>
        <v>67.53</v>
      </c>
      <c r="N128">
        <f>+_xlfn.XLOOKUP(A128,'COSTO Y PRECIO'!$A:$A,'COSTO Y PRECIO'!C:C)</f>
        <v>98</v>
      </c>
    </row>
    <row r="129" spans="1:14" x14ac:dyDescent="0.35">
      <c r="A129" s="1">
        <v>100023311</v>
      </c>
      <c r="B129" s="4">
        <v>75006266</v>
      </c>
      <c r="C129" s="1" t="s">
        <v>169</v>
      </c>
      <c r="D129" s="1" t="s">
        <v>11</v>
      </c>
      <c r="E129" s="1" t="s">
        <v>168</v>
      </c>
      <c r="F129" s="1" t="s">
        <v>41</v>
      </c>
      <c r="G129" s="1" t="s">
        <v>71</v>
      </c>
      <c r="H129" s="1" t="s">
        <v>36</v>
      </c>
      <c r="I129" s="1" t="s">
        <v>16</v>
      </c>
      <c r="J129" t="str">
        <f>+_xlfn.XLOOKUP(B129,INNOVACIÓN!A:A,INNOVACIÓN!B:B,"NO")</f>
        <v>NO</v>
      </c>
      <c r="K129">
        <v>20</v>
      </c>
      <c r="M129">
        <f>+_xlfn.XLOOKUP(A129,'COSTO Y PRECIO'!$A:$A,'COSTO Y PRECIO'!B:B)</f>
        <v>67.53</v>
      </c>
      <c r="N129">
        <f>+_xlfn.XLOOKUP(A129,'COSTO Y PRECIO'!$A:$A,'COSTO Y PRECIO'!C:C)</f>
        <v>98</v>
      </c>
    </row>
    <row r="130" spans="1:14" x14ac:dyDescent="0.35">
      <c r="A130" s="1">
        <v>100024134</v>
      </c>
      <c r="B130" s="4">
        <v>75006587</v>
      </c>
      <c r="C130" s="1" t="s">
        <v>170</v>
      </c>
      <c r="D130" s="2" t="s">
        <v>11</v>
      </c>
      <c r="E130" s="14" t="s">
        <v>33</v>
      </c>
      <c r="F130" s="2" t="s">
        <v>46</v>
      </c>
      <c r="G130" s="2" t="s">
        <v>14</v>
      </c>
      <c r="H130" s="1" t="s">
        <v>36</v>
      </c>
      <c r="I130" s="1" t="s">
        <v>109</v>
      </c>
      <c r="J130" t="str">
        <f>+_xlfn.XLOOKUP(B130,INNOVACIÓN!A:A,INNOVACIÓN!B:B,"NO")</f>
        <v>NO</v>
      </c>
      <c r="K130">
        <v>20</v>
      </c>
      <c r="M130">
        <f>+_xlfn.XLOOKUP(A130,'COSTO Y PRECIO'!$A:$A,'COSTO Y PRECIO'!B:B)</f>
        <v>49.639999999999993</v>
      </c>
      <c r="N130">
        <f>+_xlfn.XLOOKUP(A130,'COSTO Y PRECIO'!$A:$A,'COSTO Y PRECIO'!C:C)</f>
        <v>96</v>
      </c>
    </row>
    <row r="131" spans="1:14" x14ac:dyDescent="0.35">
      <c r="A131" s="2">
        <v>100080928</v>
      </c>
      <c r="B131" s="4">
        <v>75044916</v>
      </c>
      <c r="C131" s="14" t="s">
        <v>171</v>
      </c>
      <c r="D131" s="2" t="s">
        <v>11</v>
      </c>
      <c r="E131" s="2" t="s">
        <v>161</v>
      </c>
      <c r="F131" s="2" t="s">
        <v>39</v>
      </c>
      <c r="G131" s="2" t="s">
        <v>14</v>
      </c>
      <c r="H131" s="1" t="s">
        <v>36</v>
      </c>
      <c r="I131" s="1" t="s">
        <v>16</v>
      </c>
      <c r="J131" t="str">
        <f>+_xlfn.XLOOKUP(B131,INNOVACIÓN!A:A,INNOVACIÓN!B:B,"NO")</f>
        <v>NO</v>
      </c>
      <c r="K131">
        <v>20</v>
      </c>
      <c r="M131">
        <f>+_xlfn.XLOOKUP(A131,'COSTO Y PRECIO'!$A:$A,'COSTO Y PRECIO'!B:B)</f>
        <v>73.08</v>
      </c>
      <c r="N131">
        <f>+_xlfn.XLOOKUP(A131,'COSTO Y PRECIO'!$A:$A,'COSTO Y PRECIO'!C:C)</f>
        <v>106</v>
      </c>
    </row>
    <row r="132" spans="1:14" x14ac:dyDescent="0.35">
      <c r="A132" s="2">
        <v>100015186</v>
      </c>
      <c r="B132" s="4">
        <v>75068844</v>
      </c>
      <c r="C132" s="2" t="s">
        <v>172</v>
      </c>
      <c r="D132" s="2" t="s">
        <v>11</v>
      </c>
      <c r="E132" s="2" t="s">
        <v>161</v>
      </c>
      <c r="F132" s="2" t="s">
        <v>39</v>
      </c>
      <c r="G132" s="2" t="s">
        <v>71</v>
      </c>
      <c r="H132" s="1" t="s">
        <v>36</v>
      </c>
      <c r="I132" s="1" t="s">
        <v>16</v>
      </c>
      <c r="J132" t="str">
        <f>+_xlfn.XLOOKUP(B132,INNOVACIÓN!A:A,INNOVACIÓN!B:B,"NO")</f>
        <v>NO</v>
      </c>
      <c r="K132">
        <v>14</v>
      </c>
      <c r="M132">
        <f>+_xlfn.XLOOKUP(A132,'COSTO Y PRECIO'!$A:$A,'COSTO Y PRECIO'!B:B)</f>
        <v>52.96</v>
      </c>
      <c r="N132">
        <f>+_xlfn.XLOOKUP(A132,'COSTO Y PRECIO'!$A:$A,'COSTO Y PRECIO'!C:C)</f>
        <v>77</v>
      </c>
    </row>
    <row r="133" spans="1:14" x14ac:dyDescent="0.35">
      <c r="A133" s="2">
        <v>100015037</v>
      </c>
      <c r="B133" s="4">
        <v>75068745</v>
      </c>
      <c r="C133" s="2" t="s">
        <v>173</v>
      </c>
      <c r="D133" s="2" t="s">
        <v>11</v>
      </c>
      <c r="E133" s="2" t="s">
        <v>161</v>
      </c>
      <c r="F133" s="2" t="s">
        <v>39</v>
      </c>
      <c r="G133" s="2" t="s">
        <v>71</v>
      </c>
      <c r="H133" s="1" t="s">
        <v>36</v>
      </c>
      <c r="I133" s="1" t="s">
        <v>16</v>
      </c>
      <c r="J133" t="str">
        <f>+_xlfn.XLOOKUP(B133,INNOVACIÓN!A:A,INNOVACIÓN!B:B,"NO")</f>
        <v>NO</v>
      </c>
      <c r="K133">
        <v>20</v>
      </c>
      <c r="M133">
        <f>+_xlfn.XLOOKUP(A133,'COSTO Y PRECIO'!$A:$A,'COSTO Y PRECIO'!B:B)</f>
        <v>66.14</v>
      </c>
      <c r="N133">
        <f>+_xlfn.XLOOKUP(A133,'COSTO Y PRECIO'!$A:$A,'COSTO Y PRECIO'!C:C)</f>
        <v>96</v>
      </c>
    </row>
    <row r="134" spans="1:14" x14ac:dyDescent="0.35">
      <c r="A134" s="1">
        <v>100014570</v>
      </c>
      <c r="B134" s="4">
        <v>75068738</v>
      </c>
      <c r="C134" s="1" t="s">
        <v>174</v>
      </c>
      <c r="D134" s="1" t="s">
        <v>11</v>
      </c>
      <c r="E134" s="1" t="s">
        <v>161</v>
      </c>
      <c r="F134" s="1" t="s">
        <v>39</v>
      </c>
      <c r="G134" s="1" t="s">
        <v>71</v>
      </c>
      <c r="H134" s="1" t="s">
        <v>36</v>
      </c>
      <c r="I134" s="1" t="s">
        <v>16</v>
      </c>
      <c r="J134" t="str">
        <f>+_xlfn.XLOOKUP(B134,INNOVACIÓN!A:A,INNOVACIÓN!B:B,"NO")</f>
        <v>NO</v>
      </c>
      <c r="K134">
        <v>20</v>
      </c>
      <c r="M134">
        <f>+_xlfn.XLOOKUP(A134,'COSTO Y PRECIO'!$A:$A,'COSTO Y PRECIO'!B:B)</f>
        <v>72.39</v>
      </c>
      <c r="N134">
        <f>+_xlfn.XLOOKUP(A134,'COSTO Y PRECIO'!$A:$A,'COSTO Y PRECIO'!C:C)</f>
        <v>105</v>
      </c>
    </row>
    <row r="135" spans="1:14" x14ac:dyDescent="0.35">
      <c r="A135" s="2">
        <v>100013136</v>
      </c>
      <c r="B135" s="4">
        <v>75066345</v>
      </c>
      <c r="C135" s="2" t="s">
        <v>175</v>
      </c>
      <c r="D135" s="2" t="s">
        <v>11</v>
      </c>
      <c r="E135" s="2" t="s">
        <v>161</v>
      </c>
      <c r="F135" s="2" t="s">
        <v>46</v>
      </c>
      <c r="G135" s="2" t="s">
        <v>14</v>
      </c>
      <c r="H135" s="1" t="s">
        <v>36</v>
      </c>
      <c r="I135" s="1" t="s">
        <v>16</v>
      </c>
      <c r="J135" t="str">
        <f>+_xlfn.XLOOKUP(B135,INNOVACIÓN!A:A,INNOVACIÓN!B:B,"NO")</f>
        <v>NO</v>
      </c>
      <c r="K135">
        <v>20</v>
      </c>
      <c r="M135">
        <f>+_xlfn.XLOOKUP(A135,'COSTO Y PRECIO'!$A:$A,'COSTO Y PRECIO'!B:B)</f>
        <v>66.680000000000007</v>
      </c>
      <c r="N135">
        <f>+_xlfn.XLOOKUP(A135,'COSTO Y PRECIO'!$A:$A,'COSTO Y PRECIO'!C:C)</f>
        <v>98</v>
      </c>
    </row>
    <row r="136" spans="1:14" x14ac:dyDescent="0.35">
      <c r="A136" s="2">
        <v>101000062</v>
      </c>
      <c r="B136" s="4">
        <v>75006372</v>
      </c>
      <c r="C136" s="2" t="s">
        <v>176</v>
      </c>
      <c r="D136" s="2" t="s">
        <v>11</v>
      </c>
      <c r="E136" s="2" t="s">
        <v>33</v>
      </c>
      <c r="F136" s="2" t="s">
        <v>46</v>
      </c>
      <c r="G136" s="2" t="s">
        <v>14</v>
      </c>
      <c r="H136" s="1" t="s">
        <v>36</v>
      </c>
      <c r="I136" s="1" t="s">
        <v>109</v>
      </c>
      <c r="J136" t="str">
        <f>+_xlfn.XLOOKUP(B136,INNOVACIÓN!A:A,INNOVACIÓN!B:B,"NO")</f>
        <v>NO</v>
      </c>
      <c r="K136">
        <v>20</v>
      </c>
      <c r="M136">
        <f>+_xlfn.XLOOKUP(A136,'COSTO Y PRECIO'!$A:$A,'COSTO Y PRECIO'!B:B)</f>
        <v>66.680000000000007</v>
      </c>
      <c r="N136">
        <f>+_xlfn.XLOOKUP(A136,'COSTO Y PRECIO'!$A:$A,'COSTO Y PRECIO'!C:C)</f>
        <v>98</v>
      </c>
    </row>
    <row r="137" spans="1:14" x14ac:dyDescent="0.35">
      <c r="A137" s="1">
        <v>100022336</v>
      </c>
      <c r="B137" s="4">
        <v>75066413</v>
      </c>
      <c r="C137" s="1" t="s">
        <v>177</v>
      </c>
      <c r="D137" s="1" t="s">
        <v>11</v>
      </c>
      <c r="E137" s="1" t="s">
        <v>168</v>
      </c>
      <c r="F137" s="1" t="s">
        <v>41</v>
      </c>
      <c r="G137" s="1" t="s">
        <v>35</v>
      </c>
      <c r="H137" s="1" t="s">
        <v>36</v>
      </c>
      <c r="I137" s="1" t="s">
        <v>16</v>
      </c>
      <c r="J137" t="str">
        <f>+_xlfn.XLOOKUP(B137,INNOVACIÓN!A:A,INNOVACIÓN!B:B,"NO")</f>
        <v>NO</v>
      </c>
      <c r="K137">
        <v>25</v>
      </c>
      <c r="M137">
        <f>+_xlfn.XLOOKUP(A137,'COSTO Y PRECIO'!$A:$A,'COSTO Y PRECIO'!B:B)</f>
        <v>68.09</v>
      </c>
      <c r="N137">
        <f>+_xlfn.XLOOKUP(A137,'COSTO Y PRECIO'!$A:$A,'COSTO Y PRECIO'!C:C)</f>
        <v>99</v>
      </c>
    </row>
    <row r="138" spans="1:14" x14ac:dyDescent="0.35">
      <c r="A138" s="2">
        <v>100022523</v>
      </c>
      <c r="B138" s="4">
        <v>75019563</v>
      </c>
      <c r="C138" s="2" t="s">
        <v>178</v>
      </c>
      <c r="D138" s="2" t="s">
        <v>11</v>
      </c>
      <c r="E138" s="2" t="s">
        <v>168</v>
      </c>
      <c r="F138" s="2" t="s">
        <v>41</v>
      </c>
      <c r="G138" s="2" t="s">
        <v>35</v>
      </c>
      <c r="H138" s="1" t="s">
        <v>36</v>
      </c>
      <c r="I138" s="1" t="s">
        <v>16</v>
      </c>
      <c r="J138" t="str">
        <f>+_xlfn.XLOOKUP(B138,INNOVACIÓN!A:A,INNOVACIÓN!B:B,"NO")</f>
        <v>NO</v>
      </c>
      <c r="K138">
        <v>20</v>
      </c>
      <c r="M138">
        <f>+_xlfn.XLOOKUP(A138,'COSTO Y PRECIO'!$A:$A,'COSTO Y PRECIO'!B:B)</f>
        <v>61.28</v>
      </c>
      <c r="N138">
        <f>+_xlfn.XLOOKUP(A138,'COSTO Y PRECIO'!$A:$A,'COSTO Y PRECIO'!C:C)</f>
        <v>89</v>
      </c>
    </row>
    <row r="139" spans="1:14" x14ac:dyDescent="0.35">
      <c r="A139" s="1">
        <v>100022965</v>
      </c>
      <c r="B139" s="4">
        <v>75019570</v>
      </c>
      <c r="C139" s="1" t="s">
        <v>179</v>
      </c>
      <c r="D139" s="1" t="s">
        <v>11</v>
      </c>
      <c r="E139" s="1" t="s">
        <v>168</v>
      </c>
      <c r="F139" s="1" t="s">
        <v>41</v>
      </c>
      <c r="G139" s="1" t="s">
        <v>71</v>
      </c>
      <c r="H139" s="1" t="s">
        <v>36</v>
      </c>
      <c r="I139" s="1" t="s">
        <v>16</v>
      </c>
      <c r="J139" t="str">
        <f>+_xlfn.XLOOKUP(B139,INNOVACIÓN!A:A,INNOVACIÓN!B:B,"NO")</f>
        <v>NO</v>
      </c>
      <c r="K139">
        <v>20</v>
      </c>
      <c r="M139">
        <f>+_xlfn.XLOOKUP(A139,'COSTO Y PRECIO'!$A:$A,'COSTO Y PRECIO'!B:B)</f>
        <v>61.28</v>
      </c>
      <c r="N139">
        <f>+_xlfn.XLOOKUP(A139,'COSTO Y PRECIO'!$A:$A,'COSTO Y PRECIO'!C:C)</f>
        <v>89</v>
      </c>
    </row>
    <row r="140" spans="1:14" x14ac:dyDescent="0.35">
      <c r="A140" s="1">
        <v>100022335</v>
      </c>
      <c r="B140" s="4">
        <v>75019587</v>
      </c>
      <c r="C140" s="1" t="s">
        <v>180</v>
      </c>
      <c r="D140" s="1" t="s">
        <v>11</v>
      </c>
      <c r="E140" s="1" t="s">
        <v>168</v>
      </c>
      <c r="F140" s="1" t="s">
        <v>41</v>
      </c>
      <c r="G140" s="1" t="s">
        <v>35</v>
      </c>
      <c r="H140" s="1" t="s">
        <v>36</v>
      </c>
      <c r="I140" s="1" t="s">
        <v>16</v>
      </c>
      <c r="J140" t="str">
        <f>+_xlfn.XLOOKUP(B140,INNOVACIÓN!A:A,INNOVACIÓN!B:B,"NO")</f>
        <v>NO</v>
      </c>
      <c r="K140">
        <v>15</v>
      </c>
      <c r="M140">
        <f>+_xlfn.XLOOKUP(A140,'COSTO Y PRECIO'!$A:$A,'COSTO Y PRECIO'!B:B)</f>
        <v>45.89</v>
      </c>
      <c r="N140">
        <f>+_xlfn.XLOOKUP(A140,'COSTO Y PRECIO'!$A:$A,'COSTO Y PRECIO'!C:C)</f>
        <v>67</v>
      </c>
    </row>
    <row r="141" spans="1:14" x14ac:dyDescent="0.35">
      <c r="A141" s="1">
        <v>100080028</v>
      </c>
      <c r="B141" s="4">
        <v>75001315</v>
      </c>
      <c r="C141" s="1" t="s">
        <v>181</v>
      </c>
      <c r="D141" s="1" t="s">
        <v>11</v>
      </c>
      <c r="E141" s="1" t="s">
        <v>161</v>
      </c>
      <c r="F141" s="1" t="s">
        <v>39</v>
      </c>
      <c r="G141" s="1" t="s">
        <v>35</v>
      </c>
      <c r="H141" s="1" t="s">
        <v>36</v>
      </c>
      <c r="I141" s="1" t="s">
        <v>16</v>
      </c>
      <c r="J141" t="str">
        <f>+_xlfn.XLOOKUP(B141,INNOVACIÓN!A:A,INNOVACIÓN!B:B,"NO")</f>
        <v>NO</v>
      </c>
      <c r="K141">
        <v>20</v>
      </c>
      <c r="M141">
        <f>+_xlfn.XLOOKUP(A141,'COSTO Y PRECIO'!$A:$A,'COSTO Y PRECIO'!B:B)</f>
        <v>66.14</v>
      </c>
      <c r="N141">
        <f>+_xlfn.XLOOKUP(A141,'COSTO Y PRECIO'!$A:$A,'COSTO Y PRECIO'!C:C)</f>
        <v>96</v>
      </c>
    </row>
    <row r="142" spans="1:14" x14ac:dyDescent="0.35">
      <c r="A142" s="2">
        <v>100080027</v>
      </c>
      <c r="B142" s="4">
        <v>75001322</v>
      </c>
      <c r="C142" s="2" t="s">
        <v>182</v>
      </c>
      <c r="D142" s="2" t="s">
        <v>11</v>
      </c>
      <c r="E142" s="2" t="s">
        <v>161</v>
      </c>
      <c r="F142" s="2" t="s">
        <v>39</v>
      </c>
      <c r="G142" s="2" t="s">
        <v>35</v>
      </c>
      <c r="H142" s="1" t="s">
        <v>36</v>
      </c>
      <c r="I142" s="1" t="s">
        <v>16</v>
      </c>
      <c r="J142" t="str">
        <f>+_xlfn.XLOOKUP(B142,INNOVACIÓN!A:A,INNOVACIÓN!B:B,"NO")</f>
        <v>NO</v>
      </c>
      <c r="K142">
        <v>20</v>
      </c>
      <c r="M142">
        <f>+_xlfn.XLOOKUP(A142,'COSTO Y PRECIO'!$A:$A,'COSTO Y PRECIO'!B:B)</f>
        <v>72.39</v>
      </c>
      <c r="N142">
        <f>+_xlfn.XLOOKUP(A142,'COSTO Y PRECIO'!$A:$A,'COSTO Y PRECIO'!C:C)</f>
        <v>105</v>
      </c>
    </row>
    <row r="143" spans="1:14" x14ac:dyDescent="0.35">
      <c r="A143" s="1">
        <v>100080257</v>
      </c>
      <c r="B143" s="4">
        <v>75001339</v>
      </c>
      <c r="C143" s="1" t="s">
        <v>183</v>
      </c>
      <c r="D143" s="1" t="s">
        <v>11</v>
      </c>
      <c r="E143" s="1" t="s">
        <v>161</v>
      </c>
      <c r="F143" s="1" t="s">
        <v>39</v>
      </c>
      <c r="G143" s="1" t="s">
        <v>35</v>
      </c>
      <c r="H143" s="1" t="s">
        <v>36</v>
      </c>
      <c r="I143" s="1" t="s">
        <v>16</v>
      </c>
      <c r="J143" t="str">
        <f>+_xlfn.XLOOKUP(B143,INNOVACIÓN!A:A,INNOVACIÓN!B:B,"NO")</f>
        <v>NO</v>
      </c>
      <c r="K143">
        <v>14</v>
      </c>
      <c r="M143">
        <f>+_xlfn.XLOOKUP(A143,'COSTO Y PRECIO'!$A:$A,'COSTO Y PRECIO'!B:B)</f>
        <v>52.96</v>
      </c>
      <c r="N143">
        <f>+_xlfn.XLOOKUP(A143,'COSTO Y PRECIO'!$A:$A,'COSTO Y PRECIO'!C:C)</f>
        <v>77</v>
      </c>
    </row>
    <row r="144" spans="1:14" x14ac:dyDescent="0.35">
      <c r="A144" s="2">
        <v>100080820</v>
      </c>
      <c r="B144" s="4">
        <v>75031053</v>
      </c>
      <c r="C144" s="2" t="s">
        <v>184</v>
      </c>
      <c r="D144" s="2" t="s">
        <v>11</v>
      </c>
      <c r="E144" s="2" t="s">
        <v>161</v>
      </c>
      <c r="F144" s="2" t="s">
        <v>39</v>
      </c>
      <c r="G144" s="2" t="s">
        <v>54</v>
      </c>
      <c r="H144" s="1" t="s">
        <v>36</v>
      </c>
      <c r="I144" s="1" t="s">
        <v>16</v>
      </c>
      <c r="J144" t="str">
        <f>+_xlfn.XLOOKUP(B144,INNOVACIÓN!A:A,INNOVACIÓN!B:B,"NO")</f>
        <v>NO</v>
      </c>
      <c r="K144">
        <v>20</v>
      </c>
      <c r="M144">
        <f>+_xlfn.XLOOKUP(A144,'COSTO Y PRECIO'!$A:$A,'COSTO Y PRECIO'!B:B)</f>
        <v>72.39</v>
      </c>
      <c r="N144">
        <f>+_xlfn.XLOOKUP(A144,'COSTO Y PRECIO'!$A:$A,'COSTO Y PRECIO'!C:C)</f>
        <v>105</v>
      </c>
    </row>
    <row r="145" spans="1:14" x14ac:dyDescent="0.35">
      <c r="A145" s="2">
        <v>100080904</v>
      </c>
      <c r="B145" s="4">
        <v>75043247</v>
      </c>
      <c r="C145" s="2" t="s">
        <v>185</v>
      </c>
      <c r="D145" s="2" t="s">
        <v>11</v>
      </c>
      <c r="E145" s="1" t="s">
        <v>33</v>
      </c>
      <c r="F145" s="2" t="s">
        <v>39</v>
      </c>
      <c r="G145" s="2" t="s">
        <v>54</v>
      </c>
      <c r="H145" s="1" t="s">
        <v>36</v>
      </c>
      <c r="I145" s="1" t="s">
        <v>109</v>
      </c>
      <c r="J145" t="str">
        <f>+_xlfn.XLOOKUP(B145,INNOVACIÓN!A:A,INNOVACIÓN!B:B,"NO")</f>
        <v>NO</v>
      </c>
      <c r="K145">
        <v>14</v>
      </c>
      <c r="M145">
        <f>+_xlfn.XLOOKUP(A145,'COSTO Y PRECIO'!$A:$A,'COSTO Y PRECIO'!B:B)</f>
        <v>52.96</v>
      </c>
      <c r="N145">
        <f>+_xlfn.XLOOKUP(A145,'COSTO Y PRECIO'!$A:$A,'COSTO Y PRECIO'!C:C)</f>
        <v>77</v>
      </c>
    </row>
    <row r="146" spans="1:14" x14ac:dyDescent="0.35">
      <c r="A146" s="2">
        <v>100080850</v>
      </c>
      <c r="B146" s="4">
        <v>75035259</v>
      </c>
      <c r="C146" s="2" t="s">
        <v>186</v>
      </c>
      <c r="D146" s="2" t="s">
        <v>11</v>
      </c>
      <c r="E146" s="2" t="s">
        <v>161</v>
      </c>
      <c r="F146" s="2" t="s">
        <v>39</v>
      </c>
      <c r="G146" s="2" t="s">
        <v>54</v>
      </c>
      <c r="H146" s="1" t="s">
        <v>36</v>
      </c>
      <c r="I146" s="1" t="s">
        <v>16</v>
      </c>
      <c r="J146" t="str">
        <f>+_xlfn.XLOOKUP(B146,INNOVACIÓN!A:A,INNOVACIÓN!B:B,"NO")</f>
        <v>NO</v>
      </c>
      <c r="K146">
        <v>20</v>
      </c>
      <c r="M146">
        <f>+_xlfn.XLOOKUP(A146,'COSTO Y PRECIO'!$A:$A,'COSTO Y PRECIO'!B:B)</f>
        <v>72.39</v>
      </c>
      <c r="N146">
        <f>+_xlfn.XLOOKUP(A146,'COSTO Y PRECIO'!$A:$A,'COSTO Y PRECIO'!C:C)</f>
        <v>105</v>
      </c>
    </row>
    <row r="147" spans="1:14" x14ac:dyDescent="0.35">
      <c r="A147" s="2">
        <v>100080903</v>
      </c>
      <c r="B147" s="4">
        <v>75042646</v>
      </c>
      <c r="C147" s="14" t="s">
        <v>187</v>
      </c>
      <c r="D147" s="2" t="s">
        <v>11</v>
      </c>
      <c r="E147" s="2" t="s">
        <v>161</v>
      </c>
      <c r="F147" s="2" t="s">
        <v>39</v>
      </c>
      <c r="G147" s="2" t="s">
        <v>54</v>
      </c>
      <c r="H147" s="1" t="s">
        <v>36</v>
      </c>
      <c r="I147" s="1" t="s">
        <v>16</v>
      </c>
      <c r="J147" t="str">
        <f>+_xlfn.XLOOKUP(B147,INNOVACIÓN!A:A,INNOVACIÓN!B:B,"NO")</f>
        <v>NO</v>
      </c>
      <c r="K147">
        <v>14</v>
      </c>
      <c r="M147">
        <f>+_xlfn.XLOOKUP(A147,'COSTO Y PRECIO'!$A:$A,'COSTO Y PRECIO'!B:B)</f>
        <v>52.96</v>
      </c>
      <c r="N147">
        <f>+_xlfn.XLOOKUP(A147,'COSTO Y PRECIO'!$A:$A,'COSTO Y PRECIO'!C:C)</f>
        <v>77</v>
      </c>
    </row>
    <row r="148" spans="1:14" x14ac:dyDescent="0.35">
      <c r="A148" s="1">
        <v>100080687</v>
      </c>
      <c r="B148" s="4">
        <v>75021597</v>
      </c>
      <c r="C148" s="1" t="s">
        <v>188</v>
      </c>
      <c r="D148" s="1" t="s">
        <v>11</v>
      </c>
      <c r="E148" s="1" t="s">
        <v>161</v>
      </c>
      <c r="F148" s="1" t="s">
        <v>39</v>
      </c>
      <c r="G148" s="1" t="s">
        <v>54</v>
      </c>
      <c r="H148" s="1" t="s">
        <v>36</v>
      </c>
      <c r="I148" s="1" t="s">
        <v>16</v>
      </c>
      <c r="J148" t="str">
        <f>+_xlfn.XLOOKUP(B148,INNOVACIÓN!A:A,INNOVACIÓN!B:B,"NO")</f>
        <v>NO</v>
      </c>
      <c r="K148">
        <v>20</v>
      </c>
      <c r="M148">
        <f>+_xlfn.XLOOKUP(A148,'COSTO Y PRECIO'!$A:$A,'COSTO Y PRECIO'!B:B)</f>
        <v>72.39</v>
      </c>
      <c r="N148">
        <f>+_xlfn.XLOOKUP(A148,'COSTO Y PRECIO'!$A:$A,'COSTO Y PRECIO'!C:C)</f>
        <v>105</v>
      </c>
    </row>
    <row r="149" spans="1:14" x14ac:dyDescent="0.35">
      <c r="A149" s="1">
        <v>100019981</v>
      </c>
      <c r="B149" s="4">
        <v>75074746</v>
      </c>
      <c r="C149" s="1" t="s">
        <v>189</v>
      </c>
      <c r="D149" s="1" t="s">
        <v>11</v>
      </c>
      <c r="E149" s="1" t="s">
        <v>156</v>
      </c>
      <c r="F149" s="1" t="s">
        <v>46</v>
      </c>
      <c r="G149" s="1" t="s">
        <v>14</v>
      </c>
      <c r="H149" s="1" t="s">
        <v>36</v>
      </c>
      <c r="I149" s="1" t="s">
        <v>16</v>
      </c>
      <c r="J149" t="str">
        <f>+_xlfn.XLOOKUP(B149,INNOVACIÓN!A:A,INNOVACIÓN!B:B,"NO")</f>
        <v>NO</v>
      </c>
      <c r="K149">
        <v>20</v>
      </c>
      <c r="M149">
        <f>+_xlfn.XLOOKUP(A149,'COSTO Y PRECIO'!$A:$A,'COSTO Y PRECIO'!B:B)</f>
        <v>66.680000000000007</v>
      </c>
      <c r="N149">
        <f>+_xlfn.XLOOKUP(A149,'COSTO Y PRECIO'!$A:$A,'COSTO Y PRECIO'!C:C)</f>
        <v>98</v>
      </c>
    </row>
    <row r="150" spans="1:14" x14ac:dyDescent="0.35">
      <c r="A150">
        <v>100080372</v>
      </c>
      <c r="B150" s="6">
        <v>7501609501521</v>
      </c>
      <c r="C150" t="s">
        <v>190</v>
      </c>
      <c r="D150" s="14" t="s">
        <v>87</v>
      </c>
      <c r="E150" s="2" t="s">
        <v>33</v>
      </c>
      <c r="F150" s="2" t="s">
        <v>87</v>
      </c>
      <c r="G150" s="2" t="s">
        <v>87</v>
      </c>
      <c r="H150" s="2" t="s">
        <v>87</v>
      </c>
      <c r="I150" s="1" t="s">
        <v>16</v>
      </c>
      <c r="J150" t="str">
        <f>+_xlfn.XLOOKUP(B150,INNOVACIÓN!A:A,INNOVACIÓN!B:B,"NO")</f>
        <v>NO</v>
      </c>
      <c r="M150">
        <f>+_xlfn.XLOOKUP(A150,'COSTO Y PRECIO'!$A:$A,'COSTO Y PRECIO'!B:B)</f>
        <v>66.239999999999995</v>
      </c>
      <c r="N150">
        <f>+_xlfn.XLOOKUP(A150,'COSTO Y PRECIO'!$A:$A,'COSTO Y PRECIO'!C:C)</f>
        <v>111.75</v>
      </c>
    </row>
    <row r="151" spans="1:14" x14ac:dyDescent="0.35">
      <c r="A151">
        <v>100026301</v>
      </c>
      <c r="B151" s="6">
        <v>7503039738546</v>
      </c>
      <c r="C151" t="s">
        <v>191</v>
      </c>
      <c r="D151" s="2" t="s">
        <v>44</v>
      </c>
      <c r="E151" s="2" t="s">
        <v>33</v>
      </c>
      <c r="F151" s="2" t="s">
        <v>13</v>
      </c>
      <c r="G151" s="2" t="s">
        <v>14</v>
      </c>
      <c r="H151" s="1" t="s">
        <v>15</v>
      </c>
      <c r="I151" s="1" t="s">
        <v>109</v>
      </c>
      <c r="J151" t="str">
        <f>+_xlfn.XLOOKUP(B151,INNOVACIÓN!A:A,INNOVACIÓN!B:B,"NO")</f>
        <v>NO</v>
      </c>
      <c r="K151">
        <v>15</v>
      </c>
      <c r="L151" t="s">
        <v>676</v>
      </c>
      <c r="M151">
        <f>+_xlfn.XLOOKUP(A151,'COSTO Y PRECIO'!$A:$A,'COSTO Y PRECIO'!B:B)</f>
        <v>61.659999999999975</v>
      </c>
      <c r="N151">
        <f>+_xlfn.XLOOKUP(A151,'COSTO Y PRECIO'!$A:$A,'COSTO Y PRECIO'!C:C)</f>
        <v>80</v>
      </c>
    </row>
    <row r="152" spans="1:14" x14ac:dyDescent="0.35">
      <c r="A152">
        <v>100025297</v>
      </c>
      <c r="B152" s="6">
        <v>7503039738393</v>
      </c>
      <c r="C152" t="s">
        <v>192</v>
      </c>
      <c r="D152" s="2" t="s">
        <v>44</v>
      </c>
      <c r="E152" t="s">
        <v>33</v>
      </c>
      <c r="F152" s="1" t="s">
        <v>13</v>
      </c>
      <c r="G152" s="2" t="s">
        <v>14</v>
      </c>
      <c r="H152" s="1" t="s">
        <v>15</v>
      </c>
      <c r="I152" s="1" t="s">
        <v>109</v>
      </c>
      <c r="J152" t="str">
        <f>+_xlfn.XLOOKUP(B152,INNOVACIÓN!A:A,INNOVACIÓN!B:B,"NO")</f>
        <v>NO</v>
      </c>
      <c r="K152">
        <v>20</v>
      </c>
      <c r="L152" t="s">
        <v>677</v>
      </c>
      <c r="M152">
        <f>+_xlfn.XLOOKUP(A152,'COSTO Y PRECIO'!$A:$A,'COSTO Y PRECIO'!B:B)</f>
        <v>80.919999999999987</v>
      </c>
      <c r="N152">
        <f>+_xlfn.XLOOKUP(A152,'COSTO Y PRECIO'!$A:$A,'COSTO Y PRECIO'!C:C)</f>
        <v>105</v>
      </c>
    </row>
    <row r="153" spans="1:14" x14ac:dyDescent="0.35">
      <c r="A153">
        <v>100024462</v>
      </c>
      <c r="B153" s="6">
        <v>7707200946741</v>
      </c>
      <c r="C153" t="s">
        <v>193</v>
      </c>
      <c r="D153" s="1" t="s">
        <v>44</v>
      </c>
      <c r="E153" s="1" t="s">
        <v>146</v>
      </c>
      <c r="F153" s="1" t="s">
        <v>13</v>
      </c>
      <c r="G153" s="2" t="s">
        <v>14</v>
      </c>
      <c r="H153" s="1" t="s">
        <v>15</v>
      </c>
      <c r="I153" s="1" t="s">
        <v>16</v>
      </c>
      <c r="J153" t="str">
        <f>+_xlfn.XLOOKUP(B153,INNOVACIÓN!A:A,INNOVACIÓN!B:B,"NO")</f>
        <v>NO</v>
      </c>
      <c r="K153">
        <v>15</v>
      </c>
      <c r="L153" t="s">
        <v>675</v>
      </c>
      <c r="M153">
        <f>+_xlfn.XLOOKUP(A153,'COSTO Y PRECIO'!$A:$A,'COSTO Y PRECIO'!B:B)</f>
        <v>61.659999999999975</v>
      </c>
      <c r="N153">
        <f>+_xlfn.XLOOKUP(A153,'COSTO Y PRECIO'!$A:$A,'COSTO Y PRECIO'!C:C)</f>
        <v>80</v>
      </c>
    </row>
    <row r="154" spans="1:14" x14ac:dyDescent="0.35">
      <c r="A154">
        <v>100026070</v>
      </c>
      <c r="B154" s="6">
        <v>7503039738492</v>
      </c>
      <c r="C154" t="s">
        <v>194</v>
      </c>
      <c r="D154" s="14" t="s">
        <v>44</v>
      </c>
      <c r="E154" s="2" t="s">
        <v>33</v>
      </c>
      <c r="F154" s="1" t="s">
        <v>13</v>
      </c>
      <c r="G154" s="2" t="s">
        <v>14</v>
      </c>
      <c r="H154" s="2" t="s">
        <v>15</v>
      </c>
      <c r="I154" s="1" t="s">
        <v>109</v>
      </c>
      <c r="J154" t="str">
        <f>+_xlfn.XLOOKUP(B154,INNOVACIÓN!A:A,INNOVACIÓN!B:B,"NO")</f>
        <v>NO</v>
      </c>
      <c r="K154">
        <v>15</v>
      </c>
      <c r="L154" t="s">
        <v>675</v>
      </c>
      <c r="M154">
        <f>+_xlfn.XLOOKUP(A154,'COSTO Y PRECIO'!$A:$A,'COSTO Y PRECIO'!B:B)</f>
        <v>61.659999999999975</v>
      </c>
      <c r="N154">
        <f>+_xlfn.XLOOKUP(A154,'COSTO Y PRECIO'!$A:$A,'COSTO Y PRECIO'!C:C)</f>
        <v>80</v>
      </c>
    </row>
    <row r="155" spans="1:14" x14ac:dyDescent="0.35">
      <c r="A155">
        <v>100024465</v>
      </c>
      <c r="B155" s="6">
        <v>7707200943245</v>
      </c>
      <c r="C155" t="s">
        <v>195</v>
      </c>
      <c r="D155" s="1" t="s">
        <v>44</v>
      </c>
      <c r="E155" s="1" t="s">
        <v>146</v>
      </c>
      <c r="F155" s="1" t="s">
        <v>13</v>
      </c>
      <c r="G155" s="2" t="s">
        <v>14</v>
      </c>
      <c r="H155" s="1" t="s">
        <v>15</v>
      </c>
      <c r="I155" s="1" t="s">
        <v>16</v>
      </c>
      <c r="J155" t="str">
        <f>+_xlfn.XLOOKUP(B155,INNOVACIÓN!A:A,INNOVACIÓN!B:B,"NO")</f>
        <v>NO</v>
      </c>
      <c r="K155">
        <v>15</v>
      </c>
      <c r="L155" t="s">
        <v>676</v>
      </c>
      <c r="M155">
        <f>+_xlfn.XLOOKUP(A155,'COSTO Y PRECIO'!$A:$A,'COSTO Y PRECIO'!B:B)</f>
        <v>61.659999999999975</v>
      </c>
      <c r="N155">
        <f>+_xlfn.XLOOKUP(A155,'COSTO Y PRECIO'!$A:$A,'COSTO Y PRECIO'!C:C)</f>
        <v>80</v>
      </c>
    </row>
    <row r="156" spans="1:14" x14ac:dyDescent="0.35">
      <c r="A156">
        <v>100026300</v>
      </c>
      <c r="B156" s="6">
        <v>7503039738539</v>
      </c>
      <c r="C156" t="s">
        <v>196</v>
      </c>
      <c r="D156" s="2" t="s">
        <v>44</v>
      </c>
      <c r="E156" s="2" t="s">
        <v>33</v>
      </c>
      <c r="F156" s="2" t="s">
        <v>13</v>
      </c>
      <c r="G156" s="2" t="s">
        <v>14</v>
      </c>
      <c r="H156" s="1" t="s">
        <v>15</v>
      </c>
      <c r="I156" s="1" t="s">
        <v>109</v>
      </c>
      <c r="J156" t="str">
        <f>+_xlfn.XLOOKUP(B156,INNOVACIÓN!A:A,INNOVACIÓN!B:B,"NO")</f>
        <v>NO</v>
      </c>
      <c r="K156">
        <v>15</v>
      </c>
      <c r="L156" t="s">
        <v>676</v>
      </c>
      <c r="M156">
        <f>+_xlfn.XLOOKUP(A156,'COSTO Y PRECIO'!$A:$A,'COSTO Y PRECIO'!B:B)</f>
        <v>61.659999999999975</v>
      </c>
      <c r="N156">
        <f>+_xlfn.XLOOKUP(A156,'COSTO Y PRECIO'!$A:$A,'COSTO Y PRECIO'!C:C)</f>
        <v>80</v>
      </c>
    </row>
    <row r="157" spans="1:14" x14ac:dyDescent="0.35">
      <c r="A157">
        <v>100025298</v>
      </c>
      <c r="B157" s="6">
        <v>7503039738416</v>
      </c>
      <c r="C157" t="s">
        <v>197</v>
      </c>
      <c r="D157" s="14" t="s">
        <v>44</v>
      </c>
      <c r="E157" t="s">
        <v>33</v>
      </c>
      <c r="F157" s="1" t="s">
        <v>13</v>
      </c>
      <c r="G157" s="2" t="s">
        <v>14</v>
      </c>
      <c r="H157" s="1" t="s">
        <v>15</v>
      </c>
      <c r="I157" s="1" t="s">
        <v>109</v>
      </c>
      <c r="J157" t="str">
        <f>+_xlfn.XLOOKUP(B157,INNOVACIÓN!A:A,INNOVACIÓN!B:B,"NO")</f>
        <v>NO</v>
      </c>
      <c r="K157">
        <v>20</v>
      </c>
      <c r="L157" t="s">
        <v>677</v>
      </c>
      <c r="M157">
        <f>+_xlfn.XLOOKUP(A157,'COSTO Y PRECIO'!$A:$A,'COSTO Y PRECIO'!B:B)</f>
        <v>80.919999999999987</v>
      </c>
      <c r="N157">
        <f>+_xlfn.XLOOKUP(A157,'COSTO Y PRECIO'!$A:$A,'COSTO Y PRECIO'!C:C)</f>
        <v>105</v>
      </c>
    </row>
    <row r="158" spans="1:14" x14ac:dyDescent="0.35">
      <c r="A158">
        <v>100025894</v>
      </c>
      <c r="B158" s="6">
        <v>7503039738461</v>
      </c>
      <c r="C158" t="s">
        <v>198</v>
      </c>
      <c r="D158" s="2" t="s">
        <v>44</v>
      </c>
      <c r="E158" s="2" t="s">
        <v>146</v>
      </c>
      <c r="F158" s="1" t="s">
        <v>13</v>
      </c>
      <c r="G158" s="2" t="s">
        <v>14</v>
      </c>
      <c r="H158" s="1" t="s">
        <v>15</v>
      </c>
      <c r="I158" s="1" t="s">
        <v>16</v>
      </c>
      <c r="J158" t="str">
        <f>+_xlfn.XLOOKUP(B158,INNOVACIÓN!A:A,INNOVACIÓN!B:B,"NO")</f>
        <v>NO</v>
      </c>
      <c r="K158">
        <v>15</v>
      </c>
      <c r="L158" t="s">
        <v>676</v>
      </c>
      <c r="M158">
        <f>+_xlfn.XLOOKUP(A158,'COSTO Y PRECIO'!$A:$A,'COSTO Y PRECIO'!B:B)</f>
        <v>61.659999999999975</v>
      </c>
      <c r="N158">
        <f>+_xlfn.XLOOKUP(A158,'COSTO Y PRECIO'!$A:$A,'COSTO Y PRECIO'!C:C)</f>
        <v>80</v>
      </c>
    </row>
    <row r="159" spans="1:14" x14ac:dyDescent="0.35">
      <c r="A159">
        <v>100026307</v>
      </c>
      <c r="B159" s="6">
        <v>7503039738591</v>
      </c>
      <c r="C159" t="s">
        <v>199</v>
      </c>
      <c r="D159" s="2" t="s">
        <v>44</v>
      </c>
      <c r="E159" s="2" t="s">
        <v>33</v>
      </c>
      <c r="F159" s="2" t="s">
        <v>13</v>
      </c>
      <c r="G159" s="2" t="s">
        <v>14</v>
      </c>
      <c r="H159" s="1" t="s">
        <v>15</v>
      </c>
      <c r="I159" s="1" t="s">
        <v>109</v>
      </c>
      <c r="J159" t="str">
        <f>+_xlfn.XLOOKUP(B159,INNOVACIÓN!A:A,INNOVACIÓN!B:B,"NO")</f>
        <v>NO</v>
      </c>
      <c r="K159">
        <v>15</v>
      </c>
      <c r="L159" t="s">
        <v>676</v>
      </c>
      <c r="M159">
        <f>+_xlfn.XLOOKUP(A159,'COSTO Y PRECIO'!$A:$A,'COSTO Y PRECIO'!B:B)</f>
        <v>61.659999999999975</v>
      </c>
      <c r="N159">
        <f>+_xlfn.XLOOKUP(A159,'COSTO Y PRECIO'!$A:$A,'COSTO Y PRECIO'!C:C)</f>
        <v>80</v>
      </c>
    </row>
    <row r="160" spans="1:14" x14ac:dyDescent="0.35">
      <c r="A160">
        <v>100024417</v>
      </c>
      <c r="B160" s="6">
        <v>7702303391467</v>
      </c>
      <c r="C160" t="s">
        <v>200</v>
      </c>
      <c r="D160" s="1" t="s">
        <v>44</v>
      </c>
      <c r="E160" s="1" t="s">
        <v>33</v>
      </c>
      <c r="F160" s="1" t="s">
        <v>13</v>
      </c>
      <c r="G160" s="2" t="s">
        <v>14</v>
      </c>
      <c r="H160" s="1" t="s">
        <v>15</v>
      </c>
      <c r="I160" s="1" t="s">
        <v>109</v>
      </c>
      <c r="J160" t="str">
        <f>+_xlfn.XLOOKUP(B160,INNOVACIÓN!A:A,INNOVACIÓN!B:B,"NO")</f>
        <v>NO</v>
      </c>
      <c r="K160">
        <v>15</v>
      </c>
      <c r="L160" t="s">
        <v>675</v>
      </c>
      <c r="M160">
        <f>+_xlfn.XLOOKUP(A160,'COSTO Y PRECIO'!$A:$A,'COSTO Y PRECIO'!B:B)</f>
        <v>61.659999999999975</v>
      </c>
      <c r="N160">
        <f>+_xlfn.XLOOKUP(A160,'COSTO Y PRECIO'!$A:$A,'COSTO Y PRECIO'!C:C)</f>
        <v>80</v>
      </c>
    </row>
    <row r="161" spans="1:14" x14ac:dyDescent="0.35">
      <c r="A161">
        <v>100026072</v>
      </c>
      <c r="B161" s="6">
        <v>7503039738515</v>
      </c>
      <c r="C161" t="s">
        <v>201</v>
      </c>
      <c r="D161" s="14" t="s">
        <v>44</v>
      </c>
      <c r="E161" s="2" t="s">
        <v>33</v>
      </c>
      <c r="F161" s="1" t="s">
        <v>13</v>
      </c>
      <c r="G161" s="2" t="s">
        <v>14</v>
      </c>
      <c r="H161" s="2" t="s">
        <v>15</v>
      </c>
      <c r="I161" s="1" t="s">
        <v>109</v>
      </c>
      <c r="J161" t="str">
        <f>+_xlfn.XLOOKUP(B161,INNOVACIÓN!A:A,INNOVACIÓN!B:B,"NO")</f>
        <v>NO</v>
      </c>
      <c r="K161">
        <v>15</v>
      </c>
      <c r="L161" t="s">
        <v>675</v>
      </c>
      <c r="M161">
        <f>+_xlfn.XLOOKUP(A161,'COSTO Y PRECIO'!$A:$A,'COSTO Y PRECIO'!B:B)</f>
        <v>61.659999999999975</v>
      </c>
      <c r="N161">
        <f>+_xlfn.XLOOKUP(A161,'COSTO Y PRECIO'!$A:$A,'COSTO Y PRECIO'!C:C)</f>
        <v>80</v>
      </c>
    </row>
    <row r="162" spans="1:14" x14ac:dyDescent="0.35">
      <c r="A162" s="2">
        <v>100021048</v>
      </c>
      <c r="B162" s="4">
        <v>75005481</v>
      </c>
      <c r="C162" s="2" t="s">
        <v>202</v>
      </c>
      <c r="D162" s="2" t="s">
        <v>11</v>
      </c>
      <c r="E162" s="2" t="s">
        <v>203</v>
      </c>
      <c r="F162" s="2" t="s">
        <v>100</v>
      </c>
      <c r="G162" s="2" t="s">
        <v>35</v>
      </c>
      <c r="H162" s="1" t="s">
        <v>36</v>
      </c>
      <c r="I162" s="1" t="s">
        <v>16</v>
      </c>
      <c r="J162" t="str">
        <f>+_xlfn.XLOOKUP(B162,INNOVACIÓN!A:A,INNOVACIÓN!B:B,"NO")</f>
        <v>NO</v>
      </c>
      <c r="K162">
        <v>25</v>
      </c>
      <c r="M162">
        <f>+_xlfn.XLOOKUP(A162,'COSTO Y PRECIO'!$A:$A,'COSTO Y PRECIO'!B:B)</f>
        <v>59.76</v>
      </c>
      <c r="N162">
        <f>+_xlfn.XLOOKUP(A162,'COSTO Y PRECIO'!$A:$A,'COSTO Y PRECIO'!C:C)</f>
        <v>87</v>
      </c>
    </row>
    <row r="163" spans="1:14" x14ac:dyDescent="0.35">
      <c r="A163" s="2">
        <v>100020945</v>
      </c>
      <c r="B163" s="4">
        <v>75022266</v>
      </c>
      <c r="C163" s="2" t="s">
        <v>204</v>
      </c>
      <c r="D163" s="2" t="s">
        <v>11</v>
      </c>
      <c r="E163" s="2" t="s">
        <v>33</v>
      </c>
      <c r="F163" s="2" t="s">
        <v>100</v>
      </c>
      <c r="G163" s="2" t="s">
        <v>35</v>
      </c>
      <c r="H163" s="1" t="s">
        <v>36</v>
      </c>
      <c r="I163" s="1" t="s">
        <v>109</v>
      </c>
      <c r="J163" t="str">
        <f>+_xlfn.XLOOKUP(B163,INNOVACIÓN!A:A,INNOVACIÓN!B:B,"NO")</f>
        <v>NO</v>
      </c>
      <c r="K163">
        <v>14</v>
      </c>
      <c r="M163">
        <f>+_xlfn.XLOOKUP(A163,'COSTO Y PRECIO'!$A:$A,'COSTO Y PRECIO'!B:B)</f>
        <v>36.99</v>
      </c>
      <c r="N163">
        <f>+_xlfn.XLOOKUP(A163,'COSTO Y PRECIO'!$A:$A,'COSTO Y PRECIO'!C:C)</f>
        <v>54</v>
      </c>
    </row>
    <row r="164" spans="1:14" x14ac:dyDescent="0.35">
      <c r="A164">
        <v>100080353</v>
      </c>
      <c r="B164" s="6">
        <v>2168</v>
      </c>
      <c r="C164" t="s">
        <v>205</v>
      </c>
      <c r="D164" s="14" t="s">
        <v>87</v>
      </c>
      <c r="E164" s="2" t="s">
        <v>33</v>
      </c>
      <c r="F164" s="2" t="s">
        <v>87</v>
      </c>
      <c r="G164" s="2" t="s">
        <v>87</v>
      </c>
      <c r="H164" s="2" t="s">
        <v>87</v>
      </c>
      <c r="I164" s="1" t="s">
        <v>16</v>
      </c>
      <c r="J164" t="str">
        <f>+_xlfn.XLOOKUP(B164,INNOVACIÓN!A:A,INNOVACIÓN!B:B,"NO")</f>
        <v>NO</v>
      </c>
      <c r="M164">
        <f>+_xlfn.XLOOKUP(A164,'COSTO Y PRECIO'!$A:$A,'COSTO Y PRECIO'!B:B)</f>
        <v>5.8559999999999999</v>
      </c>
      <c r="N164">
        <f>+_xlfn.XLOOKUP(A164,'COSTO Y PRECIO'!$A:$A,'COSTO Y PRECIO'!C:C)</f>
        <v>12</v>
      </c>
    </row>
    <row r="165" spans="1:14" x14ac:dyDescent="0.35">
      <c r="A165" s="2">
        <v>100018038</v>
      </c>
      <c r="B165" s="4">
        <v>75069902</v>
      </c>
      <c r="C165" s="2" t="s">
        <v>206</v>
      </c>
      <c r="D165" s="2" t="s">
        <v>11</v>
      </c>
      <c r="E165" s="2" t="s">
        <v>203</v>
      </c>
      <c r="F165" s="2" t="s">
        <v>100</v>
      </c>
      <c r="G165" s="2" t="s">
        <v>35</v>
      </c>
      <c r="H165" s="1" t="s">
        <v>36</v>
      </c>
      <c r="I165" s="1" t="s">
        <v>16</v>
      </c>
      <c r="J165" t="str">
        <f>+_xlfn.XLOOKUP(B165,INNOVACIÓN!A:A,INNOVACIÓN!B:B,"NO")</f>
        <v>NO</v>
      </c>
      <c r="K165">
        <v>20</v>
      </c>
      <c r="M165">
        <f>+_xlfn.XLOOKUP(A165,'COSTO Y PRECIO'!$A:$A,'COSTO Y PRECIO'!B:B)</f>
        <v>52.96</v>
      </c>
      <c r="N165">
        <f>+_xlfn.XLOOKUP(A165,'COSTO Y PRECIO'!$A:$A,'COSTO Y PRECIO'!C:C)</f>
        <v>77</v>
      </c>
    </row>
    <row r="166" spans="1:14" x14ac:dyDescent="0.35">
      <c r="A166">
        <v>100016254</v>
      </c>
      <c r="B166" s="6">
        <v>25900000295</v>
      </c>
      <c r="C166" t="s">
        <v>207</v>
      </c>
      <c r="D166" s="14" t="s">
        <v>87</v>
      </c>
      <c r="E166" s="2" t="s">
        <v>33</v>
      </c>
      <c r="F166" s="2" t="s">
        <v>87</v>
      </c>
      <c r="G166" s="2" t="s">
        <v>87</v>
      </c>
      <c r="H166" s="2" t="s">
        <v>87</v>
      </c>
      <c r="I166" s="1" t="s">
        <v>16</v>
      </c>
      <c r="J166" t="str">
        <f>+_xlfn.XLOOKUP(B166,INNOVACIÓN!A:A,INNOVACIÓN!B:B,"NO")</f>
        <v>NO</v>
      </c>
      <c r="M166">
        <f>+_xlfn.XLOOKUP(A166,'COSTO Y PRECIO'!$A:$A,'COSTO Y PRECIO'!B:B)</f>
        <v>52.91</v>
      </c>
      <c r="N166" t="e">
        <f>+_xlfn.XLOOKUP(A166,'COSTO Y PRECIO'!$A:$A,'COSTO Y PRECIO'!C:C)</f>
        <v>#N/A</v>
      </c>
    </row>
    <row r="167" spans="1:14" x14ac:dyDescent="0.35">
      <c r="A167">
        <v>100009916</v>
      </c>
      <c r="B167" s="6">
        <v>33300200573</v>
      </c>
      <c r="C167" t="s">
        <v>208</v>
      </c>
      <c r="D167" s="14" t="s">
        <v>87</v>
      </c>
      <c r="E167" s="2" t="s">
        <v>33</v>
      </c>
      <c r="F167" s="2" t="s">
        <v>87</v>
      </c>
      <c r="G167" s="2" t="s">
        <v>87</v>
      </c>
      <c r="H167" s="2" t="s">
        <v>87</v>
      </c>
      <c r="I167" s="1" t="s">
        <v>16</v>
      </c>
      <c r="J167" t="str">
        <f>+_xlfn.XLOOKUP(B167,INNOVACIÓN!A:A,INNOVACIÓN!B:B,"NO")</f>
        <v>NO</v>
      </c>
      <c r="M167">
        <f>+_xlfn.XLOOKUP(A167,'COSTO Y PRECIO'!$A:$A,'COSTO Y PRECIO'!B:B)</f>
        <v>200.75</v>
      </c>
      <c r="N167" t="e">
        <f>+_xlfn.XLOOKUP(A167,'COSTO Y PRECIO'!$A:$A,'COSTO Y PRECIO'!C:C)</f>
        <v>#N/A</v>
      </c>
    </row>
    <row r="168" spans="1:14" x14ac:dyDescent="0.35">
      <c r="A168">
        <v>100080763</v>
      </c>
      <c r="B168" s="6">
        <v>7501609506908</v>
      </c>
      <c r="C168" t="s">
        <v>209</v>
      </c>
      <c r="D168" s="14" t="s">
        <v>87</v>
      </c>
      <c r="E168" s="2" t="s">
        <v>33</v>
      </c>
      <c r="F168" s="2" t="s">
        <v>87</v>
      </c>
      <c r="G168" s="2" t="s">
        <v>87</v>
      </c>
      <c r="H168" s="2" t="s">
        <v>87</v>
      </c>
      <c r="I168" s="1" t="s">
        <v>16</v>
      </c>
      <c r="J168" t="str">
        <f>+_xlfn.XLOOKUP(B168,INNOVACIÓN!A:A,INNOVACIÓN!B:B,"NO")</f>
        <v>NO</v>
      </c>
      <c r="M168">
        <f>+_xlfn.XLOOKUP(A168,'COSTO Y PRECIO'!$A:$A,'COSTO Y PRECIO'!B:B)</f>
        <v>66.02</v>
      </c>
      <c r="N168">
        <f>+_xlfn.XLOOKUP(A168,'COSTO Y PRECIO'!$A:$A,'COSTO Y PRECIO'!C:C)</f>
        <v>93.5</v>
      </c>
    </row>
    <row r="169" spans="1:14" x14ac:dyDescent="0.35">
      <c r="A169">
        <v>100080946</v>
      </c>
      <c r="B169" s="6">
        <v>7502236550173</v>
      </c>
      <c r="C169" t="s">
        <v>210</v>
      </c>
      <c r="D169" s="14" t="s">
        <v>87</v>
      </c>
      <c r="E169" s="2" t="s">
        <v>33</v>
      </c>
      <c r="F169" s="2" t="s">
        <v>87</v>
      </c>
      <c r="G169" s="2" t="s">
        <v>87</v>
      </c>
      <c r="H169" s="2" t="s">
        <v>87</v>
      </c>
      <c r="I169" s="1" t="s">
        <v>16</v>
      </c>
      <c r="J169" t="str">
        <f>+_xlfn.XLOOKUP(B169,INNOVACIÓN!A:A,INNOVACIÓN!B:B,"NO")</f>
        <v>NO</v>
      </c>
      <c r="M169">
        <f>+_xlfn.XLOOKUP(A169,'COSTO Y PRECIO'!$A:$A,'COSTO Y PRECIO'!B:B)</f>
        <v>101</v>
      </c>
      <c r="N169" t="e">
        <f>+_xlfn.XLOOKUP(A169,'COSTO Y PRECIO'!$A:$A,'COSTO Y PRECIO'!C:C)</f>
        <v>#N/A</v>
      </c>
    </row>
    <row r="170" spans="1:14" x14ac:dyDescent="0.35">
      <c r="A170">
        <v>100080944</v>
      </c>
      <c r="B170" s="6">
        <v>7502236550180</v>
      </c>
      <c r="C170" t="s">
        <v>211</v>
      </c>
      <c r="D170" s="14" t="s">
        <v>87</v>
      </c>
      <c r="E170" s="2" t="s">
        <v>33</v>
      </c>
      <c r="F170" s="2" t="s">
        <v>87</v>
      </c>
      <c r="G170" s="2" t="s">
        <v>87</v>
      </c>
      <c r="H170" s="2" t="s">
        <v>87</v>
      </c>
      <c r="I170" s="1" t="s">
        <v>16</v>
      </c>
      <c r="J170" t="str">
        <f>+_xlfn.XLOOKUP(B170,INNOVACIÓN!A:A,INNOVACIÓN!B:B,"NO")</f>
        <v>NO</v>
      </c>
      <c r="M170">
        <f>+_xlfn.XLOOKUP(A170,'COSTO Y PRECIO'!$A:$A,'COSTO Y PRECIO'!B:B)</f>
        <v>101</v>
      </c>
      <c r="N170" t="e">
        <f>+_xlfn.XLOOKUP(A170,'COSTO Y PRECIO'!$A:$A,'COSTO Y PRECIO'!C:C)</f>
        <v>#N/A</v>
      </c>
    </row>
    <row r="171" spans="1:14" x14ac:dyDescent="0.35">
      <c r="A171">
        <v>100080945</v>
      </c>
      <c r="B171" s="6">
        <v>7502236550197</v>
      </c>
      <c r="C171" t="s">
        <v>212</v>
      </c>
      <c r="D171" s="14" t="s">
        <v>87</v>
      </c>
      <c r="E171" s="2" t="s">
        <v>33</v>
      </c>
      <c r="F171" s="2" t="s">
        <v>87</v>
      </c>
      <c r="G171" s="2" t="s">
        <v>87</v>
      </c>
      <c r="H171" s="2" t="s">
        <v>87</v>
      </c>
      <c r="I171" s="1" t="s">
        <v>16</v>
      </c>
      <c r="J171" t="str">
        <f>+_xlfn.XLOOKUP(B171,INNOVACIÓN!A:A,INNOVACIÓN!B:B,"NO")</f>
        <v>NO</v>
      </c>
      <c r="M171">
        <f>+_xlfn.XLOOKUP(A171,'COSTO Y PRECIO'!$A:$A,'COSTO Y PRECIO'!B:B)</f>
        <v>101</v>
      </c>
      <c r="N171" t="e">
        <f>+_xlfn.XLOOKUP(A171,'COSTO Y PRECIO'!$A:$A,'COSTO Y PRECIO'!C:C)</f>
        <v>#N/A</v>
      </c>
    </row>
    <row r="172" spans="1:14" x14ac:dyDescent="0.35">
      <c r="A172" s="1">
        <v>100024320</v>
      </c>
      <c r="B172" s="4">
        <v>75006280</v>
      </c>
      <c r="C172" s="1" t="s">
        <v>213</v>
      </c>
      <c r="D172" s="2" t="s">
        <v>11</v>
      </c>
      <c r="E172" s="2" t="s">
        <v>214</v>
      </c>
      <c r="F172" s="2" t="s">
        <v>609</v>
      </c>
      <c r="G172" s="2" t="s">
        <v>35</v>
      </c>
      <c r="H172" s="1" t="s">
        <v>36</v>
      </c>
      <c r="I172" s="1" t="s">
        <v>16</v>
      </c>
      <c r="J172" t="str">
        <f>+_xlfn.XLOOKUP(B172,INNOVACIÓN!A:A,INNOVACIÓN!B:B,"NO")</f>
        <v>NO</v>
      </c>
      <c r="K172">
        <v>25</v>
      </c>
      <c r="M172">
        <f>+_xlfn.XLOOKUP(A172,'COSTO Y PRECIO'!$A:$A,'COSTO Y PRECIO'!B:B)</f>
        <v>56.3</v>
      </c>
      <c r="N172">
        <f>+_xlfn.XLOOKUP(A172,'COSTO Y PRECIO'!$A:$A,'COSTO Y PRECIO'!C:C)</f>
        <v>82</v>
      </c>
    </row>
    <row r="173" spans="1:14" x14ac:dyDescent="0.35">
      <c r="A173" s="2">
        <v>100021977</v>
      </c>
      <c r="B173" s="4">
        <v>75004385</v>
      </c>
      <c r="C173" s="2" t="s">
        <v>215</v>
      </c>
      <c r="D173" s="2" t="s">
        <v>11</v>
      </c>
      <c r="E173" s="2" t="s">
        <v>214</v>
      </c>
      <c r="F173" s="2" t="s">
        <v>609</v>
      </c>
      <c r="G173" s="2" t="s">
        <v>35</v>
      </c>
      <c r="H173" s="1" t="s">
        <v>36</v>
      </c>
      <c r="I173" s="1" t="s">
        <v>16</v>
      </c>
      <c r="J173" t="str">
        <f>+_xlfn.XLOOKUP(B173,INNOVACIÓN!A:A,INNOVACIÓN!B:B,"NO")</f>
        <v>NO</v>
      </c>
      <c r="K173">
        <v>14</v>
      </c>
      <c r="M173">
        <f>+_xlfn.XLOOKUP(A173,'COSTO Y PRECIO'!$A:$A,'COSTO Y PRECIO'!B:B)</f>
        <v>34.92</v>
      </c>
      <c r="N173">
        <f>+_xlfn.XLOOKUP(A173,'COSTO Y PRECIO'!$A:$A,'COSTO Y PRECIO'!C:C)</f>
        <v>51</v>
      </c>
    </row>
    <row r="174" spans="1:14" x14ac:dyDescent="0.35">
      <c r="A174" s="2">
        <v>100080034</v>
      </c>
      <c r="B174" s="4">
        <v>75001476</v>
      </c>
      <c r="C174" s="2" t="s">
        <v>216</v>
      </c>
      <c r="D174" s="2" t="s">
        <v>11</v>
      </c>
      <c r="E174" s="2" t="s">
        <v>33</v>
      </c>
      <c r="F174" s="2" t="s">
        <v>41</v>
      </c>
      <c r="G174" s="2" t="s">
        <v>35</v>
      </c>
      <c r="H174" s="1" t="s">
        <v>36</v>
      </c>
      <c r="I174" s="1" t="s">
        <v>109</v>
      </c>
      <c r="J174" t="str">
        <f>+_xlfn.XLOOKUP(B174,INNOVACIÓN!A:A,INNOVACIÓN!B:B,"NO")</f>
        <v>NO</v>
      </c>
      <c r="K174">
        <v>20</v>
      </c>
      <c r="M174">
        <f>+_xlfn.XLOOKUP(A174,'COSTO Y PRECIO'!$A:$A,'COSTO Y PRECIO'!B:B)</f>
        <v>60.59</v>
      </c>
      <c r="N174">
        <f>+_xlfn.XLOOKUP(A174,'COSTO Y PRECIO'!$A:$A,'COSTO Y PRECIO'!C:C)</f>
        <v>88</v>
      </c>
    </row>
    <row r="175" spans="1:14" x14ac:dyDescent="0.35">
      <c r="A175" s="1">
        <v>100021814</v>
      </c>
      <c r="B175" s="25">
        <v>7503023959490</v>
      </c>
      <c r="C175" s="1" t="s">
        <v>217</v>
      </c>
      <c r="D175" s="2" t="s">
        <v>32</v>
      </c>
      <c r="E175" s="14" t="s">
        <v>33</v>
      </c>
      <c r="F175" s="1" t="s">
        <v>46</v>
      </c>
      <c r="G175" s="1" t="s">
        <v>14</v>
      </c>
      <c r="H175" s="1" t="s">
        <v>36</v>
      </c>
      <c r="I175" s="1" t="s">
        <v>109</v>
      </c>
      <c r="J175" t="str">
        <f>+_xlfn.XLOOKUP(B175,INNOVACIÓN!A:A,INNOVACIÓN!B:B,"NO")</f>
        <v>NO</v>
      </c>
      <c r="K175">
        <v>20</v>
      </c>
      <c r="M175">
        <f>+_xlfn.XLOOKUP(A175,'COSTO Y PRECIO'!$A:$A,'COSTO Y PRECIO'!B:B)</f>
        <v>55.24</v>
      </c>
      <c r="N175">
        <f>+_xlfn.XLOOKUP(A175,'COSTO Y PRECIO'!$A:$A,'COSTO Y PRECIO'!C:C)</f>
        <v>96</v>
      </c>
    </row>
    <row r="176" spans="1:14" x14ac:dyDescent="0.35">
      <c r="A176" s="1">
        <v>100014678</v>
      </c>
      <c r="B176" s="4">
        <v>7503023959148</v>
      </c>
      <c r="C176" s="1" t="s">
        <v>218</v>
      </c>
      <c r="D176" s="2" t="s">
        <v>32</v>
      </c>
      <c r="E176" s="14" t="s">
        <v>590</v>
      </c>
      <c r="F176" s="1" t="s">
        <v>46</v>
      </c>
      <c r="G176" s="1" t="s">
        <v>35</v>
      </c>
      <c r="H176" s="1" t="s">
        <v>36</v>
      </c>
      <c r="I176" s="1" t="s">
        <v>16</v>
      </c>
      <c r="J176" t="str">
        <f>+_xlfn.XLOOKUP(B176,INNOVACIÓN!A:A,INNOVACIÓN!B:B,"NO")</f>
        <v>SI</v>
      </c>
      <c r="K176">
        <v>20</v>
      </c>
      <c r="M176">
        <f>+_xlfn.XLOOKUP(A176,'COSTO Y PRECIO'!$A:$A,'COSTO Y PRECIO'!B:B)</f>
        <v>38.029999999999987</v>
      </c>
      <c r="N176">
        <f>+_xlfn.XLOOKUP(A176,'COSTO Y PRECIO'!$A:$A,'COSTO Y PRECIO'!C:C)</f>
        <v>71</v>
      </c>
    </row>
    <row r="177" spans="1:14" x14ac:dyDescent="0.35">
      <c r="A177" s="2">
        <v>100021813</v>
      </c>
      <c r="B177" s="19">
        <v>7503023959506</v>
      </c>
      <c r="C177" s="2" t="s">
        <v>219</v>
      </c>
      <c r="D177" s="2" t="s">
        <v>32</v>
      </c>
      <c r="E177" s="14" t="s">
        <v>33</v>
      </c>
      <c r="F177" s="2" t="s">
        <v>46</v>
      </c>
      <c r="G177" s="2" t="s">
        <v>14</v>
      </c>
      <c r="H177" s="1" t="s">
        <v>36</v>
      </c>
      <c r="I177" s="1" t="s">
        <v>109</v>
      </c>
      <c r="J177" t="str">
        <f>+_xlfn.XLOOKUP(B177,INNOVACIÓN!A:A,INNOVACIÓN!B:B,"NO")</f>
        <v>NO</v>
      </c>
      <c r="K177">
        <v>20</v>
      </c>
      <c r="M177">
        <f>+_xlfn.XLOOKUP(A177,'COSTO Y PRECIO'!$A:$A,'COSTO Y PRECIO'!B:B)</f>
        <v>54.092999999999996</v>
      </c>
      <c r="N177">
        <f>+_xlfn.XLOOKUP(A177,'COSTO Y PRECIO'!$A:$A,'COSTO Y PRECIO'!C:C)</f>
        <v>96</v>
      </c>
    </row>
    <row r="178" spans="1:14" x14ac:dyDescent="0.35">
      <c r="A178" s="1">
        <v>100012957</v>
      </c>
      <c r="B178" s="4">
        <v>7503023959001</v>
      </c>
      <c r="C178" s="1" t="s">
        <v>220</v>
      </c>
      <c r="D178" s="2" t="s">
        <v>32</v>
      </c>
      <c r="E178" s="2" t="s">
        <v>590</v>
      </c>
      <c r="F178" s="1" t="s">
        <v>39</v>
      </c>
      <c r="G178" s="1" t="s">
        <v>35</v>
      </c>
      <c r="H178" s="1" t="s">
        <v>36</v>
      </c>
      <c r="I178" s="1" t="s">
        <v>16</v>
      </c>
      <c r="J178" t="str">
        <f>+_xlfn.XLOOKUP(B178,INNOVACIÓN!A:A,INNOVACIÓN!B:B,"NO")</f>
        <v>NO</v>
      </c>
      <c r="K178">
        <v>20</v>
      </c>
      <c r="M178">
        <f>+_xlfn.XLOOKUP(A178,'COSTO Y PRECIO'!$A:$A,'COSTO Y PRECIO'!B:B)</f>
        <v>61.532000000000004</v>
      </c>
      <c r="N178">
        <f>+_xlfn.XLOOKUP(A178,'COSTO Y PRECIO'!$A:$A,'COSTO Y PRECIO'!C:C)</f>
        <v>103</v>
      </c>
    </row>
    <row r="179" spans="1:14" x14ac:dyDescent="0.35">
      <c r="A179">
        <v>100025152</v>
      </c>
      <c r="B179" s="26">
        <v>7503023959629</v>
      </c>
      <c r="C179" t="s">
        <v>221</v>
      </c>
      <c r="D179" s="1" t="s">
        <v>32</v>
      </c>
      <c r="E179" s="14" t="s">
        <v>33</v>
      </c>
      <c r="F179" s="1" t="s">
        <v>46</v>
      </c>
      <c r="G179" s="1" t="s">
        <v>14</v>
      </c>
      <c r="H179" s="1" t="s">
        <v>36</v>
      </c>
      <c r="I179" s="1" t="s">
        <v>109</v>
      </c>
      <c r="J179" t="str">
        <f>+_xlfn.XLOOKUP(B179,INNOVACIÓN!A:A,INNOVACIÓN!B:B,"NO")</f>
        <v>NO</v>
      </c>
      <c r="K179">
        <v>20</v>
      </c>
      <c r="M179">
        <f>+_xlfn.XLOOKUP(A179,'COSTO Y PRECIO'!$A:$A,'COSTO Y PRECIO'!B:B)</f>
        <v>55.24</v>
      </c>
      <c r="N179">
        <f>+_xlfn.XLOOKUP(A179,'COSTO Y PRECIO'!$A:$A,'COSTO Y PRECIO'!C:C)</f>
        <v>96</v>
      </c>
    </row>
    <row r="180" spans="1:14" x14ac:dyDescent="0.35">
      <c r="A180" s="2">
        <v>100022971</v>
      </c>
      <c r="B180" s="3">
        <v>7503023959278</v>
      </c>
      <c r="C180" s="2" t="s">
        <v>222</v>
      </c>
      <c r="D180" s="2" t="s">
        <v>32</v>
      </c>
      <c r="E180" s="14" t="s">
        <v>590</v>
      </c>
      <c r="F180" s="2" t="s">
        <v>46</v>
      </c>
      <c r="G180" s="2" t="s">
        <v>35</v>
      </c>
      <c r="H180" s="1" t="s">
        <v>36</v>
      </c>
      <c r="I180" s="1" t="s">
        <v>16</v>
      </c>
      <c r="J180" t="str">
        <f>+_xlfn.XLOOKUP(B180,INNOVACIÓN!A:A,INNOVACIÓN!B:B,"NO")</f>
        <v>NO</v>
      </c>
      <c r="K180">
        <v>25</v>
      </c>
      <c r="M180">
        <f>+_xlfn.XLOOKUP(A180,'COSTO Y PRECIO'!$A:$A,'COSTO Y PRECIO'!B:B)</f>
        <v>46.487499999999997</v>
      </c>
      <c r="N180">
        <f>+_xlfn.XLOOKUP(A180,'COSTO Y PRECIO'!$A:$A,'COSTO Y PRECIO'!C:C)</f>
        <v>96</v>
      </c>
    </row>
    <row r="181" spans="1:14" x14ac:dyDescent="0.35">
      <c r="A181" s="2">
        <v>100080957</v>
      </c>
      <c r="B181" s="4">
        <v>75047337</v>
      </c>
      <c r="C181" s="2" t="s">
        <v>223</v>
      </c>
      <c r="D181" s="2" t="s">
        <v>11</v>
      </c>
      <c r="E181" s="2" t="s">
        <v>224</v>
      </c>
      <c r="F181" s="2" t="s">
        <v>39</v>
      </c>
      <c r="G181" s="2" t="s">
        <v>54</v>
      </c>
      <c r="H181" s="1" t="s">
        <v>36</v>
      </c>
      <c r="I181" s="1" t="s">
        <v>16</v>
      </c>
      <c r="J181" t="str">
        <f>+_xlfn.XLOOKUP(B181,INNOVACIÓN!A:A,INNOVACIÓN!B:B,"NO")</f>
        <v>NO</v>
      </c>
      <c r="K181">
        <v>20</v>
      </c>
      <c r="M181">
        <f>+_xlfn.XLOOKUP(A181,'COSTO Y PRECIO'!$A:$A,'COSTO Y PRECIO'!B:B)</f>
        <v>74.47</v>
      </c>
      <c r="N181">
        <f>+_xlfn.XLOOKUP(A181,'COSTO Y PRECIO'!$A:$A,'COSTO Y PRECIO'!C:C)</f>
        <v>108</v>
      </c>
    </row>
    <row r="182" spans="1:14" x14ac:dyDescent="0.35">
      <c r="A182" s="2">
        <v>100009230</v>
      </c>
      <c r="B182" s="4">
        <v>75059514</v>
      </c>
      <c r="C182" s="2" t="s">
        <v>225</v>
      </c>
      <c r="D182" s="2" t="s">
        <v>11</v>
      </c>
      <c r="E182" s="2" t="s">
        <v>224</v>
      </c>
      <c r="F182" s="2" t="s">
        <v>46</v>
      </c>
      <c r="G182" s="2" t="s">
        <v>54</v>
      </c>
      <c r="H182" s="1" t="s">
        <v>36</v>
      </c>
      <c r="I182" s="1" t="s">
        <v>16</v>
      </c>
      <c r="J182" t="str">
        <f>+_xlfn.XLOOKUP(B182,INNOVACIÓN!A:A,INNOVACIÓN!B:B,"NO")</f>
        <v>NO</v>
      </c>
      <c r="K182">
        <v>20</v>
      </c>
      <c r="M182">
        <f>+_xlfn.XLOOKUP(A182,'COSTO Y PRECIO'!$A:$A,'COSTO Y PRECIO'!B:B)</f>
        <v>68.919999999999973</v>
      </c>
      <c r="N182">
        <f>+_xlfn.XLOOKUP(A182,'COSTO Y PRECIO'!$A:$A,'COSTO Y PRECIO'!C:C)</f>
        <v>100</v>
      </c>
    </row>
    <row r="183" spans="1:14" x14ac:dyDescent="0.35">
      <c r="A183" s="1">
        <v>100004048</v>
      </c>
      <c r="B183" s="4">
        <v>75050443</v>
      </c>
      <c r="C183" s="1" t="s">
        <v>226</v>
      </c>
      <c r="D183" s="1" t="s">
        <v>11</v>
      </c>
      <c r="E183" s="1" t="s">
        <v>224</v>
      </c>
      <c r="F183" s="1" t="s">
        <v>39</v>
      </c>
      <c r="G183" s="1" t="s">
        <v>54</v>
      </c>
      <c r="H183" s="1" t="s">
        <v>36</v>
      </c>
      <c r="I183" s="1" t="s">
        <v>16</v>
      </c>
      <c r="J183" t="str">
        <f>+_xlfn.XLOOKUP(B183,INNOVACIÓN!A:A,INNOVACIÓN!B:B,"NO")</f>
        <v>NO</v>
      </c>
      <c r="K183">
        <v>20</v>
      </c>
      <c r="M183">
        <f>+_xlfn.XLOOKUP(A183,'COSTO Y PRECIO'!$A:$A,'COSTO Y PRECIO'!B:B)</f>
        <v>74.47</v>
      </c>
      <c r="N183">
        <f>+_xlfn.XLOOKUP(A183,'COSTO Y PRECIO'!$A:$A,'COSTO Y PRECIO'!C:C)</f>
        <v>108</v>
      </c>
    </row>
    <row r="184" spans="1:14" x14ac:dyDescent="0.35">
      <c r="A184" s="2">
        <v>100014714</v>
      </c>
      <c r="B184" s="4">
        <v>75068776</v>
      </c>
      <c r="C184" s="2" t="s">
        <v>227</v>
      </c>
      <c r="D184" s="2" t="s">
        <v>11</v>
      </c>
      <c r="E184" s="2" t="s">
        <v>224</v>
      </c>
      <c r="F184" s="2" t="s">
        <v>39</v>
      </c>
      <c r="G184" s="2" t="s">
        <v>71</v>
      </c>
      <c r="H184" s="1" t="s">
        <v>36</v>
      </c>
      <c r="I184" s="1" t="s">
        <v>16</v>
      </c>
      <c r="J184" t="str">
        <f>+_xlfn.XLOOKUP(B184,INNOVACIÓN!A:A,INNOVACIÓN!B:B,"NO")</f>
        <v>NO</v>
      </c>
      <c r="K184">
        <v>20</v>
      </c>
      <c r="M184">
        <f>+_xlfn.XLOOKUP(A184,'COSTO Y PRECIO'!$A:$A,'COSTO Y PRECIO'!B:B)</f>
        <v>74.47</v>
      </c>
      <c r="N184">
        <f>+_xlfn.XLOOKUP(A184,'COSTO Y PRECIO'!$A:$A,'COSTO Y PRECIO'!C:C)</f>
        <v>108</v>
      </c>
    </row>
    <row r="185" spans="1:14" x14ac:dyDescent="0.35">
      <c r="A185" s="2">
        <v>100007108</v>
      </c>
      <c r="B185" s="4">
        <v>75056308</v>
      </c>
      <c r="C185" s="2" t="s">
        <v>228</v>
      </c>
      <c r="D185" s="2" t="s">
        <v>11</v>
      </c>
      <c r="E185" s="2" t="s">
        <v>224</v>
      </c>
      <c r="F185" s="2" t="s">
        <v>46</v>
      </c>
      <c r="G185" s="2" t="s">
        <v>14</v>
      </c>
      <c r="H185" s="1" t="s">
        <v>36</v>
      </c>
      <c r="I185" s="1" t="s">
        <v>16</v>
      </c>
      <c r="J185" t="str">
        <f>+_xlfn.XLOOKUP(B185,INNOVACIÓN!A:A,INNOVACIÓN!B:B,"NO")</f>
        <v>NO</v>
      </c>
      <c r="K185">
        <v>20</v>
      </c>
      <c r="M185">
        <f>+_xlfn.XLOOKUP(A185,'COSTO Y PRECIO'!$A:$A,'COSTO Y PRECIO'!B:B)</f>
        <v>68.919999999999973</v>
      </c>
      <c r="N185">
        <f>+_xlfn.XLOOKUP(A185,'COSTO Y PRECIO'!$A:$A,'COSTO Y PRECIO'!C:C)</f>
        <v>100</v>
      </c>
    </row>
    <row r="186" spans="1:14" x14ac:dyDescent="0.35">
      <c r="A186" s="2">
        <v>100080440</v>
      </c>
      <c r="B186" s="4">
        <v>75016777</v>
      </c>
      <c r="C186" s="2" t="s">
        <v>229</v>
      </c>
      <c r="D186" s="2" t="s">
        <v>11</v>
      </c>
      <c r="E186" s="2" t="s">
        <v>224</v>
      </c>
      <c r="F186" s="2" t="s">
        <v>39</v>
      </c>
      <c r="G186" s="2" t="s">
        <v>54</v>
      </c>
      <c r="H186" s="1" t="s">
        <v>36</v>
      </c>
      <c r="I186" s="1" t="s">
        <v>16</v>
      </c>
      <c r="J186" t="str">
        <f>+_xlfn.XLOOKUP(B186,INNOVACIÓN!A:A,INNOVACIÓN!B:B,"NO")</f>
        <v>NO</v>
      </c>
      <c r="K186">
        <v>20</v>
      </c>
      <c r="M186">
        <f>+_xlfn.XLOOKUP(A186,'COSTO Y PRECIO'!$A:$A,'COSTO Y PRECIO'!B:B)</f>
        <v>74.47</v>
      </c>
      <c r="N186">
        <f>+_xlfn.XLOOKUP(A186,'COSTO Y PRECIO'!$A:$A,'COSTO Y PRECIO'!C:C)</f>
        <v>108</v>
      </c>
    </row>
    <row r="187" spans="1:14" x14ac:dyDescent="0.35">
      <c r="A187">
        <v>100014779</v>
      </c>
      <c r="B187" s="6">
        <v>7503006684425</v>
      </c>
      <c r="C187" t="s">
        <v>230</v>
      </c>
      <c r="D187" s="14" t="s">
        <v>87</v>
      </c>
      <c r="E187" s="2" t="s">
        <v>33</v>
      </c>
      <c r="F187" s="2" t="s">
        <v>87</v>
      </c>
      <c r="G187" s="2" t="s">
        <v>87</v>
      </c>
      <c r="H187" s="2" t="s">
        <v>87</v>
      </c>
      <c r="I187" s="1" t="s">
        <v>16</v>
      </c>
      <c r="J187" t="str">
        <f>+_xlfn.XLOOKUP(B187,INNOVACIÓN!A:A,INNOVACIÓN!B:B,"NO")</f>
        <v>NO</v>
      </c>
      <c r="M187">
        <f>+_xlfn.XLOOKUP(A187,'COSTO Y PRECIO'!$A:$A,'COSTO Y PRECIO'!B:B)</f>
        <v>54.6</v>
      </c>
      <c r="N187">
        <f>+_xlfn.XLOOKUP(A187,'COSTO Y PRECIO'!$A:$A,'COSTO Y PRECIO'!C:C)</f>
        <v>96</v>
      </c>
    </row>
    <row r="188" spans="1:14" x14ac:dyDescent="0.35">
      <c r="A188">
        <v>100014778</v>
      </c>
      <c r="B188" s="6">
        <v>7502236550005</v>
      </c>
      <c r="C188" t="s">
        <v>231</v>
      </c>
      <c r="D188" s="14" t="s">
        <v>87</v>
      </c>
      <c r="E188" s="2" t="s">
        <v>33</v>
      </c>
      <c r="F188" s="2" t="s">
        <v>87</v>
      </c>
      <c r="G188" s="2" t="s">
        <v>87</v>
      </c>
      <c r="H188" s="2" t="s">
        <v>87</v>
      </c>
      <c r="I188" s="1" t="s">
        <v>16</v>
      </c>
      <c r="J188" t="str">
        <f>+_xlfn.XLOOKUP(B188,INNOVACIÓN!A:A,INNOVACIÓN!B:B,"NO")</f>
        <v>NO</v>
      </c>
      <c r="M188">
        <f>+_xlfn.XLOOKUP(A188,'COSTO Y PRECIO'!$A:$A,'COSTO Y PRECIO'!B:B)</f>
        <v>70</v>
      </c>
      <c r="N188">
        <f>+_xlfn.XLOOKUP(A188,'COSTO Y PRECIO'!$A:$A,'COSTO Y PRECIO'!C:C)</f>
        <v>121</v>
      </c>
    </row>
    <row r="189" spans="1:14" x14ac:dyDescent="0.35">
      <c r="A189">
        <v>100080948</v>
      </c>
      <c r="B189" s="6">
        <v>7502236550067</v>
      </c>
      <c r="C189" t="s">
        <v>232</v>
      </c>
      <c r="D189" s="14" t="s">
        <v>87</v>
      </c>
      <c r="E189" s="2" t="s">
        <v>33</v>
      </c>
      <c r="F189" s="2" t="s">
        <v>87</v>
      </c>
      <c r="G189" s="2" t="s">
        <v>87</v>
      </c>
      <c r="H189" s="2" t="s">
        <v>87</v>
      </c>
      <c r="I189" s="1" t="s">
        <v>16</v>
      </c>
      <c r="J189" t="str">
        <f>+_xlfn.XLOOKUP(B189,INNOVACIÓN!A:A,INNOVACIÓN!B:B,"NO")</f>
        <v>NO</v>
      </c>
      <c r="M189">
        <f>+_xlfn.XLOOKUP(A189,'COSTO Y PRECIO'!$A:$A,'COSTO Y PRECIO'!B:B)</f>
        <v>70</v>
      </c>
      <c r="N189">
        <f>+_xlfn.XLOOKUP(A189,'COSTO Y PRECIO'!$A:$A,'COSTO Y PRECIO'!C:C)</f>
        <v>121</v>
      </c>
    </row>
    <row r="190" spans="1:14" x14ac:dyDescent="0.35">
      <c r="A190">
        <v>100014777</v>
      </c>
      <c r="B190" s="6">
        <v>7503006684388</v>
      </c>
      <c r="C190" t="s">
        <v>233</v>
      </c>
      <c r="D190" s="14" t="s">
        <v>87</v>
      </c>
      <c r="E190" s="2" t="s">
        <v>33</v>
      </c>
      <c r="F190" s="2" t="s">
        <v>87</v>
      </c>
      <c r="G190" s="2" t="s">
        <v>87</v>
      </c>
      <c r="H190" s="2" t="s">
        <v>87</v>
      </c>
      <c r="I190" s="1" t="s">
        <v>16</v>
      </c>
      <c r="J190" t="str">
        <f>+_xlfn.XLOOKUP(B190,INNOVACIÓN!A:A,INNOVACIÓN!B:B,"NO")</f>
        <v>NO</v>
      </c>
      <c r="M190">
        <f>+_xlfn.XLOOKUP(A190,'COSTO Y PRECIO'!$A:$A,'COSTO Y PRECIO'!B:B)</f>
        <v>62</v>
      </c>
      <c r="N190">
        <f>+_xlfn.XLOOKUP(A190,'COSTO Y PRECIO'!$A:$A,'COSTO Y PRECIO'!C:C)</f>
        <v>108</v>
      </c>
    </row>
    <row r="191" spans="1:14" x14ac:dyDescent="0.35">
      <c r="A191">
        <v>100080947</v>
      </c>
      <c r="B191" s="6">
        <v>7502236550043</v>
      </c>
      <c r="C191" t="s">
        <v>234</v>
      </c>
      <c r="D191" s="14" t="s">
        <v>87</v>
      </c>
      <c r="E191" s="2" t="s">
        <v>33</v>
      </c>
      <c r="F191" s="2" t="s">
        <v>87</v>
      </c>
      <c r="G191" s="2" t="s">
        <v>87</v>
      </c>
      <c r="H191" s="2" t="s">
        <v>87</v>
      </c>
      <c r="I191" s="1" t="s">
        <v>16</v>
      </c>
      <c r="J191" t="str">
        <f>+_xlfn.XLOOKUP(B191,INNOVACIÓN!A:A,INNOVACIÓN!B:B,"NO")</f>
        <v>NO</v>
      </c>
      <c r="M191">
        <f>+_xlfn.XLOOKUP(A191,'COSTO Y PRECIO'!$A:$A,'COSTO Y PRECIO'!B:B)</f>
        <v>62</v>
      </c>
      <c r="N191">
        <f>+_xlfn.XLOOKUP(A191,'COSTO Y PRECIO'!$A:$A,'COSTO Y PRECIO'!C:C)</f>
        <v>108</v>
      </c>
    </row>
    <row r="192" spans="1:14" x14ac:dyDescent="0.35">
      <c r="A192">
        <v>100014775</v>
      </c>
      <c r="B192" s="6">
        <v>7502236550012</v>
      </c>
      <c r="C192" t="s">
        <v>235</v>
      </c>
      <c r="D192" s="14" t="s">
        <v>87</v>
      </c>
      <c r="E192" s="2" t="s">
        <v>33</v>
      </c>
      <c r="F192" s="2" t="s">
        <v>87</v>
      </c>
      <c r="G192" s="2" t="s">
        <v>87</v>
      </c>
      <c r="H192" s="2" t="s">
        <v>87</v>
      </c>
      <c r="I192" s="1" t="s">
        <v>16</v>
      </c>
      <c r="J192" t="str">
        <f>+_xlfn.XLOOKUP(B192,INNOVACIÓN!A:A,INNOVACIÓN!B:B,"NO")</f>
        <v>NO</v>
      </c>
      <c r="M192">
        <f>+_xlfn.XLOOKUP(A192,'COSTO Y PRECIO'!$A:$A,'COSTO Y PRECIO'!B:B)</f>
        <v>70</v>
      </c>
      <c r="N192">
        <f>+_xlfn.XLOOKUP(A192,'COSTO Y PRECIO'!$A:$A,'COSTO Y PRECIO'!C:C)</f>
        <v>121</v>
      </c>
    </row>
    <row r="193" spans="1:14" x14ac:dyDescent="0.35">
      <c r="A193">
        <v>100014774</v>
      </c>
      <c r="B193" s="6">
        <v>7503006684487</v>
      </c>
      <c r="C193" t="s">
        <v>236</v>
      </c>
      <c r="D193" s="14" t="s">
        <v>87</v>
      </c>
      <c r="E193" s="2" t="s">
        <v>33</v>
      </c>
      <c r="F193" s="2" t="s">
        <v>87</v>
      </c>
      <c r="G193" s="2" t="s">
        <v>87</v>
      </c>
      <c r="H193" s="2" t="s">
        <v>87</v>
      </c>
      <c r="I193" s="1" t="s">
        <v>16</v>
      </c>
      <c r="J193" t="str">
        <f>+_xlfn.XLOOKUP(B193,INNOVACIÓN!A:A,INNOVACIÓN!B:B,"NO")</f>
        <v>NO</v>
      </c>
      <c r="M193">
        <f>+_xlfn.XLOOKUP(A193,'COSTO Y PRECIO'!$A:$A,'COSTO Y PRECIO'!B:B)</f>
        <v>50</v>
      </c>
      <c r="N193">
        <f>+_xlfn.XLOOKUP(A193,'COSTO Y PRECIO'!$A:$A,'COSTO Y PRECIO'!C:C)</f>
        <v>88</v>
      </c>
    </row>
    <row r="194" spans="1:14" x14ac:dyDescent="0.35">
      <c r="A194">
        <v>100014772</v>
      </c>
      <c r="B194" s="6">
        <v>7503006684326</v>
      </c>
      <c r="C194" t="s">
        <v>237</v>
      </c>
      <c r="D194" s="14" t="s">
        <v>87</v>
      </c>
      <c r="E194" s="2" t="s">
        <v>33</v>
      </c>
      <c r="F194" s="2" t="s">
        <v>87</v>
      </c>
      <c r="G194" s="2" t="s">
        <v>87</v>
      </c>
      <c r="H194" s="2" t="s">
        <v>87</v>
      </c>
      <c r="I194" s="1" t="s">
        <v>16</v>
      </c>
      <c r="J194" t="str">
        <f>+_xlfn.XLOOKUP(B194,INNOVACIÓN!A:A,INNOVACIÓN!B:B,"NO")</f>
        <v>NO</v>
      </c>
      <c r="M194">
        <f>+_xlfn.XLOOKUP(A194,'COSTO Y PRECIO'!$A:$A,'COSTO Y PRECIO'!B:B)</f>
        <v>54.6</v>
      </c>
      <c r="N194">
        <f>+_xlfn.XLOOKUP(A194,'COSTO Y PRECIO'!$A:$A,'COSTO Y PRECIO'!C:C)</f>
        <v>96</v>
      </c>
    </row>
    <row r="195" spans="1:14" x14ac:dyDescent="0.35">
      <c r="A195">
        <v>100024288</v>
      </c>
      <c r="B195" s="4">
        <v>7622100558453</v>
      </c>
      <c r="C195" t="s">
        <v>238</v>
      </c>
      <c r="D195" s="1" t="s">
        <v>11</v>
      </c>
      <c r="E195" s="2" t="s">
        <v>33</v>
      </c>
      <c r="F195" s="1" t="s">
        <v>70</v>
      </c>
      <c r="G195" s="1" t="s">
        <v>239</v>
      </c>
      <c r="H195" s="1" t="s">
        <v>70</v>
      </c>
      <c r="I195" s="1" t="s">
        <v>109</v>
      </c>
      <c r="J195" t="str">
        <f>+_xlfn.XLOOKUP(B195,INNOVACIÓN!A:A,INNOVACIÓN!B:B,"NO")</f>
        <v>NO</v>
      </c>
      <c r="M195">
        <f>+_xlfn.XLOOKUP(A195,'COSTO Y PRECIO'!$A:$A,'COSTO Y PRECIO'!B:B)</f>
        <v>498.91</v>
      </c>
      <c r="N195">
        <f>+_xlfn.XLOOKUP(A195,'COSTO Y PRECIO'!$A:$A,'COSTO Y PRECIO'!C:C)</f>
        <v>899</v>
      </c>
    </row>
    <row r="196" spans="1:14" x14ac:dyDescent="0.35">
      <c r="A196">
        <v>100024859</v>
      </c>
      <c r="B196" s="6">
        <v>7622100558323</v>
      </c>
      <c r="C196" t="s">
        <v>240</v>
      </c>
      <c r="D196" s="2" t="s">
        <v>11</v>
      </c>
      <c r="E196" s="2" t="s">
        <v>33</v>
      </c>
      <c r="F196" s="1" t="s">
        <v>70</v>
      </c>
      <c r="G196" s="1" t="s">
        <v>239</v>
      </c>
      <c r="H196" s="1" t="s">
        <v>70</v>
      </c>
      <c r="I196" s="1" t="s">
        <v>109</v>
      </c>
      <c r="J196" t="str">
        <f>+_xlfn.XLOOKUP(B196,INNOVACIÓN!A:A,INNOVACIÓN!B:B,"NO")</f>
        <v>NO</v>
      </c>
      <c r="M196">
        <f>+_xlfn.XLOOKUP(A196,'COSTO Y PRECIO'!$A:$A,'COSTO Y PRECIO'!B:B)</f>
        <v>274.77</v>
      </c>
      <c r="N196">
        <f>+_xlfn.XLOOKUP(A196,'COSTO Y PRECIO'!$A:$A,'COSTO Y PRECIO'!C:C)</f>
        <v>499</v>
      </c>
    </row>
    <row r="197" spans="1:14" x14ac:dyDescent="0.35">
      <c r="A197">
        <v>100024286</v>
      </c>
      <c r="B197" s="4">
        <v>7622100558309</v>
      </c>
      <c r="C197" t="s">
        <v>241</v>
      </c>
      <c r="D197" s="1" t="s">
        <v>11</v>
      </c>
      <c r="E197" s="2" t="s">
        <v>33</v>
      </c>
      <c r="F197" s="1" t="s">
        <v>70</v>
      </c>
      <c r="G197" s="1" t="s">
        <v>239</v>
      </c>
      <c r="H197" s="1" t="s">
        <v>70</v>
      </c>
      <c r="I197" s="1" t="s">
        <v>109</v>
      </c>
      <c r="J197" t="str">
        <f>+_xlfn.XLOOKUP(B197,INNOVACIÓN!A:A,INNOVACIÓN!B:B,"NO")</f>
        <v>NO</v>
      </c>
      <c r="M197">
        <f>+_xlfn.XLOOKUP(A197,'COSTO Y PRECIO'!$A:$A,'COSTO Y PRECIO'!B:B)</f>
        <v>274.77</v>
      </c>
      <c r="N197">
        <f>+_xlfn.XLOOKUP(A197,'COSTO Y PRECIO'!$A:$A,'COSTO Y PRECIO'!C:C)</f>
        <v>499</v>
      </c>
    </row>
    <row r="198" spans="1:14" x14ac:dyDescent="0.35">
      <c r="A198">
        <v>100024282</v>
      </c>
      <c r="B198" s="4">
        <v>7622100558293</v>
      </c>
      <c r="C198" t="s">
        <v>243</v>
      </c>
      <c r="D198" s="1" t="s">
        <v>11</v>
      </c>
      <c r="E198" s="1" t="s">
        <v>242</v>
      </c>
      <c r="F198" s="1" t="s">
        <v>70</v>
      </c>
      <c r="G198" s="1" t="s">
        <v>239</v>
      </c>
      <c r="H198" s="1" t="s">
        <v>70</v>
      </c>
      <c r="I198" s="1" t="s">
        <v>16</v>
      </c>
      <c r="J198" t="str">
        <f>+_xlfn.XLOOKUP(B198,INNOVACIÓN!A:A,INNOVACIÓN!B:B,"NO")</f>
        <v>NO</v>
      </c>
      <c r="M198">
        <f>+_xlfn.XLOOKUP(A198,'COSTO Y PRECIO'!$A:$A,'COSTO Y PRECIO'!B:B)</f>
        <v>274.77</v>
      </c>
      <c r="N198">
        <f>+_xlfn.XLOOKUP(A198,'COSTO Y PRECIO'!$A:$A,'COSTO Y PRECIO'!C:C)</f>
        <v>499</v>
      </c>
    </row>
    <row r="199" spans="1:14" x14ac:dyDescent="0.35">
      <c r="A199">
        <v>100024862</v>
      </c>
      <c r="B199" s="6">
        <v>7622100558446</v>
      </c>
      <c r="C199" t="s">
        <v>244</v>
      </c>
      <c r="D199" s="2" t="s">
        <v>11</v>
      </c>
      <c r="E199" s="2" t="s">
        <v>33</v>
      </c>
      <c r="F199" s="1" t="s">
        <v>70</v>
      </c>
      <c r="G199" s="1" t="s">
        <v>239</v>
      </c>
      <c r="H199" s="1" t="s">
        <v>70</v>
      </c>
      <c r="I199" s="1" t="s">
        <v>109</v>
      </c>
      <c r="J199" t="str">
        <f>+_xlfn.XLOOKUP(B199,INNOVACIÓN!A:A,INNOVACIÓN!B:B,"NO")</f>
        <v>NO</v>
      </c>
      <c r="M199">
        <f>+_xlfn.XLOOKUP(A199,'COSTO Y PRECIO'!$A:$A,'COSTO Y PRECIO'!B:B)</f>
        <v>498.91</v>
      </c>
      <c r="N199">
        <f>+_xlfn.XLOOKUP(A199,'COSTO Y PRECIO'!$A:$A,'COSTO Y PRECIO'!C:C)</f>
        <v>899</v>
      </c>
    </row>
    <row r="200" spans="1:14" x14ac:dyDescent="0.35">
      <c r="A200">
        <v>100024861</v>
      </c>
      <c r="B200" s="6">
        <v>7622100558248</v>
      </c>
      <c r="C200" t="s">
        <v>245</v>
      </c>
      <c r="D200" s="2" t="s">
        <v>11</v>
      </c>
      <c r="E200" s="2" t="s">
        <v>33</v>
      </c>
      <c r="F200" s="1" t="s">
        <v>70</v>
      </c>
      <c r="G200" s="1" t="s">
        <v>239</v>
      </c>
      <c r="H200" s="1" t="s">
        <v>70</v>
      </c>
      <c r="I200" s="1" t="s">
        <v>109</v>
      </c>
      <c r="J200" t="str">
        <f>+_xlfn.XLOOKUP(B200,INNOVACIÓN!A:A,INNOVACIÓN!B:B,"NO")</f>
        <v>NO</v>
      </c>
      <c r="M200">
        <f>+_xlfn.XLOOKUP(A200,'COSTO Y PRECIO'!$A:$A,'COSTO Y PRECIO'!B:B)</f>
        <v>498.91</v>
      </c>
      <c r="N200">
        <f>+_xlfn.XLOOKUP(A200,'COSTO Y PRECIO'!$A:$A,'COSTO Y PRECIO'!C:C)</f>
        <v>899</v>
      </c>
    </row>
    <row r="201" spans="1:14" x14ac:dyDescent="0.35">
      <c r="A201" s="1">
        <v>100016411</v>
      </c>
      <c r="B201" s="4">
        <v>7503023959162</v>
      </c>
      <c r="C201" s="1" t="s">
        <v>246</v>
      </c>
      <c r="D201" s="2" t="s">
        <v>32</v>
      </c>
      <c r="E201" s="14" t="s">
        <v>33</v>
      </c>
      <c r="F201" s="2" t="s">
        <v>609</v>
      </c>
      <c r="G201" s="2" t="s">
        <v>14</v>
      </c>
      <c r="H201" s="1" t="s">
        <v>36</v>
      </c>
      <c r="I201" s="1" t="s">
        <v>247</v>
      </c>
      <c r="J201" t="str">
        <f>+_xlfn.XLOOKUP(B201,INNOVACIÓN!A:A,INNOVACIÓN!B:B,"NO")</f>
        <v>NO</v>
      </c>
      <c r="K201">
        <v>20</v>
      </c>
      <c r="M201">
        <f>+_xlfn.XLOOKUP(A201,'COSTO Y PRECIO'!$A:$A,'COSTO Y PRECIO'!B:B)</f>
        <v>42.838999999999999</v>
      </c>
      <c r="N201">
        <f>+_xlfn.XLOOKUP(A201,'COSTO Y PRECIO'!$A:$A,'COSTO Y PRECIO'!C:C)</f>
        <v>55</v>
      </c>
    </row>
    <row r="202" spans="1:14" x14ac:dyDescent="0.35">
      <c r="A202" s="2">
        <v>100014850</v>
      </c>
      <c r="B202" s="3">
        <v>4033100094316</v>
      </c>
      <c r="C202" s="2" t="s">
        <v>248</v>
      </c>
      <c r="D202" s="2" t="s">
        <v>32</v>
      </c>
      <c r="E202" s="14" t="s">
        <v>33</v>
      </c>
      <c r="F202" s="2" t="s">
        <v>41</v>
      </c>
      <c r="G202" s="2" t="s">
        <v>35</v>
      </c>
      <c r="H202" s="1" t="s">
        <v>36</v>
      </c>
      <c r="I202" s="1" t="s">
        <v>109</v>
      </c>
      <c r="J202" t="str">
        <f>+_xlfn.XLOOKUP(B202,INNOVACIÓN!A:A,INNOVACIÓN!B:B,"NO")</f>
        <v>NO</v>
      </c>
      <c r="K202">
        <v>25</v>
      </c>
      <c r="M202">
        <f>+_xlfn.XLOOKUP(A202,'COSTO Y PRECIO'!$A:$A,'COSTO Y PRECIO'!B:B)</f>
        <v>37.869999999999997</v>
      </c>
      <c r="N202">
        <f>+_xlfn.XLOOKUP(A202,'COSTO Y PRECIO'!$A:$A,'COSTO Y PRECIO'!C:C)</f>
        <v>96</v>
      </c>
    </row>
    <row r="203" spans="1:14" x14ac:dyDescent="0.35">
      <c r="A203" s="2">
        <v>100080897</v>
      </c>
      <c r="B203" s="3">
        <v>42138037</v>
      </c>
      <c r="C203" s="2" t="s">
        <v>249</v>
      </c>
      <c r="D203" s="2" t="s">
        <v>32</v>
      </c>
      <c r="E203" s="14" t="s">
        <v>33</v>
      </c>
      <c r="F203" s="2" t="s">
        <v>41</v>
      </c>
      <c r="G203" s="2" t="s">
        <v>35</v>
      </c>
      <c r="H203" s="1" t="s">
        <v>36</v>
      </c>
      <c r="I203" s="1" t="s">
        <v>109</v>
      </c>
      <c r="J203" t="str">
        <f>+_xlfn.XLOOKUP(B203,INNOVACIÓN!A:A,INNOVACIÓN!B:B,"NO")</f>
        <v>NO</v>
      </c>
      <c r="K203">
        <v>20</v>
      </c>
      <c r="M203">
        <f>+_xlfn.XLOOKUP(A203,'COSTO Y PRECIO'!$A:$A,'COSTO Y PRECIO'!B:B)</f>
        <v>38.029999999999987</v>
      </c>
      <c r="N203">
        <f>+_xlfn.XLOOKUP(A203,'COSTO Y PRECIO'!$A:$A,'COSTO Y PRECIO'!C:C)</f>
        <v>66</v>
      </c>
    </row>
    <row r="204" spans="1:14" x14ac:dyDescent="0.35">
      <c r="A204" s="1">
        <v>100080899</v>
      </c>
      <c r="B204" s="1">
        <v>40331379</v>
      </c>
      <c r="C204" s="1" t="s">
        <v>250</v>
      </c>
      <c r="D204" s="2" t="s">
        <v>32</v>
      </c>
      <c r="E204" s="14" t="s">
        <v>33</v>
      </c>
      <c r="F204" s="2" t="s">
        <v>41</v>
      </c>
      <c r="G204" s="2" t="s">
        <v>35</v>
      </c>
      <c r="H204" s="1" t="s">
        <v>36</v>
      </c>
      <c r="I204" s="1" t="s">
        <v>247</v>
      </c>
      <c r="J204" t="str">
        <f>+_xlfn.XLOOKUP(B204,INNOVACIÓN!A:A,INNOVACIÓN!B:B,"NO")</f>
        <v>NO</v>
      </c>
      <c r="K204">
        <v>14</v>
      </c>
      <c r="M204">
        <f>+_xlfn.XLOOKUP(A204,'COSTO Y PRECIO'!$A:$A,'COSTO Y PRECIO'!B:B)</f>
        <v>31.3657</v>
      </c>
      <c r="N204">
        <f>+_xlfn.XLOOKUP(A204,'COSTO Y PRECIO'!$A:$A,'COSTO Y PRECIO'!C:C)</f>
        <v>55</v>
      </c>
    </row>
    <row r="205" spans="1:14" x14ac:dyDescent="0.35">
      <c r="A205" s="1">
        <v>101000082</v>
      </c>
      <c r="B205" s="3">
        <v>7702303464376</v>
      </c>
      <c r="C205" s="1" t="s">
        <v>251</v>
      </c>
      <c r="D205" s="2" t="s">
        <v>44</v>
      </c>
      <c r="E205" s="2" t="s">
        <v>33</v>
      </c>
      <c r="F205" s="1" t="s">
        <v>252</v>
      </c>
      <c r="G205" s="1" t="s">
        <v>139</v>
      </c>
      <c r="H205" s="1" t="s">
        <v>252</v>
      </c>
      <c r="I205" s="1" t="s">
        <v>247</v>
      </c>
      <c r="J205" t="str">
        <f>+_xlfn.XLOOKUP(B205,INNOVACIÓN!A:A,INNOVACIÓN!B:B,"NO")</f>
        <v>NO</v>
      </c>
      <c r="M205">
        <f>+_xlfn.XLOOKUP(A205,'COSTO Y PRECIO'!$A:$A,'COSTO Y PRECIO'!B:B)</f>
        <v>115.59999999999998</v>
      </c>
      <c r="N205">
        <f>+_xlfn.XLOOKUP(A205,'COSTO Y PRECIO'!$A:$A,'COSTO Y PRECIO'!C:C)</f>
        <v>150</v>
      </c>
    </row>
    <row r="206" spans="1:14" x14ac:dyDescent="0.35">
      <c r="A206" s="2">
        <v>101000081</v>
      </c>
      <c r="B206" s="3">
        <v>7702303239264</v>
      </c>
      <c r="C206" s="2" t="s">
        <v>253</v>
      </c>
      <c r="D206" s="2" t="s">
        <v>44</v>
      </c>
      <c r="E206" s="2" t="s">
        <v>33</v>
      </c>
      <c r="F206" s="1" t="s">
        <v>252</v>
      </c>
      <c r="G206" s="2" t="s">
        <v>139</v>
      </c>
      <c r="H206" s="1" t="s">
        <v>252</v>
      </c>
      <c r="I206" s="1" t="s">
        <v>247</v>
      </c>
      <c r="J206" t="str">
        <f>+_xlfn.XLOOKUP(B206,INNOVACIÓN!A:A,INNOVACIÓN!B:B,"NO")</f>
        <v>NO</v>
      </c>
      <c r="M206">
        <f>+_xlfn.XLOOKUP(A206,'COSTO Y PRECIO'!$A:$A,'COSTO Y PRECIO'!B:B)</f>
        <v>115.59999999999998</v>
      </c>
      <c r="N206">
        <f>+_xlfn.XLOOKUP(A206,'COSTO Y PRECIO'!$A:$A,'COSTO Y PRECIO'!C:C)</f>
        <v>150</v>
      </c>
    </row>
    <row r="207" spans="1:14" x14ac:dyDescent="0.35">
      <c r="A207" s="2">
        <v>101000080</v>
      </c>
      <c r="B207" s="3">
        <v>7702303820974</v>
      </c>
      <c r="C207" s="2" t="s">
        <v>254</v>
      </c>
      <c r="D207" s="2" t="s">
        <v>44</v>
      </c>
      <c r="E207" s="2" t="s">
        <v>33</v>
      </c>
      <c r="F207" s="1" t="s">
        <v>252</v>
      </c>
      <c r="G207" s="2" t="s">
        <v>139</v>
      </c>
      <c r="H207" s="1" t="s">
        <v>252</v>
      </c>
      <c r="I207" s="1" t="s">
        <v>247</v>
      </c>
      <c r="J207" t="str">
        <f>+_xlfn.XLOOKUP(B207,INNOVACIÓN!A:A,INNOVACIÓN!B:B,"NO")</f>
        <v>NO</v>
      </c>
      <c r="M207">
        <f>+_xlfn.XLOOKUP(A207,'COSTO Y PRECIO'!$A:$A,'COSTO Y PRECIO'!B:B)</f>
        <v>115.59999999999998</v>
      </c>
      <c r="N207">
        <f>+_xlfn.XLOOKUP(A207,'COSTO Y PRECIO'!$A:$A,'COSTO Y PRECIO'!C:C)</f>
        <v>150</v>
      </c>
    </row>
    <row r="208" spans="1:14" x14ac:dyDescent="0.35">
      <c r="A208" s="2">
        <v>101000083</v>
      </c>
      <c r="B208" s="3">
        <v>7702303238434</v>
      </c>
      <c r="C208" s="2" t="s">
        <v>255</v>
      </c>
      <c r="D208" s="2" t="s">
        <v>44</v>
      </c>
      <c r="E208" s="2" t="s">
        <v>33</v>
      </c>
      <c r="F208" s="1" t="s">
        <v>252</v>
      </c>
      <c r="G208" s="2" t="s">
        <v>139</v>
      </c>
      <c r="H208" s="1" t="s">
        <v>252</v>
      </c>
      <c r="I208" s="1" t="s">
        <v>247</v>
      </c>
      <c r="J208" t="str">
        <f>+_xlfn.XLOOKUP(B208,INNOVACIÓN!A:A,INNOVACIÓN!B:B,"NO")</f>
        <v>NO</v>
      </c>
      <c r="M208">
        <f>+_xlfn.XLOOKUP(A208,'COSTO Y PRECIO'!$A:$A,'COSTO Y PRECIO'!B:B)</f>
        <v>115.59999999999998</v>
      </c>
      <c r="N208">
        <f>+_xlfn.XLOOKUP(A208,'COSTO Y PRECIO'!$A:$A,'COSTO Y PRECIO'!C:C)</f>
        <v>150</v>
      </c>
    </row>
    <row r="209" spans="1:14" x14ac:dyDescent="0.35">
      <c r="A209">
        <v>100024729</v>
      </c>
      <c r="B209" s="6">
        <v>7707200942736</v>
      </c>
      <c r="C209" t="s">
        <v>256</v>
      </c>
      <c r="D209" s="2" t="s">
        <v>44</v>
      </c>
      <c r="E209" s="2" t="s">
        <v>33</v>
      </c>
      <c r="F209" s="1" t="s">
        <v>252</v>
      </c>
      <c r="G209" s="1" t="s">
        <v>139</v>
      </c>
      <c r="H209" s="1" t="s">
        <v>252</v>
      </c>
      <c r="I209" s="1" t="s">
        <v>247</v>
      </c>
      <c r="J209" t="str">
        <f>+_xlfn.XLOOKUP(B209,INNOVACIÓN!A:A,INNOVACIÓN!B:B,"NO")</f>
        <v>NO</v>
      </c>
      <c r="M209">
        <f>+_xlfn.XLOOKUP(A209,'COSTO Y PRECIO'!$A:$A,'COSTO Y PRECIO'!B:B)</f>
        <v>123.30999999999996</v>
      </c>
      <c r="N209">
        <f>+_xlfn.XLOOKUP(A209,'COSTO Y PRECIO'!$A:$A,'COSTO Y PRECIO'!C:C)</f>
        <v>160</v>
      </c>
    </row>
    <row r="210" spans="1:14" x14ac:dyDescent="0.35">
      <c r="A210">
        <v>100024658</v>
      </c>
      <c r="B210" s="6">
        <v>7707200942736</v>
      </c>
      <c r="C210" t="s">
        <v>256</v>
      </c>
      <c r="D210" s="1" t="s">
        <v>44</v>
      </c>
      <c r="E210" s="2" t="s">
        <v>33</v>
      </c>
      <c r="F210" s="1" t="s">
        <v>252</v>
      </c>
      <c r="G210" s="1" t="s">
        <v>139</v>
      </c>
      <c r="H210" s="1" t="s">
        <v>252</v>
      </c>
      <c r="I210" s="1" t="s">
        <v>247</v>
      </c>
      <c r="J210" t="str">
        <f>+_xlfn.XLOOKUP(B210,INNOVACIÓN!A:A,INNOVACIÓN!B:B,"NO")</f>
        <v>NO</v>
      </c>
      <c r="M210">
        <f>+_xlfn.XLOOKUP(A210,'COSTO Y PRECIO'!$A:$A,'COSTO Y PRECIO'!B:B)</f>
        <v>123.31</v>
      </c>
      <c r="N210">
        <f>+_xlfn.XLOOKUP(A210,'COSTO Y PRECIO'!$A:$A,'COSTO Y PRECIO'!C:C)</f>
        <v>160</v>
      </c>
    </row>
    <row r="211" spans="1:14" x14ac:dyDescent="0.35">
      <c r="A211">
        <v>100024727</v>
      </c>
      <c r="B211" s="6">
        <v>7702303265324</v>
      </c>
      <c r="C211" t="s">
        <v>257</v>
      </c>
      <c r="D211" s="2" t="s">
        <v>44</v>
      </c>
      <c r="E211" s="2" t="s">
        <v>33</v>
      </c>
      <c r="F211" s="1" t="s">
        <v>252</v>
      </c>
      <c r="G211" s="1" t="s">
        <v>139</v>
      </c>
      <c r="H211" s="1" t="s">
        <v>252</v>
      </c>
      <c r="I211" s="1" t="s">
        <v>247</v>
      </c>
      <c r="J211" t="str">
        <f>+_xlfn.XLOOKUP(B211,INNOVACIÓN!A:A,INNOVACIÓN!B:B,"NO")</f>
        <v>NO</v>
      </c>
      <c r="M211">
        <f>+_xlfn.XLOOKUP(A211,'COSTO Y PRECIO'!$A:$A,'COSTO Y PRECIO'!B:B)</f>
        <v>123.30999999999996</v>
      </c>
      <c r="N211">
        <f>+_xlfn.XLOOKUP(A211,'COSTO Y PRECIO'!$A:$A,'COSTO Y PRECIO'!C:C)</f>
        <v>160</v>
      </c>
    </row>
    <row r="212" spans="1:14" x14ac:dyDescent="0.35">
      <c r="A212">
        <v>100024656</v>
      </c>
      <c r="B212" s="6">
        <v>7702303265324</v>
      </c>
      <c r="C212" t="s">
        <v>257</v>
      </c>
      <c r="D212" s="1" t="s">
        <v>44</v>
      </c>
      <c r="E212" s="2" t="s">
        <v>33</v>
      </c>
      <c r="F212" s="1" t="s">
        <v>252</v>
      </c>
      <c r="G212" s="1" t="s">
        <v>139</v>
      </c>
      <c r="H212" s="1" t="s">
        <v>252</v>
      </c>
      <c r="I212" s="1" t="s">
        <v>247</v>
      </c>
      <c r="J212" t="str">
        <f>+_xlfn.XLOOKUP(B212,INNOVACIÓN!A:A,INNOVACIÓN!B:B,"NO")</f>
        <v>NO</v>
      </c>
      <c r="M212">
        <f>+_xlfn.XLOOKUP(A212,'COSTO Y PRECIO'!$A:$A,'COSTO Y PRECIO'!B:B)</f>
        <v>123.31</v>
      </c>
      <c r="N212">
        <f>+_xlfn.XLOOKUP(A212,'COSTO Y PRECIO'!$A:$A,'COSTO Y PRECIO'!C:C)</f>
        <v>160</v>
      </c>
    </row>
    <row r="213" spans="1:14" x14ac:dyDescent="0.35">
      <c r="A213">
        <v>100024726</v>
      </c>
      <c r="B213" s="6">
        <v>7702303108812</v>
      </c>
      <c r="C213" t="s">
        <v>258</v>
      </c>
      <c r="D213" s="2" t="s">
        <v>44</v>
      </c>
      <c r="E213" s="2" t="s">
        <v>33</v>
      </c>
      <c r="F213" s="1" t="s">
        <v>252</v>
      </c>
      <c r="G213" s="1" t="s">
        <v>139</v>
      </c>
      <c r="H213" s="1" t="s">
        <v>252</v>
      </c>
      <c r="I213" s="1" t="s">
        <v>247</v>
      </c>
      <c r="J213" t="str">
        <f>+_xlfn.XLOOKUP(B213,INNOVACIÓN!A:A,INNOVACIÓN!B:B,"NO")</f>
        <v>NO</v>
      </c>
      <c r="M213">
        <f>+_xlfn.XLOOKUP(A213,'COSTO Y PRECIO'!$A:$A,'COSTO Y PRECIO'!B:B)</f>
        <v>123.30999999999996</v>
      </c>
      <c r="N213">
        <f>+_xlfn.XLOOKUP(A213,'COSTO Y PRECIO'!$A:$A,'COSTO Y PRECIO'!C:C)</f>
        <v>160</v>
      </c>
    </row>
    <row r="214" spans="1:14" x14ac:dyDescent="0.35">
      <c r="A214">
        <v>100024655</v>
      </c>
      <c r="B214" s="6">
        <v>7702303108812</v>
      </c>
      <c r="C214" t="s">
        <v>258</v>
      </c>
      <c r="D214" s="1" t="s">
        <v>44</v>
      </c>
      <c r="E214" s="2" t="s">
        <v>33</v>
      </c>
      <c r="F214" s="1" t="s">
        <v>252</v>
      </c>
      <c r="G214" s="1" t="s">
        <v>139</v>
      </c>
      <c r="H214" s="1" t="s">
        <v>252</v>
      </c>
      <c r="I214" s="1" t="s">
        <v>247</v>
      </c>
      <c r="J214" t="str">
        <f>+_xlfn.XLOOKUP(B214,INNOVACIÓN!A:A,INNOVACIÓN!B:B,"NO")</f>
        <v>NO</v>
      </c>
      <c r="M214">
        <f>+_xlfn.XLOOKUP(A214,'COSTO Y PRECIO'!$A:$A,'COSTO Y PRECIO'!B:B)</f>
        <v>123.31</v>
      </c>
      <c r="N214">
        <f>+_xlfn.XLOOKUP(A214,'COSTO Y PRECIO'!$A:$A,'COSTO Y PRECIO'!C:C)</f>
        <v>160</v>
      </c>
    </row>
    <row r="215" spans="1:14" x14ac:dyDescent="0.35">
      <c r="A215">
        <v>100024728</v>
      </c>
      <c r="B215" s="6">
        <v>7702303657044</v>
      </c>
      <c r="C215" t="s">
        <v>259</v>
      </c>
      <c r="D215" s="2" t="s">
        <v>44</v>
      </c>
      <c r="E215" s="2" t="s">
        <v>33</v>
      </c>
      <c r="F215" s="1" t="s">
        <v>252</v>
      </c>
      <c r="G215" s="1" t="s">
        <v>139</v>
      </c>
      <c r="H215" s="1" t="s">
        <v>252</v>
      </c>
      <c r="I215" s="1" t="s">
        <v>247</v>
      </c>
      <c r="J215" t="str">
        <f>+_xlfn.XLOOKUP(B215,INNOVACIÓN!A:A,INNOVACIÓN!B:B,"NO")</f>
        <v>NO</v>
      </c>
      <c r="M215">
        <f>+_xlfn.XLOOKUP(A215,'COSTO Y PRECIO'!$A:$A,'COSTO Y PRECIO'!B:B)</f>
        <v>123.30999999999996</v>
      </c>
      <c r="N215">
        <f>+_xlfn.XLOOKUP(A215,'COSTO Y PRECIO'!$A:$A,'COSTO Y PRECIO'!C:C)</f>
        <v>160</v>
      </c>
    </row>
    <row r="216" spans="1:14" x14ac:dyDescent="0.35">
      <c r="A216">
        <v>100024657</v>
      </c>
      <c r="B216" s="6">
        <v>7702303657044</v>
      </c>
      <c r="C216" t="s">
        <v>259</v>
      </c>
      <c r="D216" s="1" t="s">
        <v>44</v>
      </c>
      <c r="E216" s="2" t="s">
        <v>33</v>
      </c>
      <c r="F216" s="1" t="s">
        <v>252</v>
      </c>
      <c r="G216" s="1" t="s">
        <v>139</v>
      </c>
      <c r="H216" s="1" t="s">
        <v>252</v>
      </c>
      <c r="I216" s="1" t="s">
        <v>247</v>
      </c>
      <c r="J216" t="str">
        <f>+_xlfn.XLOOKUP(B216,INNOVACIÓN!A:A,INNOVACIÓN!B:B,"NO")</f>
        <v>NO</v>
      </c>
      <c r="M216">
        <f>+_xlfn.XLOOKUP(A216,'COSTO Y PRECIO'!$A:$A,'COSTO Y PRECIO'!B:B)</f>
        <v>123.31</v>
      </c>
      <c r="N216">
        <f>+_xlfn.XLOOKUP(A216,'COSTO Y PRECIO'!$A:$A,'COSTO Y PRECIO'!C:C)</f>
        <v>160</v>
      </c>
    </row>
    <row r="217" spans="1:14" x14ac:dyDescent="0.35">
      <c r="A217" s="2">
        <v>100023126</v>
      </c>
      <c r="B217" s="3">
        <v>7501031701520</v>
      </c>
      <c r="C217" s="2" t="s">
        <v>260</v>
      </c>
      <c r="D217" s="2" t="s">
        <v>44</v>
      </c>
      <c r="E217" s="2" t="s">
        <v>33</v>
      </c>
      <c r="F217" s="1" t="s">
        <v>252</v>
      </c>
      <c r="G217" s="1" t="s">
        <v>139</v>
      </c>
      <c r="H217" s="1" t="s">
        <v>252</v>
      </c>
      <c r="I217" s="1" t="s">
        <v>247</v>
      </c>
      <c r="J217" t="str">
        <f>+_xlfn.XLOOKUP(B217,INNOVACIÓN!A:A,INNOVACIÓN!B:B,"NO")</f>
        <v>NO</v>
      </c>
      <c r="M217">
        <f>+_xlfn.XLOOKUP(A217,'COSTO Y PRECIO'!$A:$A,'COSTO Y PRECIO'!B:B)</f>
        <v>76.299999999999983</v>
      </c>
      <c r="N217">
        <f>+_xlfn.XLOOKUP(A217,'COSTO Y PRECIO'!$A:$A,'COSTO Y PRECIO'!C:C)</f>
        <v>99</v>
      </c>
    </row>
    <row r="218" spans="1:14" x14ac:dyDescent="0.35">
      <c r="A218">
        <v>100024725</v>
      </c>
      <c r="B218" s="6">
        <v>7707200944563</v>
      </c>
      <c r="C218" t="s">
        <v>261</v>
      </c>
      <c r="D218" s="2" t="s">
        <v>44</v>
      </c>
      <c r="E218" s="2" t="s">
        <v>33</v>
      </c>
      <c r="F218" s="1" t="s">
        <v>252</v>
      </c>
      <c r="G218" s="1" t="s">
        <v>139</v>
      </c>
      <c r="H218" s="1" t="s">
        <v>252</v>
      </c>
      <c r="I218" s="1" t="s">
        <v>247</v>
      </c>
      <c r="J218" t="str">
        <f>+_xlfn.XLOOKUP(B218,INNOVACIÓN!A:A,INNOVACIÓN!B:B,"NO")</f>
        <v>NO</v>
      </c>
      <c r="M218">
        <f>+_xlfn.XLOOKUP(A218,'COSTO Y PRECIO'!$A:$A,'COSTO Y PRECIO'!B:B)</f>
        <v>115.59999999999998</v>
      </c>
      <c r="N218">
        <f>+_xlfn.XLOOKUP(A218,'COSTO Y PRECIO'!$A:$A,'COSTO Y PRECIO'!C:C)</f>
        <v>150</v>
      </c>
    </row>
    <row r="219" spans="1:14" x14ac:dyDescent="0.35">
      <c r="A219" s="1">
        <v>101000088</v>
      </c>
      <c r="B219" s="3">
        <v>7702303342513</v>
      </c>
      <c r="C219" s="1" t="s">
        <v>262</v>
      </c>
      <c r="D219" s="2" t="s">
        <v>44</v>
      </c>
      <c r="E219" s="2" t="s">
        <v>33</v>
      </c>
      <c r="F219" s="1" t="s">
        <v>252</v>
      </c>
      <c r="G219" s="1" t="s">
        <v>139</v>
      </c>
      <c r="H219" s="1" t="s">
        <v>252</v>
      </c>
      <c r="I219" s="1" t="s">
        <v>247</v>
      </c>
      <c r="J219" t="str">
        <f>+_xlfn.XLOOKUP(B219,INNOVACIÓN!A:A,INNOVACIÓN!B:B,"NO")</f>
        <v>NO</v>
      </c>
      <c r="M219">
        <f>+_xlfn.XLOOKUP(A219,'COSTO Y PRECIO'!$A:$A,'COSTO Y PRECIO'!B:B)</f>
        <v>115.59999999999998</v>
      </c>
      <c r="N219">
        <f>+_xlfn.XLOOKUP(A219,'COSTO Y PRECIO'!$A:$A,'COSTO Y PRECIO'!C:C)</f>
        <v>150</v>
      </c>
    </row>
    <row r="220" spans="1:14" x14ac:dyDescent="0.35">
      <c r="A220" s="2">
        <v>101000087</v>
      </c>
      <c r="B220" s="3">
        <v>7702303419598</v>
      </c>
      <c r="C220" s="2" t="s">
        <v>263</v>
      </c>
      <c r="D220" s="2" t="s">
        <v>44</v>
      </c>
      <c r="E220" s="2" t="s">
        <v>33</v>
      </c>
      <c r="F220" s="1" t="s">
        <v>252</v>
      </c>
      <c r="G220" s="2" t="s">
        <v>139</v>
      </c>
      <c r="H220" s="1" t="s">
        <v>252</v>
      </c>
      <c r="I220" s="1" t="s">
        <v>247</v>
      </c>
      <c r="J220" t="str">
        <f>+_xlfn.XLOOKUP(B220,INNOVACIÓN!A:A,INNOVACIÓN!B:B,"NO")</f>
        <v>NO</v>
      </c>
      <c r="M220">
        <f>+_xlfn.XLOOKUP(A220,'COSTO Y PRECIO'!$A:$A,'COSTO Y PRECIO'!B:B)</f>
        <v>115.59999999999998</v>
      </c>
      <c r="N220">
        <f>+_xlfn.XLOOKUP(A220,'COSTO Y PRECIO'!$A:$A,'COSTO Y PRECIO'!C:C)</f>
        <v>150</v>
      </c>
    </row>
    <row r="221" spans="1:14" x14ac:dyDescent="0.35">
      <c r="A221" s="2">
        <v>101000085</v>
      </c>
      <c r="B221" s="3">
        <v>7707200941753</v>
      </c>
      <c r="C221" s="2" t="s">
        <v>264</v>
      </c>
      <c r="D221" s="2" t="s">
        <v>44</v>
      </c>
      <c r="E221" s="2" t="s">
        <v>33</v>
      </c>
      <c r="F221" s="1" t="s">
        <v>252</v>
      </c>
      <c r="G221" s="2" t="s">
        <v>139</v>
      </c>
      <c r="H221" s="1" t="s">
        <v>252</v>
      </c>
      <c r="I221" s="1" t="s">
        <v>247</v>
      </c>
      <c r="J221" t="str">
        <f>+_xlfn.XLOOKUP(B221,INNOVACIÓN!A:A,INNOVACIÓN!B:B,"NO")</f>
        <v>NO</v>
      </c>
      <c r="M221">
        <f>+_xlfn.XLOOKUP(A221,'COSTO Y PRECIO'!$A:$A,'COSTO Y PRECIO'!B:B)</f>
        <v>115.59999999999998</v>
      </c>
      <c r="N221">
        <f>+_xlfn.XLOOKUP(A221,'COSTO Y PRECIO'!$A:$A,'COSTO Y PRECIO'!C:C)</f>
        <v>150</v>
      </c>
    </row>
    <row r="222" spans="1:14" x14ac:dyDescent="0.35">
      <c r="A222" s="2">
        <v>101000086</v>
      </c>
      <c r="B222" s="3">
        <v>7702303173667</v>
      </c>
      <c r="C222" s="2" t="s">
        <v>265</v>
      </c>
      <c r="D222" s="2" t="s">
        <v>44</v>
      </c>
      <c r="E222" s="2" t="s">
        <v>33</v>
      </c>
      <c r="F222" s="1" t="s">
        <v>252</v>
      </c>
      <c r="G222" s="2" t="s">
        <v>139</v>
      </c>
      <c r="H222" s="1" t="s">
        <v>252</v>
      </c>
      <c r="I222" s="1" t="s">
        <v>247</v>
      </c>
      <c r="J222" t="str">
        <f>+_xlfn.XLOOKUP(B222,INNOVACIÓN!A:A,INNOVACIÓN!B:B,"NO")</f>
        <v>NO</v>
      </c>
      <c r="M222">
        <f>+_xlfn.XLOOKUP(A222,'COSTO Y PRECIO'!$A:$A,'COSTO Y PRECIO'!B:B)</f>
        <v>115.59999999999998</v>
      </c>
      <c r="N222">
        <f>+_xlfn.XLOOKUP(A222,'COSTO Y PRECIO'!$A:$A,'COSTO Y PRECIO'!C:C)</f>
        <v>150</v>
      </c>
    </row>
    <row r="223" spans="1:14" x14ac:dyDescent="0.35">
      <c r="A223">
        <v>100024653</v>
      </c>
      <c r="B223" s="6">
        <v>7707200947311</v>
      </c>
      <c r="C223" t="s">
        <v>266</v>
      </c>
      <c r="D223" s="1" t="s">
        <v>44</v>
      </c>
      <c r="E223" s="2" t="s">
        <v>33</v>
      </c>
      <c r="F223" s="1" t="s">
        <v>252</v>
      </c>
      <c r="G223" s="1" t="s">
        <v>139</v>
      </c>
      <c r="H223" s="1" t="s">
        <v>252</v>
      </c>
      <c r="I223" s="1" t="s">
        <v>247</v>
      </c>
      <c r="J223" t="str">
        <f>+_xlfn.XLOOKUP(B223,INNOVACIÓN!A:A,INNOVACIÓN!B:B,"NO")</f>
        <v>NO</v>
      </c>
      <c r="M223">
        <f>+_xlfn.XLOOKUP(A223,'COSTO Y PRECIO'!$A:$A,'COSTO Y PRECIO'!B:B)</f>
        <v>246.62</v>
      </c>
      <c r="N223">
        <f>+_xlfn.XLOOKUP(A223,'COSTO Y PRECIO'!$A:$A,'COSTO Y PRECIO'!C:C)</f>
        <v>320</v>
      </c>
    </row>
    <row r="224" spans="1:14" x14ac:dyDescent="0.35">
      <c r="A224">
        <v>100024649</v>
      </c>
      <c r="B224" s="6">
        <v>7707200945799</v>
      </c>
      <c r="C224" t="s">
        <v>267</v>
      </c>
      <c r="D224" s="1" t="s">
        <v>44</v>
      </c>
      <c r="E224" s="2" t="s">
        <v>33</v>
      </c>
      <c r="F224" s="1" t="s">
        <v>252</v>
      </c>
      <c r="G224" s="1" t="s">
        <v>139</v>
      </c>
      <c r="H224" s="1" t="s">
        <v>252</v>
      </c>
      <c r="I224" s="1" t="s">
        <v>247</v>
      </c>
      <c r="J224" t="str">
        <f>+_xlfn.XLOOKUP(B224,INNOVACIÓN!A:A,INNOVACIÓN!B:B,"NO")</f>
        <v>NO</v>
      </c>
      <c r="M224">
        <f>+_xlfn.XLOOKUP(A224,'COSTO Y PRECIO'!$A:$A,'COSTO Y PRECIO'!B:B)</f>
        <v>246.62</v>
      </c>
      <c r="N224">
        <f>+_xlfn.XLOOKUP(A224,'COSTO Y PRECIO'!$A:$A,'COSTO Y PRECIO'!C:C)</f>
        <v>320</v>
      </c>
    </row>
    <row r="225" spans="1:14" x14ac:dyDescent="0.35">
      <c r="A225">
        <v>100024722</v>
      </c>
      <c r="B225" s="6">
        <v>7707200945072</v>
      </c>
      <c r="C225" t="s">
        <v>268</v>
      </c>
      <c r="D225" s="2" t="s">
        <v>44</v>
      </c>
      <c r="E225" s="2" t="s">
        <v>33</v>
      </c>
      <c r="F225" s="1" t="s">
        <v>252</v>
      </c>
      <c r="G225" s="1" t="s">
        <v>139</v>
      </c>
      <c r="H225" s="1" t="s">
        <v>252</v>
      </c>
      <c r="I225" s="1" t="s">
        <v>247</v>
      </c>
      <c r="J225" t="str">
        <f>+_xlfn.XLOOKUP(B225,INNOVACIÓN!A:A,INNOVACIÓN!B:B,"NO")</f>
        <v>NO</v>
      </c>
      <c r="M225">
        <f>+_xlfn.XLOOKUP(A225,'COSTO Y PRECIO'!$A:$A,'COSTO Y PRECIO'!B:B)</f>
        <v>246.61999999999992</v>
      </c>
      <c r="N225">
        <f>+_xlfn.XLOOKUP(A225,'COSTO Y PRECIO'!$A:$A,'COSTO Y PRECIO'!C:C)</f>
        <v>320</v>
      </c>
    </row>
    <row r="226" spans="1:14" x14ac:dyDescent="0.35">
      <c r="A226">
        <v>100024652</v>
      </c>
      <c r="B226" s="6">
        <v>7707200945072</v>
      </c>
      <c r="C226" t="s">
        <v>269</v>
      </c>
      <c r="D226" s="1" t="s">
        <v>44</v>
      </c>
      <c r="E226" s="2" t="s">
        <v>33</v>
      </c>
      <c r="F226" s="1" t="s">
        <v>252</v>
      </c>
      <c r="G226" s="1" t="s">
        <v>139</v>
      </c>
      <c r="H226" s="1" t="s">
        <v>252</v>
      </c>
      <c r="I226" s="1" t="s">
        <v>247</v>
      </c>
      <c r="J226" t="str">
        <f>+_xlfn.XLOOKUP(B226,INNOVACIÓN!A:A,INNOVACIÓN!B:B,"NO")</f>
        <v>NO</v>
      </c>
      <c r="M226">
        <f>+_xlfn.XLOOKUP(A226,'COSTO Y PRECIO'!$A:$A,'COSTO Y PRECIO'!B:B)</f>
        <v>246.62</v>
      </c>
      <c r="N226">
        <f>+_xlfn.XLOOKUP(A226,'COSTO Y PRECIO'!$A:$A,'COSTO Y PRECIO'!C:C)</f>
        <v>320</v>
      </c>
    </row>
    <row r="227" spans="1:14" x14ac:dyDescent="0.35">
      <c r="A227">
        <v>100024720</v>
      </c>
      <c r="B227" s="6">
        <v>7707200949285</v>
      </c>
      <c r="C227" t="s">
        <v>270</v>
      </c>
      <c r="D227" s="2" t="s">
        <v>44</v>
      </c>
      <c r="E227" s="2" t="s">
        <v>33</v>
      </c>
      <c r="F227" s="1" t="s">
        <v>252</v>
      </c>
      <c r="G227" s="1" t="s">
        <v>139</v>
      </c>
      <c r="H227" s="1" t="s">
        <v>252</v>
      </c>
      <c r="I227" s="1" t="s">
        <v>247</v>
      </c>
      <c r="J227" t="str">
        <f>+_xlfn.XLOOKUP(B227,INNOVACIÓN!A:A,INNOVACIÓN!B:B,"NO")</f>
        <v>NO</v>
      </c>
      <c r="M227">
        <f>+_xlfn.XLOOKUP(A227,'COSTO Y PRECIO'!$A:$A,'COSTO Y PRECIO'!B:B)</f>
        <v>246.61999999999992</v>
      </c>
      <c r="N227">
        <f>+_xlfn.XLOOKUP(A227,'COSTO Y PRECIO'!$A:$A,'COSTO Y PRECIO'!C:C)</f>
        <v>320</v>
      </c>
    </row>
    <row r="228" spans="1:14" x14ac:dyDescent="0.35">
      <c r="A228">
        <v>100024650</v>
      </c>
      <c r="B228" s="6">
        <v>7707200949285</v>
      </c>
      <c r="C228" t="s">
        <v>271</v>
      </c>
      <c r="D228" s="1" t="s">
        <v>44</v>
      </c>
      <c r="E228" s="2" t="s">
        <v>33</v>
      </c>
      <c r="F228" s="1" t="s">
        <v>252</v>
      </c>
      <c r="G228" s="1" t="s">
        <v>139</v>
      </c>
      <c r="H228" s="1" t="s">
        <v>252</v>
      </c>
      <c r="I228" s="1" t="s">
        <v>247</v>
      </c>
      <c r="J228" t="str">
        <f>+_xlfn.XLOOKUP(B228,INNOVACIÓN!A:A,INNOVACIÓN!B:B,"NO")</f>
        <v>NO</v>
      </c>
      <c r="M228">
        <f>+_xlfn.XLOOKUP(A228,'COSTO Y PRECIO'!$A:$A,'COSTO Y PRECIO'!B:B)</f>
        <v>246.62</v>
      </c>
      <c r="N228">
        <f>+_xlfn.XLOOKUP(A228,'COSTO Y PRECIO'!$A:$A,'COSTO Y PRECIO'!C:C)</f>
        <v>320</v>
      </c>
    </row>
    <row r="229" spans="1:14" x14ac:dyDescent="0.35">
      <c r="A229">
        <v>100024721</v>
      </c>
      <c r="B229" s="6">
        <v>7707200949551</v>
      </c>
      <c r="C229" t="s">
        <v>272</v>
      </c>
      <c r="D229" s="2" t="s">
        <v>44</v>
      </c>
      <c r="E229" s="2" t="s">
        <v>33</v>
      </c>
      <c r="F229" s="1" t="s">
        <v>252</v>
      </c>
      <c r="G229" s="1" t="s">
        <v>139</v>
      </c>
      <c r="H229" s="1" t="s">
        <v>252</v>
      </c>
      <c r="I229" s="1" t="s">
        <v>247</v>
      </c>
      <c r="J229" t="str">
        <f>+_xlfn.XLOOKUP(B229,INNOVACIÓN!A:A,INNOVACIÓN!B:B,"NO")</f>
        <v>NO</v>
      </c>
      <c r="M229">
        <f>+_xlfn.XLOOKUP(A229,'COSTO Y PRECIO'!$A:$A,'COSTO Y PRECIO'!B:B)</f>
        <v>246.61999999999992</v>
      </c>
      <c r="N229">
        <f>+_xlfn.XLOOKUP(A229,'COSTO Y PRECIO'!$A:$A,'COSTO Y PRECIO'!C:C)</f>
        <v>320</v>
      </c>
    </row>
    <row r="230" spans="1:14" x14ac:dyDescent="0.35">
      <c r="A230">
        <v>100024651</v>
      </c>
      <c r="B230" s="6">
        <v>7707200949551</v>
      </c>
      <c r="C230" t="s">
        <v>273</v>
      </c>
      <c r="D230" s="1" t="s">
        <v>44</v>
      </c>
      <c r="E230" s="2" t="s">
        <v>33</v>
      </c>
      <c r="F230" s="1" t="s">
        <v>252</v>
      </c>
      <c r="G230" s="1" t="s">
        <v>139</v>
      </c>
      <c r="H230" s="1" t="s">
        <v>252</v>
      </c>
      <c r="I230" s="1" t="s">
        <v>247</v>
      </c>
      <c r="J230" t="str">
        <f>+_xlfn.XLOOKUP(B230,INNOVACIÓN!A:A,INNOVACIÓN!B:B,"NO")</f>
        <v>NO</v>
      </c>
      <c r="M230">
        <f>+_xlfn.XLOOKUP(A230,'COSTO Y PRECIO'!$A:$A,'COSTO Y PRECIO'!B:B)</f>
        <v>246.62</v>
      </c>
      <c r="N230">
        <f>+_xlfn.XLOOKUP(A230,'COSTO Y PRECIO'!$A:$A,'COSTO Y PRECIO'!C:C)</f>
        <v>320</v>
      </c>
    </row>
    <row r="231" spans="1:14" x14ac:dyDescent="0.35">
      <c r="A231">
        <v>100024724</v>
      </c>
      <c r="B231" s="6">
        <v>7707200944037</v>
      </c>
      <c r="C231" t="s">
        <v>274</v>
      </c>
      <c r="D231" s="2" t="s">
        <v>44</v>
      </c>
      <c r="E231" s="2" t="s">
        <v>33</v>
      </c>
      <c r="F231" s="1" t="s">
        <v>252</v>
      </c>
      <c r="G231" s="1" t="s">
        <v>139</v>
      </c>
      <c r="H231" s="1" t="s">
        <v>252</v>
      </c>
      <c r="I231" s="1" t="s">
        <v>247</v>
      </c>
      <c r="J231" t="str">
        <f>+_xlfn.XLOOKUP(B231,INNOVACIÓN!A:A,INNOVACIÓN!B:B,"NO")</f>
        <v>NO</v>
      </c>
      <c r="M231">
        <f>+_xlfn.XLOOKUP(A231,'COSTO Y PRECIO'!$A:$A,'COSTO Y PRECIO'!B:B)</f>
        <v>246.61999999999992</v>
      </c>
      <c r="N231">
        <f>+_xlfn.XLOOKUP(A231,'COSTO Y PRECIO'!$A:$A,'COSTO Y PRECIO'!C:C)</f>
        <v>320</v>
      </c>
    </row>
    <row r="232" spans="1:14" x14ac:dyDescent="0.35">
      <c r="A232">
        <v>100024654</v>
      </c>
      <c r="B232" s="6">
        <v>7707200944037</v>
      </c>
      <c r="C232" t="s">
        <v>275</v>
      </c>
      <c r="D232" s="1" t="s">
        <v>44</v>
      </c>
      <c r="E232" s="2" t="s">
        <v>33</v>
      </c>
      <c r="F232" s="1" t="s">
        <v>252</v>
      </c>
      <c r="G232" s="1" t="s">
        <v>139</v>
      </c>
      <c r="H232" s="1" t="s">
        <v>252</v>
      </c>
      <c r="I232" s="1" t="s">
        <v>247</v>
      </c>
      <c r="J232" t="str">
        <f>+_xlfn.XLOOKUP(B232,INNOVACIÓN!A:A,INNOVACIÓN!B:B,"NO")</f>
        <v>NO</v>
      </c>
      <c r="M232">
        <f>+_xlfn.XLOOKUP(A232,'COSTO Y PRECIO'!$A:$A,'COSTO Y PRECIO'!B:B)</f>
        <v>246.62</v>
      </c>
      <c r="N232">
        <f>+_xlfn.XLOOKUP(A232,'COSTO Y PRECIO'!$A:$A,'COSTO Y PRECIO'!C:C)</f>
        <v>320</v>
      </c>
    </row>
    <row r="233" spans="1:14" x14ac:dyDescent="0.35">
      <c r="A233" s="2">
        <v>101000089</v>
      </c>
      <c r="B233" s="3">
        <v>7702303023221</v>
      </c>
      <c r="C233" s="2" t="s">
        <v>276</v>
      </c>
      <c r="D233" s="2" t="s">
        <v>44</v>
      </c>
      <c r="E233" s="2" t="s">
        <v>33</v>
      </c>
      <c r="F233" s="1" t="s">
        <v>252</v>
      </c>
      <c r="G233" s="2" t="s">
        <v>139</v>
      </c>
      <c r="H233" s="1" t="s">
        <v>252</v>
      </c>
      <c r="I233" s="1" t="s">
        <v>247</v>
      </c>
      <c r="J233" t="str">
        <f>+_xlfn.XLOOKUP(B233,INNOVACIÓN!A:A,INNOVACIÓN!B:B,"NO")</f>
        <v>NO</v>
      </c>
      <c r="M233">
        <f>+_xlfn.XLOOKUP(A233,'COSTO Y PRECIO'!$A:$A,'COSTO Y PRECIO'!B:B)</f>
        <v>231.21</v>
      </c>
      <c r="N233">
        <f>+_xlfn.XLOOKUP(A233,'COSTO Y PRECIO'!$A:$A,'COSTO Y PRECIO'!C:C)</f>
        <v>300</v>
      </c>
    </row>
    <row r="234" spans="1:14" x14ac:dyDescent="0.35">
      <c r="A234">
        <v>100024414</v>
      </c>
      <c r="B234" s="6">
        <v>7702303906036</v>
      </c>
      <c r="C234" t="s">
        <v>277</v>
      </c>
      <c r="D234" s="1" t="s">
        <v>44</v>
      </c>
      <c r="E234" s="2" t="s">
        <v>33</v>
      </c>
      <c r="F234" s="1" t="s">
        <v>252</v>
      </c>
      <c r="G234" s="1" t="s">
        <v>139</v>
      </c>
      <c r="H234" s="1" t="s">
        <v>252</v>
      </c>
      <c r="I234" s="1" t="s">
        <v>247</v>
      </c>
      <c r="J234" t="str">
        <f>+_xlfn.XLOOKUP(B234,INNOVACIÓN!A:A,INNOVACIÓN!B:B,"NO")</f>
        <v>NO</v>
      </c>
      <c r="M234">
        <f>+_xlfn.XLOOKUP(A234,'COSTO Y PRECIO'!$A:$A,'COSTO Y PRECIO'!B:B)</f>
        <v>231.21</v>
      </c>
      <c r="N234">
        <f>+_xlfn.XLOOKUP(A234,'COSTO Y PRECIO'!$A:$A,'COSTO Y PRECIO'!C:C)</f>
        <v>300</v>
      </c>
    </row>
    <row r="235" spans="1:14" x14ac:dyDescent="0.35">
      <c r="A235" s="2">
        <v>101000092</v>
      </c>
      <c r="B235" s="3">
        <v>7702303007979</v>
      </c>
      <c r="C235" s="2" t="s">
        <v>278</v>
      </c>
      <c r="D235" s="2" t="s">
        <v>44</v>
      </c>
      <c r="E235" s="2" t="s">
        <v>33</v>
      </c>
      <c r="F235" s="1" t="s">
        <v>252</v>
      </c>
      <c r="G235" s="2" t="s">
        <v>139</v>
      </c>
      <c r="H235" s="1" t="s">
        <v>252</v>
      </c>
      <c r="I235" s="1" t="s">
        <v>247</v>
      </c>
      <c r="J235" t="str">
        <f>+_xlfn.XLOOKUP(B235,INNOVACIÓN!A:A,INNOVACIÓN!B:B,"NO")</f>
        <v>NO</v>
      </c>
      <c r="M235">
        <f>+_xlfn.XLOOKUP(A235,'COSTO Y PRECIO'!$A:$A,'COSTO Y PRECIO'!B:B)</f>
        <v>231.21</v>
      </c>
      <c r="N235">
        <f>+_xlfn.XLOOKUP(A235,'COSTO Y PRECIO'!$A:$A,'COSTO Y PRECIO'!C:C)</f>
        <v>300</v>
      </c>
    </row>
    <row r="236" spans="1:14" x14ac:dyDescent="0.35">
      <c r="A236" s="2">
        <v>101000090</v>
      </c>
      <c r="B236" s="3">
        <v>7702303936590</v>
      </c>
      <c r="C236" s="2" t="s">
        <v>279</v>
      </c>
      <c r="D236" s="2" t="s">
        <v>44</v>
      </c>
      <c r="E236" s="2" t="s">
        <v>33</v>
      </c>
      <c r="F236" s="1" t="s">
        <v>252</v>
      </c>
      <c r="G236" s="2" t="s">
        <v>139</v>
      </c>
      <c r="H236" s="1" t="s">
        <v>252</v>
      </c>
      <c r="I236" s="1" t="s">
        <v>247</v>
      </c>
      <c r="J236" t="str">
        <f>+_xlfn.XLOOKUP(B236,INNOVACIÓN!A:A,INNOVACIÓN!B:B,"NO")</f>
        <v>NO</v>
      </c>
      <c r="M236">
        <f>+_xlfn.XLOOKUP(A236,'COSTO Y PRECIO'!$A:$A,'COSTO Y PRECIO'!B:B)</f>
        <v>231.21</v>
      </c>
      <c r="N236">
        <f>+_xlfn.XLOOKUP(A236,'COSTO Y PRECIO'!$A:$A,'COSTO Y PRECIO'!C:C)</f>
        <v>300</v>
      </c>
    </row>
    <row r="237" spans="1:14" x14ac:dyDescent="0.35">
      <c r="A237" s="1">
        <v>101000091</v>
      </c>
      <c r="B237" s="3">
        <v>7702303890434</v>
      </c>
      <c r="C237" s="1" t="s">
        <v>280</v>
      </c>
      <c r="D237" s="2" t="s">
        <v>44</v>
      </c>
      <c r="E237" s="2" t="s">
        <v>33</v>
      </c>
      <c r="F237" s="1" t="s">
        <v>252</v>
      </c>
      <c r="G237" s="1" t="s">
        <v>139</v>
      </c>
      <c r="H237" s="1" t="s">
        <v>252</v>
      </c>
      <c r="I237" s="1" t="s">
        <v>247</v>
      </c>
      <c r="J237" t="str">
        <f>+_xlfn.XLOOKUP(B237,INNOVACIÓN!A:A,INNOVACIÓN!B:B,"NO")</f>
        <v>NO</v>
      </c>
      <c r="M237">
        <f>+_xlfn.XLOOKUP(A237,'COSTO Y PRECIO'!$A:$A,'COSTO Y PRECIO'!B:B)</f>
        <v>231.21</v>
      </c>
      <c r="N237">
        <f>+_xlfn.XLOOKUP(A237,'COSTO Y PRECIO'!$A:$A,'COSTO Y PRECIO'!C:C)</f>
        <v>300</v>
      </c>
    </row>
    <row r="238" spans="1:14" x14ac:dyDescent="0.35">
      <c r="A238" s="2">
        <v>101000093</v>
      </c>
      <c r="B238" s="3">
        <v>7702303182898</v>
      </c>
      <c r="C238" s="2" t="s">
        <v>281</v>
      </c>
      <c r="D238" s="2" t="s">
        <v>44</v>
      </c>
      <c r="E238" s="2" t="s">
        <v>33</v>
      </c>
      <c r="F238" s="1" t="s">
        <v>252</v>
      </c>
      <c r="G238" s="2" t="s">
        <v>139</v>
      </c>
      <c r="H238" s="1" t="s">
        <v>252</v>
      </c>
      <c r="I238" s="1" t="s">
        <v>247</v>
      </c>
      <c r="J238" t="str">
        <f>+_xlfn.XLOOKUP(B238,INNOVACIÓN!A:A,INNOVACIÓN!B:B,"NO")</f>
        <v>NO</v>
      </c>
      <c r="M238">
        <f>+_xlfn.XLOOKUP(A238,'COSTO Y PRECIO'!$A:$A,'COSTO Y PRECIO'!B:B)</f>
        <v>231.21</v>
      </c>
      <c r="N238">
        <f>+_xlfn.XLOOKUP(A238,'COSTO Y PRECIO'!$A:$A,'COSTO Y PRECIO'!C:C)</f>
        <v>300</v>
      </c>
    </row>
    <row r="239" spans="1:14" x14ac:dyDescent="0.35">
      <c r="A239">
        <v>100024714</v>
      </c>
      <c r="B239" s="6">
        <v>7707200942019</v>
      </c>
      <c r="C239" t="s">
        <v>282</v>
      </c>
      <c r="D239" s="2" t="s">
        <v>44</v>
      </c>
      <c r="E239" s="2" t="s">
        <v>33</v>
      </c>
      <c r="F239" s="1" t="s">
        <v>252</v>
      </c>
      <c r="G239" s="1" t="s">
        <v>139</v>
      </c>
      <c r="H239" s="1" t="s">
        <v>252</v>
      </c>
      <c r="I239" s="1" t="s">
        <v>247</v>
      </c>
      <c r="J239" t="str">
        <f>+_xlfn.XLOOKUP(B239,INNOVACIÓN!A:A,INNOVACIÓN!B:B,"NO")</f>
        <v>NO</v>
      </c>
      <c r="M239">
        <f>+_xlfn.XLOOKUP(A239,'COSTO Y PRECIO'!$A:$A,'COSTO Y PRECIO'!B:B)</f>
        <v>115.59999999999998</v>
      </c>
      <c r="N239">
        <f>+_xlfn.XLOOKUP(A239,'COSTO Y PRECIO'!$A:$A,'COSTO Y PRECIO'!C:C)</f>
        <v>150</v>
      </c>
    </row>
    <row r="240" spans="1:14" x14ac:dyDescent="0.35">
      <c r="A240">
        <v>100024627</v>
      </c>
      <c r="B240" s="6">
        <v>7707200945430</v>
      </c>
      <c r="C240" t="s">
        <v>283</v>
      </c>
      <c r="D240" s="1" t="s">
        <v>44</v>
      </c>
      <c r="E240" s="2" t="s">
        <v>33</v>
      </c>
      <c r="F240" s="1" t="s">
        <v>252</v>
      </c>
      <c r="G240" s="1" t="s">
        <v>139</v>
      </c>
      <c r="H240" s="1" t="s">
        <v>252</v>
      </c>
      <c r="I240" s="1" t="s">
        <v>247</v>
      </c>
      <c r="J240" t="str">
        <f>+_xlfn.XLOOKUP(B240,INNOVACIÓN!A:A,INNOVACIÓN!B:B,"NO")</f>
        <v>NO</v>
      </c>
      <c r="M240">
        <f>+_xlfn.XLOOKUP(A240,'COSTO Y PRECIO'!$A:$A,'COSTO Y PRECIO'!B:B)</f>
        <v>115.6</v>
      </c>
      <c r="N240">
        <f>+_xlfn.XLOOKUP(A240,'COSTO Y PRECIO'!$A:$A,'COSTO Y PRECIO'!C:C)</f>
        <v>150</v>
      </c>
    </row>
    <row r="241" spans="1:14" x14ac:dyDescent="0.35">
      <c r="A241">
        <v>100024625</v>
      </c>
      <c r="B241" s="6">
        <v>7707200947854</v>
      </c>
      <c r="C241" t="s">
        <v>284</v>
      </c>
      <c r="D241" s="1" t="s">
        <v>44</v>
      </c>
      <c r="E241" s="2" t="s">
        <v>33</v>
      </c>
      <c r="F241" s="1" t="s">
        <v>252</v>
      </c>
      <c r="G241" s="1" t="s">
        <v>139</v>
      </c>
      <c r="H241" s="1" t="s">
        <v>252</v>
      </c>
      <c r="I241" s="1" t="s">
        <v>247</v>
      </c>
      <c r="J241" t="str">
        <f>+_xlfn.XLOOKUP(B241,INNOVACIÓN!A:A,INNOVACIÓN!B:B,"NO")</f>
        <v>NO</v>
      </c>
      <c r="M241">
        <f>+_xlfn.XLOOKUP(A241,'COSTO Y PRECIO'!$A:$A,'COSTO Y PRECIO'!B:B)</f>
        <v>115.6</v>
      </c>
      <c r="N241">
        <f>+_xlfn.XLOOKUP(A241,'COSTO Y PRECIO'!$A:$A,'COSTO Y PRECIO'!C:C)</f>
        <v>150</v>
      </c>
    </row>
    <row r="242" spans="1:14" x14ac:dyDescent="0.35">
      <c r="A242">
        <v>100024712</v>
      </c>
      <c r="B242" s="6">
        <v>7707200946239</v>
      </c>
      <c r="C242" t="s">
        <v>285</v>
      </c>
      <c r="D242" s="2" t="s">
        <v>44</v>
      </c>
      <c r="E242" s="2" t="s">
        <v>33</v>
      </c>
      <c r="F242" s="1" t="s">
        <v>252</v>
      </c>
      <c r="G242" s="1" t="s">
        <v>139</v>
      </c>
      <c r="H242" s="1" t="s">
        <v>252</v>
      </c>
      <c r="I242" s="1" t="s">
        <v>247</v>
      </c>
      <c r="J242" t="str">
        <f>+_xlfn.XLOOKUP(B242,INNOVACIÓN!A:A,INNOVACIÓN!B:B,"NO")</f>
        <v>NO</v>
      </c>
      <c r="M242">
        <f>+_xlfn.XLOOKUP(A242,'COSTO Y PRECIO'!$A:$A,'COSTO Y PRECIO'!B:B)</f>
        <v>115.59999999999998</v>
      </c>
      <c r="N242">
        <f>+_xlfn.XLOOKUP(A242,'COSTO Y PRECIO'!$A:$A,'COSTO Y PRECIO'!C:C)</f>
        <v>150</v>
      </c>
    </row>
    <row r="243" spans="1:14" x14ac:dyDescent="0.35">
      <c r="A243">
        <v>100024715</v>
      </c>
      <c r="B243" s="6">
        <v>7707200946987</v>
      </c>
      <c r="C243" t="s">
        <v>286</v>
      </c>
      <c r="D243" s="2" t="s">
        <v>44</v>
      </c>
      <c r="E243" s="2" t="s">
        <v>33</v>
      </c>
      <c r="F243" s="1" t="s">
        <v>252</v>
      </c>
      <c r="G243" s="1" t="s">
        <v>139</v>
      </c>
      <c r="H243" s="1" t="s">
        <v>252</v>
      </c>
      <c r="I243" s="1" t="s">
        <v>247</v>
      </c>
      <c r="J243" t="str">
        <f>+_xlfn.XLOOKUP(B243,INNOVACIÓN!A:A,INNOVACIÓN!B:B,"NO")</f>
        <v>NO</v>
      </c>
      <c r="M243">
        <f>+_xlfn.XLOOKUP(A243,'COSTO Y PRECIO'!$A:$A,'COSTO Y PRECIO'!B:B)</f>
        <v>115.59999999999998</v>
      </c>
      <c r="N243">
        <f>+_xlfn.XLOOKUP(A243,'COSTO Y PRECIO'!$A:$A,'COSTO Y PRECIO'!C:C)</f>
        <v>150</v>
      </c>
    </row>
    <row r="244" spans="1:14" x14ac:dyDescent="0.35">
      <c r="A244">
        <v>100024623</v>
      </c>
      <c r="B244" s="6">
        <v>7707200946987</v>
      </c>
      <c r="C244" t="s">
        <v>287</v>
      </c>
      <c r="D244" s="1" t="s">
        <v>44</v>
      </c>
      <c r="E244" s="2" t="s">
        <v>33</v>
      </c>
      <c r="F244" s="1" t="s">
        <v>252</v>
      </c>
      <c r="G244" s="1" t="s">
        <v>139</v>
      </c>
      <c r="H244" s="1" t="s">
        <v>252</v>
      </c>
      <c r="I244" s="1" t="s">
        <v>247</v>
      </c>
      <c r="J244" t="str">
        <f>+_xlfn.XLOOKUP(B244,INNOVACIÓN!A:A,INNOVACIÓN!B:B,"NO")</f>
        <v>NO</v>
      </c>
      <c r="M244">
        <f>+_xlfn.XLOOKUP(A244,'COSTO Y PRECIO'!$A:$A,'COSTO Y PRECIO'!B:B)</f>
        <v>115.6</v>
      </c>
      <c r="N244">
        <f>+_xlfn.XLOOKUP(A244,'COSTO Y PRECIO'!$A:$A,'COSTO Y PRECIO'!C:C)</f>
        <v>150</v>
      </c>
    </row>
    <row r="245" spans="1:14" x14ac:dyDescent="0.35">
      <c r="A245">
        <v>100024716</v>
      </c>
      <c r="B245" s="6">
        <v>7707200940220</v>
      </c>
      <c r="C245" t="s">
        <v>288</v>
      </c>
      <c r="D245" s="2" t="s">
        <v>44</v>
      </c>
      <c r="E245" s="2" t="s">
        <v>33</v>
      </c>
      <c r="F245" s="1" t="s">
        <v>252</v>
      </c>
      <c r="G245" s="1" t="s">
        <v>139</v>
      </c>
      <c r="H245" s="1" t="s">
        <v>252</v>
      </c>
      <c r="I245" s="1" t="s">
        <v>247</v>
      </c>
      <c r="J245" t="str">
        <f>+_xlfn.XLOOKUP(B245,INNOVACIÓN!A:A,INNOVACIÓN!B:B,"NO")</f>
        <v>NO</v>
      </c>
      <c r="M245">
        <f>+_xlfn.XLOOKUP(A245,'COSTO Y PRECIO'!$A:$A,'COSTO Y PRECIO'!B:B)</f>
        <v>115.59999999999998</v>
      </c>
      <c r="N245">
        <f>+_xlfn.XLOOKUP(A245,'COSTO Y PRECIO'!$A:$A,'COSTO Y PRECIO'!C:C)</f>
        <v>150</v>
      </c>
    </row>
    <row r="246" spans="1:14" x14ac:dyDescent="0.35">
      <c r="A246">
        <v>100024624</v>
      </c>
      <c r="B246" s="6">
        <v>7707200940220</v>
      </c>
      <c r="C246" t="s">
        <v>289</v>
      </c>
      <c r="D246" s="1" t="s">
        <v>44</v>
      </c>
      <c r="E246" s="2" t="s">
        <v>33</v>
      </c>
      <c r="F246" s="1" t="s">
        <v>252</v>
      </c>
      <c r="G246" s="1" t="s">
        <v>139</v>
      </c>
      <c r="H246" s="1" t="s">
        <v>252</v>
      </c>
      <c r="I246" s="1" t="s">
        <v>247</v>
      </c>
      <c r="J246" t="str">
        <f>+_xlfn.XLOOKUP(B246,INNOVACIÓN!A:A,INNOVACIÓN!B:B,"NO")</f>
        <v>NO</v>
      </c>
      <c r="M246">
        <f>+_xlfn.XLOOKUP(A246,'COSTO Y PRECIO'!$A:$A,'COSTO Y PRECIO'!B:B)</f>
        <v>115.6</v>
      </c>
      <c r="N246">
        <f>+_xlfn.XLOOKUP(A246,'COSTO Y PRECIO'!$A:$A,'COSTO Y PRECIO'!C:C)</f>
        <v>150</v>
      </c>
    </row>
    <row r="247" spans="1:14" x14ac:dyDescent="0.35">
      <c r="A247" s="1">
        <v>100023339</v>
      </c>
      <c r="B247" s="3">
        <v>7501031701667</v>
      </c>
      <c r="C247" s="1" t="s">
        <v>290</v>
      </c>
      <c r="D247" s="2" t="s">
        <v>44</v>
      </c>
      <c r="E247" s="2" t="s">
        <v>33</v>
      </c>
      <c r="F247" s="1" t="s">
        <v>252</v>
      </c>
      <c r="G247" s="1" t="s">
        <v>139</v>
      </c>
      <c r="H247" s="1" t="s">
        <v>252</v>
      </c>
      <c r="I247" s="1" t="s">
        <v>247</v>
      </c>
      <c r="J247" t="str">
        <f>+_xlfn.XLOOKUP(B247,INNOVACIÓN!A:A,INNOVACIÓN!B:B,"NO")</f>
        <v>NO</v>
      </c>
      <c r="M247">
        <f>+_xlfn.XLOOKUP(A247,'COSTO Y PRECIO'!$A:$A,'COSTO Y PRECIO'!B:B)</f>
        <v>107.9</v>
      </c>
      <c r="N247">
        <f>+_xlfn.XLOOKUP(A247,'COSTO Y PRECIO'!$A:$A,'COSTO Y PRECIO'!C:C)</f>
        <v>140</v>
      </c>
    </row>
    <row r="248" spans="1:14" x14ac:dyDescent="0.35">
      <c r="A248" s="1">
        <v>100022786</v>
      </c>
      <c r="B248" s="3">
        <v>7501031701636</v>
      </c>
      <c r="C248" s="1" t="s">
        <v>291</v>
      </c>
      <c r="D248" s="2" t="s">
        <v>44</v>
      </c>
      <c r="E248" s="2" t="s">
        <v>33</v>
      </c>
      <c r="F248" s="1" t="s">
        <v>252</v>
      </c>
      <c r="G248" s="1" t="s">
        <v>139</v>
      </c>
      <c r="H248" s="1" t="s">
        <v>252</v>
      </c>
      <c r="I248" s="1" t="s">
        <v>247</v>
      </c>
      <c r="J248" t="str">
        <f>+_xlfn.XLOOKUP(B248,INNOVACIÓN!A:A,INNOVACIÓN!B:B,"NO")</f>
        <v>NO</v>
      </c>
      <c r="M248">
        <f>+_xlfn.XLOOKUP(A248,'COSTO Y PRECIO'!$A:$A,'COSTO Y PRECIO'!B:B)</f>
        <v>107.9</v>
      </c>
      <c r="N248">
        <f>+_xlfn.XLOOKUP(A248,'COSTO Y PRECIO'!$A:$A,'COSTO Y PRECIO'!C:C)</f>
        <v>140</v>
      </c>
    </row>
    <row r="249" spans="1:14" x14ac:dyDescent="0.35">
      <c r="A249" s="2">
        <v>100022785</v>
      </c>
      <c r="B249" s="3">
        <v>7501031701698</v>
      </c>
      <c r="C249" s="2" t="s">
        <v>292</v>
      </c>
      <c r="D249" s="2" t="s">
        <v>44</v>
      </c>
      <c r="E249" s="2" t="s">
        <v>33</v>
      </c>
      <c r="F249" s="1" t="s">
        <v>252</v>
      </c>
      <c r="G249" s="2" t="s">
        <v>139</v>
      </c>
      <c r="H249" s="1" t="s">
        <v>252</v>
      </c>
      <c r="I249" s="1" t="s">
        <v>247</v>
      </c>
      <c r="J249" t="str">
        <f>+_xlfn.XLOOKUP(B249,INNOVACIÓN!A:A,INNOVACIÓN!B:B,"NO")</f>
        <v>NO</v>
      </c>
      <c r="M249">
        <f>+_xlfn.XLOOKUP(A249,'COSTO Y PRECIO'!$A:$A,'COSTO Y PRECIO'!B:B)</f>
        <v>107.90000000000002</v>
      </c>
      <c r="N249">
        <f>+_xlfn.XLOOKUP(A249,'COSTO Y PRECIO'!$A:$A,'COSTO Y PRECIO'!C:C)</f>
        <v>140</v>
      </c>
    </row>
    <row r="250" spans="1:14" x14ac:dyDescent="0.35">
      <c r="A250" s="1">
        <v>100023338</v>
      </c>
      <c r="B250" s="3">
        <v>7501031701575</v>
      </c>
      <c r="C250" s="1" t="s">
        <v>293</v>
      </c>
      <c r="D250" s="2" t="s">
        <v>44</v>
      </c>
      <c r="E250" s="2" t="s">
        <v>33</v>
      </c>
      <c r="F250" s="1" t="s">
        <v>252</v>
      </c>
      <c r="G250" s="1" t="s">
        <v>139</v>
      </c>
      <c r="H250" s="1" t="s">
        <v>252</v>
      </c>
      <c r="I250" s="1" t="s">
        <v>247</v>
      </c>
      <c r="J250" t="str">
        <f>+_xlfn.XLOOKUP(B250,INNOVACIÓN!A:A,INNOVACIÓN!B:B,"NO")</f>
        <v>NO</v>
      </c>
      <c r="M250">
        <f>+_xlfn.XLOOKUP(A250,'COSTO Y PRECIO'!$A:$A,'COSTO Y PRECIO'!B:B)</f>
        <v>107.9</v>
      </c>
      <c r="N250">
        <f>+_xlfn.XLOOKUP(A250,'COSTO Y PRECIO'!$A:$A,'COSTO Y PRECIO'!C:C)</f>
        <v>140</v>
      </c>
    </row>
    <row r="251" spans="1:14" x14ac:dyDescent="0.35">
      <c r="A251" s="1">
        <v>100023094</v>
      </c>
      <c r="B251" s="3">
        <v>7501031701759</v>
      </c>
      <c r="C251" s="1" t="s">
        <v>294</v>
      </c>
      <c r="D251" s="2" t="s">
        <v>44</v>
      </c>
      <c r="E251" s="2" t="s">
        <v>33</v>
      </c>
      <c r="F251" s="1" t="s">
        <v>252</v>
      </c>
      <c r="G251" s="1" t="s">
        <v>139</v>
      </c>
      <c r="H251" s="1" t="s">
        <v>252</v>
      </c>
      <c r="I251" s="1" t="s">
        <v>247</v>
      </c>
      <c r="J251" t="str">
        <f>+_xlfn.XLOOKUP(B251,INNOVACIÓN!A:A,INNOVACIÓN!B:B,"NO")</f>
        <v>NO</v>
      </c>
      <c r="M251">
        <f>+_xlfn.XLOOKUP(A251,'COSTO Y PRECIO'!$A:$A,'COSTO Y PRECIO'!B:B)</f>
        <v>107.9</v>
      </c>
      <c r="N251">
        <f>+_xlfn.XLOOKUP(A251,'COSTO Y PRECIO'!$A:$A,'COSTO Y PRECIO'!C:C)</f>
        <v>140</v>
      </c>
    </row>
    <row r="252" spans="1:14" x14ac:dyDescent="0.35">
      <c r="A252" s="2">
        <v>100023336</v>
      </c>
      <c r="B252" s="3">
        <v>7501031701704</v>
      </c>
      <c r="C252" s="2" t="s">
        <v>295</v>
      </c>
      <c r="D252" s="2" t="s">
        <v>44</v>
      </c>
      <c r="E252" s="2" t="s">
        <v>33</v>
      </c>
      <c r="F252" s="1" t="s">
        <v>252</v>
      </c>
      <c r="G252" s="2" t="s">
        <v>139</v>
      </c>
      <c r="H252" s="1" t="s">
        <v>252</v>
      </c>
      <c r="I252" s="1" t="s">
        <v>247</v>
      </c>
      <c r="J252" t="str">
        <f>+_xlfn.XLOOKUP(B252,INNOVACIÓN!A:A,INNOVACIÓN!B:B,"NO")</f>
        <v>NO</v>
      </c>
      <c r="M252">
        <f>+_xlfn.XLOOKUP(A252,'COSTO Y PRECIO'!$A:$A,'COSTO Y PRECIO'!B:B)</f>
        <v>107.9</v>
      </c>
      <c r="N252">
        <f>+_xlfn.XLOOKUP(A252,'COSTO Y PRECIO'!$A:$A,'COSTO Y PRECIO'!C:C)</f>
        <v>140</v>
      </c>
    </row>
    <row r="253" spans="1:14" x14ac:dyDescent="0.35">
      <c r="A253" s="2">
        <v>100023337</v>
      </c>
      <c r="B253" s="3">
        <v>7501031701735</v>
      </c>
      <c r="C253" s="2" t="s">
        <v>296</v>
      </c>
      <c r="D253" s="2" t="s">
        <v>44</v>
      </c>
      <c r="E253" s="2" t="s">
        <v>33</v>
      </c>
      <c r="F253" s="1" t="s">
        <v>252</v>
      </c>
      <c r="G253" s="2" t="s">
        <v>139</v>
      </c>
      <c r="H253" s="1" t="s">
        <v>252</v>
      </c>
      <c r="I253" s="1" t="s">
        <v>247</v>
      </c>
      <c r="J253" t="str">
        <f>+_xlfn.XLOOKUP(B253,INNOVACIÓN!A:A,INNOVACIÓN!B:B,"NO")</f>
        <v>NO</v>
      </c>
      <c r="M253">
        <f>+_xlfn.XLOOKUP(A253,'COSTO Y PRECIO'!$A:$A,'COSTO Y PRECIO'!B:B)</f>
        <v>107.9</v>
      </c>
      <c r="N253">
        <f>+_xlfn.XLOOKUP(A253,'COSTO Y PRECIO'!$A:$A,'COSTO Y PRECIO'!C:C)</f>
        <v>140</v>
      </c>
    </row>
    <row r="254" spans="1:14" x14ac:dyDescent="0.35">
      <c r="A254">
        <v>100020897</v>
      </c>
      <c r="B254" s="6">
        <v>7501031701834</v>
      </c>
      <c r="C254" t="s">
        <v>297</v>
      </c>
      <c r="D254" s="1" t="s">
        <v>44</v>
      </c>
      <c r="E254" s="2" t="s">
        <v>33</v>
      </c>
      <c r="F254" s="1" t="s">
        <v>252</v>
      </c>
      <c r="G254" s="1" t="s">
        <v>139</v>
      </c>
      <c r="H254" s="1" t="s">
        <v>252</v>
      </c>
      <c r="I254" s="1" t="s">
        <v>247</v>
      </c>
      <c r="J254" t="str">
        <f>+_xlfn.XLOOKUP(B254,INNOVACIÓN!A:A,INNOVACIÓN!B:B,"NO")</f>
        <v>NO</v>
      </c>
      <c r="M254">
        <f>+_xlfn.XLOOKUP(A254,'COSTO Y PRECIO'!$A:$A,'COSTO Y PRECIO'!B:B)</f>
        <v>107.9</v>
      </c>
      <c r="N254">
        <f>+_xlfn.XLOOKUP(A254,'COSTO Y PRECIO'!$A:$A,'COSTO Y PRECIO'!C:C)</f>
        <v>140</v>
      </c>
    </row>
    <row r="255" spans="1:14" x14ac:dyDescent="0.35">
      <c r="A255" s="1">
        <v>100020894</v>
      </c>
      <c r="B255" s="3">
        <v>7501031701674</v>
      </c>
      <c r="C255" s="1" t="s">
        <v>298</v>
      </c>
      <c r="D255" s="2" t="s">
        <v>44</v>
      </c>
      <c r="E255" s="2" t="s">
        <v>33</v>
      </c>
      <c r="F255" s="1" t="s">
        <v>252</v>
      </c>
      <c r="G255" s="2" t="s">
        <v>139</v>
      </c>
      <c r="H255" s="1" t="s">
        <v>252</v>
      </c>
      <c r="I255" s="1" t="s">
        <v>247</v>
      </c>
      <c r="J255" t="str">
        <f>+_xlfn.XLOOKUP(B255,INNOVACIÓN!A:A,INNOVACIÓN!B:B,"NO")</f>
        <v>NO</v>
      </c>
      <c r="M255">
        <f>+_xlfn.XLOOKUP(A255,'COSTO Y PRECIO'!$A:$A,'COSTO Y PRECIO'!B:B)</f>
        <v>107.9</v>
      </c>
      <c r="N255">
        <f>+_xlfn.XLOOKUP(A255,'COSTO Y PRECIO'!$A:$A,'COSTO Y PRECIO'!C:C)</f>
        <v>140</v>
      </c>
    </row>
    <row r="256" spans="1:14" x14ac:dyDescent="0.35">
      <c r="A256" s="1">
        <v>100020893</v>
      </c>
      <c r="B256" s="3">
        <v>7501031701889</v>
      </c>
      <c r="C256" s="1" t="s">
        <v>299</v>
      </c>
      <c r="D256" s="2" t="s">
        <v>44</v>
      </c>
      <c r="E256" s="2" t="s">
        <v>33</v>
      </c>
      <c r="F256" s="1" t="s">
        <v>252</v>
      </c>
      <c r="G256" s="1" t="s">
        <v>139</v>
      </c>
      <c r="H256" s="1" t="s">
        <v>252</v>
      </c>
      <c r="I256" s="1" t="s">
        <v>247</v>
      </c>
      <c r="J256" t="str">
        <f>+_xlfn.XLOOKUP(B256,INNOVACIÓN!A:A,INNOVACIÓN!B:B,"NO")</f>
        <v>NO</v>
      </c>
      <c r="M256">
        <f>+_xlfn.XLOOKUP(A256,'COSTO Y PRECIO'!$A:$A,'COSTO Y PRECIO'!B:B)</f>
        <v>107.9</v>
      </c>
      <c r="N256">
        <f>+_xlfn.XLOOKUP(A256,'COSTO Y PRECIO'!$A:$A,'COSTO Y PRECIO'!C:C)</f>
        <v>140</v>
      </c>
    </row>
    <row r="257" spans="1:14" x14ac:dyDescent="0.35">
      <c r="A257" s="1">
        <v>100020892</v>
      </c>
      <c r="B257" s="3">
        <v>7501031701711</v>
      </c>
      <c r="C257" s="1" t="s">
        <v>300</v>
      </c>
      <c r="D257" s="2" t="s">
        <v>44</v>
      </c>
      <c r="E257" s="2" t="s">
        <v>33</v>
      </c>
      <c r="F257" s="1" t="s">
        <v>252</v>
      </c>
      <c r="G257" s="2" t="s">
        <v>139</v>
      </c>
      <c r="H257" s="1" t="s">
        <v>252</v>
      </c>
      <c r="I257" s="1" t="s">
        <v>247</v>
      </c>
      <c r="J257" t="str">
        <f>+_xlfn.XLOOKUP(B257,INNOVACIÓN!A:A,INNOVACIÓN!B:B,"NO")</f>
        <v>NO</v>
      </c>
      <c r="M257">
        <f>+_xlfn.XLOOKUP(A257,'COSTO Y PRECIO'!$A:$A,'COSTO Y PRECIO'!B:B)</f>
        <v>107.9</v>
      </c>
      <c r="N257">
        <f>+_xlfn.XLOOKUP(A257,'COSTO Y PRECIO'!$A:$A,'COSTO Y PRECIO'!C:C)</f>
        <v>140</v>
      </c>
    </row>
    <row r="258" spans="1:14" x14ac:dyDescent="0.35">
      <c r="A258">
        <v>100020890</v>
      </c>
      <c r="B258" s="6">
        <v>7501031701780</v>
      </c>
      <c r="C258" t="s">
        <v>301</v>
      </c>
      <c r="D258" s="1" t="s">
        <v>44</v>
      </c>
      <c r="E258" s="2" t="s">
        <v>33</v>
      </c>
      <c r="F258" s="1" t="s">
        <v>252</v>
      </c>
      <c r="G258" s="1" t="s">
        <v>139</v>
      </c>
      <c r="H258" s="1" t="s">
        <v>252</v>
      </c>
      <c r="I258" s="1" t="s">
        <v>247</v>
      </c>
      <c r="J258" t="str">
        <f>+_xlfn.XLOOKUP(B258,INNOVACIÓN!A:A,INNOVACIÓN!B:B,"NO")</f>
        <v>NO</v>
      </c>
      <c r="M258">
        <f>+_xlfn.XLOOKUP(A258,'COSTO Y PRECIO'!$A:$A,'COSTO Y PRECIO'!B:B)</f>
        <v>107.9</v>
      </c>
      <c r="N258">
        <f>+_xlfn.XLOOKUP(A258,'COSTO Y PRECIO'!$A:$A,'COSTO Y PRECIO'!C:C)</f>
        <v>140</v>
      </c>
    </row>
    <row r="259" spans="1:14" x14ac:dyDescent="0.35">
      <c r="A259" s="2">
        <v>100020888</v>
      </c>
      <c r="B259" s="3">
        <v>7501031701582</v>
      </c>
      <c r="C259" s="2" t="s">
        <v>302</v>
      </c>
      <c r="D259" s="2" t="s">
        <v>44</v>
      </c>
      <c r="E259" s="2" t="s">
        <v>33</v>
      </c>
      <c r="F259" s="1" t="s">
        <v>252</v>
      </c>
      <c r="G259" s="2" t="s">
        <v>139</v>
      </c>
      <c r="H259" s="1" t="s">
        <v>252</v>
      </c>
      <c r="I259" s="1" t="s">
        <v>247</v>
      </c>
      <c r="J259" t="str">
        <f>+_xlfn.XLOOKUP(B259,INNOVACIÓN!A:A,INNOVACIÓN!B:B,"NO")</f>
        <v>NO</v>
      </c>
      <c r="M259">
        <f>+_xlfn.XLOOKUP(A259,'COSTO Y PRECIO'!$A:$A,'COSTO Y PRECIO'!B:B)</f>
        <v>107.90000000000002</v>
      </c>
      <c r="N259">
        <f>+_xlfn.XLOOKUP(A259,'COSTO Y PRECIO'!$A:$A,'COSTO Y PRECIO'!C:C)</f>
        <v>140</v>
      </c>
    </row>
    <row r="260" spans="1:14" x14ac:dyDescent="0.35">
      <c r="A260" s="1">
        <v>100020886</v>
      </c>
      <c r="B260" s="3">
        <v>7501031701803</v>
      </c>
      <c r="C260" s="1" t="s">
        <v>303</v>
      </c>
      <c r="D260" s="2" t="s">
        <v>44</v>
      </c>
      <c r="E260" s="2" t="s">
        <v>33</v>
      </c>
      <c r="F260" s="1" t="s">
        <v>252</v>
      </c>
      <c r="G260" s="1" t="s">
        <v>139</v>
      </c>
      <c r="H260" s="1" t="s">
        <v>252</v>
      </c>
      <c r="I260" s="1" t="s">
        <v>247</v>
      </c>
      <c r="J260" t="str">
        <f>+_xlfn.XLOOKUP(B260,INNOVACIÓN!A:A,INNOVACIÓN!B:B,"NO")</f>
        <v>NO</v>
      </c>
      <c r="M260">
        <f>+_xlfn.XLOOKUP(A260,'COSTO Y PRECIO'!$A:$A,'COSTO Y PRECIO'!B:B)</f>
        <v>107.9</v>
      </c>
      <c r="N260">
        <f>+_xlfn.XLOOKUP(A260,'COSTO Y PRECIO'!$A:$A,'COSTO Y PRECIO'!C:C)</f>
        <v>46</v>
      </c>
    </row>
    <row r="261" spans="1:14" x14ac:dyDescent="0.35">
      <c r="A261" s="1">
        <v>100020885</v>
      </c>
      <c r="B261" s="3">
        <v>7501031701766</v>
      </c>
      <c r="C261" s="1" t="s">
        <v>304</v>
      </c>
      <c r="D261" s="2" t="s">
        <v>44</v>
      </c>
      <c r="E261" s="2" t="s">
        <v>33</v>
      </c>
      <c r="F261" s="1" t="s">
        <v>252</v>
      </c>
      <c r="G261" s="2" t="s">
        <v>139</v>
      </c>
      <c r="H261" s="1" t="s">
        <v>252</v>
      </c>
      <c r="I261" s="1" t="s">
        <v>247</v>
      </c>
      <c r="J261" t="str">
        <f>+_xlfn.XLOOKUP(B261,INNOVACIÓN!A:A,INNOVACIÓN!B:B,"NO")</f>
        <v>NO</v>
      </c>
      <c r="M261">
        <f>+_xlfn.XLOOKUP(A261,'COSTO Y PRECIO'!$A:$A,'COSTO Y PRECIO'!B:B)</f>
        <v>107.9</v>
      </c>
      <c r="N261">
        <f>+_xlfn.XLOOKUP(A261,'COSTO Y PRECIO'!$A:$A,'COSTO Y PRECIO'!C:C)</f>
        <v>140</v>
      </c>
    </row>
    <row r="262" spans="1:14" x14ac:dyDescent="0.35">
      <c r="A262" s="1">
        <v>100020883</v>
      </c>
      <c r="B262" s="3">
        <v>7501031701810</v>
      </c>
      <c r="C262" s="1" t="s">
        <v>305</v>
      </c>
      <c r="D262" s="2" t="s">
        <v>44</v>
      </c>
      <c r="E262" s="2" t="s">
        <v>33</v>
      </c>
      <c r="F262" s="1" t="s">
        <v>252</v>
      </c>
      <c r="G262" s="1" t="s">
        <v>139</v>
      </c>
      <c r="H262" s="1" t="s">
        <v>252</v>
      </c>
      <c r="I262" s="1" t="s">
        <v>247</v>
      </c>
      <c r="J262" t="str">
        <f>+_xlfn.XLOOKUP(B262,INNOVACIÓN!A:A,INNOVACIÓN!B:B,"NO")</f>
        <v>NO</v>
      </c>
      <c r="M262">
        <f>+_xlfn.XLOOKUP(A262,'COSTO Y PRECIO'!$A:$A,'COSTO Y PRECIO'!B:B)</f>
        <v>107.9</v>
      </c>
      <c r="N262">
        <f>+_xlfn.XLOOKUP(A262,'COSTO Y PRECIO'!$A:$A,'COSTO Y PRECIO'!C:C)</f>
        <v>140</v>
      </c>
    </row>
    <row r="263" spans="1:14" x14ac:dyDescent="0.35">
      <c r="A263" s="1">
        <v>100020882</v>
      </c>
      <c r="B263" s="3">
        <v>7501031701629</v>
      </c>
      <c r="C263" s="1" t="s">
        <v>306</v>
      </c>
      <c r="D263" s="2" t="s">
        <v>44</v>
      </c>
      <c r="E263" s="2" t="s">
        <v>33</v>
      </c>
      <c r="F263" s="1" t="s">
        <v>252</v>
      </c>
      <c r="G263" s="2" t="s">
        <v>139</v>
      </c>
      <c r="H263" s="1" t="s">
        <v>252</v>
      </c>
      <c r="I263" s="1" t="s">
        <v>247</v>
      </c>
      <c r="J263" t="str">
        <f>+_xlfn.XLOOKUP(B263,INNOVACIÓN!A:A,INNOVACIÓN!B:B,"NO")</f>
        <v>NO</v>
      </c>
      <c r="M263">
        <f>+_xlfn.XLOOKUP(A263,'COSTO Y PRECIO'!$A:$A,'COSTO Y PRECIO'!B:B)</f>
        <v>107.90000000000002</v>
      </c>
      <c r="N263">
        <f>+_xlfn.XLOOKUP(A263,'COSTO Y PRECIO'!$A:$A,'COSTO Y PRECIO'!C:C)</f>
        <v>140</v>
      </c>
    </row>
    <row r="264" spans="1:14" x14ac:dyDescent="0.35">
      <c r="A264" s="2">
        <v>100020879</v>
      </c>
      <c r="B264" s="3">
        <v>7501031701742</v>
      </c>
      <c r="C264" s="2" t="s">
        <v>307</v>
      </c>
      <c r="D264" s="2" t="s">
        <v>44</v>
      </c>
      <c r="E264" s="2" t="s">
        <v>33</v>
      </c>
      <c r="F264" s="1" t="s">
        <v>252</v>
      </c>
      <c r="G264" s="2" t="s">
        <v>139</v>
      </c>
      <c r="H264" s="1" t="s">
        <v>252</v>
      </c>
      <c r="I264" s="1" t="s">
        <v>247</v>
      </c>
      <c r="J264" t="str">
        <f>+_xlfn.XLOOKUP(B264,INNOVACIÓN!A:A,INNOVACIÓN!B:B,"NO")</f>
        <v>NO</v>
      </c>
      <c r="M264">
        <f>+_xlfn.XLOOKUP(A264,'COSTO Y PRECIO'!$A:$A,'COSTO Y PRECIO'!B:B)</f>
        <v>107.90000000000002</v>
      </c>
      <c r="N264">
        <f>+_xlfn.XLOOKUP(A264,'COSTO Y PRECIO'!$A:$A,'COSTO Y PRECIO'!C:C)</f>
        <v>140</v>
      </c>
    </row>
    <row r="265" spans="1:14" x14ac:dyDescent="0.35">
      <c r="A265" s="1">
        <v>100020880</v>
      </c>
      <c r="B265" s="3">
        <v>7501031701728</v>
      </c>
      <c r="C265" s="1" t="s">
        <v>307</v>
      </c>
      <c r="D265" s="2" t="s">
        <v>44</v>
      </c>
      <c r="E265" s="2" t="s">
        <v>33</v>
      </c>
      <c r="F265" s="1" t="s">
        <v>252</v>
      </c>
      <c r="G265" s="2" t="s">
        <v>139</v>
      </c>
      <c r="H265" s="1" t="s">
        <v>252</v>
      </c>
      <c r="I265" s="1" t="s">
        <v>247</v>
      </c>
      <c r="J265" t="str">
        <f>+_xlfn.XLOOKUP(B265,INNOVACIÓN!A:A,INNOVACIÓN!B:B,"NO")</f>
        <v>NO</v>
      </c>
      <c r="M265">
        <f>+_xlfn.XLOOKUP(A265,'COSTO Y PRECIO'!$A:$A,'COSTO Y PRECIO'!B:B)</f>
        <v>107.9</v>
      </c>
      <c r="N265">
        <f>+_xlfn.XLOOKUP(A265,'COSTO Y PRECIO'!$A:$A,'COSTO Y PRECIO'!C:C)</f>
        <v>140</v>
      </c>
    </row>
    <row r="266" spans="1:14" x14ac:dyDescent="0.35">
      <c r="A266">
        <v>100020881</v>
      </c>
      <c r="B266" s="6">
        <v>7501031701896</v>
      </c>
      <c r="C266" t="s">
        <v>307</v>
      </c>
      <c r="D266" s="1" t="s">
        <v>44</v>
      </c>
      <c r="E266" s="2" t="s">
        <v>33</v>
      </c>
      <c r="F266" s="1" t="s">
        <v>252</v>
      </c>
      <c r="G266" s="1" t="s">
        <v>139</v>
      </c>
      <c r="H266" s="1" t="s">
        <v>252</v>
      </c>
      <c r="I266" s="1" t="s">
        <v>247</v>
      </c>
      <c r="J266" t="str">
        <f>+_xlfn.XLOOKUP(B266,INNOVACIÓN!A:A,INNOVACIÓN!B:B,"NO")</f>
        <v>NO</v>
      </c>
      <c r="M266">
        <f>+_xlfn.XLOOKUP(A266,'COSTO Y PRECIO'!$A:$A,'COSTO Y PRECIO'!B:B)</f>
        <v>107.9</v>
      </c>
      <c r="N266">
        <f>+_xlfn.XLOOKUP(A266,'COSTO Y PRECIO'!$A:$A,'COSTO Y PRECIO'!C:C)</f>
        <v>140</v>
      </c>
    </row>
    <row r="267" spans="1:14" x14ac:dyDescent="0.35">
      <c r="A267" s="1">
        <v>100020878</v>
      </c>
      <c r="B267" s="3">
        <v>7501031701773</v>
      </c>
      <c r="C267" s="1" t="s">
        <v>308</v>
      </c>
      <c r="D267" s="2" t="s">
        <v>44</v>
      </c>
      <c r="E267" s="2" t="s">
        <v>33</v>
      </c>
      <c r="F267" s="1" t="s">
        <v>252</v>
      </c>
      <c r="G267" s="1" t="s">
        <v>139</v>
      </c>
      <c r="H267" s="1" t="s">
        <v>252</v>
      </c>
      <c r="I267" s="1" t="s">
        <v>247</v>
      </c>
      <c r="J267" t="str">
        <f>+_xlfn.XLOOKUP(B267,INNOVACIÓN!A:A,INNOVACIÓN!B:B,"NO")</f>
        <v>NO</v>
      </c>
      <c r="M267">
        <f>+_xlfn.XLOOKUP(A267,'COSTO Y PRECIO'!$A:$A,'COSTO Y PRECIO'!B:B)</f>
        <v>107.9</v>
      </c>
      <c r="N267">
        <f>+_xlfn.XLOOKUP(A267,'COSTO Y PRECIO'!$A:$A,'COSTO Y PRECIO'!C:C)</f>
        <v>46</v>
      </c>
    </row>
    <row r="268" spans="1:14" x14ac:dyDescent="0.35">
      <c r="A268" s="1">
        <v>100020877</v>
      </c>
      <c r="B268" s="3">
        <v>7501031701612</v>
      </c>
      <c r="C268" s="1" t="s">
        <v>309</v>
      </c>
      <c r="D268" s="2" t="s">
        <v>44</v>
      </c>
      <c r="E268" s="2" t="s">
        <v>33</v>
      </c>
      <c r="F268" s="1" t="s">
        <v>252</v>
      </c>
      <c r="G268" s="2" t="s">
        <v>139</v>
      </c>
      <c r="H268" s="1" t="s">
        <v>252</v>
      </c>
      <c r="I268" s="1" t="s">
        <v>247</v>
      </c>
      <c r="J268" t="str">
        <f>+_xlfn.XLOOKUP(B268,INNOVACIÓN!A:A,INNOVACIÓN!B:B,"NO")</f>
        <v>NO</v>
      </c>
      <c r="M268">
        <f>+_xlfn.XLOOKUP(A268,'COSTO Y PRECIO'!$A:$A,'COSTO Y PRECIO'!B:B)</f>
        <v>107.90000000000002</v>
      </c>
      <c r="N268">
        <f>+_xlfn.XLOOKUP(A268,'COSTO Y PRECIO'!$A:$A,'COSTO Y PRECIO'!C:C)</f>
        <v>140</v>
      </c>
    </row>
    <row r="269" spans="1:14" x14ac:dyDescent="0.35">
      <c r="A269" s="2">
        <v>100020875</v>
      </c>
      <c r="B269" s="3">
        <v>7501031701681</v>
      </c>
      <c r="C269" s="2" t="s">
        <v>310</v>
      </c>
      <c r="D269" s="2" t="s">
        <v>44</v>
      </c>
      <c r="E269" s="2" t="s">
        <v>33</v>
      </c>
      <c r="F269" s="1" t="s">
        <v>252</v>
      </c>
      <c r="G269" s="2" t="s">
        <v>139</v>
      </c>
      <c r="H269" s="1" t="s">
        <v>252</v>
      </c>
      <c r="I269" s="1" t="s">
        <v>247</v>
      </c>
      <c r="J269" t="str">
        <f>+_xlfn.XLOOKUP(B269,INNOVACIÓN!A:A,INNOVACIÓN!B:B,"NO")</f>
        <v>NO</v>
      </c>
      <c r="M269">
        <f>+_xlfn.XLOOKUP(A269,'COSTO Y PRECIO'!$A:$A,'COSTO Y PRECIO'!B:B)</f>
        <v>107.9</v>
      </c>
      <c r="N269">
        <f>+_xlfn.XLOOKUP(A269,'COSTO Y PRECIO'!$A:$A,'COSTO Y PRECIO'!C:C)</f>
        <v>140</v>
      </c>
    </row>
    <row r="270" spans="1:14" x14ac:dyDescent="0.35">
      <c r="A270">
        <v>100020874</v>
      </c>
      <c r="B270" s="6">
        <v>7501031701797</v>
      </c>
      <c r="C270" t="s">
        <v>311</v>
      </c>
      <c r="D270" s="1" t="s">
        <v>44</v>
      </c>
      <c r="E270" s="2" t="s">
        <v>33</v>
      </c>
      <c r="F270" s="1" t="s">
        <v>252</v>
      </c>
      <c r="G270" s="1" t="s">
        <v>139</v>
      </c>
      <c r="H270" s="1" t="s">
        <v>252</v>
      </c>
      <c r="I270" s="1" t="s">
        <v>247</v>
      </c>
      <c r="J270" t="str">
        <f>+_xlfn.XLOOKUP(B270,INNOVACIÓN!A:A,INNOVACIÓN!B:B,"NO")</f>
        <v>NO</v>
      </c>
      <c r="M270">
        <f>+_xlfn.XLOOKUP(A270,'COSTO Y PRECIO'!$A:$A,'COSTO Y PRECIO'!B:B)</f>
        <v>107.90000000000002</v>
      </c>
      <c r="N270">
        <f>+_xlfn.XLOOKUP(A270,'COSTO Y PRECIO'!$A:$A,'COSTO Y PRECIO'!C:C)</f>
        <v>140</v>
      </c>
    </row>
    <row r="271" spans="1:14" x14ac:dyDescent="0.35">
      <c r="A271" s="1">
        <v>100020873</v>
      </c>
      <c r="B271" s="3">
        <v>7501031701605</v>
      </c>
      <c r="C271" s="1" t="s">
        <v>312</v>
      </c>
      <c r="D271" s="2" t="s">
        <v>44</v>
      </c>
      <c r="E271" s="2" t="s">
        <v>33</v>
      </c>
      <c r="F271" s="1" t="s">
        <v>252</v>
      </c>
      <c r="G271" s="2" t="s">
        <v>139</v>
      </c>
      <c r="H271" s="1" t="s">
        <v>252</v>
      </c>
      <c r="I271" s="1" t="s">
        <v>247</v>
      </c>
      <c r="J271" t="str">
        <f>+_xlfn.XLOOKUP(B271,INNOVACIÓN!A:A,INNOVACIÓN!B:B,"NO")</f>
        <v>NO</v>
      </c>
      <c r="M271">
        <f>+_xlfn.XLOOKUP(A271,'COSTO Y PRECIO'!$A:$A,'COSTO Y PRECIO'!B:B)</f>
        <v>107.90000000000002</v>
      </c>
      <c r="N271">
        <f>+_xlfn.XLOOKUP(A271,'COSTO Y PRECIO'!$A:$A,'COSTO Y PRECIO'!C:C)</f>
        <v>140</v>
      </c>
    </row>
    <row r="272" spans="1:14" x14ac:dyDescent="0.35">
      <c r="A272" s="2">
        <v>100020871</v>
      </c>
      <c r="B272" s="3">
        <v>7501031701599</v>
      </c>
      <c r="C272" s="2" t="s">
        <v>313</v>
      </c>
      <c r="D272" s="2" t="s">
        <v>44</v>
      </c>
      <c r="E272" s="2" t="s">
        <v>33</v>
      </c>
      <c r="F272" s="1" t="s">
        <v>252</v>
      </c>
      <c r="G272" s="2" t="s">
        <v>139</v>
      </c>
      <c r="H272" s="1" t="s">
        <v>252</v>
      </c>
      <c r="I272" s="1" t="s">
        <v>247</v>
      </c>
      <c r="J272" t="str">
        <f>+_xlfn.XLOOKUP(B272,INNOVACIÓN!A:A,INNOVACIÓN!B:B,"NO")</f>
        <v>NO</v>
      </c>
      <c r="M272">
        <f>+_xlfn.XLOOKUP(A272,'COSTO Y PRECIO'!$A:$A,'COSTO Y PRECIO'!B:B)</f>
        <v>107.9</v>
      </c>
      <c r="N272">
        <f>+_xlfn.XLOOKUP(A272,'COSTO Y PRECIO'!$A:$A,'COSTO Y PRECIO'!C:C)</f>
        <v>140</v>
      </c>
    </row>
    <row r="273" spans="1:14" x14ac:dyDescent="0.35">
      <c r="A273" s="2">
        <v>100020899</v>
      </c>
      <c r="B273" s="3">
        <v>7501031701537</v>
      </c>
      <c r="C273" s="2" t="s">
        <v>314</v>
      </c>
      <c r="D273" s="2" t="s">
        <v>44</v>
      </c>
      <c r="E273" s="2" t="s">
        <v>33</v>
      </c>
      <c r="F273" s="1" t="s">
        <v>252</v>
      </c>
      <c r="G273" s="2" t="s">
        <v>139</v>
      </c>
      <c r="H273" s="1" t="s">
        <v>252</v>
      </c>
      <c r="I273" s="1" t="s">
        <v>247</v>
      </c>
      <c r="J273" t="str">
        <f>+_xlfn.XLOOKUP(B273,INNOVACIÓN!A:A,INNOVACIÓN!B:B,"NO")</f>
        <v>NO</v>
      </c>
      <c r="M273">
        <f>+_xlfn.XLOOKUP(A273,'COSTO Y PRECIO'!$A:$A,'COSTO Y PRECIO'!B:B)</f>
        <v>76.299999999999983</v>
      </c>
      <c r="N273">
        <f>+_xlfn.XLOOKUP(A273,'COSTO Y PRECIO'!$A:$A,'COSTO Y PRECIO'!C:C)</f>
        <v>99</v>
      </c>
    </row>
    <row r="274" spans="1:14" x14ac:dyDescent="0.35">
      <c r="A274" s="1">
        <v>100020898</v>
      </c>
      <c r="B274" s="3">
        <v>7501031701551</v>
      </c>
      <c r="C274" s="1" t="s">
        <v>315</v>
      </c>
      <c r="D274" s="2" t="s">
        <v>44</v>
      </c>
      <c r="E274" s="2" t="s">
        <v>33</v>
      </c>
      <c r="F274" s="1" t="s">
        <v>252</v>
      </c>
      <c r="G274" s="2" t="s">
        <v>139</v>
      </c>
      <c r="H274" s="1" t="s">
        <v>252</v>
      </c>
      <c r="I274" s="1" t="s">
        <v>247</v>
      </c>
      <c r="J274" t="str">
        <f>+_xlfn.XLOOKUP(B274,INNOVACIÓN!A:A,INNOVACIÓN!B:B,"NO")</f>
        <v>NO</v>
      </c>
      <c r="M274">
        <f>+_xlfn.XLOOKUP(A274,'COSTO Y PRECIO'!$A:$A,'COSTO Y PRECIO'!B:B)</f>
        <v>76.3</v>
      </c>
      <c r="N274">
        <f>+_xlfn.XLOOKUP(A274,'COSTO Y PRECIO'!$A:$A,'COSTO Y PRECIO'!C:C)</f>
        <v>99</v>
      </c>
    </row>
    <row r="275" spans="1:14" x14ac:dyDescent="0.35">
      <c r="A275" s="2">
        <v>100022784</v>
      </c>
      <c r="B275" s="3">
        <v>7501031701544</v>
      </c>
      <c r="C275" s="2" t="s">
        <v>316</v>
      </c>
      <c r="D275" s="2" t="s">
        <v>44</v>
      </c>
      <c r="E275" s="2" t="s">
        <v>33</v>
      </c>
      <c r="F275" s="1" t="s">
        <v>252</v>
      </c>
      <c r="G275" s="2" t="s">
        <v>139</v>
      </c>
      <c r="H275" s="1" t="s">
        <v>252</v>
      </c>
      <c r="I275" s="1" t="s">
        <v>247</v>
      </c>
      <c r="J275" t="str">
        <f>+_xlfn.XLOOKUP(B275,INNOVACIÓN!A:A,INNOVACIÓN!B:B,"NO")</f>
        <v>NO</v>
      </c>
      <c r="M275">
        <f>+_xlfn.XLOOKUP(A275,'COSTO Y PRECIO'!$A:$A,'COSTO Y PRECIO'!B:B)</f>
        <v>76.299999999999983</v>
      </c>
      <c r="N275">
        <f>+_xlfn.XLOOKUP(A275,'COSTO Y PRECIO'!$A:$A,'COSTO Y PRECIO'!C:C)</f>
        <v>99</v>
      </c>
    </row>
    <row r="276" spans="1:14" x14ac:dyDescent="0.35">
      <c r="A276" s="1">
        <v>101000084</v>
      </c>
      <c r="B276" s="3">
        <v>7707200941241</v>
      </c>
      <c r="C276" s="1" t="s">
        <v>317</v>
      </c>
      <c r="D276" s="2" t="s">
        <v>44</v>
      </c>
      <c r="E276" s="2" t="s">
        <v>33</v>
      </c>
      <c r="F276" s="1" t="s">
        <v>252</v>
      </c>
      <c r="G276" s="2" t="s">
        <v>139</v>
      </c>
      <c r="H276" s="1" t="s">
        <v>252</v>
      </c>
      <c r="I276" s="1" t="s">
        <v>247</v>
      </c>
      <c r="J276" t="str">
        <f>+_xlfn.XLOOKUP(B276,INNOVACIÓN!A:A,INNOVACIÓN!B:B,"NO")</f>
        <v>NO</v>
      </c>
      <c r="M276">
        <f>+_xlfn.XLOOKUP(A276,'COSTO Y PRECIO'!$A:$A,'COSTO Y PRECIO'!B:B)</f>
        <v>115.59999999999998</v>
      </c>
      <c r="N276">
        <f>+_xlfn.XLOOKUP(A276,'COSTO Y PRECIO'!$A:$A,'COSTO Y PRECIO'!C:C)</f>
        <v>150</v>
      </c>
    </row>
    <row r="277" spans="1:14" x14ac:dyDescent="0.35">
      <c r="A277">
        <v>100025449</v>
      </c>
      <c r="B277" s="6">
        <v>7503031949216</v>
      </c>
      <c r="C277" t="s">
        <v>318</v>
      </c>
      <c r="D277" s="2" t="s">
        <v>11</v>
      </c>
      <c r="E277" s="14" t="s">
        <v>33</v>
      </c>
      <c r="F277" s="2" t="s">
        <v>46</v>
      </c>
      <c r="G277" s="2" t="s">
        <v>14</v>
      </c>
      <c r="H277" s="1" t="s">
        <v>36</v>
      </c>
      <c r="I277" s="1" t="s">
        <v>109</v>
      </c>
      <c r="J277" t="str">
        <f>+_xlfn.XLOOKUP(B277,INNOVACIÓN!A:A,INNOVACIÓN!B:B,"NO")</f>
        <v>NO</v>
      </c>
      <c r="K277">
        <v>25</v>
      </c>
      <c r="M277">
        <f>+_xlfn.XLOOKUP(A277,'COSTO Y PRECIO'!$A:$A,'COSTO Y PRECIO'!B:B)</f>
        <v>54.37</v>
      </c>
      <c r="N277">
        <f>+_xlfn.XLOOKUP(A277,'COSTO Y PRECIO'!$A:$A,'COSTO Y PRECIO'!C:C)</f>
        <v>80</v>
      </c>
    </row>
    <row r="278" spans="1:14" x14ac:dyDescent="0.35">
      <c r="A278" s="2">
        <v>100023684</v>
      </c>
      <c r="B278" s="4">
        <v>75006952</v>
      </c>
      <c r="C278" s="2" t="s">
        <v>319</v>
      </c>
      <c r="D278" s="2" t="s">
        <v>11</v>
      </c>
      <c r="E278" s="2" t="s">
        <v>33</v>
      </c>
      <c r="F278" s="2" t="s">
        <v>39</v>
      </c>
      <c r="G278" s="2" t="s">
        <v>75</v>
      </c>
      <c r="H278" s="1" t="s">
        <v>70</v>
      </c>
      <c r="I278" s="1" t="s">
        <v>109</v>
      </c>
      <c r="J278" t="str">
        <f>+_xlfn.XLOOKUP(B278,INNOVACIÓN!A:A,INNOVACIÓN!B:B,"NO")</f>
        <v>NO</v>
      </c>
      <c r="M278">
        <f>+_xlfn.XLOOKUP(A278,'COSTO Y PRECIO'!$A:$A,'COSTO Y PRECIO'!B:B)</f>
        <v>55.149999999999984</v>
      </c>
      <c r="N278">
        <f>+_xlfn.XLOOKUP(A278,'COSTO Y PRECIO'!$A:$A,'COSTO Y PRECIO'!C:C)</f>
        <v>85</v>
      </c>
    </row>
    <row r="279" spans="1:14" x14ac:dyDescent="0.35">
      <c r="A279" s="2">
        <v>100023683</v>
      </c>
      <c r="B279" s="4">
        <v>75006341</v>
      </c>
      <c r="C279" s="2" t="s">
        <v>320</v>
      </c>
      <c r="D279" s="2" t="s">
        <v>11</v>
      </c>
      <c r="E279" s="2" t="s">
        <v>33</v>
      </c>
      <c r="F279" s="2" t="s">
        <v>39</v>
      </c>
      <c r="G279" s="2" t="s">
        <v>75</v>
      </c>
      <c r="H279" s="1" t="s">
        <v>70</v>
      </c>
      <c r="I279" s="1" t="s">
        <v>109</v>
      </c>
      <c r="J279" t="str">
        <f>+_xlfn.XLOOKUP(B279,INNOVACIÓN!A:A,INNOVACIÓN!B:B,"NO")</f>
        <v>NO</v>
      </c>
      <c r="M279">
        <f>+_xlfn.XLOOKUP(A279,'COSTO Y PRECIO'!$A:$A,'COSTO Y PRECIO'!B:B)</f>
        <v>55.149999999999984</v>
      </c>
      <c r="N279">
        <f>+_xlfn.XLOOKUP(A279,'COSTO Y PRECIO'!$A:$A,'COSTO Y PRECIO'!C:C)</f>
        <v>85</v>
      </c>
    </row>
    <row r="280" spans="1:14" x14ac:dyDescent="0.35">
      <c r="A280" s="2">
        <v>100023680</v>
      </c>
      <c r="B280" s="4">
        <v>75032777</v>
      </c>
      <c r="C280" s="2" t="s">
        <v>321</v>
      </c>
      <c r="D280" s="2" t="s">
        <v>11</v>
      </c>
      <c r="E280" s="2" t="s">
        <v>33</v>
      </c>
      <c r="F280" s="2" t="s">
        <v>39</v>
      </c>
      <c r="G280" s="2" t="s">
        <v>75</v>
      </c>
      <c r="H280" s="1" t="s">
        <v>70</v>
      </c>
      <c r="I280" s="1" t="s">
        <v>109</v>
      </c>
      <c r="J280" t="str">
        <f>+_xlfn.XLOOKUP(B280,INNOVACIÓN!A:A,INNOVACIÓN!B:B,"NO")</f>
        <v>NO</v>
      </c>
      <c r="M280">
        <f>+_xlfn.XLOOKUP(A280,'COSTO Y PRECIO'!$A:$A,'COSTO Y PRECIO'!B:B)</f>
        <v>55.149999999999984</v>
      </c>
      <c r="N280">
        <f>+_xlfn.XLOOKUP(A280,'COSTO Y PRECIO'!$A:$A,'COSTO Y PRECIO'!C:C)</f>
        <v>85</v>
      </c>
    </row>
    <row r="281" spans="1:14" x14ac:dyDescent="0.35">
      <c r="A281">
        <v>100080015</v>
      </c>
      <c r="B281">
        <v>8308713</v>
      </c>
      <c r="C281" t="s">
        <v>322</v>
      </c>
      <c r="D281" s="1" t="s">
        <v>32</v>
      </c>
      <c r="E281" s="2" t="s">
        <v>33</v>
      </c>
      <c r="F281" s="2" t="s">
        <v>41</v>
      </c>
      <c r="G281" s="1" t="s">
        <v>54</v>
      </c>
      <c r="H281" s="1" t="s">
        <v>36</v>
      </c>
      <c r="I281" s="1" t="s">
        <v>247</v>
      </c>
      <c r="J281" t="str">
        <f>+_xlfn.XLOOKUP(B281,INNOVACIÓN!A:A,INNOVACIÓN!B:B,"NO")</f>
        <v>NO</v>
      </c>
      <c r="K281">
        <v>20</v>
      </c>
      <c r="M281">
        <f>+_xlfn.XLOOKUP(A281,'COSTO Y PRECIO'!$A:$A,'COSTO Y PRECIO'!B:B)</f>
        <v>50</v>
      </c>
      <c r="N281" t="e">
        <f>+_xlfn.XLOOKUP(A281,'COSTO Y PRECIO'!$A:$A,'COSTO Y PRECIO'!C:C)</f>
        <v>#N/A</v>
      </c>
    </row>
    <row r="282" spans="1:14" x14ac:dyDescent="0.35">
      <c r="A282" s="2">
        <v>100019228</v>
      </c>
      <c r="B282" s="3">
        <v>75074883</v>
      </c>
      <c r="C282" s="2" t="s">
        <v>323</v>
      </c>
      <c r="D282" s="2" t="s">
        <v>44</v>
      </c>
      <c r="E282" s="14" t="s">
        <v>33</v>
      </c>
      <c r="F282" s="2" t="s">
        <v>46</v>
      </c>
      <c r="G282" s="2" t="s">
        <v>54</v>
      </c>
      <c r="H282" s="1" t="s">
        <v>36</v>
      </c>
      <c r="I282" s="1" t="s">
        <v>109</v>
      </c>
      <c r="J282" t="str">
        <f>+_xlfn.XLOOKUP(B282,INNOVACIÓN!A:A,INNOVACIÓN!B:B,"NO")</f>
        <v>NO</v>
      </c>
      <c r="K282">
        <v>15</v>
      </c>
      <c r="M282">
        <f>+_xlfn.XLOOKUP(A282,'COSTO Y PRECIO'!$A:$A,'COSTO Y PRECIO'!B:B)</f>
        <v>49.090000000000018</v>
      </c>
      <c r="N282">
        <f>+_xlfn.XLOOKUP(A282,'COSTO Y PRECIO'!$A:$A,'COSTO Y PRECIO'!C:C)</f>
        <v>73</v>
      </c>
    </row>
    <row r="283" spans="1:14" x14ac:dyDescent="0.35">
      <c r="A283">
        <v>100019050</v>
      </c>
      <c r="B283" s="6">
        <v>75074029</v>
      </c>
      <c r="C283" t="s">
        <v>324</v>
      </c>
      <c r="D283" s="1" t="s">
        <v>44</v>
      </c>
      <c r="E283" s="14" t="s">
        <v>33</v>
      </c>
      <c r="F283" s="1" t="s">
        <v>46</v>
      </c>
      <c r="G283" s="1" t="s">
        <v>136</v>
      </c>
      <c r="H283" s="1" t="s">
        <v>36</v>
      </c>
      <c r="I283" s="1" t="s">
        <v>109</v>
      </c>
      <c r="J283" t="str">
        <f>+_xlfn.XLOOKUP(B283,INNOVACIÓN!A:A,INNOVACIÓN!B:B,"NO")</f>
        <v>NO</v>
      </c>
      <c r="K283">
        <v>20</v>
      </c>
      <c r="M283">
        <f>+_xlfn.XLOOKUP(A283,'COSTO Y PRECIO'!$A:$A,'COSTO Y PRECIO'!B:B)</f>
        <v>45</v>
      </c>
      <c r="N283" t="e">
        <f>+_xlfn.XLOOKUP(A283,'COSTO Y PRECIO'!$A:$A,'COSTO Y PRECIO'!C:C)</f>
        <v>#N/A</v>
      </c>
    </row>
    <row r="284" spans="1:14" x14ac:dyDescent="0.35">
      <c r="A284" s="1">
        <v>100020839</v>
      </c>
      <c r="B284" s="1">
        <v>75076450</v>
      </c>
      <c r="C284" s="1" t="s">
        <v>325</v>
      </c>
      <c r="D284" s="2" t="s">
        <v>44</v>
      </c>
      <c r="E284" s="14" t="s">
        <v>33</v>
      </c>
      <c r="F284" s="7" t="s">
        <v>46</v>
      </c>
      <c r="G284" s="7" t="s">
        <v>54</v>
      </c>
      <c r="H284" s="1" t="s">
        <v>36</v>
      </c>
      <c r="I284" s="1" t="s">
        <v>247</v>
      </c>
      <c r="J284" t="str">
        <f>+_xlfn.XLOOKUP(B284,INNOVACIÓN!A:A,INNOVACIÓN!B:B,"NO")</f>
        <v>NO</v>
      </c>
      <c r="K284">
        <v>20</v>
      </c>
      <c r="M284">
        <f>+_xlfn.XLOOKUP(A284,'COSTO Y PRECIO'!$A:$A,'COSTO Y PRECIO'!B:B)</f>
        <v>50</v>
      </c>
      <c r="N284">
        <f>+_xlfn.XLOOKUP(A284,'COSTO Y PRECIO'!$A:$A,'COSTO Y PRECIO'!C:C)</f>
        <v>96</v>
      </c>
    </row>
    <row r="285" spans="1:14" x14ac:dyDescent="0.35">
      <c r="A285" s="2">
        <v>100019232</v>
      </c>
      <c r="B285" s="3">
        <v>75074876</v>
      </c>
      <c r="C285" s="2" t="s">
        <v>326</v>
      </c>
      <c r="D285" s="2" t="s">
        <v>44</v>
      </c>
      <c r="E285" s="14" t="s">
        <v>33</v>
      </c>
      <c r="F285" s="2" t="s">
        <v>46</v>
      </c>
      <c r="G285" s="2" t="s">
        <v>54</v>
      </c>
      <c r="H285" s="1" t="s">
        <v>36</v>
      </c>
      <c r="I285" s="1" t="s">
        <v>109</v>
      </c>
      <c r="J285" t="str">
        <f>+_xlfn.XLOOKUP(B285,INNOVACIÓN!A:A,INNOVACIÓN!B:B,"NO")</f>
        <v>NO</v>
      </c>
      <c r="K285">
        <v>15</v>
      </c>
      <c r="M285">
        <f>+_xlfn.XLOOKUP(A285,'COSTO Y PRECIO'!$A:$A,'COSTO Y PRECIO'!B:B)</f>
        <v>49.090000000000018</v>
      </c>
      <c r="N285">
        <f>+_xlfn.XLOOKUP(A285,'COSTO Y PRECIO'!$A:$A,'COSTO Y PRECIO'!C:C)</f>
        <v>73</v>
      </c>
    </row>
    <row r="286" spans="1:14" x14ac:dyDescent="0.35">
      <c r="A286" s="1">
        <v>100019051</v>
      </c>
      <c r="B286" s="1">
        <v>75074012</v>
      </c>
      <c r="C286" s="1" t="s">
        <v>327</v>
      </c>
      <c r="D286" s="2" t="s">
        <v>44</v>
      </c>
      <c r="E286" s="14" t="s">
        <v>33</v>
      </c>
      <c r="F286" s="7" t="s">
        <v>46</v>
      </c>
      <c r="G286" s="7" t="s">
        <v>35</v>
      </c>
      <c r="H286" s="1" t="s">
        <v>36</v>
      </c>
      <c r="I286" s="1" t="s">
        <v>247</v>
      </c>
      <c r="J286" t="str">
        <f>+_xlfn.XLOOKUP(B286,INNOVACIÓN!A:A,INNOVACIÓN!B:B,"NO")</f>
        <v>NO</v>
      </c>
      <c r="K286">
        <v>20</v>
      </c>
      <c r="M286">
        <f>+_xlfn.XLOOKUP(A286,'COSTO Y PRECIO'!$A:$A,'COSTO Y PRECIO'!B:B)</f>
        <v>45</v>
      </c>
      <c r="N286" t="e">
        <f>+_xlfn.XLOOKUP(A286,'COSTO Y PRECIO'!$A:$A,'COSTO Y PRECIO'!C:C)</f>
        <v>#N/A</v>
      </c>
    </row>
    <row r="287" spans="1:14" x14ac:dyDescent="0.35">
      <c r="A287" s="2">
        <v>100019958</v>
      </c>
      <c r="B287" s="3">
        <v>75074920</v>
      </c>
      <c r="C287" s="2" t="s">
        <v>328</v>
      </c>
      <c r="D287" s="2" t="s">
        <v>44</v>
      </c>
      <c r="E287" s="14" t="s">
        <v>33</v>
      </c>
      <c r="F287" s="2" t="s">
        <v>46</v>
      </c>
      <c r="G287" s="2" t="s">
        <v>54</v>
      </c>
      <c r="H287" s="1" t="s">
        <v>36</v>
      </c>
      <c r="I287" s="1" t="s">
        <v>109</v>
      </c>
      <c r="J287" t="str">
        <f>+_xlfn.XLOOKUP(B287,INNOVACIÓN!A:A,INNOVACIÓN!B:B,"NO")</f>
        <v>NO</v>
      </c>
      <c r="K287">
        <v>20</v>
      </c>
      <c r="M287">
        <f>+_xlfn.XLOOKUP(A287,'COSTO Y PRECIO'!$A:$A,'COSTO Y PRECIO'!B:B)</f>
        <v>52.45000000000001</v>
      </c>
      <c r="N287">
        <f>+_xlfn.XLOOKUP(A287,'COSTO Y PRECIO'!$A:$A,'COSTO Y PRECIO'!C:C)</f>
        <v>96</v>
      </c>
    </row>
    <row r="288" spans="1:14" x14ac:dyDescent="0.35">
      <c r="A288" s="2">
        <v>100020528</v>
      </c>
      <c r="B288" s="3">
        <v>75074937</v>
      </c>
      <c r="C288" s="2" t="s">
        <v>329</v>
      </c>
      <c r="D288" s="2" t="s">
        <v>44</v>
      </c>
      <c r="E288" s="14" t="s">
        <v>33</v>
      </c>
      <c r="F288" s="2" t="s">
        <v>46</v>
      </c>
      <c r="G288" s="2" t="s">
        <v>14</v>
      </c>
      <c r="H288" s="1" t="s">
        <v>36</v>
      </c>
      <c r="I288" s="1" t="s">
        <v>109</v>
      </c>
      <c r="J288" t="str">
        <f>+_xlfn.XLOOKUP(B288,INNOVACIÓN!A:A,INNOVACIÓN!B:B,"NO")</f>
        <v>NO</v>
      </c>
      <c r="K288">
        <v>20</v>
      </c>
      <c r="M288">
        <f>+_xlfn.XLOOKUP(A288,'COSTO Y PRECIO'!$A:$A,'COSTO Y PRECIO'!B:B)</f>
        <v>52.45000000000001</v>
      </c>
      <c r="N288">
        <f>+_xlfn.XLOOKUP(A288,'COSTO Y PRECIO'!$A:$A,'COSTO Y PRECIO'!C:C)</f>
        <v>96</v>
      </c>
    </row>
    <row r="289" spans="1:14" x14ac:dyDescent="0.35">
      <c r="A289">
        <v>100014061</v>
      </c>
      <c r="B289">
        <v>75066888</v>
      </c>
      <c r="C289" t="s">
        <v>330</v>
      </c>
      <c r="D289" s="1" t="s">
        <v>44</v>
      </c>
      <c r="E289" s="14" t="s">
        <v>33</v>
      </c>
      <c r="F289" s="1" t="s">
        <v>46</v>
      </c>
      <c r="G289" s="1" t="s">
        <v>52</v>
      </c>
      <c r="H289" s="1" t="s">
        <v>36</v>
      </c>
      <c r="I289" s="1" t="s">
        <v>247</v>
      </c>
      <c r="J289" t="str">
        <f>+_xlfn.XLOOKUP(B289,INNOVACIÓN!A:A,INNOVACIÓN!B:B,"NO")</f>
        <v>NO</v>
      </c>
      <c r="K289">
        <v>20</v>
      </c>
      <c r="M289">
        <f>+_xlfn.XLOOKUP(A289,'COSTO Y PRECIO'!$A:$A,'COSTO Y PRECIO'!B:B)</f>
        <v>50</v>
      </c>
      <c r="N289" t="e">
        <f>+_xlfn.XLOOKUP(A289,'COSTO Y PRECIO'!$A:$A,'COSTO Y PRECIO'!C:C)</f>
        <v>#N/A</v>
      </c>
    </row>
    <row r="290" spans="1:14" x14ac:dyDescent="0.35">
      <c r="A290" s="1">
        <v>100080991</v>
      </c>
      <c r="B290" s="1">
        <v>75050047</v>
      </c>
      <c r="C290" s="1" t="s">
        <v>331</v>
      </c>
      <c r="D290" s="1" t="s">
        <v>44</v>
      </c>
      <c r="E290" s="14" t="s">
        <v>33</v>
      </c>
      <c r="F290" s="1" t="s">
        <v>46</v>
      </c>
      <c r="G290" s="1" t="s">
        <v>52</v>
      </c>
      <c r="H290" s="1" t="s">
        <v>36</v>
      </c>
      <c r="I290" s="1" t="s">
        <v>247</v>
      </c>
      <c r="J290" t="str">
        <f>+_xlfn.XLOOKUP(B290,INNOVACIÓN!A:A,INNOVACIÓN!B:B,"NO")</f>
        <v>NO</v>
      </c>
      <c r="K290">
        <v>20</v>
      </c>
      <c r="M290">
        <f>+_xlfn.XLOOKUP(A290,'COSTO Y PRECIO'!$A:$A,'COSTO Y PRECIO'!B:B)</f>
        <v>50</v>
      </c>
      <c r="N290" t="e">
        <f>+_xlfn.XLOOKUP(A290,'COSTO Y PRECIO'!$A:$A,'COSTO Y PRECIO'!C:C)</f>
        <v>#N/A</v>
      </c>
    </row>
    <row r="291" spans="1:14" x14ac:dyDescent="0.35">
      <c r="A291" s="1">
        <v>100019959</v>
      </c>
      <c r="B291" s="1">
        <v>75074913</v>
      </c>
      <c r="C291" s="1" t="s">
        <v>332</v>
      </c>
      <c r="D291" s="1" t="s">
        <v>44</v>
      </c>
      <c r="E291" s="14" t="s">
        <v>33</v>
      </c>
      <c r="F291" s="1" t="s">
        <v>46</v>
      </c>
      <c r="G291" s="1" t="s">
        <v>52</v>
      </c>
      <c r="H291" s="1" t="s">
        <v>36</v>
      </c>
      <c r="I291" s="1" t="s">
        <v>109</v>
      </c>
      <c r="J291" t="str">
        <f>+_xlfn.XLOOKUP(B291,INNOVACIÓN!A:A,INNOVACIÓN!B:B,"NO")</f>
        <v>NO</v>
      </c>
      <c r="K291">
        <v>20</v>
      </c>
      <c r="M291">
        <f>+_xlfn.XLOOKUP(A291,'COSTO Y PRECIO'!$A:$A,'COSTO Y PRECIO'!B:B)</f>
        <v>52.45000000000001</v>
      </c>
      <c r="N291">
        <f>+_xlfn.XLOOKUP(A291,'COSTO Y PRECIO'!$A:$A,'COSTO Y PRECIO'!C:C)</f>
        <v>96</v>
      </c>
    </row>
    <row r="292" spans="1:14" x14ac:dyDescent="0.35">
      <c r="A292" s="1">
        <v>100010175</v>
      </c>
      <c r="B292" s="1">
        <v>75061654</v>
      </c>
      <c r="C292" s="1" t="s">
        <v>333</v>
      </c>
      <c r="D292" s="2" t="s">
        <v>44</v>
      </c>
      <c r="E292" s="14" t="s">
        <v>33</v>
      </c>
      <c r="F292" s="7" t="s">
        <v>46</v>
      </c>
      <c r="G292" s="7" t="s">
        <v>54</v>
      </c>
      <c r="H292" s="1" t="s">
        <v>36</v>
      </c>
      <c r="I292" s="1" t="s">
        <v>247</v>
      </c>
      <c r="J292" t="str">
        <f>+_xlfn.XLOOKUP(B292,INNOVACIÓN!A:A,INNOVACIÓN!B:B,"NO")</f>
        <v>NO</v>
      </c>
      <c r="K292">
        <v>20</v>
      </c>
      <c r="M292">
        <f>+_xlfn.XLOOKUP(A292,'COSTO Y PRECIO'!$A:$A,'COSTO Y PRECIO'!B:B)</f>
        <v>49.76</v>
      </c>
      <c r="N292" t="e">
        <f>+_xlfn.XLOOKUP(A292,'COSTO Y PRECIO'!$A:$A,'COSTO Y PRECIO'!C:C)</f>
        <v>#N/A</v>
      </c>
    </row>
    <row r="293" spans="1:14" x14ac:dyDescent="0.35">
      <c r="A293" s="1">
        <v>100006386</v>
      </c>
      <c r="B293" s="1">
        <v>75053673</v>
      </c>
      <c r="C293" s="1" t="s">
        <v>334</v>
      </c>
      <c r="D293" s="1" t="s">
        <v>44</v>
      </c>
      <c r="E293" s="14" t="s">
        <v>33</v>
      </c>
      <c r="F293" s="1" t="s">
        <v>46</v>
      </c>
      <c r="G293" s="1" t="s">
        <v>52</v>
      </c>
      <c r="H293" s="1" t="s">
        <v>36</v>
      </c>
      <c r="I293" s="1" t="s">
        <v>247</v>
      </c>
      <c r="J293" t="str">
        <f>+_xlfn.XLOOKUP(B293,INNOVACIÓN!A:A,INNOVACIÓN!B:B,"NO")</f>
        <v>NO</v>
      </c>
      <c r="K293">
        <v>20</v>
      </c>
      <c r="M293">
        <f>+_xlfn.XLOOKUP(A293,'COSTO Y PRECIO'!$A:$A,'COSTO Y PRECIO'!B:B)</f>
        <v>52.45</v>
      </c>
      <c r="N293" t="e">
        <f>+_xlfn.XLOOKUP(A293,'COSTO Y PRECIO'!$A:$A,'COSTO Y PRECIO'!C:C)</f>
        <v>#N/A</v>
      </c>
    </row>
    <row r="294" spans="1:14" x14ac:dyDescent="0.35">
      <c r="A294" s="2">
        <v>100080878</v>
      </c>
      <c r="B294" s="3">
        <v>75039875</v>
      </c>
      <c r="C294" s="2" t="s">
        <v>335</v>
      </c>
      <c r="D294" s="2" t="s">
        <v>44</v>
      </c>
      <c r="E294" s="14" t="s">
        <v>33</v>
      </c>
      <c r="F294" s="2" t="s">
        <v>46</v>
      </c>
      <c r="G294" s="2" t="s">
        <v>54</v>
      </c>
      <c r="H294" s="1" t="s">
        <v>36</v>
      </c>
      <c r="I294" s="1" t="s">
        <v>109</v>
      </c>
      <c r="J294" t="str">
        <f>+_xlfn.XLOOKUP(B294,INNOVACIÓN!A:A,INNOVACIÓN!B:B,"NO")</f>
        <v>NO</v>
      </c>
      <c r="K294">
        <v>15</v>
      </c>
      <c r="M294">
        <f>+_xlfn.XLOOKUP(A294,'COSTO Y PRECIO'!$A:$A,'COSTO Y PRECIO'!B:B)</f>
        <v>50.43</v>
      </c>
      <c r="N294">
        <f>+_xlfn.XLOOKUP(A294,'COSTO Y PRECIO'!$A:$A,'COSTO Y PRECIO'!C:C)</f>
        <v>75</v>
      </c>
    </row>
    <row r="295" spans="1:14" x14ac:dyDescent="0.35">
      <c r="A295" s="2">
        <v>100023316</v>
      </c>
      <c r="B295" s="3">
        <v>75079642</v>
      </c>
      <c r="C295" s="2" t="s">
        <v>336</v>
      </c>
      <c r="D295" s="2" t="s">
        <v>44</v>
      </c>
      <c r="E295" s="14" t="s">
        <v>33</v>
      </c>
      <c r="F295" s="2" t="s">
        <v>46</v>
      </c>
      <c r="G295" s="2" t="s">
        <v>14</v>
      </c>
      <c r="H295" s="1" t="s">
        <v>36</v>
      </c>
      <c r="I295" s="1" t="s">
        <v>247</v>
      </c>
      <c r="J295" t="str">
        <f>+_xlfn.XLOOKUP(B295,INNOVACIÓN!A:A,INNOVACIÓN!B:B,"NO")</f>
        <v>NO</v>
      </c>
      <c r="K295">
        <v>20</v>
      </c>
      <c r="M295">
        <f>+_xlfn.XLOOKUP(A295,'COSTO Y PRECIO'!$A:$A,'COSTO Y PRECIO'!B:B)</f>
        <v>52.45000000000001</v>
      </c>
      <c r="N295">
        <f>+_xlfn.XLOOKUP(A295,'COSTO Y PRECIO'!$A:$A,'COSTO Y PRECIO'!C:C)</f>
        <v>73</v>
      </c>
    </row>
    <row r="296" spans="1:14" x14ac:dyDescent="0.35">
      <c r="A296">
        <v>100025444</v>
      </c>
      <c r="B296" s="6">
        <v>75083953</v>
      </c>
      <c r="C296" t="s">
        <v>337</v>
      </c>
      <c r="D296" s="2" t="s">
        <v>44</v>
      </c>
      <c r="E296" s="14" t="s">
        <v>33</v>
      </c>
      <c r="F296" s="1" t="s">
        <v>46</v>
      </c>
      <c r="G296" s="1" t="s">
        <v>14</v>
      </c>
      <c r="H296" s="1" t="s">
        <v>36</v>
      </c>
      <c r="I296" s="1" t="s">
        <v>109</v>
      </c>
      <c r="J296" t="str">
        <f>+_xlfn.XLOOKUP(B296,INNOVACIÓN!A:A,INNOVACIÓN!B:B,"NO")</f>
        <v>NO</v>
      </c>
      <c r="K296">
        <v>20</v>
      </c>
      <c r="M296">
        <f>+_xlfn.XLOOKUP(A296,'COSTO Y PRECIO'!$A:$A,'COSTO Y PRECIO'!B:B)</f>
        <v>64.549999999999983</v>
      </c>
      <c r="N296">
        <f>+_xlfn.XLOOKUP(A296,'COSTO Y PRECIO'!$A:$A,'COSTO Y PRECIO'!C:C)</f>
        <v>96</v>
      </c>
    </row>
    <row r="297" spans="1:14" x14ac:dyDescent="0.35">
      <c r="A297" s="2">
        <v>100080892</v>
      </c>
      <c r="B297" s="3">
        <v>75042943</v>
      </c>
      <c r="C297" s="2" t="s">
        <v>338</v>
      </c>
      <c r="D297" s="2" t="s">
        <v>44</v>
      </c>
      <c r="E297" s="14" t="s">
        <v>33</v>
      </c>
      <c r="F297" s="2" t="s">
        <v>46</v>
      </c>
      <c r="G297" s="2" t="s">
        <v>54</v>
      </c>
      <c r="H297" s="1" t="s">
        <v>36</v>
      </c>
      <c r="I297" s="1" t="s">
        <v>109</v>
      </c>
      <c r="J297" t="str">
        <f>+_xlfn.XLOOKUP(B297,INNOVACIÓN!A:A,INNOVACIÓN!B:B,"NO")</f>
        <v>NO</v>
      </c>
      <c r="K297">
        <v>15</v>
      </c>
      <c r="M297">
        <f>+_xlfn.XLOOKUP(A297,'COSTO Y PRECIO'!$A:$A,'COSTO Y PRECIO'!B:B)</f>
        <v>50.43</v>
      </c>
      <c r="N297">
        <f>+_xlfn.XLOOKUP(A297,'COSTO Y PRECIO'!$A:$A,'COSTO Y PRECIO'!C:C)</f>
        <v>75</v>
      </c>
    </row>
    <row r="298" spans="1:14" x14ac:dyDescent="0.35">
      <c r="A298" s="2">
        <v>100023314</v>
      </c>
      <c r="B298" s="3">
        <v>75079659</v>
      </c>
      <c r="C298" s="2" t="s">
        <v>339</v>
      </c>
      <c r="D298" s="2" t="s">
        <v>44</v>
      </c>
      <c r="E298" s="14" t="s">
        <v>33</v>
      </c>
      <c r="F298" s="2" t="s">
        <v>46</v>
      </c>
      <c r="G298" s="2" t="s">
        <v>14</v>
      </c>
      <c r="H298" s="1" t="s">
        <v>36</v>
      </c>
      <c r="I298" s="1" t="s">
        <v>247</v>
      </c>
      <c r="J298" t="str">
        <f>+_xlfn.XLOOKUP(B298,INNOVACIÓN!A:A,INNOVACIÓN!B:B,"NO")</f>
        <v>NO</v>
      </c>
      <c r="K298">
        <v>20</v>
      </c>
      <c r="M298">
        <f>+_xlfn.XLOOKUP(A298,'COSTO Y PRECIO'!$A:$A,'COSTO Y PRECIO'!B:B)</f>
        <v>45</v>
      </c>
      <c r="N298" t="e">
        <f>+_xlfn.XLOOKUP(A298,'COSTO Y PRECIO'!$A:$A,'COSTO Y PRECIO'!C:C)</f>
        <v>#N/A</v>
      </c>
    </row>
    <row r="299" spans="1:14" x14ac:dyDescent="0.35">
      <c r="A299">
        <v>100025443</v>
      </c>
      <c r="B299" s="6">
        <v>75083946</v>
      </c>
      <c r="C299" t="s">
        <v>340</v>
      </c>
      <c r="D299" s="2" t="s">
        <v>44</v>
      </c>
      <c r="E299" s="14" t="s">
        <v>33</v>
      </c>
      <c r="F299" s="1" t="s">
        <v>46</v>
      </c>
      <c r="G299" s="1" t="s">
        <v>14</v>
      </c>
      <c r="H299" s="1" t="s">
        <v>36</v>
      </c>
      <c r="I299" s="1" t="s">
        <v>109</v>
      </c>
      <c r="J299" t="str">
        <f>+_xlfn.XLOOKUP(B299,INNOVACIÓN!A:A,INNOVACIÓN!B:B,"NO")</f>
        <v>NO</v>
      </c>
      <c r="K299">
        <v>20</v>
      </c>
      <c r="M299">
        <f>+_xlfn.XLOOKUP(A299,'COSTO Y PRECIO'!$A:$A,'COSTO Y PRECIO'!B:B)</f>
        <v>64.549999999999983</v>
      </c>
      <c r="N299">
        <f>+_xlfn.XLOOKUP(A299,'COSTO Y PRECIO'!$A:$A,'COSTO Y PRECIO'!C:C)</f>
        <v>96</v>
      </c>
    </row>
    <row r="300" spans="1:14" x14ac:dyDescent="0.35">
      <c r="A300" s="1">
        <v>100013594</v>
      </c>
      <c r="B300" s="1">
        <v>75067960</v>
      </c>
      <c r="C300" s="1" t="s">
        <v>341</v>
      </c>
      <c r="D300" s="2" t="s">
        <v>44</v>
      </c>
      <c r="E300" s="7" t="s">
        <v>33</v>
      </c>
      <c r="F300" s="7" t="s">
        <v>46</v>
      </c>
      <c r="G300" s="7" t="s">
        <v>35</v>
      </c>
      <c r="H300" s="1" t="s">
        <v>36</v>
      </c>
      <c r="I300" s="1" t="s">
        <v>247</v>
      </c>
      <c r="J300" t="str">
        <f>+_xlfn.XLOOKUP(B300,INNOVACIÓN!A:A,INNOVACIÓN!B:B,"NO")</f>
        <v>NO</v>
      </c>
      <c r="K300">
        <v>15</v>
      </c>
      <c r="M300">
        <f>+_xlfn.XLOOKUP(A300,'COSTO Y PRECIO'!$A:$A,'COSTO Y PRECIO'!B:B)</f>
        <v>64.55</v>
      </c>
      <c r="N300">
        <f>+_xlfn.XLOOKUP(A300,'COSTO Y PRECIO'!$A:$A,'COSTO Y PRECIO'!C:C)</f>
        <v>96</v>
      </c>
    </row>
    <row r="301" spans="1:14" x14ac:dyDescent="0.35">
      <c r="A301" s="2">
        <v>100015341</v>
      </c>
      <c r="B301" s="3">
        <v>75070090</v>
      </c>
      <c r="C301" s="2" t="s">
        <v>342</v>
      </c>
      <c r="D301" s="2" t="s">
        <v>44</v>
      </c>
      <c r="E301" s="14" t="s">
        <v>33</v>
      </c>
      <c r="F301" s="2" t="s">
        <v>46</v>
      </c>
      <c r="G301" s="2" t="s">
        <v>14</v>
      </c>
      <c r="H301" s="1" t="s">
        <v>36</v>
      </c>
      <c r="I301" s="1" t="s">
        <v>109</v>
      </c>
      <c r="J301" t="str">
        <f>+_xlfn.XLOOKUP(B301,INNOVACIÓN!A:A,INNOVACIÓN!B:B,"NO")</f>
        <v>NO</v>
      </c>
      <c r="K301">
        <v>20</v>
      </c>
      <c r="M301">
        <f>+_xlfn.XLOOKUP(A301,'COSTO Y PRECIO'!$A:$A,'COSTO Y PRECIO'!B:B)</f>
        <v>64.549999999999983</v>
      </c>
      <c r="N301">
        <f>+_xlfn.XLOOKUP(A301,'COSTO Y PRECIO'!$A:$A,'COSTO Y PRECIO'!C:C)</f>
        <v>96</v>
      </c>
    </row>
    <row r="302" spans="1:14" x14ac:dyDescent="0.35">
      <c r="A302">
        <v>100025445</v>
      </c>
      <c r="B302" s="6">
        <v>75083977</v>
      </c>
      <c r="C302" t="s">
        <v>343</v>
      </c>
      <c r="D302" s="2" t="s">
        <v>44</v>
      </c>
      <c r="E302" s="14" t="s">
        <v>33</v>
      </c>
      <c r="F302" s="1" t="s">
        <v>46</v>
      </c>
      <c r="G302" s="1" t="s">
        <v>14</v>
      </c>
      <c r="H302" s="1" t="s">
        <v>36</v>
      </c>
      <c r="I302" s="1" t="s">
        <v>109</v>
      </c>
      <c r="J302" t="str">
        <f>+_xlfn.XLOOKUP(B302,INNOVACIÓN!A:A,INNOVACIÓN!B:B,"NO")</f>
        <v>NO</v>
      </c>
      <c r="K302">
        <v>20</v>
      </c>
      <c r="M302">
        <f>+_xlfn.XLOOKUP(A302,'COSTO Y PRECIO'!$A:$A,'COSTO Y PRECIO'!B:B)</f>
        <v>64.549999999999983</v>
      </c>
      <c r="N302">
        <f>+_xlfn.XLOOKUP(A302,'COSTO Y PRECIO'!$A:$A,'COSTO Y PRECIO'!C:C)</f>
        <v>96</v>
      </c>
    </row>
    <row r="303" spans="1:14" x14ac:dyDescent="0.35">
      <c r="A303" s="1">
        <v>100021888</v>
      </c>
      <c r="B303" s="1">
        <v>75077433</v>
      </c>
      <c r="C303" s="1" t="s">
        <v>344</v>
      </c>
      <c r="D303" s="1" t="s">
        <v>44</v>
      </c>
      <c r="E303" s="14" t="s">
        <v>33</v>
      </c>
      <c r="F303" s="1" t="s">
        <v>46</v>
      </c>
      <c r="G303" s="1" t="s">
        <v>52</v>
      </c>
      <c r="H303" s="1" t="s">
        <v>36</v>
      </c>
      <c r="I303" s="1" t="s">
        <v>247</v>
      </c>
      <c r="J303" t="str">
        <f>+_xlfn.XLOOKUP(B303,INNOVACIÓN!A:A,INNOVACIÓN!B:B,"NO")</f>
        <v>NO</v>
      </c>
      <c r="K303">
        <v>20</v>
      </c>
      <c r="M303">
        <f>+_xlfn.XLOOKUP(A303,'COSTO Y PRECIO'!$A:$A,'COSTO Y PRECIO'!B:B)</f>
        <v>52.45000000000001</v>
      </c>
      <c r="N303">
        <f>+_xlfn.XLOOKUP(A303,'COSTO Y PRECIO'!$A:$A,'COSTO Y PRECIO'!C:C)</f>
        <v>96</v>
      </c>
    </row>
    <row r="304" spans="1:14" x14ac:dyDescent="0.35">
      <c r="A304" s="1">
        <v>100021889</v>
      </c>
      <c r="B304" s="1">
        <v>75077426</v>
      </c>
      <c r="C304" s="1" t="s">
        <v>345</v>
      </c>
      <c r="D304" s="1" t="s">
        <v>44</v>
      </c>
      <c r="E304" s="14" t="s">
        <v>33</v>
      </c>
      <c r="F304" s="1" t="s">
        <v>46</v>
      </c>
      <c r="G304" s="1" t="s">
        <v>52</v>
      </c>
      <c r="H304" s="1" t="s">
        <v>36</v>
      </c>
      <c r="I304" s="1" t="s">
        <v>247</v>
      </c>
      <c r="J304" t="str">
        <f>+_xlfn.XLOOKUP(B304,INNOVACIÓN!A:A,INNOVACIÓN!B:B,"NO")</f>
        <v>NO</v>
      </c>
      <c r="K304">
        <v>20</v>
      </c>
      <c r="M304">
        <f>+_xlfn.XLOOKUP(A304,'COSTO Y PRECIO'!$A:$A,'COSTO Y PRECIO'!B:B)</f>
        <v>52.45000000000001</v>
      </c>
      <c r="N304">
        <f>+_xlfn.XLOOKUP(A304,'COSTO Y PRECIO'!$A:$A,'COSTO Y PRECIO'!C:C)</f>
        <v>67</v>
      </c>
    </row>
    <row r="305" spans="1:14" x14ac:dyDescent="0.35">
      <c r="A305" s="2">
        <v>100021887</v>
      </c>
      <c r="B305" s="3">
        <v>75077402</v>
      </c>
      <c r="C305" s="2" t="s">
        <v>346</v>
      </c>
      <c r="D305" s="2" t="s">
        <v>44</v>
      </c>
      <c r="E305" s="14" t="s">
        <v>33</v>
      </c>
      <c r="F305" s="2" t="s">
        <v>46</v>
      </c>
      <c r="G305" s="2" t="s">
        <v>14</v>
      </c>
      <c r="H305" s="1" t="s">
        <v>36</v>
      </c>
      <c r="I305" s="1" t="s">
        <v>247</v>
      </c>
      <c r="J305" t="str">
        <f>+_xlfn.XLOOKUP(B305,INNOVACIÓN!A:A,INNOVACIÓN!B:B,"NO")</f>
        <v>NO</v>
      </c>
      <c r="K305">
        <v>20</v>
      </c>
      <c r="M305">
        <f>+_xlfn.XLOOKUP(A305,'COSTO Y PRECIO'!$A:$A,'COSTO Y PRECIO'!B:B)</f>
        <v>52.45000000000001</v>
      </c>
      <c r="N305">
        <f>+_xlfn.XLOOKUP(A305,'COSTO Y PRECIO'!$A:$A,'COSTO Y PRECIO'!C:C)</f>
        <v>78</v>
      </c>
    </row>
    <row r="306" spans="1:14" x14ac:dyDescent="0.35">
      <c r="A306" s="2">
        <v>100021886</v>
      </c>
      <c r="B306" s="3">
        <v>75077389</v>
      </c>
      <c r="C306" s="2" t="s">
        <v>347</v>
      </c>
      <c r="D306" s="2" t="s">
        <v>44</v>
      </c>
      <c r="E306" s="14" t="s">
        <v>33</v>
      </c>
      <c r="F306" s="2" t="s">
        <v>46</v>
      </c>
      <c r="G306" s="2" t="s">
        <v>54</v>
      </c>
      <c r="H306" s="1" t="s">
        <v>36</v>
      </c>
      <c r="I306" s="1" t="s">
        <v>247</v>
      </c>
      <c r="J306" t="str">
        <f>+_xlfn.XLOOKUP(B306,INNOVACIÓN!A:A,INNOVACIÓN!B:B,"NO")</f>
        <v>NO</v>
      </c>
      <c r="K306">
        <v>20</v>
      </c>
      <c r="M306">
        <f>+_xlfn.XLOOKUP(A306,'COSTO Y PRECIO'!$A:$A,'COSTO Y PRECIO'!B:B)</f>
        <v>52.45000000000001</v>
      </c>
      <c r="N306">
        <f>+_xlfn.XLOOKUP(A306,'COSTO Y PRECIO'!$A:$A,'COSTO Y PRECIO'!C:C)</f>
        <v>61.230769230769234</v>
      </c>
    </row>
    <row r="307" spans="1:14" x14ac:dyDescent="0.35">
      <c r="A307">
        <v>100025446</v>
      </c>
      <c r="B307" s="6">
        <v>75083960</v>
      </c>
      <c r="C307" t="s">
        <v>348</v>
      </c>
      <c r="D307" s="2" t="s">
        <v>44</v>
      </c>
      <c r="E307" s="14" t="s">
        <v>33</v>
      </c>
      <c r="F307" s="1" t="s">
        <v>46</v>
      </c>
      <c r="G307" s="1" t="s">
        <v>14</v>
      </c>
      <c r="H307" s="1" t="s">
        <v>36</v>
      </c>
      <c r="I307" s="1" t="s">
        <v>109</v>
      </c>
      <c r="J307" t="str">
        <f>+_xlfn.XLOOKUP(B307,INNOVACIÓN!A:A,INNOVACIÓN!B:B,"NO")</f>
        <v>NO</v>
      </c>
      <c r="K307">
        <v>20</v>
      </c>
      <c r="M307">
        <f>+_xlfn.XLOOKUP(A307,'COSTO Y PRECIO'!$A:$A,'COSTO Y PRECIO'!B:B)</f>
        <v>64.549999999999983</v>
      </c>
      <c r="N307">
        <f>+_xlfn.XLOOKUP(A307,'COSTO Y PRECIO'!$A:$A,'COSTO Y PRECIO'!C:C)</f>
        <v>96</v>
      </c>
    </row>
    <row r="308" spans="1:14" x14ac:dyDescent="0.35">
      <c r="A308">
        <v>100025284</v>
      </c>
      <c r="B308" s="6">
        <v>75083892</v>
      </c>
      <c r="C308" t="s">
        <v>349</v>
      </c>
      <c r="D308" s="2" t="s">
        <v>44</v>
      </c>
      <c r="E308" s="14" t="s">
        <v>33</v>
      </c>
      <c r="F308" s="1" t="s">
        <v>46</v>
      </c>
      <c r="G308" s="1" t="s">
        <v>14</v>
      </c>
      <c r="H308" s="1" t="s">
        <v>36</v>
      </c>
      <c r="I308" s="1" t="s">
        <v>109</v>
      </c>
      <c r="J308" t="str">
        <f>+_xlfn.XLOOKUP(B308,INNOVACIÓN!A:A,INNOVACIÓN!B:B,"NO")</f>
        <v>NO</v>
      </c>
      <c r="K308">
        <v>20</v>
      </c>
      <c r="M308">
        <f>+_xlfn.XLOOKUP(A308,'COSTO Y PRECIO'!$A:$A,'COSTO Y PRECIO'!B:B)</f>
        <v>64.549999999999983</v>
      </c>
      <c r="N308">
        <f>+_xlfn.XLOOKUP(A308,'COSTO Y PRECIO'!$A:$A,'COSTO Y PRECIO'!C:C)</f>
        <v>96</v>
      </c>
    </row>
    <row r="309" spans="1:14" x14ac:dyDescent="0.35">
      <c r="A309">
        <v>100025283</v>
      </c>
      <c r="B309" s="6">
        <v>75083885</v>
      </c>
      <c r="C309" t="s">
        <v>350</v>
      </c>
      <c r="D309" s="2" t="s">
        <v>44</v>
      </c>
      <c r="E309" s="14" t="s">
        <v>33</v>
      </c>
      <c r="F309" s="1" t="s">
        <v>46</v>
      </c>
      <c r="G309" s="1" t="s">
        <v>14</v>
      </c>
      <c r="H309" s="1" t="s">
        <v>36</v>
      </c>
      <c r="I309" s="1" t="s">
        <v>109</v>
      </c>
      <c r="J309" t="str">
        <f>+_xlfn.XLOOKUP(B309,INNOVACIÓN!A:A,INNOVACIÓN!B:B,"NO")</f>
        <v>NO</v>
      </c>
      <c r="K309">
        <v>15</v>
      </c>
      <c r="M309">
        <f>+_xlfn.XLOOKUP(A309,'COSTO Y PRECIO'!$A:$A,'COSTO Y PRECIO'!B:B)</f>
        <v>49.090000000000018</v>
      </c>
      <c r="N309">
        <f>+_xlfn.XLOOKUP(A309,'COSTO Y PRECIO'!$A:$A,'COSTO Y PRECIO'!C:C)</f>
        <v>73</v>
      </c>
    </row>
    <row r="310" spans="1:14" x14ac:dyDescent="0.35">
      <c r="A310" s="1">
        <v>100010317</v>
      </c>
      <c r="B310" s="1">
        <v>75062620</v>
      </c>
      <c r="C310" s="1" t="s">
        <v>351</v>
      </c>
      <c r="D310" s="1" t="s">
        <v>44</v>
      </c>
      <c r="E310" s="14" t="s">
        <v>33</v>
      </c>
      <c r="F310" s="1" t="s">
        <v>46</v>
      </c>
      <c r="G310" s="1" t="s">
        <v>52</v>
      </c>
      <c r="H310" s="1" t="s">
        <v>36</v>
      </c>
      <c r="I310" s="1" t="s">
        <v>247</v>
      </c>
      <c r="J310" t="str">
        <f>+_xlfn.XLOOKUP(B310,INNOVACIÓN!A:A,INNOVACIÓN!B:B,"NO")</f>
        <v>NO</v>
      </c>
      <c r="K310">
        <v>20</v>
      </c>
      <c r="M310">
        <f>+_xlfn.XLOOKUP(A310,'COSTO Y PRECIO'!$A:$A,'COSTO Y PRECIO'!B:B)</f>
        <v>50</v>
      </c>
      <c r="N310" t="e">
        <f>+_xlfn.XLOOKUP(A310,'COSTO Y PRECIO'!$A:$A,'COSTO Y PRECIO'!C:C)</f>
        <v>#N/A</v>
      </c>
    </row>
    <row r="311" spans="1:14" x14ac:dyDescent="0.35">
      <c r="A311" s="1">
        <v>100080803</v>
      </c>
      <c r="B311" s="1">
        <v>75027667</v>
      </c>
      <c r="C311" s="1" t="s">
        <v>352</v>
      </c>
      <c r="D311" s="2" t="s">
        <v>44</v>
      </c>
      <c r="E311" s="14" t="s">
        <v>33</v>
      </c>
      <c r="F311" s="7" t="s">
        <v>46</v>
      </c>
      <c r="G311" s="7" t="s">
        <v>54</v>
      </c>
      <c r="H311" s="1" t="s">
        <v>36</v>
      </c>
      <c r="I311" s="1" t="s">
        <v>247</v>
      </c>
      <c r="J311" t="str">
        <f>+_xlfn.XLOOKUP(B311,INNOVACIÓN!A:A,INNOVACIÓN!B:B,"NO")</f>
        <v>NO</v>
      </c>
      <c r="K311">
        <v>20</v>
      </c>
      <c r="M311">
        <f>+_xlfn.XLOOKUP(A311,'COSTO Y PRECIO'!$A:$A,'COSTO Y PRECIO'!B:B)</f>
        <v>45</v>
      </c>
      <c r="N311" t="e">
        <f>+_xlfn.XLOOKUP(A311,'COSTO Y PRECIO'!$A:$A,'COSTO Y PRECIO'!C:C)</f>
        <v>#N/A</v>
      </c>
    </row>
    <row r="312" spans="1:14" x14ac:dyDescent="0.35">
      <c r="A312" s="1">
        <v>100080834</v>
      </c>
      <c r="B312" s="1">
        <v>75034665</v>
      </c>
      <c r="C312" s="1" t="s">
        <v>353</v>
      </c>
      <c r="D312" s="1" t="s">
        <v>44</v>
      </c>
      <c r="E312" s="14" t="s">
        <v>33</v>
      </c>
      <c r="F312" s="1" t="s">
        <v>46</v>
      </c>
      <c r="G312" s="1" t="s">
        <v>52</v>
      </c>
      <c r="H312" s="1" t="s">
        <v>36</v>
      </c>
      <c r="I312" s="1" t="s">
        <v>247</v>
      </c>
      <c r="J312" t="str">
        <f>+_xlfn.XLOOKUP(B312,INNOVACIÓN!A:A,INNOVACIÓN!B:B,"NO")</f>
        <v>NO</v>
      </c>
      <c r="K312">
        <v>20</v>
      </c>
      <c r="M312">
        <f>+_xlfn.XLOOKUP(A312,'COSTO Y PRECIO'!$A:$A,'COSTO Y PRECIO'!B:B)</f>
        <v>45</v>
      </c>
      <c r="N312" t="e">
        <f>+_xlfn.XLOOKUP(A312,'COSTO Y PRECIO'!$A:$A,'COSTO Y PRECIO'!C:C)</f>
        <v>#N/A</v>
      </c>
    </row>
    <row r="313" spans="1:14" x14ac:dyDescent="0.35">
      <c r="A313" s="1">
        <v>100080891</v>
      </c>
      <c r="B313" s="1">
        <v>75042936</v>
      </c>
      <c r="C313" s="1" t="s">
        <v>354</v>
      </c>
      <c r="D313" s="1" t="s">
        <v>44</v>
      </c>
      <c r="E313" s="14" t="s">
        <v>33</v>
      </c>
      <c r="F313" s="1" t="s">
        <v>46</v>
      </c>
      <c r="G313" s="1" t="s">
        <v>52</v>
      </c>
      <c r="H313" s="1" t="s">
        <v>36</v>
      </c>
      <c r="I313" s="1" t="s">
        <v>247</v>
      </c>
      <c r="J313" t="str">
        <f>+_xlfn.XLOOKUP(B313,INNOVACIÓN!A:A,INNOVACIÓN!B:B,"NO")</f>
        <v>NO</v>
      </c>
      <c r="K313">
        <v>14</v>
      </c>
      <c r="M313">
        <f>+_xlfn.XLOOKUP(A313,'COSTO Y PRECIO'!$A:$A,'COSTO Y PRECIO'!B:B)</f>
        <v>45</v>
      </c>
      <c r="N313" t="e">
        <f>+_xlfn.XLOOKUP(A313,'COSTO Y PRECIO'!$A:$A,'COSTO Y PRECIO'!C:C)</f>
        <v>#N/A</v>
      </c>
    </row>
    <row r="314" spans="1:14" x14ac:dyDescent="0.35">
      <c r="A314" s="1">
        <v>100080877</v>
      </c>
      <c r="B314" s="1">
        <v>75039868</v>
      </c>
      <c r="C314" s="1" t="s">
        <v>355</v>
      </c>
      <c r="D314" s="1" t="s">
        <v>44</v>
      </c>
      <c r="E314" s="14" t="s">
        <v>33</v>
      </c>
      <c r="F314" s="1" t="s">
        <v>46</v>
      </c>
      <c r="G314" s="1" t="s">
        <v>52</v>
      </c>
      <c r="H314" s="1" t="s">
        <v>36</v>
      </c>
      <c r="I314" s="1" t="s">
        <v>247</v>
      </c>
      <c r="J314" t="str">
        <f>+_xlfn.XLOOKUP(B314,INNOVACIÓN!A:A,INNOVACIÓN!B:B,"NO")</f>
        <v>NO</v>
      </c>
      <c r="K314">
        <v>14</v>
      </c>
      <c r="M314">
        <f>+_xlfn.XLOOKUP(A314,'COSTO Y PRECIO'!$A:$A,'COSTO Y PRECIO'!B:B)</f>
        <v>45</v>
      </c>
      <c r="N314" t="e">
        <f>+_xlfn.XLOOKUP(A314,'COSTO Y PRECIO'!$A:$A,'COSTO Y PRECIO'!C:C)</f>
        <v>#N/A</v>
      </c>
    </row>
    <row r="315" spans="1:14" x14ac:dyDescent="0.35">
      <c r="A315" s="1">
        <v>100080806</v>
      </c>
      <c r="B315" s="1">
        <v>75027803</v>
      </c>
      <c r="C315" s="1" t="s">
        <v>356</v>
      </c>
      <c r="D315" s="2" t="s">
        <v>44</v>
      </c>
      <c r="E315" s="14" t="s">
        <v>33</v>
      </c>
      <c r="F315" s="7" t="s">
        <v>41</v>
      </c>
      <c r="G315" s="7" t="s">
        <v>35</v>
      </c>
      <c r="H315" s="1" t="s">
        <v>36</v>
      </c>
      <c r="I315" s="1" t="s">
        <v>247</v>
      </c>
      <c r="J315" t="str">
        <f>+_xlfn.XLOOKUP(B315,INNOVACIÓN!A:A,INNOVACIÓN!B:B,"NO")</f>
        <v>NO</v>
      </c>
      <c r="K315">
        <v>20</v>
      </c>
      <c r="M315">
        <f>+_xlfn.XLOOKUP(A315,'COSTO Y PRECIO'!$A:$A,'COSTO Y PRECIO'!B:B)</f>
        <v>45</v>
      </c>
      <c r="N315" t="e">
        <f>+_xlfn.XLOOKUP(A315,'COSTO Y PRECIO'!$A:$A,'COSTO Y PRECIO'!C:C)</f>
        <v>#N/A</v>
      </c>
    </row>
    <row r="316" spans="1:14" x14ac:dyDescent="0.35">
      <c r="A316">
        <v>100080888</v>
      </c>
      <c r="B316">
        <v>8308014</v>
      </c>
      <c r="C316" t="s">
        <v>357</v>
      </c>
      <c r="D316" s="1" t="s">
        <v>44</v>
      </c>
      <c r="E316" s="14" t="s">
        <v>33</v>
      </c>
      <c r="F316" s="1" t="s">
        <v>41</v>
      </c>
      <c r="G316" s="1" t="s">
        <v>136</v>
      </c>
      <c r="H316" s="1" t="s">
        <v>36</v>
      </c>
      <c r="I316" s="1" t="s">
        <v>247</v>
      </c>
      <c r="J316" t="str">
        <f>+_xlfn.XLOOKUP(B316,INNOVACIÓN!A:A,INNOVACIÓN!B:B,"NO")</f>
        <v>NO</v>
      </c>
      <c r="K316">
        <v>20</v>
      </c>
      <c r="M316">
        <f>+_xlfn.XLOOKUP(A316,'COSTO Y PRECIO'!$A:$A,'COSTO Y PRECIO'!B:B)</f>
        <v>45</v>
      </c>
      <c r="N316" t="e">
        <f>+_xlfn.XLOOKUP(A316,'COSTO Y PRECIO'!$A:$A,'COSTO Y PRECIO'!C:C)</f>
        <v>#N/A</v>
      </c>
    </row>
    <row r="317" spans="1:14" x14ac:dyDescent="0.35">
      <c r="A317" s="1">
        <v>100015215</v>
      </c>
      <c r="B317" s="1">
        <v>75069490</v>
      </c>
      <c r="C317" s="1" t="s">
        <v>358</v>
      </c>
      <c r="D317" s="2" t="s">
        <v>44</v>
      </c>
      <c r="E317" s="14" t="s">
        <v>33</v>
      </c>
      <c r="F317" s="7" t="s">
        <v>46</v>
      </c>
      <c r="G317" s="7" t="s">
        <v>54</v>
      </c>
      <c r="H317" s="1" t="s">
        <v>36</v>
      </c>
      <c r="I317" s="1" t="s">
        <v>247</v>
      </c>
      <c r="J317" t="str">
        <f>+_xlfn.XLOOKUP(B317,INNOVACIÓN!A:A,INNOVACIÓN!B:B,"NO")</f>
        <v>NO</v>
      </c>
      <c r="K317">
        <v>20</v>
      </c>
      <c r="M317">
        <f>+_xlfn.XLOOKUP(A317,'COSTO Y PRECIO'!$A:$A,'COSTO Y PRECIO'!B:B)</f>
        <v>52.45000000000001</v>
      </c>
      <c r="N317">
        <f>+_xlfn.XLOOKUP(A317,'COSTO Y PRECIO'!$A:$A,'COSTO Y PRECIO'!C:C)</f>
        <v>73</v>
      </c>
    </row>
    <row r="318" spans="1:14" x14ac:dyDescent="0.35">
      <c r="A318">
        <v>100011743</v>
      </c>
      <c r="B318">
        <v>75064587</v>
      </c>
      <c r="C318" t="s">
        <v>359</v>
      </c>
      <c r="D318" s="1" t="s">
        <v>44</v>
      </c>
      <c r="E318" s="14" t="s">
        <v>33</v>
      </c>
      <c r="F318" s="1" t="s">
        <v>46</v>
      </c>
      <c r="G318" s="1" t="s">
        <v>52</v>
      </c>
      <c r="H318" s="1" t="s">
        <v>36</v>
      </c>
      <c r="I318" s="1" t="s">
        <v>247</v>
      </c>
      <c r="J318" t="str">
        <f>+_xlfn.XLOOKUP(B318,INNOVACIÓN!A:A,INNOVACIÓN!B:B,"NO")</f>
        <v>NO</v>
      </c>
      <c r="K318">
        <v>14</v>
      </c>
      <c r="M318">
        <f>+_xlfn.XLOOKUP(A318,'COSTO Y PRECIO'!$A:$A,'COSTO Y PRECIO'!B:B)</f>
        <v>49.76</v>
      </c>
      <c r="N318" t="e">
        <f>+_xlfn.XLOOKUP(A318,'COSTO Y PRECIO'!$A:$A,'COSTO Y PRECIO'!C:C)</f>
        <v>#N/A</v>
      </c>
    </row>
    <row r="319" spans="1:14" x14ac:dyDescent="0.35">
      <c r="A319" s="2">
        <v>100023315</v>
      </c>
      <c r="B319" s="3">
        <v>75079697</v>
      </c>
      <c r="C319" s="2" t="s">
        <v>360</v>
      </c>
      <c r="D319" s="2" t="s">
        <v>44</v>
      </c>
      <c r="E319" s="14" t="s">
        <v>33</v>
      </c>
      <c r="F319" s="2" t="s">
        <v>46</v>
      </c>
      <c r="G319" s="2" t="s">
        <v>54</v>
      </c>
      <c r="H319" s="1" t="s">
        <v>36</v>
      </c>
      <c r="I319" s="1" t="s">
        <v>247</v>
      </c>
      <c r="J319" t="str">
        <f>+_xlfn.XLOOKUP(B319,INNOVACIÓN!A:A,INNOVACIÓN!B:B,"NO")</f>
        <v>NO</v>
      </c>
      <c r="K319">
        <v>20</v>
      </c>
      <c r="M319">
        <f>+_xlfn.XLOOKUP(A319,'COSTO Y PRECIO'!$A:$A,'COSTO Y PRECIO'!B:B)</f>
        <v>52.45000000000001</v>
      </c>
      <c r="N319">
        <f>+_xlfn.XLOOKUP(A319,'COSTO Y PRECIO'!$A:$A,'COSTO Y PRECIO'!C:C)</f>
        <v>73</v>
      </c>
    </row>
    <row r="320" spans="1:14" x14ac:dyDescent="0.35">
      <c r="A320">
        <v>100025442</v>
      </c>
      <c r="B320" s="6">
        <v>75083939</v>
      </c>
      <c r="C320" t="s">
        <v>361</v>
      </c>
      <c r="D320" s="2" t="s">
        <v>44</v>
      </c>
      <c r="E320" s="14" t="s">
        <v>33</v>
      </c>
      <c r="F320" s="1" t="s">
        <v>46</v>
      </c>
      <c r="G320" s="1" t="s">
        <v>14</v>
      </c>
      <c r="H320" s="1" t="s">
        <v>36</v>
      </c>
      <c r="I320" s="1" t="s">
        <v>109</v>
      </c>
      <c r="J320" t="str">
        <f>+_xlfn.XLOOKUP(B320,INNOVACIÓN!A:A,INNOVACIÓN!B:B,"NO")</f>
        <v>NO</v>
      </c>
      <c r="K320">
        <v>20</v>
      </c>
      <c r="M320">
        <f>+_xlfn.XLOOKUP(A320,'COSTO Y PRECIO'!$A:$A,'COSTO Y PRECIO'!B:B)</f>
        <v>64.549999999999983</v>
      </c>
      <c r="N320">
        <f>+_xlfn.XLOOKUP(A320,'COSTO Y PRECIO'!$A:$A,'COSTO Y PRECIO'!C:C)</f>
        <v>96</v>
      </c>
    </row>
    <row r="321" spans="1:14" x14ac:dyDescent="0.35">
      <c r="A321">
        <v>100025448</v>
      </c>
      <c r="B321" s="6">
        <v>75083922</v>
      </c>
      <c r="C321" t="s">
        <v>362</v>
      </c>
      <c r="D321" s="2" t="s">
        <v>44</v>
      </c>
      <c r="E321" s="14" t="s">
        <v>33</v>
      </c>
      <c r="F321" s="1" t="s">
        <v>46</v>
      </c>
      <c r="G321" s="1" t="s">
        <v>14</v>
      </c>
      <c r="H321" s="1" t="s">
        <v>36</v>
      </c>
      <c r="I321" s="1" t="s">
        <v>109</v>
      </c>
      <c r="J321" t="str">
        <f>+_xlfn.XLOOKUP(B321,INNOVACIÓN!A:A,INNOVACIÓN!B:B,"NO")</f>
        <v>NO</v>
      </c>
      <c r="K321">
        <v>15</v>
      </c>
      <c r="M321">
        <f>+_xlfn.XLOOKUP(A321,'COSTO Y PRECIO'!$A:$A,'COSTO Y PRECIO'!B:B)</f>
        <v>49.090000000000018</v>
      </c>
      <c r="N321">
        <f>+_xlfn.XLOOKUP(A321,'COSTO Y PRECIO'!$A:$A,'COSTO Y PRECIO'!C:C)</f>
        <v>73</v>
      </c>
    </row>
    <row r="322" spans="1:14" x14ac:dyDescent="0.35">
      <c r="A322">
        <v>100024884</v>
      </c>
      <c r="B322" s="6">
        <v>75082284</v>
      </c>
      <c r="C322" t="s">
        <v>363</v>
      </c>
      <c r="D322" s="2" t="s">
        <v>44</v>
      </c>
      <c r="E322" s="14" t="s">
        <v>33</v>
      </c>
      <c r="F322" s="1" t="s">
        <v>46</v>
      </c>
      <c r="G322" s="1" t="s">
        <v>14</v>
      </c>
      <c r="H322" s="1" t="s">
        <v>36</v>
      </c>
      <c r="I322" s="1" t="s">
        <v>109</v>
      </c>
      <c r="J322" t="str">
        <f>+_xlfn.XLOOKUP(B322,INNOVACIÓN!A:A,INNOVACIÓN!B:B,"NO")</f>
        <v>NO</v>
      </c>
      <c r="K322">
        <v>25</v>
      </c>
      <c r="M322">
        <f>+_xlfn.XLOOKUP(A322,'COSTO Y PRECIO'!$A:$A,'COSTO Y PRECIO'!B:B)</f>
        <v>64.549999999999983</v>
      </c>
      <c r="N322">
        <f>+_xlfn.XLOOKUP(A322,'COSTO Y PRECIO'!$A:$A,'COSTO Y PRECIO'!C:C)</f>
        <v>96</v>
      </c>
    </row>
    <row r="323" spans="1:14" x14ac:dyDescent="0.35">
      <c r="A323">
        <v>100024885</v>
      </c>
      <c r="B323" s="6">
        <v>75082291</v>
      </c>
      <c r="C323" t="s">
        <v>364</v>
      </c>
      <c r="D323" s="2" t="s">
        <v>44</v>
      </c>
      <c r="E323" s="14" t="s">
        <v>33</v>
      </c>
      <c r="F323" s="1" t="s">
        <v>46</v>
      </c>
      <c r="G323" s="1" t="s">
        <v>14</v>
      </c>
      <c r="H323" s="1" t="s">
        <v>36</v>
      </c>
      <c r="I323" s="1" t="s">
        <v>109</v>
      </c>
      <c r="J323" t="str">
        <f>+_xlfn.XLOOKUP(B323,INNOVACIÓN!A:A,INNOVACIÓN!B:B,"NO")</f>
        <v>NO</v>
      </c>
      <c r="K323">
        <v>25</v>
      </c>
      <c r="M323">
        <f>+_xlfn.XLOOKUP(A323,'COSTO Y PRECIO'!$A:$A,'COSTO Y PRECIO'!B:B)</f>
        <v>64.549999999999983</v>
      </c>
      <c r="N323">
        <f>+_xlfn.XLOOKUP(A323,'COSTO Y PRECIO'!$A:$A,'COSTO Y PRECIO'!C:C)</f>
        <v>96</v>
      </c>
    </row>
    <row r="324" spans="1:14" x14ac:dyDescent="0.35">
      <c r="A324">
        <v>100024888</v>
      </c>
      <c r="B324" s="6">
        <v>75082338</v>
      </c>
      <c r="C324" t="s">
        <v>365</v>
      </c>
      <c r="D324" s="2" t="s">
        <v>44</v>
      </c>
      <c r="E324" s="14" t="s">
        <v>33</v>
      </c>
      <c r="F324" s="1" t="s">
        <v>46</v>
      </c>
      <c r="G324" s="1" t="s">
        <v>14</v>
      </c>
      <c r="H324" s="1" t="s">
        <v>36</v>
      </c>
      <c r="I324" s="1" t="s">
        <v>109</v>
      </c>
      <c r="J324" t="str">
        <f>+_xlfn.XLOOKUP(B324,INNOVACIÓN!A:A,INNOVACIÓN!B:B,"NO")</f>
        <v>NO</v>
      </c>
      <c r="K324">
        <v>25</v>
      </c>
      <c r="M324">
        <f>+_xlfn.XLOOKUP(A324,'COSTO Y PRECIO'!$A:$A,'COSTO Y PRECIO'!B:B)</f>
        <v>64.549999999999983</v>
      </c>
      <c r="N324">
        <f>+_xlfn.XLOOKUP(A324,'COSTO Y PRECIO'!$A:$A,'COSTO Y PRECIO'!C:C)</f>
        <v>96</v>
      </c>
    </row>
    <row r="325" spans="1:14" x14ac:dyDescent="0.35">
      <c r="A325">
        <v>100024886</v>
      </c>
      <c r="B325" s="6">
        <v>75082314</v>
      </c>
      <c r="C325" t="s">
        <v>366</v>
      </c>
      <c r="D325" s="2" t="s">
        <v>44</v>
      </c>
      <c r="E325" s="14" t="s">
        <v>33</v>
      </c>
      <c r="F325" s="1" t="s">
        <v>46</v>
      </c>
      <c r="G325" s="1" t="s">
        <v>14</v>
      </c>
      <c r="H325" s="1" t="s">
        <v>36</v>
      </c>
      <c r="I325" s="1" t="s">
        <v>109</v>
      </c>
      <c r="J325" t="str">
        <f>+_xlfn.XLOOKUP(B325,INNOVACIÓN!A:A,INNOVACIÓN!B:B,"NO")</f>
        <v>NO</v>
      </c>
      <c r="K325">
        <v>25</v>
      </c>
      <c r="M325">
        <f>+_xlfn.XLOOKUP(A325,'COSTO Y PRECIO'!$A:$A,'COSTO Y PRECIO'!B:B)</f>
        <v>64.549999999999983</v>
      </c>
      <c r="N325">
        <f>+_xlfn.XLOOKUP(A325,'COSTO Y PRECIO'!$A:$A,'COSTO Y PRECIO'!C:C)</f>
        <v>96</v>
      </c>
    </row>
    <row r="326" spans="1:14" x14ac:dyDescent="0.35">
      <c r="A326">
        <v>100024887</v>
      </c>
      <c r="B326" s="6">
        <v>75082307</v>
      </c>
      <c r="C326" t="s">
        <v>367</v>
      </c>
      <c r="D326" s="2" t="s">
        <v>44</v>
      </c>
      <c r="E326" s="14" t="s">
        <v>33</v>
      </c>
      <c r="F326" s="1" t="s">
        <v>46</v>
      </c>
      <c r="G326" s="1" t="s">
        <v>14</v>
      </c>
      <c r="H326" s="1" t="s">
        <v>36</v>
      </c>
      <c r="I326" s="1" t="s">
        <v>109</v>
      </c>
      <c r="J326" t="str">
        <f>+_xlfn.XLOOKUP(B326,INNOVACIÓN!A:A,INNOVACIÓN!B:B,"NO")</f>
        <v>NO</v>
      </c>
      <c r="K326">
        <v>25</v>
      </c>
      <c r="M326">
        <f>+_xlfn.XLOOKUP(A326,'COSTO Y PRECIO'!$A:$A,'COSTO Y PRECIO'!B:B)</f>
        <v>64.549999999999983</v>
      </c>
      <c r="N326">
        <f>+_xlfn.XLOOKUP(A326,'COSTO Y PRECIO'!$A:$A,'COSTO Y PRECIO'!C:C)</f>
        <v>96</v>
      </c>
    </row>
    <row r="327" spans="1:14" x14ac:dyDescent="0.35">
      <c r="A327">
        <v>100024883</v>
      </c>
      <c r="B327" s="6">
        <v>75082321</v>
      </c>
      <c r="C327" t="s">
        <v>368</v>
      </c>
      <c r="D327" s="2" t="s">
        <v>44</v>
      </c>
      <c r="E327" s="14" t="s">
        <v>33</v>
      </c>
      <c r="F327" s="1" t="s">
        <v>46</v>
      </c>
      <c r="G327" s="1" t="s">
        <v>14</v>
      </c>
      <c r="H327" s="1" t="s">
        <v>36</v>
      </c>
      <c r="I327" s="1" t="s">
        <v>109</v>
      </c>
      <c r="J327" t="str">
        <f>+_xlfn.XLOOKUP(B327,INNOVACIÓN!A:A,INNOVACIÓN!B:B,"NO")</f>
        <v>NO</v>
      </c>
      <c r="K327">
        <v>25</v>
      </c>
      <c r="M327">
        <f>+_xlfn.XLOOKUP(A327,'COSTO Y PRECIO'!$A:$A,'COSTO Y PRECIO'!B:B)</f>
        <v>64.549999999999983</v>
      </c>
      <c r="N327">
        <f>+_xlfn.XLOOKUP(A327,'COSTO Y PRECIO'!$A:$A,'COSTO Y PRECIO'!C:C)</f>
        <v>96</v>
      </c>
    </row>
    <row r="328" spans="1:14" x14ac:dyDescent="0.35">
      <c r="A328">
        <v>100024882</v>
      </c>
      <c r="B328" s="6">
        <v>75082277</v>
      </c>
      <c r="C328" t="s">
        <v>369</v>
      </c>
      <c r="D328" s="2" t="s">
        <v>44</v>
      </c>
      <c r="E328" s="14" t="s">
        <v>33</v>
      </c>
      <c r="F328" s="1" t="s">
        <v>46</v>
      </c>
      <c r="G328" s="1" t="s">
        <v>14</v>
      </c>
      <c r="H328" s="1" t="s">
        <v>36</v>
      </c>
      <c r="I328" s="1" t="s">
        <v>109</v>
      </c>
      <c r="J328" t="str">
        <f>+_xlfn.XLOOKUP(B328,INNOVACIÓN!A:A,INNOVACIÓN!B:B,"NO")</f>
        <v>NO</v>
      </c>
      <c r="K328">
        <v>25</v>
      </c>
      <c r="M328">
        <f>+_xlfn.XLOOKUP(A328,'COSTO Y PRECIO'!$A:$A,'COSTO Y PRECIO'!B:B)</f>
        <v>64.549999999999983</v>
      </c>
      <c r="N328">
        <f>+_xlfn.XLOOKUP(A328,'COSTO Y PRECIO'!$A:$A,'COSTO Y PRECIO'!C:C)</f>
        <v>96</v>
      </c>
    </row>
    <row r="329" spans="1:14" x14ac:dyDescent="0.35">
      <c r="A329" s="2">
        <v>100019052</v>
      </c>
      <c r="B329" s="3">
        <v>75074784</v>
      </c>
      <c r="C329" s="2" t="s">
        <v>370</v>
      </c>
      <c r="D329" s="2" t="s">
        <v>44</v>
      </c>
      <c r="E329" s="2" t="s">
        <v>33</v>
      </c>
      <c r="F329" s="2" t="s">
        <v>41</v>
      </c>
      <c r="G329" s="2" t="s">
        <v>35</v>
      </c>
      <c r="H329" s="1" t="s">
        <v>36</v>
      </c>
      <c r="I329" s="1" t="s">
        <v>109</v>
      </c>
      <c r="J329" t="str">
        <f>+_xlfn.XLOOKUP(B329,INNOVACIÓN!A:A,INNOVACIÓN!B:B,"NO")</f>
        <v>NO</v>
      </c>
      <c r="K329">
        <v>20</v>
      </c>
      <c r="M329">
        <f>+_xlfn.XLOOKUP(A329,'COSTO Y PRECIO'!$A:$A,'COSTO Y PRECIO'!B:B)</f>
        <v>59.84</v>
      </c>
      <c r="N329">
        <f>+_xlfn.XLOOKUP(A329,'COSTO Y PRECIO'!$A:$A,'COSTO Y PRECIO'!C:C)</f>
        <v>89</v>
      </c>
    </row>
    <row r="330" spans="1:14" x14ac:dyDescent="0.35">
      <c r="A330" s="1">
        <v>100080808</v>
      </c>
      <c r="B330" s="4">
        <v>75030728</v>
      </c>
      <c r="C330" s="1" t="s">
        <v>371</v>
      </c>
      <c r="D330" s="1" t="s">
        <v>11</v>
      </c>
      <c r="E330" s="14" t="s">
        <v>33</v>
      </c>
      <c r="F330" s="1" t="s">
        <v>46</v>
      </c>
      <c r="G330" s="1" t="s">
        <v>14</v>
      </c>
      <c r="H330" s="1" t="s">
        <v>36</v>
      </c>
      <c r="I330" s="1" t="s">
        <v>109</v>
      </c>
      <c r="J330" t="str">
        <f>+_xlfn.XLOOKUP(B330,INNOVACIÓN!A:A,INNOVACIÓN!B:B,"NO")</f>
        <v>NO</v>
      </c>
      <c r="K330">
        <v>20</v>
      </c>
      <c r="M330">
        <f>+_xlfn.XLOOKUP(A330,'COSTO Y PRECIO'!$A:$A,'COSTO Y PRECIO'!B:B)</f>
        <v>42.840000000000011</v>
      </c>
      <c r="N330">
        <f>+_xlfn.XLOOKUP(A330,'COSTO Y PRECIO'!$A:$A,'COSTO Y PRECIO'!C:C)</f>
        <v>96</v>
      </c>
    </row>
    <row r="331" spans="1:14" x14ac:dyDescent="0.35">
      <c r="A331" s="1">
        <v>100020770</v>
      </c>
      <c r="B331" s="4">
        <v>75074753</v>
      </c>
      <c r="C331" s="1" t="s">
        <v>372</v>
      </c>
      <c r="D331" s="2" t="s">
        <v>11</v>
      </c>
      <c r="E331" s="14" t="s">
        <v>33</v>
      </c>
      <c r="F331" s="2" t="s">
        <v>46</v>
      </c>
      <c r="G331" s="2" t="s">
        <v>14</v>
      </c>
      <c r="H331" s="1" t="s">
        <v>36</v>
      </c>
      <c r="I331" s="1" t="s">
        <v>109</v>
      </c>
      <c r="J331" t="str">
        <f>+_xlfn.XLOOKUP(B331,INNOVACIÓN!A:A,INNOVACIÓN!B:B,"NO")</f>
        <v>NO</v>
      </c>
      <c r="K331">
        <v>20</v>
      </c>
      <c r="M331">
        <f>+_xlfn.XLOOKUP(A331,'COSTO Y PRECIO'!$A:$A,'COSTO Y PRECIO'!B:B)</f>
        <v>53</v>
      </c>
      <c r="N331">
        <f>+_xlfn.XLOOKUP(A331,'COSTO Y PRECIO'!$A:$A,'COSTO Y PRECIO'!C:C)</f>
        <v>96</v>
      </c>
    </row>
    <row r="332" spans="1:14" x14ac:dyDescent="0.35">
      <c r="A332" s="1">
        <v>100024301</v>
      </c>
      <c r="B332" s="4">
        <v>7503031950960</v>
      </c>
      <c r="C332" s="1" t="s">
        <v>373</v>
      </c>
      <c r="D332" s="2" t="s">
        <v>11</v>
      </c>
      <c r="E332" s="14" t="s">
        <v>33</v>
      </c>
      <c r="F332" s="2" t="s">
        <v>46</v>
      </c>
      <c r="G332" s="2" t="s">
        <v>14</v>
      </c>
      <c r="H332" s="1" t="s">
        <v>36</v>
      </c>
      <c r="I332" s="1" t="s">
        <v>109</v>
      </c>
      <c r="J332" t="str">
        <f>+_xlfn.XLOOKUP(B332,INNOVACIÓN!A:A,INNOVACIÓN!B:B,"NO")</f>
        <v>NO</v>
      </c>
      <c r="K332">
        <v>24</v>
      </c>
      <c r="M332">
        <f>+_xlfn.XLOOKUP(A332,'COSTO Y PRECIO'!$A:$A,'COSTO Y PRECIO'!B:B)</f>
        <v>49.649999999999984</v>
      </c>
      <c r="N332">
        <f>+_xlfn.XLOOKUP(A332,'COSTO Y PRECIO'!$A:$A,'COSTO Y PRECIO'!C:C)</f>
        <v>96</v>
      </c>
    </row>
    <row r="333" spans="1:14" x14ac:dyDescent="0.35">
      <c r="A333">
        <v>100025452</v>
      </c>
      <c r="B333" s="6">
        <v>7503031949322</v>
      </c>
      <c r="C333" t="s">
        <v>374</v>
      </c>
      <c r="D333" s="2" t="s">
        <v>11</v>
      </c>
      <c r="E333" s="14" t="s">
        <v>33</v>
      </c>
      <c r="F333" s="2" t="s">
        <v>46</v>
      </c>
      <c r="G333" s="2" t="s">
        <v>14</v>
      </c>
      <c r="H333" s="1" t="s">
        <v>36</v>
      </c>
      <c r="I333" s="1" t="s">
        <v>109</v>
      </c>
      <c r="J333" t="str">
        <f>+_xlfn.XLOOKUP(B333,INNOVACIÓN!A:A,INNOVACIÓN!B:B,"NO")</f>
        <v>NO</v>
      </c>
      <c r="K333">
        <v>25</v>
      </c>
      <c r="M333">
        <f>+_xlfn.XLOOKUP(A333,'COSTO Y PRECIO'!$A:$A,'COSTO Y PRECIO'!B:B)</f>
        <v>54.37</v>
      </c>
      <c r="N333">
        <f>+_xlfn.XLOOKUP(A333,'COSTO Y PRECIO'!$A:$A,'COSTO Y PRECIO'!C:C)</f>
        <v>80</v>
      </c>
    </row>
    <row r="334" spans="1:14" x14ac:dyDescent="0.35">
      <c r="A334" s="1">
        <v>100024303</v>
      </c>
      <c r="B334" s="4">
        <v>7503031950977</v>
      </c>
      <c r="C334" s="1" t="s">
        <v>375</v>
      </c>
      <c r="D334" s="2" t="s">
        <v>11</v>
      </c>
      <c r="E334" s="14" t="s">
        <v>33</v>
      </c>
      <c r="F334" s="2" t="s">
        <v>46</v>
      </c>
      <c r="G334" s="2" t="s">
        <v>14</v>
      </c>
      <c r="H334" s="1" t="s">
        <v>36</v>
      </c>
      <c r="I334" s="1" t="s">
        <v>109</v>
      </c>
      <c r="J334" t="str">
        <f>+_xlfn.XLOOKUP(B334,INNOVACIÓN!A:A,INNOVACIÓN!B:B,"NO")</f>
        <v>NO</v>
      </c>
      <c r="K334">
        <v>24</v>
      </c>
      <c r="M334">
        <f>+_xlfn.XLOOKUP(A334,'COSTO Y PRECIO'!$A:$A,'COSTO Y PRECIO'!B:B)</f>
        <v>49.649999999999984</v>
      </c>
      <c r="N334">
        <f>+_xlfn.XLOOKUP(A334,'COSTO Y PRECIO'!$A:$A,'COSTO Y PRECIO'!C:C)</f>
        <v>96</v>
      </c>
    </row>
    <row r="335" spans="1:14" x14ac:dyDescent="0.35">
      <c r="A335" s="1">
        <v>100024306</v>
      </c>
      <c r="B335" s="4">
        <v>7503031949094</v>
      </c>
      <c r="C335" s="1" t="s">
        <v>376</v>
      </c>
      <c r="D335" s="2" t="s">
        <v>11</v>
      </c>
      <c r="E335" s="14" t="s">
        <v>33</v>
      </c>
      <c r="F335" s="2" t="s">
        <v>46</v>
      </c>
      <c r="G335" s="2" t="s">
        <v>14</v>
      </c>
      <c r="H335" s="1" t="s">
        <v>36</v>
      </c>
      <c r="I335" s="1" t="s">
        <v>109</v>
      </c>
      <c r="J335" t="str">
        <f>+_xlfn.XLOOKUP(B335,INNOVACIÓN!A:A,INNOVACIÓN!B:B,"NO")</f>
        <v>NO</v>
      </c>
      <c r="K335">
        <v>24</v>
      </c>
      <c r="M335">
        <f>+_xlfn.XLOOKUP(A335,'COSTO Y PRECIO'!$A:$A,'COSTO Y PRECIO'!B:B)</f>
        <v>49.649999999999984</v>
      </c>
      <c r="N335">
        <f>+_xlfn.XLOOKUP(A335,'COSTO Y PRECIO'!$A:$A,'COSTO Y PRECIO'!C:C)</f>
        <v>96</v>
      </c>
    </row>
    <row r="336" spans="1:14" x14ac:dyDescent="0.35">
      <c r="A336">
        <v>100025451</v>
      </c>
      <c r="B336" s="6">
        <v>7503031949209</v>
      </c>
      <c r="C336" t="s">
        <v>377</v>
      </c>
      <c r="D336" s="2" t="s">
        <v>11</v>
      </c>
      <c r="E336" s="14" t="s">
        <v>33</v>
      </c>
      <c r="F336" s="2" t="s">
        <v>46</v>
      </c>
      <c r="G336" s="2" t="s">
        <v>14</v>
      </c>
      <c r="H336" s="1" t="s">
        <v>36</v>
      </c>
      <c r="I336" s="1" t="s">
        <v>109</v>
      </c>
      <c r="J336" t="str">
        <f>+_xlfn.XLOOKUP(B336,INNOVACIÓN!A:A,INNOVACIÓN!B:B,"NO")</f>
        <v>NO</v>
      </c>
      <c r="K336">
        <v>25</v>
      </c>
      <c r="M336">
        <f>+_xlfn.XLOOKUP(A336,'COSTO Y PRECIO'!$A:$A,'COSTO Y PRECIO'!B:B)</f>
        <v>54.37</v>
      </c>
      <c r="N336">
        <f>+_xlfn.XLOOKUP(A336,'COSTO Y PRECIO'!$A:$A,'COSTO Y PRECIO'!C:C)</f>
        <v>80</v>
      </c>
    </row>
    <row r="337" spans="1:14" x14ac:dyDescent="0.35">
      <c r="A337" s="1">
        <v>100024305</v>
      </c>
      <c r="B337" s="4">
        <v>7503031949001</v>
      </c>
      <c r="C337" s="1" t="s">
        <v>378</v>
      </c>
      <c r="D337" s="2" t="s">
        <v>11</v>
      </c>
      <c r="E337" s="14" t="s">
        <v>33</v>
      </c>
      <c r="F337" s="2" t="s">
        <v>46</v>
      </c>
      <c r="G337" s="2" t="s">
        <v>14</v>
      </c>
      <c r="H337" s="1" t="s">
        <v>36</v>
      </c>
      <c r="I337" s="1" t="s">
        <v>109</v>
      </c>
      <c r="J337" t="str">
        <f>+_xlfn.XLOOKUP(B337,INNOVACIÓN!A:A,INNOVACIÓN!B:B,"NO")</f>
        <v>NO</v>
      </c>
      <c r="K337">
        <v>24</v>
      </c>
      <c r="M337">
        <f>+_xlfn.XLOOKUP(A337,'COSTO Y PRECIO'!$A:$A,'COSTO Y PRECIO'!B:B)</f>
        <v>49.649999999999984</v>
      </c>
      <c r="N337">
        <f>+_xlfn.XLOOKUP(A337,'COSTO Y PRECIO'!$A:$A,'COSTO Y PRECIO'!C:C)</f>
        <v>96</v>
      </c>
    </row>
    <row r="338" spans="1:14" x14ac:dyDescent="0.35">
      <c r="A338">
        <v>100025450</v>
      </c>
      <c r="B338" s="6">
        <v>7503031949223</v>
      </c>
      <c r="C338" t="s">
        <v>379</v>
      </c>
      <c r="D338" s="2" t="s">
        <v>11</v>
      </c>
      <c r="E338" s="14" t="s">
        <v>33</v>
      </c>
      <c r="F338" s="2" t="s">
        <v>46</v>
      </c>
      <c r="G338" s="2" t="s">
        <v>14</v>
      </c>
      <c r="H338" s="1" t="s">
        <v>36</v>
      </c>
      <c r="I338" s="1" t="s">
        <v>109</v>
      </c>
      <c r="J338" t="str">
        <f>+_xlfn.XLOOKUP(B338,INNOVACIÓN!A:A,INNOVACIÓN!B:B,"NO")</f>
        <v>NO</v>
      </c>
      <c r="K338">
        <v>25</v>
      </c>
      <c r="M338">
        <f>+_xlfn.XLOOKUP(A338,'COSTO Y PRECIO'!$A:$A,'COSTO Y PRECIO'!B:B)</f>
        <v>54.37</v>
      </c>
      <c r="N338">
        <f>+_xlfn.XLOOKUP(A338,'COSTO Y PRECIO'!$A:$A,'COSTO Y PRECIO'!C:C)</f>
        <v>80</v>
      </c>
    </row>
    <row r="339" spans="1:14" x14ac:dyDescent="0.35">
      <c r="A339" s="2">
        <v>100022332</v>
      </c>
      <c r="B339" s="4">
        <v>75018832</v>
      </c>
      <c r="C339" s="2" t="s">
        <v>380</v>
      </c>
      <c r="D339" s="2" t="s">
        <v>11</v>
      </c>
      <c r="E339" s="14" t="s">
        <v>33</v>
      </c>
      <c r="F339" s="2" t="s">
        <v>46</v>
      </c>
      <c r="G339" s="2" t="s">
        <v>14</v>
      </c>
      <c r="H339" s="1" t="s">
        <v>36</v>
      </c>
      <c r="I339" s="1" t="s">
        <v>109</v>
      </c>
      <c r="J339" t="str">
        <f>+_xlfn.XLOOKUP(B339,INNOVACIÓN!A:A,INNOVACIÓN!B:B,"NO")</f>
        <v>NO</v>
      </c>
      <c r="K339">
        <v>14</v>
      </c>
      <c r="M339">
        <f>+_xlfn.XLOOKUP(A339,'COSTO Y PRECIO'!$A:$A,'COSTO Y PRECIO'!B:B)</f>
        <v>37.300000000000004</v>
      </c>
      <c r="N339">
        <f>+_xlfn.XLOOKUP(A339,'COSTO Y PRECIO'!$A:$A,'COSTO Y PRECIO'!C:C)</f>
        <v>71</v>
      </c>
    </row>
    <row r="340" spans="1:14" x14ac:dyDescent="0.35">
      <c r="A340" s="1">
        <v>100024304</v>
      </c>
      <c r="B340" s="4">
        <v>7503031950991</v>
      </c>
      <c r="C340" s="1" t="s">
        <v>381</v>
      </c>
      <c r="D340" s="2" t="s">
        <v>11</v>
      </c>
      <c r="E340" s="14" t="s">
        <v>33</v>
      </c>
      <c r="F340" s="2" t="s">
        <v>46</v>
      </c>
      <c r="G340" s="2" t="s">
        <v>14</v>
      </c>
      <c r="H340" s="1" t="s">
        <v>36</v>
      </c>
      <c r="I340" s="1" t="s">
        <v>109</v>
      </c>
      <c r="J340" t="str">
        <f>+_xlfn.XLOOKUP(B340,INNOVACIÓN!A:A,INNOVACIÓN!B:B,"NO")</f>
        <v>NO</v>
      </c>
      <c r="K340">
        <v>24</v>
      </c>
      <c r="M340">
        <f>+_xlfn.XLOOKUP(A340,'COSTO Y PRECIO'!$A:$A,'COSTO Y PRECIO'!B:B)</f>
        <v>49.649999999999984</v>
      </c>
      <c r="N340">
        <f>+_xlfn.XLOOKUP(A340,'COSTO Y PRECIO'!$A:$A,'COSTO Y PRECIO'!C:C)</f>
        <v>96</v>
      </c>
    </row>
    <row r="341" spans="1:14" x14ac:dyDescent="0.35">
      <c r="A341" s="2">
        <v>100022331</v>
      </c>
      <c r="B341" s="4">
        <v>75004408</v>
      </c>
      <c r="C341" s="2" t="s">
        <v>382</v>
      </c>
      <c r="D341" s="2" t="s">
        <v>11</v>
      </c>
      <c r="E341" s="14" t="s">
        <v>33</v>
      </c>
      <c r="F341" s="2" t="s">
        <v>46</v>
      </c>
      <c r="G341" s="2" t="s">
        <v>54</v>
      </c>
      <c r="H341" s="1" t="s">
        <v>36</v>
      </c>
      <c r="I341" s="1" t="s">
        <v>109</v>
      </c>
      <c r="J341" t="str">
        <f>+_xlfn.XLOOKUP(B341,INNOVACIÓN!A:A,INNOVACIÓN!B:B,"NO")</f>
        <v>NO</v>
      </c>
      <c r="K341">
        <v>14</v>
      </c>
      <c r="M341">
        <f>+_xlfn.XLOOKUP(A341,'COSTO Y PRECIO'!$A:$A,'COSTO Y PRECIO'!B:B)</f>
        <v>37.300000000000004</v>
      </c>
      <c r="N341">
        <f>+_xlfn.XLOOKUP(A341,'COSTO Y PRECIO'!$A:$A,'COSTO Y PRECIO'!C:C)</f>
        <v>71</v>
      </c>
    </row>
    <row r="342" spans="1:14" x14ac:dyDescent="0.35">
      <c r="A342" s="1">
        <v>100019003</v>
      </c>
      <c r="B342" s="4">
        <v>75001445</v>
      </c>
      <c r="C342" s="1" t="s">
        <v>383</v>
      </c>
      <c r="D342" s="1" t="s">
        <v>11</v>
      </c>
      <c r="E342" s="14" t="s">
        <v>33</v>
      </c>
      <c r="F342" s="1" t="s">
        <v>46</v>
      </c>
      <c r="G342" s="1" t="s">
        <v>14</v>
      </c>
      <c r="H342" s="1" t="s">
        <v>36</v>
      </c>
      <c r="I342" s="1" t="s">
        <v>109</v>
      </c>
      <c r="J342" t="str">
        <f>+_xlfn.XLOOKUP(B342,INNOVACIÓN!A:A,INNOVACIÓN!B:B,"NO")</f>
        <v>NO</v>
      </c>
      <c r="K342">
        <v>20</v>
      </c>
      <c r="M342">
        <f>+_xlfn.XLOOKUP(A342,'COSTO Y PRECIO'!$A:$A,'COSTO Y PRECIO'!B:B)</f>
        <v>50</v>
      </c>
      <c r="N342">
        <f>+_xlfn.XLOOKUP(A342,'COSTO Y PRECIO'!$A:$A,'COSTO Y PRECIO'!C:C)</f>
        <v>96</v>
      </c>
    </row>
    <row r="343" spans="1:14" x14ac:dyDescent="0.35">
      <c r="A343" s="2">
        <v>100006296</v>
      </c>
      <c r="B343" s="4">
        <v>75053758</v>
      </c>
      <c r="C343" s="2" t="s">
        <v>384</v>
      </c>
      <c r="D343" s="2" t="s">
        <v>11</v>
      </c>
      <c r="E343" s="14" t="s">
        <v>33</v>
      </c>
      <c r="F343" s="2" t="s">
        <v>41</v>
      </c>
      <c r="G343" s="2" t="s">
        <v>35</v>
      </c>
      <c r="H343" s="1" t="s">
        <v>36</v>
      </c>
      <c r="I343" s="1" t="s">
        <v>109</v>
      </c>
      <c r="J343" t="str">
        <f>+_xlfn.XLOOKUP(B343,INNOVACIÓN!A:A,INNOVACIÓN!B:B,"NO")</f>
        <v>NO</v>
      </c>
      <c r="K343">
        <v>20</v>
      </c>
      <c r="M343">
        <f>+_xlfn.XLOOKUP(A343,'COSTO Y PRECIO'!$A:$A,'COSTO Y PRECIO'!B:B)</f>
        <v>46.670000000000009</v>
      </c>
      <c r="N343">
        <f>+_xlfn.XLOOKUP(A343,'COSTO Y PRECIO'!$A:$A,'COSTO Y PRECIO'!C:C)</f>
        <v>66</v>
      </c>
    </row>
    <row r="344" spans="1:14" x14ac:dyDescent="0.35">
      <c r="A344" s="1">
        <v>100022139</v>
      </c>
      <c r="B344" s="4">
        <v>7503031950274</v>
      </c>
      <c r="C344" s="1" t="s">
        <v>385</v>
      </c>
      <c r="D344" s="1" t="s">
        <v>11</v>
      </c>
      <c r="E344" s="14" t="s">
        <v>33</v>
      </c>
      <c r="F344" s="1" t="s">
        <v>46</v>
      </c>
      <c r="G344" s="1" t="s">
        <v>14</v>
      </c>
      <c r="H344" s="1" t="s">
        <v>36</v>
      </c>
      <c r="I344" s="1" t="s">
        <v>109</v>
      </c>
      <c r="J344" t="str">
        <f>+_xlfn.XLOOKUP(B344,INNOVACIÓN!A:A,INNOVACIÓN!B:B,"NO")</f>
        <v>NO</v>
      </c>
      <c r="K344">
        <v>20</v>
      </c>
      <c r="M344">
        <f>+_xlfn.XLOOKUP(A344,'COSTO Y PRECIO'!$A:$A,'COSTO Y PRECIO'!B:B)</f>
        <v>46.26</v>
      </c>
      <c r="N344">
        <f>+_xlfn.XLOOKUP(A344,'COSTO Y PRECIO'!$A:$A,'COSTO Y PRECIO'!C:C)</f>
        <v>96</v>
      </c>
    </row>
    <row r="345" spans="1:14" x14ac:dyDescent="0.35">
      <c r="A345" s="1">
        <v>100022845</v>
      </c>
      <c r="B345" s="4">
        <v>7503031950458</v>
      </c>
      <c r="C345" s="1" t="s">
        <v>386</v>
      </c>
      <c r="D345" s="2" t="s">
        <v>11</v>
      </c>
      <c r="E345" s="14" t="s">
        <v>33</v>
      </c>
      <c r="F345" s="2" t="s">
        <v>46</v>
      </c>
      <c r="G345" s="2" t="s">
        <v>14</v>
      </c>
      <c r="H345" s="1" t="s">
        <v>36</v>
      </c>
      <c r="I345" s="1" t="s">
        <v>109</v>
      </c>
      <c r="J345" t="str">
        <f>+_xlfn.XLOOKUP(B345,INNOVACIÓN!A:A,INNOVACIÓN!B:B,"NO")</f>
        <v>NO</v>
      </c>
      <c r="K345">
        <v>20</v>
      </c>
      <c r="M345">
        <f>+_xlfn.XLOOKUP(A345,'COSTO Y PRECIO'!$A:$A,'COSTO Y PRECIO'!B:B)</f>
        <v>46.230000000000011</v>
      </c>
      <c r="N345">
        <f>+_xlfn.XLOOKUP(A345,'COSTO Y PRECIO'!$A:$A,'COSTO Y PRECIO'!C:C)</f>
        <v>96</v>
      </c>
    </row>
    <row r="346" spans="1:14" x14ac:dyDescent="0.35">
      <c r="A346" s="1">
        <v>100023891</v>
      </c>
      <c r="B346" s="4">
        <v>7503031950939</v>
      </c>
      <c r="C346" s="1" t="s">
        <v>387</v>
      </c>
      <c r="D346" s="2" t="s">
        <v>11</v>
      </c>
      <c r="E346" s="14" t="s">
        <v>33</v>
      </c>
      <c r="F346" s="2" t="s">
        <v>46</v>
      </c>
      <c r="G346" s="2" t="s">
        <v>14</v>
      </c>
      <c r="H346" s="1" t="s">
        <v>36</v>
      </c>
      <c r="I346" s="1" t="s">
        <v>109</v>
      </c>
      <c r="J346" t="str">
        <f>+_xlfn.XLOOKUP(B346,INNOVACIÓN!A:A,INNOVACIÓN!B:B,"NO")</f>
        <v>NO</v>
      </c>
      <c r="K346">
        <v>24</v>
      </c>
      <c r="M346">
        <f>+_xlfn.XLOOKUP(A346,'COSTO Y PRECIO'!$A:$A,'COSTO Y PRECIO'!B:B)</f>
        <v>49.639999999999993</v>
      </c>
      <c r="N346">
        <f>+_xlfn.XLOOKUP(A346,'COSTO Y PRECIO'!$A:$A,'COSTO Y PRECIO'!C:C)</f>
        <v>96</v>
      </c>
    </row>
    <row r="347" spans="1:14" x14ac:dyDescent="0.35">
      <c r="A347" s="1">
        <v>100022968</v>
      </c>
      <c r="B347" s="4">
        <v>75025359</v>
      </c>
      <c r="C347" s="1" t="s">
        <v>388</v>
      </c>
      <c r="D347" s="1" t="s">
        <v>11</v>
      </c>
      <c r="E347" s="14" t="s">
        <v>33</v>
      </c>
      <c r="F347" s="1" t="s">
        <v>46</v>
      </c>
      <c r="G347" s="1" t="s">
        <v>14</v>
      </c>
      <c r="H347" s="1" t="s">
        <v>36</v>
      </c>
      <c r="I347" s="1" t="s">
        <v>109</v>
      </c>
      <c r="J347" t="str">
        <f>+_xlfn.XLOOKUP(B347,INNOVACIÓN!A:A,INNOVACIÓN!B:B,"NO")</f>
        <v>NO</v>
      </c>
      <c r="K347">
        <v>20</v>
      </c>
      <c r="M347">
        <f>+_xlfn.XLOOKUP(A347,'COSTO Y PRECIO'!$A:$A,'COSTO Y PRECIO'!B:B)</f>
        <v>49.639999999999993</v>
      </c>
      <c r="N347">
        <f>+_xlfn.XLOOKUP(A347,'COSTO Y PRECIO'!$A:$A,'COSTO Y PRECIO'!C:C)</f>
        <v>96</v>
      </c>
    </row>
    <row r="348" spans="1:14" x14ac:dyDescent="0.35">
      <c r="A348" s="1">
        <v>100010332</v>
      </c>
      <c r="B348" s="4">
        <v>75062736</v>
      </c>
      <c r="C348" s="1" t="s">
        <v>389</v>
      </c>
      <c r="D348" s="1" t="s">
        <v>11</v>
      </c>
      <c r="E348" s="14" t="s">
        <v>33</v>
      </c>
      <c r="F348" s="1" t="s">
        <v>46</v>
      </c>
      <c r="G348" s="1" t="s">
        <v>14</v>
      </c>
      <c r="H348" s="1" t="s">
        <v>36</v>
      </c>
      <c r="I348" s="1" t="s">
        <v>109</v>
      </c>
      <c r="J348" t="str">
        <f>+_xlfn.XLOOKUP(B348,INNOVACIÓN!A:A,INNOVACIÓN!B:B,"NO")</f>
        <v>NO</v>
      </c>
      <c r="K348">
        <v>20</v>
      </c>
      <c r="M348">
        <f>+_xlfn.XLOOKUP(A348,'COSTO Y PRECIO'!$A:$A,'COSTO Y PRECIO'!B:B)</f>
        <v>50</v>
      </c>
      <c r="N348" t="e">
        <f>+_xlfn.XLOOKUP(A348,'COSTO Y PRECIO'!$A:$A,'COSTO Y PRECIO'!C:C)</f>
        <v>#N/A</v>
      </c>
    </row>
    <row r="349" spans="1:14" x14ac:dyDescent="0.35">
      <c r="A349" s="1">
        <v>100006294</v>
      </c>
      <c r="B349" s="4">
        <v>75053765</v>
      </c>
      <c r="C349" s="1" t="s">
        <v>390</v>
      </c>
      <c r="D349" s="2" t="s">
        <v>11</v>
      </c>
      <c r="E349" s="14" t="s">
        <v>33</v>
      </c>
      <c r="F349" s="2" t="s">
        <v>41</v>
      </c>
      <c r="G349" s="2" t="s">
        <v>35</v>
      </c>
      <c r="H349" s="1" t="s">
        <v>36</v>
      </c>
      <c r="I349" s="1" t="s">
        <v>109</v>
      </c>
      <c r="J349" t="str">
        <f>+_xlfn.XLOOKUP(B349,INNOVACIÓN!A:A,INNOVACIÓN!B:B,"NO")</f>
        <v>NO</v>
      </c>
      <c r="K349">
        <v>20</v>
      </c>
      <c r="M349">
        <f>+_xlfn.XLOOKUP(A349,'COSTO Y PRECIO'!$A:$A,'COSTO Y PRECIO'!B:B)</f>
        <v>46.670000000000009</v>
      </c>
      <c r="N349">
        <f>+_xlfn.XLOOKUP(A349,'COSTO Y PRECIO'!$A:$A,'COSTO Y PRECIO'!C:C)</f>
        <v>66</v>
      </c>
    </row>
    <row r="350" spans="1:14" x14ac:dyDescent="0.35">
      <c r="A350" s="1">
        <v>100018586</v>
      </c>
      <c r="B350" s="4">
        <v>75001414</v>
      </c>
      <c r="C350" s="1" t="s">
        <v>391</v>
      </c>
      <c r="D350" s="2" t="s">
        <v>11</v>
      </c>
      <c r="E350" s="14" t="s">
        <v>33</v>
      </c>
      <c r="F350" s="2" t="s">
        <v>41</v>
      </c>
      <c r="G350" s="2" t="s">
        <v>35</v>
      </c>
      <c r="H350" s="1" t="s">
        <v>36</v>
      </c>
      <c r="I350" s="1" t="s">
        <v>109</v>
      </c>
      <c r="J350" t="str">
        <f>+_xlfn.XLOOKUP(B350,INNOVACIÓN!A:A,INNOVACIÓN!B:B,"NO")</f>
        <v>NO</v>
      </c>
      <c r="K350">
        <v>14</v>
      </c>
      <c r="M350">
        <f>+_xlfn.XLOOKUP(A350,'COSTO Y PRECIO'!$A:$A,'COSTO Y PRECIO'!B:B)</f>
        <v>31.709999999999997</v>
      </c>
      <c r="N350">
        <f>+_xlfn.XLOOKUP(A350,'COSTO Y PRECIO'!$A:$A,'COSTO Y PRECIO'!C:C)</f>
        <v>45</v>
      </c>
    </row>
    <row r="351" spans="1:14" x14ac:dyDescent="0.35">
      <c r="A351" s="1">
        <v>100080990</v>
      </c>
      <c r="B351" s="4">
        <v>75050450</v>
      </c>
      <c r="C351" s="1" t="s">
        <v>392</v>
      </c>
      <c r="D351" s="1" t="s">
        <v>11</v>
      </c>
      <c r="E351" s="14" t="s">
        <v>33</v>
      </c>
      <c r="F351" s="1" t="s">
        <v>39</v>
      </c>
      <c r="G351" s="1" t="s">
        <v>14</v>
      </c>
      <c r="H351" s="1" t="s">
        <v>36</v>
      </c>
      <c r="I351" s="1" t="s">
        <v>109</v>
      </c>
      <c r="J351" t="str">
        <f>+_xlfn.XLOOKUP(B351,INNOVACIÓN!A:A,INNOVACIÓN!B:B,"NO")</f>
        <v>NO</v>
      </c>
      <c r="K351">
        <v>20</v>
      </c>
      <c r="M351">
        <f>+_xlfn.XLOOKUP(A351,'COSTO Y PRECIO'!$A:$A,'COSTO Y PRECIO'!B:B)</f>
        <v>50</v>
      </c>
      <c r="N351" t="e">
        <f>+_xlfn.XLOOKUP(A351,'COSTO Y PRECIO'!$A:$A,'COSTO Y PRECIO'!C:C)</f>
        <v>#N/A</v>
      </c>
    </row>
    <row r="352" spans="1:14" x14ac:dyDescent="0.35">
      <c r="A352" s="1">
        <v>100021422</v>
      </c>
      <c r="B352" s="4">
        <v>75022242</v>
      </c>
      <c r="C352" s="1" t="s">
        <v>393</v>
      </c>
      <c r="D352" s="1" t="s">
        <v>11</v>
      </c>
      <c r="E352" s="14" t="s">
        <v>33</v>
      </c>
      <c r="F352" s="1" t="s">
        <v>39</v>
      </c>
      <c r="G352" s="1" t="s">
        <v>54</v>
      </c>
      <c r="H352" s="1" t="s">
        <v>36</v>
      </c>
      <c r="I352" s="1" t="s">
        <v>109</v>
      </c>
      <c r="J352" t="str">
        <f>+_xlfn.XLOOKUP(B352,INNOVACIÓN!A:A,INNOVACIÓN!B:B,"NO")</f>
        <v>NO</v>
      </c>
      <c r="K352">
        <v>20</v>
      </c>
      <c r="M352">
        <f>+_xlfn.XLOOKUP(A352,'COSTO Y PRECIO'!$A:$A,'COSTO Y PRECIO'!B:B)</f>
        <v>49.56</v>
      </c>
      <c r="N352">
        <f>+_xlfn.XLOOKUP(A352,'COSTO Y PRECIO'!$A:$A,'COSTO Y PRECIO'!C:C)</f>
        <v>103</v>
      </c>
    </row>
    <row r="353" spans="1:14" x14ac:dyDescent="0.35">
      <c r="A353">
        <v>100019696</v>
      </c>
      <c r="B353" s="4">
        <v>75072612</v>
      </c>
      <c r="C353" t="s">
        <v>394</v>
      </c>
      <c r="D353" s="1" t="s">
        <v>11</v>
      </c>
      <c r="E353" s="14" t="s">
        <v>33</v>
      </c>
      <c r="F353" s="1" t="s">
        <v>39</v>
      </c>
      <c r="G353" s="1" t="s">
        <v>35</v>
      </c>
      <c r="H353" s="1" t="s">
        <v>36</v>
      </c>
      <c r="I353" s="1" t="s">
        <v>109</v>
      </c>
      <c r="J353" t="str">
        <f>+_xlfn.XLOOKUP(B353,INNOVACIÓN!A:A,INNOVACIÓN!B:B,"NO")</f>
        <v>NO</v>
      </c>
      <c r="K353">
        <v>20</v>
      </c>
      <c r="M353">
        <f>+_xlfn.XLOOKUP(A353,'COSTO Y PRECIO'!$A:$A,'COSTO Y PRECIO'!B:B)</f>
        <v>50</v>
      </c>
      <c r="N353" t="e">
        <f>+_xlfn.XLOOKUP(A353,'COSTO Y PRECIO'!$A:$A,'COSTO Y PRECIO'!C:C)</f>
        <v>#N/A</v>
      </c>
    </row>
    <row r="354" spans="1:14" x14ac:dyDescent="0.35">
      <c r="A354" s="1">
        <v>100015219</v>
      </c>
      <c r="B354" s="4">
        <v>75069933</v>
      </c>
      <c r="C354" s="1" t="s">
        <v>395</v>
      </c>
      <c r="D354" s="1" t="s">
        <v>11</v>
      </c>
      <c r="E354" s="14" t="s">
        <v>33</v>
      </c>
      <c r="F354" s="1" t="s">
        <v>39</v>
      </c>
      <c r="G354" s="1" t="s">
        <v>35</v>
      </c>
      <c r="H354" s="1" t="s">
        <v>36</v>
      </c>
      <c r="I354" s="1" t="s">
        <v>109</v>
      </c>
      <c r="J354" t="str">
        <f>+_xlfn.XLOOKUP(B354,INNOVACIÓN!A:A,INNOVACIÓN!B:B,"NO")</f>
        <v>NO</v>
      </c>
      <c r="K354">
        <v>20</v>
      </c>
      <c r="M354">
        <f>+_xlfn.XLOOKUP(A354,'COSTO Y PRECIO'!$A:$A,'COSTO Y PRECIO'!B:B)</f>
        <v>45</v>
      </c>
      <c r="N354" t="e">
        <f>+_xlfn.XLOOKUP(A354,'COSTO Y PRECIO'!$A:$A,'COSTO Y PRECIO'!C:C)</f>
        <v>#N/A</v>
      </c>
    </row>
    <row r="355" spans="1:14" x14ac:dyDescent="0.35">
      <c r="A355" s="1">
        <v>100019698</v>
      </c>
      <c r="B355" s="4">
        <v>75072605</v>
      </c>
      <c r="C355" s="1" t="s">
        <v>396</v>
      </c>
      <c r="D355" s="1" t="s">
        <v>11</v>
      </c>
      <c r="E355" s="14" t="s">
        <v>33</v>
      </c>
      <c r="F355" s="1" t="s">
        <v>39</v>
      </c>
      <c r="G355" s="1" t="s">
        <v>54</v>
      </c>
      <c r="H355" s="1" t="s">
        <v>36</v>
      </c>
      <c r="I355" s="1" t="s">
        <v>109</v>
      </c>
      <c r="J355" t="str">
        <f>+_xlfn.XLOOKUP(B355,INNOVACIÓN!A:A,INNOVACIÓN!B:B,"NO")</f>
        <v>NO</v>
      </c>
      <c r="K355">
        <v>20</v>
      </c>
      <c r="M355">
        <f>+_xlfn.XLOOKUP(A355,'COSTO Y PRECIO'!$A:$A,'COSTO Y PRECIO'!B:B)</f>
        <v>50</v>
      </c>
      <c r="N355" t="e">
        <f>+_xlfn.XLOOKUP(A355,'COSTO Y PRECIO'!$A:$A,'COSTO Y PRECIO'!C:C)</f>
        <v>#N/A</v>
      </c>
    </row>
    <row r="356" spans="1:14" x14ac:dyDescent="0.35">
      <c r="A356" s="1">
        <v>100021413</v>
      </c>
      <c r="B356" s="4">
        <v>7503031950229</v>
      </c>
      <c r="C356" s="1" t="s">
        <v>397</v>
      </c>
      <c r="D356" s="2" t="s">
        <v>11</v>
      </c>
      <c r="E356" s="14" t="s">
        <v>33</v>
      </c>
      <c r="F356" s="2" t="s">
        <v>46</v>
      </c>
      <c r="G356" s="2" t="s">
        <v>14</v>
      </c>
      <c r="H356" s="1" t="s">
        <v>36</v>
      </c>
      <c r="I356" s="1" t="s">
        <v>109</v>
      </c>
      <c r="J356" t="str">
        <f>+_xlfn.XLOOKUP(B356,INNOVACIÓN!A:A,INNOVACIÓN!B:B,"NO")</f>
        <v>NO</v>
      </c>
      <c r="K356">
        <v>20</v>
      </c>
      <c r="M356">
        <f>+_xlfn.XLOOKUP(A356,'COSTO Y PRECIO'!$A:$A,'COSTO Y PRECIO'!B:B)</f>
        <v>49.56</v>
      </c>
      <c r="N356">
        <f>+_xlfn.XLOOKUP(A356,'COSTO Y PRECIO'!$A:$A,'COSTO Y PRECIO'!C:C)</f>
        <v>103</v>
      </c>
    </row>
    <row r="357" spans="1:14" x14ac:dyDescent="0.35">
      <c r="A357" s="1">
        <v>100021421</v>
      </c>
      <c r="B357" s="4">
        <v>75012717</v>
      </c>
      <c r="C357" s="1" t="s">
        <v>398</v>
      </c>
      <c r="D357" s="1" t="s">
        <v>11</v>
      </c>
      <c r="E357" s="14" t="s">
        <v>33</v>
      </c>
      <c r="F357" s="1" t="s">
        <v>39</v>
      </c>
      <c r="G357" s="1" t="s">
        <v>54</v>
      </c>
      <c r="H357" s="1" t="s">
        <v>36</v>
      </c>
      <c r="I357" s="1" t="s">
        <v>109</v>
      </c>
      <c r="J357" t="str">
        <f>+_xlfn.XLOOKUP(B357,INNOVACIÓN!A:A,INNOVACIÓN!B:B,"NO")</f>
        <v>NO</v>
      </c>
      <c r="K357">
        <v>20</v>
      </c>
      <c r="M357">
        <f>+_xlfn.XLOOKUP(A357,'COSTO Y PRECIO'!$A:$A,'COSTO Y PRECIO'!B:B)</f>
        <v>49.56</v>
      </c>
      <c r="N357">
        <f>+_xlfn.XLOOKUP(A357,'COSTO Y PRECIO'!$A:$A,'COSTO Y PRECIO'!C:C)</f>
        <v>103</v>
      </c>
    </row>
    <row r="358" spans="1:14" x14ac:dyDescent="0.35">
      <c r="A358" s="1">
        <v>100021415</v>
      </c>
      <c r="B358" s="4">
        <v>75022259</v>
      </c>
      <c r="C358" s="1" t="s">
        <v>399</v>
      </c>
      <c r="D358" s="1" t="s">
        <v>11</v>
      </c>
      <c r="E358" s="14" t="s">
        <v>33</v>
      </c>
      <c r="F358" s="1" t="s">
        <v>39</v>
      </c>
      <c r="G358" s="1" t="s">
        <v>54</v>
      </c>
      <c r="H358" s="1" t="s">
        <v>36</v>
      </c>
      <c r="I358" s="1" t="s">
        <v>109</v>
      </c>
      <c r="J358" t="str">
        <f>+_xlfn.XLOOKUP(B358,INNOVACIÓN!A:A,INNOVACIÓN!B:B,"NO")</f>
        <v>NO</v>
      </c>
      <c r="K358">
        <v>20</v>
      </c>
      <c r="M358">
        <f>+_xlfn.XLOOKUP(A358,'COSTO Y PRECIO'!$A:$A,'COSTO Y PRECIO'!B:B)</f>
        <v>49.56</v>
      </c>
      <c r="N358">
        <f>+_xlfn.XLOOKUP(A358,'COSTO Y PRECIO'!$A:$A,'COSTO Y PRECIO'!C:C)</f>
        <v>103</v>
      </c>
    </row>
    <row r="359" spans="1:14" x14ac:dyDescent="0.35">
      <c r="A359" s="1">
        <v>100021411</v>
      </c>
      <c r="B359" s="4">
        <v>7503031950236</v>
      </c>
      <c r="C359" s="1" t="s">
        <v>400</v>
      </c>
      <c r="D359" s="1" t="s">
        <v>11</v>
      </c>
      <c r="E359" s="14" t="s">
        <v>33</v>
      </c>
      <c r="F359" s="1" t="s">
        <v>46</v>
      </c>
      <c r="G359" s="1" t="s">
        <v>14</v>
      </c>
      <c r="H359" s="1" t="s">
        <v>36</v>
      </c>
      <c r="I359" s="1" t="s">
        <v>109</v>
      </c>
      <c r="J359" t="str">
        <f>+_xlfn.XLOOKUP(B359,INNOVACIÓN!A:A,INNOVACIÓN!B:B,"NO")</f>
        <v>NO</v>
      </c>
      <c r="K359">
        <v>20</v>
      </c>
      <c r="M359">
        <f>+_xlfn.XLOOKUP(A359,'COSTO Y PRECIO'!$A:$A,'COSTO Y PRECIO'!B:B)</f>
        <v>49.56</v>
      </c>
      <c r="N359">
        <f>+_xlfn.XLOOKUP(A359,'COSTO Y PRECIO'!$A:$A,'COSTO Y PRECIO'!C:C)</f>
        <v>103</v>
      </c>
    </row>
    <row r="360" spans="1:14" x14ac:dyDescent="0.35">
      <c r="A360" s="1">
        <v>100021409</v>
      </c>
      <c r="B360" s="4">
        <v>7503031950250</v>
      </c>
      <c r="C360" s="1" t="s">
        <v>401</v>
      </c>
      <c r="D360" s="1" t="s">
        <v>11</v>
      </c>
      <c r="E360" s="14" t="s">
        <v>33</v>
      </c>
      <c r="F360" s="1" t="s">
        <v>46</v>
      </c>
      <c r="G360" s="1" t="s">
        <v>14</v>
      </c>
      <c r="H360" s="1" t="s">
        <v>36</v>
      </c>
      <c r="I360" s="1" t="s">
        <v>109</v>
      </c>
      <c r="J360" t="str">
        <f>+_xlfn.XLOOKUP(B360,INNOVACIÓN!A:A,INNOVACIÓN!B:B,"NO")</f>
        <v>NO</v>
      </c>
      <c r="K360">
        <v>20</v>
      </c>
      <c r="M360">
        <f>+_xlfn.XLOOKUP(A360,'COSTO Y PRECIO'!$A:$A,'COSTO Y PRECIO'!B:B)</f>
        <v>49.56</v>
      </c>
      <c r="N360">
        <f>+_xlfn.XLOOKUP(A360,'COSTO Y PRECIO'!$A:$A,'COSTO Y PRECIO'!C:C)</f>
        <v>103</v>
      </c>
    </row>
    <row r="361" spans="1:14" x14ac:dyDescent="0.35">
      <c r="A361" s="1">
        <v>100021407</v>
      </c>
      <c r="B361" s="4">
        <v>7503031950243</v>
      </c>
      <c r="C361" s="1" t="s">
        <v>402</v>
      </c>
      <c r="D361" s="2" t="s">
        <v>11</v>
      </c>
      <c r="E361" s="14" t="s">
        <v>33</v>
      </c>
      <c r="F361" s="2" t="s">
        <v>46</v>
      </c>
      <c r="G361" s="1" t="s">
        <v>54</v>
      </c>
      <c r="H361" s="1" t="s">
        <v>36</v>
      </c>
      <c r="I361" s="1" t="s">
        <v>109</v>
      </c>
      <c r="J361" t="str">
        <f>+_xlfn.XLOOKUP(B361,INNOVACIÓN!A:A,INNOVACIÓN!B:B,"NO")</f>
        <v>NO</v>
      </c>
      <c r="K361">
        <v>20</v>
      </c>
      <c r="M361">
        <f>+_xlfn.XLOOKUP(A361,'COSTO Y PRECIO'!$A:$A,'COSTO Y PRECIO'!B:B)</f>
        <v>49.56</v>
      </c>
      <c r="N361">
        <f>+_xlfn.XLOOKUP(A361,'COSTO Y PRECIO'!$A:$A,'COSTO Y PRECIO'!C:C)</f>
        <v>103</v>
      </c>
    </row>
    <row r="362" spans="1:14" x14ac:dyDescent="0.35">
      <c r="A362" s="1">
        <v>100021418</v>
      </c>
      <c r="B362" s="4">
        <v>75015718</v>
      </c>
      <c r="C362" s="1" t="s">
        <v>403</v>
      </c>
      <c r="D362" s="1" t="s">
        <v>11</v>
      </c>
      <c r="E362" s="14" t="s">
        <v>33</v>
      </c>
      <c r="F362" s="1" t="s">
        <v>39</v>
      </c>
      <c r="G362" s="1" t="s">
        <v>54</v>
      </c>
      <c r="H362" s="1" t="s">
        <v>36</v>
      </c>
      <c r="I362" s="1" t="s">
        <v>109</v>
      </c>
      <c r="J362" t="str">
        <f>+_xlfn.XLOOKUP(B362,INNOVACIÓN!A:A,INNOVACIÓN!B:B,"NO")</f>
        <v>NO</v>
      </c>
      <c r="K362">
        <v>20</v>
      </c>
      <c r="M362">
        <f>+_xlfn.XLOOKUP(A362,'COSTO Y PRECIO'!$A:$A,'COSTO Y PRECIO'!B:B)</f>
        <v>49.56</v>
      </c>
      <c r="N362">
        <f>+_xlfn.XLOOKUP(A362,'COSTO Y PRECIO'!$A:$A,'COSTO Y PRECIO'!C:C)</f>
        <v>103</v>
      </c>
    </row>
    <row r="363" spans="1:14" x14ac:dyDescent="0.35">
      <c r="A363" s="1">
        <v>100022334</v>
      </c>
      <c r="B363" s="4">
        <v>7503031950441</v>
      </c>
      <c r="C363" s="1" t="s">
        <v>404</v>
      </c>
      <c r="D363" s="2" t="s">
        <v>11</v>
      </c>
      <c r="E363" s="14" t="s">
        <v>33</v>
      </c>
      <c r="F363" s="2" t="s">
        <v>46</v>
      </c>
      <c r="G363" s="1" t="s">
        <v>54</v>
      </c>
      <c r="H363" s="1" t="s">
        <v>36</v>
      </c>
      <c r="I363" s="1" t="s">
        <v>109</v>
      </c>
      <c r="J363" t="str">
        <f>+_xlfn.XLOOKUP(B363,INNOVACIÓN!A:A,INNOVACIÓN!B:B,"NO")</f>
        <v>NO</v>
      </c>
      <c r="K363">
        <v>20</v>
      </c>
      <c r="M363">
        <f>+_xlfn.XLOOKUP(A363,'COSTO Y PRECIO'!$A:$A,'COSTO Y PRECIO'!B:B)</f>
        <v>49.56</v>
      </c>
      <c r="N363" t="e">
        <f>+_xlfn.XLOOKUP(A363,'COSTO Y PRECIO'!$A:$A,'COSTO Y PRECIO'!C:C)</f>
        <v>#N/A</v>
      </c>
    </row>
    <row r="364" spans="1:14" x14ac:dyDescent="0.35">
      <c r="A364" s="1">
        <v>100020135</v>
      </c>
      <c r="B364" s="4">
        <v>7503031950137</v>
      </c>
      <c r="C364" s="1" t="s">
        <v>405</v>
      </c>
      <c r="D364" s="1" t="s">
        <v>11</v>
      </c>
      <c r="E364" s="14" t="s">
        <v>33</v>
      </c>
      <c r="F364" s="1" t="s">
        <v>46</v>
      </c>
      <c r="G364" s="1" t="s">
        <v>14</v>
      </c>
      <c r="H364" s="1" t="s">
        <v>36</v>
      </c>
      <c r="I364" s="1" t="s">
        <v>109</v>
      </c>
      <c r="J364" t="str">
        <f>+_xlfn.XLOOKUP(B364,INNOVACIÓN!A:A,INNOVACIÓN!B:B,"NO")</f>
        <v>NO</v>
      </c>
      <c r="K364">
        <v>20</v>
      </c>
      <c r="M364">
        <f>+_xlfn.XLOOKUP(A364,'COSTO Y PRECIO'!$A:$A,'COSTO Y PRECIO'!B:B)</f>
        <v>45.040000000000013</v>
      </c>
      <c r="N364">
        <f>+_xlfn.XLOOKUP(A364,'COSTO Y PRECIO'!$A:$A,'COSTO Y PRECIO'!C:C)</f>
        <v>96</v>
      </c>
    </row>
    <row r="365" spans="1:14" x14ac:dyDescent="0.35">
      <c r="A365" s="1">
        <v>100020134</v>
      </c>
      <c r="B365" s="4">
        <v>7503031950144</v>
      </c>
      <c r="C365" s="1" t="s">
        <v>406</v>
      </c>
      <c r="D365" s="2" t="s">
        <v>11</v>
      </c>
      <c r="E365" s="14" t="s">
        <v>33</v>
      </c>
      <c r="F365" s="2" t="s">
        <v>46</v>
      </c>
      <c r="G365" s="2" t="s">
        <v>14</v>
      </c>
      <c r="H365" s="1" t="s">
        <v>36</v>
      </c>
      <c r="I365" s="1" t="s">
        <v>109</v>
      </c>
      <c r="J365" t="str">
        <f>+_xlfn.XLOOKUP(B365,INNOVACIÓN!A:A,INNOVACIÓN!B:B,"NO")</f>
        <v>NO</v>
      </c>
      <c r="K365">
        <v>20</v>
      </c>
      <c r="M365">
        <f>+_xlfn.XLOOKUP(A365,'COSTO Y PRECIO'!$A:$A,'COSTO Y PRECIO'!B:B)</f>
        <v>45.04</v>
      </c>
      <c r="N365">
        <f>+_xlfn.XLOOKUP(A365,'COSTO Y PRECIO'!$A:$A,'COSTO Y PRECIO'!C:C)</f>
        <v>103</v>
      </c>
    </row>
    <row r="366" spans="1:14" x14ac:dyDescent="0.35">
      <c r="A366">
        <v>100020136</v>
      </c>
      <c r="B366" s="4">
        <v>7503031950151</v>
      </c>
      <c r="C366" t="s">
        <v>407</v>
      </c>
      <c r="D366" s="1" t="s">
        <v>11</v>
      </c>
      <c r="E366" s="14" t="s">
        <v>33</v>
      </c>
      <c r="F366" s="1" t="s">
        <v>46</v>
      </c>
      <c r="G366" s="1" t="s">
        <v>54</v>
      </c>
      <c r="H366" s="1" t="s">
        <v>36</v>
      </c>
      <c r="I366" s="1" t="s">
        <v>109</v>
      </c>
      <c r="J366" t="str">
        <f>+_xlfn.XLOOKUP(B366,INNOVACIÓN!A:A,INNOVACIÓN!B:B,"NO")</f>
        <v>NO</v>
      </c>
      <c r="K366">
        <v>20</v>
      </c>
      <c r="M366">
        <f>+_xlfn.XLOOKUP(A366,'COSTO Y PRECIO'!$A:$A,'COSTO Y PRECIO'!B:B)</f>
        <v>45.04</v>
      </c>
      <c r="N366">
        <f>+_xlfn.XLOOKUP(A366,'COSTO Y PRECIO'!$A:$A,'COSTO Y PRECIO'!C:C)</f>
        <v>96</v>
      </c>
    </row>
    <row r="367" spans="1:14" x14ac:dyDescent="0.35">
      <c r="A367">
        <v>100019578</v>
      </c>
      <c r="B367" s="4">
        <v>7503031950052</v>
      </c>
      <c r="C367" t="s">
        <v>408</v>
      </c>
      <c r="D367" s="1" t="s">
        <v>11</v>
      </c>
      <c r="E367" s="14" t="s">
        <v>33</v>
      </c>
      <c r="F367" s="1" t="s">
        <v>46</v>
      </c>
      <c r="G367" s="1" t="s">
        <v>14</v>
      </c>
      <c r="H367" s="1" t="s">
        <v>36</v>
      </c>
      <c r="I367" s="1" t="s">
        <v>109</v>
      </c>
      <c r="J367" t="str">
        <f>+_xlfn.XLOOKUP(B367,INNOVACIÓN!A:A,INNOVACIÓN!B:B,"NO")</f>
        <v>NO</v>
      </c>
      <c r="K367">
        <v>20</v>
      </c>
      <c r="M367">
        <f>+_xlfn.XLOOKUP(A367,'COSTO Y PRECIO'!$A:$A,'COSTO Y PRECIO'!B:B)</f>
        <v>45.04</v>
      </c>
      <c r="N367" t="e">
        <f>+_xlfn.XLOOKUP(A367,'COSTO Y PRECIO'!$A:$A,'COSTO Y PRECIO'!C:C)</f>
        <v>#N/A</v>
      </c>
    </row>
    <row r="368" spans="1:14" x14ac:dyDescent="0.35">
      <c r="A368" s="1">
        <v>100020724</v>
      </c>
      <c r="B368" s="4">
        <v>7503031950182</v>
      </c>
      <c r="C368" s="1" t="s">
        <v>409</v>
      </c>
      <c r="D368" s="1" t="s">
        <v>11</v>
      </c>
      <c r="E368" s="14" t="s">
        <v>33</v>
      </c>
      <c r="F368" s="1" t="s">
        <v>46</v>
      </c>
      <c r="G368" s="1" t="s">
        <v>14</v>
      </c>
      <c r="H368" s="1" t="s">
        <v>36</v>
      </c>
      <c r="I368" s="1" t="s">
        <v>109</v>
      </c>
      <c r="J368" t="str">
        <f>+_xlfn.XLOOKUP(B368,INNOVACIÓN!A:A,INNOVACIÓN!B:B,"NO")</f>
        <v>NO</v>
      </c>
      <c r="K368">
        <v>20</v>
      </c>
      <c r="M368">
        <f>+_xlfn.XLOOKUP(A368,'COSTO Y PRECIO'!$A:$A,'COSTO Y PRECIO'!B:B)</f>
        <v>42.840000000000011</v>
      </c>
      <c r="N368">
        <f>+_xlfn.XLOOKUP(A368,'COSTO Y PRECIO'!$A:$A,'COSTO Y PRECIO'!C:C)</f>
        <v>96</v>
      </c>
    </row>
    <row r="369" spans="1:14" x14ac:dyDescent="0.35">
      <c r="A369" s="1">
        <v>100020725</v>
      </c>
      <c r="B369" s="4">
        <v>7503031950199</v>
      </c>
      <c r="C369" s="1" t="s">
        <v>410</v>
      </c>
      <c r="D369" s="2" t="s">
        <v>11</v>
      </c>
      <c r="E369" s="14" t="s">
        <v>33</v>
      </c>
      <c r="F369" s="2" t="s">
        <v>46</v>
      </c>
      <c r="G369" s="2" t="s">
        <v>14</v>
      </c>
      <c r="H369" s="1" t="s">
        <v>36</v>
      </c>
      <c r="I369" s="1" t="s">
        <v>109</v>
      </c>
      <c r="J369" t="str">
        <f>+_xlfn.XLOOKUP(B369,INNOVACIÓN!A:A,INNOVACIÓN!B:B,"NO")</f>
        <v>NO</v>
      </c>
      <c r="K369">
        <v>20</v>
      </c>
      <c r="M369">
        <f>+_xlfn.XLOOKUP(A369,'COSTO Y PRECIO'!$A:$A,'COSTO Y PRECIO'!B:B)</f>
        <v>42.840000000000011</v>
      </c>
      <c r="N369">
        <f>+_xlfn.XLOOKUP(A369,'COSTO Y PRECIO'!$A:$A,'COSTO Y PRECIO'!C:C)</f>
        <v>96</v>
      </c>
    </row>
    <row r="370" spans="1:14" x14ac:dyDescent="0.35">
      <c r="A370" s="1">
        <v>100020726</v>
      </c>
      <c r="B370" s="4">
        <v>7503031950205</v>
      </c>
      <c r="C370" s="1" t="s">
        <v>411</v>
      </c>
      <c r="D370" s="1" t="s">
        <v>11</v>
      </c>
      <c r="E370" s="14" t="s">
        <v>33</v>
      </c>
      <c r="F370" s="1" t="s">
        <v>46</v>
      </c>
      <c r="G370" s="1" t="s">
        <v>54</v>
      </c>
      <c r="H370" s="1" t="s">
        <v>36</v>
      </c>
      <c r="I370" s="1" t="s">
        <v>109</v>
      </c>
      <c r="J370" t="str">
        <f>+_xlfn.XLOOKUP(B370,INNOVACIÓN!A:A,INNOVACIÓN!B:B,"NO")</f>
        <v>NO</v>
      </c>
      <c r="K370">
        <v>20</v>
      </c>
      <c r="M370">
        <f>+_xlfn.XLOOKUP(A370,'COSTO Y PRECIO'!$A:$A,'COSTO Y PRECIO'!B:B)</f>
        <v>42.840000000000011</v>
      </c>
      <c r="N370">
        <f>+_xlfn.XLOOKUP(A370,'COSTO Y PRECIO'!$A:$A,'COSTO Y PRECIO'!C:C)</f>
        <v>96</v>
      </c>
    </row>
    <row r="371" spans="1:14" x14ac:dyDescent="0.35">
      <c r="A371">
        <v>100019576</v>
      </c>
      <c r="B371" s="4">
        <v>7503031950069</v>
      </c>
      <c r="C371" t="s">
        <v>412</v>
      </c>
      <c r="D371" s="1" t="s">
        <v>11</v>
      </c>
      <c r="E371" s="14" t="s">
        <v>33</v>
      </c>
      <c r="F371" s="1" t="s">
        <v>46</v>
      </c>
      <c r="G371" s="1" t="s">
        <v>14</v>
      </c>
      <c r="H371" s="1" t="s">
        <v>36</v>
      </c>
      <c r="I371" s="1" t="s">
        <v>109</v>
      </c>
      <c r="J371" t="str">
        <f>+_xlfn.XLOOKUP(B371,INNOVACIÓN!A:A,INNOVACIÓN!B:B,"NO")</f>
        <v>NO</v>
      </c>
      <c r="K371">
        <v>20</v>
      </c>
      <c r="M371">
        <f>+_xlfn.XLOOKUP(A371,'COSTO Y PRECIO'!$A:$A,'COSTO Y PRECIO'!B:B)</f>
        <v>45.04</v>
      </c>
      <c r="N371" t="e">
        <f>+_xlfn.XLOOKUP(A371,'COSTO Y PRECIO'!$A:$A,'COSTO Y PRECIO'!C:C)</f>
        <v>#N/A</v>
      </c>
    </row>
    <row r="372" spans="1:14" x14ac:dyDescent="0.35">
      <c r="A372" s="1">
        <v>100020429</v>
      </c>
      <c r="B372" s="4">
        <v>7503031950175</v>
      </c>
      <c r="C372" s="1" t="s">
        <v>413</v>
      </c>
      <c r="D372" s="2" t="s">
        <v>11</v>
      </c>
      <c r="E372" s="14" t="s">
        <v>33</v>
      </c>
      <c r="F372" s="2" t="s">
        <v>46</v>
      </c>
      <c r="G372" s="2" t="s">
        <v>14</v>
      </c>
      <c r="H372" s="1" t="s">
        <v>36</v>
      </c>
      <c r="I372" s="1" t="s">
        <v>109</v>
      </c>
      <c r="J372" t="str">
        <f>+_xlfn.XLOOKUP(B372,INNOVACIÓN!A:A,INNOVACIÓN!B:B,"NO")</f>
        <v>NO</v>
      </c>
      <c r="K372">
        <v>20</v>
      </c>
      <c r="M372">
        <f>+_xlfn.XLOOKUP(A372,'COSTO Y PRECIO'!$A:$A,'COSTO Y PRECIO'!B:B)</f>
        <v>45.04</v>
      </c>
      <c r="N372">
        <f>+_xlfn.XLOOKUP(A372,'COSTO Y PRECIO'!$A:$A,'COSTO Y PRECIO'!C:C)</f>
        <v>96</v>
      </c>
    </row>
    <row r="373" spans="1:14" x14ac:dyDescent="0.35">
      <c r="A373" s="1">
        <v>100021091</v>
      </c>
      <c r="B373" s="4">
        <v>7503031950212</v>
      </c>
      <c r="C373" s="1" t="s">
        <v>414</v>
      </c>
      <c r="D373" s="1" t="s">
        <v>11</v>
      </c>
      <c r="E373" s="14" t="s">
        <v>33</v>
      </c>
      <c r="F373" s="1" t="s">
        <v>46</v>
      </c>
      <c r="G373" s="1" t="s">
        <v>14</v>
      </c>
      <c r="H373" s="1" t="s">
        <v>36</v>
      </c>
      <c r="I373" s="1" t="s">
        <v>109</v>
      </c>
      <c r="J373" t="str">
        <f>+_xlfn.XLOOKUP(B373,INNOVACIÓN!A:A,INNOVACIÓN!B:B,"NO")</f>
        <v>NO</v>
      </c>
      <c r="K373">
        <v>20</v>
      </c>
      <c r="M373">
        <f>+_xlfn.XLOOKUP(A373,'COSTO Y PRECIO'!$A:$A,'COSTO Y PRECIO'!B:B)</f>
        <v>42.840000000000011</v>
      </c>
      <c r="N373">
        <f>+_xlfn.XLOOKUP(A373,'COSTO Y PRECIO'!$A:$A,'COSTO Y PRECIO'!C:C)</f>
        <v>96</v>
      </c>
    </row>
    <row r="374" spans="1:14" x14ac:dyDescent="0.35">
      <c r="A374" s="1">
        <v>100022138</v>
      </c>
      <c r="B374" s="4">
        <v>7503031950281</v>
      </c>
      <c r="C374" s="1" t="s">
        <v>415</v>
      </c>
      <c r="D374" s="1" t="s">
        <v>11</v>
      </c>
      <c r="E374" s="14" t="s">
        <v>33</v>
      </c>
      <c r="F374" s="1" t="s">
        <v>46</v>
      </c>
      <c r="G374" s="1" t="s">
        <v>14</v>
      </c>
      <c r="H374" s="1" t="s">
        <v>36</v>
      </c>
      <c r="I374" s="1" t="s">
        <v>109</v>
      </c>
      <c r="J374" t="str">
        <f>+_xlfn.XLOOKUP(B374,INNOVACIÓN!A:A,INNOVACIÓN!B:B,"NO")</f>
        <v>NO</v>
      </c>
      <c r="K374">
        <v>20</v>
      </c>
      <c r="M374">
        <f>+_xlfn.XLOOKUP(A374,'COSTO Y PRECIO'!$A:$A,'COSTO Y PRECIO'!B:B)</f>
        <v>46.26</v>
      </c>
      <c r="N374">
        <f>+_xlfn.XLOOKUP(A374,'COSTO Y PRECIO'!$A:$A,'COSTO Y PRECIO'!C:C)</f>
        <v>96</v>
      </c>
    </row>
    <row r="375" spans="1:14" x14ac:dyDescent="0.35">
      <c r="A375" s="1">
        <v>100022849</v>
      </c>
      <c r="B375" s="4">
        <v>7503031950465</v>
      </c>
      <c r="C375" s="1" t="s">
        <v>416</v>
      </c>
      <c r="D375" s="2" t="s">
        <v>11</v>
      </c>
      <c r="E375" s="14" t="s">
        <v>33</v>
      </c>
      <c r="F375" s="2" t="s">
        <v>46</v>
      </c>
      <c r="G375" s="2" t="s">
        <v>14</v>
      </c>
      <c r="H375" s="1" t="s">
        <v>36</v>
      </c>
      <c r="I375" s="1" t="s">
        <v>109</v>
      </c>
      <c r="J375" t="str">
        <f>+_xlfn.XLOOKUP(B375,INNOVACIÓN!A:A,INNOVACIÓN!B:B,"NO")</f>
        <v>NO</v>
      </c>
      <c r="K375">
        <v>20</v>
      </c>
      <c r="M375">
        <f>+_xlfn.XLOOKUP(A375,'COSTO Y PRECIO'!$A:$A,'COSTO Y PRECIO'!B:B)</f>
        <v>46.230000000000011</v>
      </c>
      <c r="N375">
        <f>+_xlfn.XLOOKUP(A375,'COSTO Y PRECIO'!$A:$A,'COSTO Y PRECIO'!C:C)</f>
        <v>96</v>
      </c>
    </row>
    <row r="376" spans="1:14" x14ac:dyDescent="0.35">
      <c r="A376" s="1">
        <v>100023889</v>
      </c>
      <c r="B376" s="4">
        <v>7503031950953</v>
      </c>
      <c r="C376" s="1" t="s">
        <v>417</v>
      </c>
      <c r="D376" s="2" t="s">
        <v>11</v>
      </c>
      <c r="E376" s="14" t="s">
        <v>33</v>
      </c>
      <c r="F376" s="2" t="s">
        <v>46</v>
      </c>
      <c r="G376" s="2" t="s">
        <v>14</v>
      </c>
      <c r="H376" s="1" t="s">
        <v>36</v>
      </c>
      <c r="I376" s="1" t="s">
        <v>109</v>
      </c>
      <c r="J376" t="str">
        <f>+_xlfn.XLOOKUP(B376,INNOVACIÓN!A:A,INNOVACIÓN!B:B,"NO")</f>
        <v>NO</v>
      </c>
      <c r="K376">
        <v>24</v>
      </c>
      <c r="M376">
        <f>+_xlfn.XLOOKUP(A376,'COSTO Y PRECIO'!$A:$A,'COSTO Y PRECIO'!B:B)</f>
        <v>47.579999999999991</v>
      </c>
      <c r="N376">
        <f>+_xlfn.XLOOKUP(A376,'COSTO Y PRECIO'!$A:$A,'COSTO Y PRECIO'!C:C)</f>
        <v>96</v>
      </c>
    </row>
    <row r="377" spans="1:14" x14ac:dyDescent="0.35">
      <c r="A377" s="1">
        <v>100022276</v>
      </c>
      <c r="B377" s="4">
        <v>75004415</v>
      </c>
      <c r="C377" s="1" t="s">
        <v>418</v>
      </c>
      <c r="D377" s="1" t="s">
        <v>11</v>
      </c>
      <c r="E377" s="14" t="s">
        <v>33</v>
      </c>
      <c r="F377" s="2" t="s">
        <v>46</v>
      </c>
      <c r="G377" s="2" t="s">
        <v>14</v>
      </c>
      <c r="H377" s="1" t="s">
        <v>36</v>
      </c>
      <c r="I377" s="1" t="s">
        <v>109</v>
      </c>
      <c r="J377" t="str">
        <f>+_xlfn.XLOOKUP(B377,INNOVACIÓN!A:A,INNOVACIÓN!B:B,"NO")</f>
        <v>NO</v>
      </c>
      <c r="K377">
        <v>20</v>
      </c>
      <c r="M377">
        <f>+_xlfn.XLOOKUP(A377,'COSTO Y PRECIO'!$A:$A,'COSTO Y PRECIO'!B:B)</f>
        <v>49.639999999999993</v>
      </c>
      <c r="N377">
        <f>+_xlfn.XLOOKUP(A377,'COSTO Y PRECIO'!$A:$A,'COSTO Y PRECIO'!C:C)</f>
        <v>96</v>
      </c>
    </row>
    <row r="378" spans="1:14" x14ac:dyDescent="0.35">
      <c r="A378" s="1">
        <v>100023362</v>
      </c>
      <c r="B378" s="4">
        <v>7503031950533</v>
      </c>
      <c r="C378" s="1" t="s">
        <v>419</v>
      </c>
      <c r="D378" s="2" t="s">
        <v>11</v>
      </c>
      <c r="E378" s="14" t="s">
        <v>33</v>
      </c>
      <c r="F378" s="2" t="s">
        <v>41</v>
      </c>
      <c r="G378" s="1" t="s">
        <v>35</v>
      </c>
      <c r="H378" s="1" t="s">
        <v>36</v>
      </c>
      <c r="I378" s="1" t="s">
        <v>109</v>
      </c>
      <c r="J378" t="str">
        <f>+_xlfn.XLOOKUP(B378,INNOVACIÓN!A:A,INNOVACIÓN!B:B,"NO")</f>
        <v>NO</v>
      </c>
      <c r="K378">
        <v>20</v>
      </c>
      <c r="M378">
        <f>+_xlfn.XLOOKUP(A378,'COSTO Y PRECIO'!$A:$A,'COSTO Y PRECIO'!B:B)</f>
        <v>46.670000000000009</v>
      </c>
      <c r="N378">
        <f>+_xlfn.XLOOKUP(A378,'COSTO Y PRECIO'!$A:$A,'COSTO Y PRECIO'!C:C)</f>
        <v>66</v>
      </c>
    </row>
    <row r="379" spans="1:14" x14ac:dyDescent="0.35">
      <c r="A379" s="1">
        <v>100020137</v>
      </c>
      <c r="B379" s="4">
        <v>7503031950168</v>
      </c>
      <c r="C379" s="1" t="s">
        <v>420</v>
      </c>
      <c r="D379" s="1" t="s">
        <v>11</v>
      </c>
      <c r="E379" s="14" t="s">
        <v>33</v>
      </c>
      <c r="F379" s="1" t="s">
        <v>41</v>
      </c>
      <c r="G379" s="1" t="s">
        <v>35</v>
      </c>
      <c r="H379" s="1" t="s">
        <v>36</v>
      </c>
      <c r="I379" s="1" t="s">
        <v>109</v>
      </c>
      <c r="J379" t="str">
        <f>+_xlfn.XLOOKUP(B379,INNOVACIÓN!A:A,INNOVACIÓN!B:B,"NO")</f>
        <v>NO</v>
      </c>
      <c r="K379">
        <v>20</v>
      </c>
      <c r="M379">
        <f>+_xlfn.XLOOKUP(A379,'COSTO Y PRECIO'!$A:$A,'COSTO Y PRECIO'!B:B)</f>
        <v>47.63</v>
      </c>
      <c r="N379">
        <f>+_xlfn.XLOOKUP(A379,'COSTO Y PRECIO'!$A:$A,'COSTO Y PRECIO'!C:C)</f>
        <v>47</v>
      </c>
    </row>
    <row r="380" spans="1:14" x14ac:dyDescent="0.35">
      <c r="A380" s="1">
        <v>100080937</v>
      </c>
      <c r="B380" s="4">
        <v>75046781</v>
      </c>
      <c r="C380" s="1" t="s">
        <v>421</v>
      </c>
      <c r="D380" s="1" t="s">
        <v>11</v>
      </c>
      <c r="E380" s="14" t="s">
        <v>33</v>
      </c>
      <c r="F380" s="1" t="s">
        <v>39</v>
      </c>
      <c r="G380" s="1" t="s">
        <v>35</v>
      </c>
      <c r="H380" s="1" t="s">
        <v>36</v>
      </c>
      <c r="I380" s="1" t="s">
        <v>109</v>
      </c>
      <c r="J380" t="str">
        <f>+_xlfn.XLOOKUP(B380,INNOVACIÓN!A:A,INNOVACIÓN!B:B,"NO")</f>
        <v>NO</v>
      </c>
      <c r="K380">
        <v>20</v>
      </c>
      <c r="M380">
        <f>+_xlfn.XLOOKUP(A380,'COSTO Y PRECIO'!$A:$A,'COSTO Y PRECIO'!B:B)</f>
        <v>45</v>
      </c>
      <c r="N380" t="e">
        <f>+_xlfn.XLOOKUP(A380,'COSTO Y PRECIO'!$A:$A,'COSTO Y PRECIO'!C:C)</f>
        <v>#N/A</v>
      </c>
    </row>
    <row r="381" spans="1:14" x14ac:dyDescent="0.35">
      <c r="A381" s="1">
        <v>100080829</v>
      </c>
      <c r="B381" s="4">
        <v>75034375</v>
      </c>
      <c r="C381" s="1" t="s">
        <v>422</v>
      </c>
      <c r="D381" s="1" t="s">
        <v>11</v>
      </c>
      <c r="E381" s="14" t="s">
        <v>33</v>
      </c>
      <c r="F381" s="1" t="s">
        <v>39</v>
      </c>
      <c r="G381" s="1" t="s">
        <v>35</v>
      </c>
      <c r="H381" s="1" t="s">
        <v>36</v>
      </c>
      <c r="I381" s="1" t="s">
        <v>109</v>
      </c>
      <c r="J381" t="str">
        <f>+_xlfn.XLOOKUP(B381,INNOVACIÓN!A:A,INNOVACIÓN!B:B,"NO")</f>
        <v>NO</v>
      </c>
      <c r="K381">
        <v>20</v>
      </c>
      <c r="M381">
        <f>+_xlfn.XLOOKUP(A381,'COSTO Y PRECIO'!$A:$A,'COSTO Y PRECIO'!B:B)</f>
        <v>45</v>
      </c>
      <c r="N381" t="e">
        <f>+_xlfn.XLOOKUP(A381,'COSTO Y PRECIO'!$A:$A,'COSTO Y PRECIO'!C:C)</f>
        <v>#N/A</v>
      </c>
    </row>
    <row r="382" spans="1:14" x14ac:dyDescent="0.35">
      <c r="A382" s="2">
        <v>100007987</v>
      </c>
      <c r="B382" s="4">
        <v>9583</v>
      </c>
      <c r="C382" s="2" t="s">
        <v>423</v>
      </c>
      <c r="D382" s="2" t="s">
        <v>11</v>
      </c>
      <c r="E382" s="14" t="s">
        <v>33</v>
      </c>
      <c r="F382" s="2" t="s">
        <v>46</v>
      </c>
      <c r="G382" s="2" t="s">
        <v>35</v>
      </c>
      <c r="H382" s="1" t="s">
        <v>36</v>
      </c>
      <c r="I382" s="1" t="s">
        <v>247</v>
      </c>
      <c r="J382" t="str">
        <f>+_xlfn.XLOOKUP(B382,INNOVACIÓN!A:A,INNOVACIÓN!B:B,"NO")</f>
        <v>NO</v>
      </c>
      <c r="K382">
        <v>20</v>
      </c>
      <c r="M382">
        <f>+_xlfn.XLOOKUP(A382,'COSTO Y PRECIO'!$A:$A,'COSTO Y PRECIO'!B:B)</f>
        <v>45</v>
      </c>
      <c r="N382" t="e">
        <f>+_xlfn.XLOOKUP(A382,'COSTO Y PRECIO'!$A:$A,'COSTO Y PRECIO'!C:C)</f>
        <v>#N/A</v>
      </c>
    </row>
    <row r="383" spans="1:14" x14ac:dyDescent="0.35">
      <c r="A383" s="1">
        <v>100080029</v>
      </c>
      <c r="B383" s="4">
        <v>75001292</v>
      </c>
      <c r="C383" s="1" t="s">
        <v>424</v>
      </c>
      <c r="D383" s="1" t="s">
        <v>11</v>
      </c>
      <c r="E383" s="14" t="s">
        <v>33</v>
      </c>
      <c r="F383" s="1" t="s">
        <v>39</v>
      </c>
      <c r="G383" s="1" t="s">
        <v>71</v>
      </c>
      <c r="H383" s="1" t="s">
        <v>36</v>
      </c>
      <c r="I383" s="1" t="s">
        <v>109</v>
      </c>
      <c r="J383" t="str">
        <f>+_xlfn.XLOOKUP(B383,INNOVACIÓN!A:A,INNOVACIÓN!B:B,"NO")</f>
        <v>NO</v>
      </c>
      <c r="K383">
        <v>20</v>
      </c>
      <c r="M383">
        <f>+_xlfn.XLOOKUP(A383,'COSTO Y PRECIO'!$A:$A,'COSTO Y PRECIO'!B:B)</f>
        <v>45.04</v>
      </c>
      <c r="N383">
        <f>+_xlfn.XLOOKUP(A383,'COSTO Y PRECIO'!$A:$A,'COSTO Y PRECIO'!C:C)</f>
        <v>22.5</v>
      </c>
    </row>
    <row r="384" spans="1:14" x14ac:dyDescent="0.35">
      <c r="A384" s="2">
        <v>100007989</v>
      </c>
      <c r="B384" s="4">
        <v>9584</v>
      </c>
      <c r="C384" s="2" t="s">
        <v>425</v>
      </c>
      <c r="D384" s="2" t="s">
        <v>11</v>
      </c>
      <c r="E384" s="14" t="s">
        <v>33</v>
      </c>
      <c r="F384" s="2" t="s">
        <v>46</v>
      </c>
      <c r="G384" s="2" t="s">
        <v>71</v>
      </c>
      <c r="H384" s="1" t="s">
        <v>36</v>
      </c>
      <c r="I384" s="1" t="s">
        <v>109</v>
      </c>
      <c r="J384" t="str">
        <f>+_xlfn.XLOOKUP(B384,INNOVACIÓN!A:A,INNOVACIÓN!B:B,"NO")</f>
        <v>NO</v>
      </c>
      <c r="K384">
        <v>20</v>
      </c>
      <c r="M384">
        <f>+_xlfn.XLOOKUP(A384,'COSTO Y PRECIO'!$A:$A,'COSTO Y PRECIO'!B:B)</f>
        <v>45</v>
      </c>
      <c r="N384" t="e">
        <f>+_xlfn.XLOOKUP(A384,'COSTO Y PRECIO'!$A:$A,'COSTO Y PRECIO'!C:C)</f>
        <v>#N/A</v>
      </c>
    </row>
    <row r="385" spans="1:14" x14ac:dyDescent="0.35">
      <c r="A385" s="1">
        <v>100080420</v>
      </c>
      <c r="B385" s="4">
        <v>75014551</v>
      </c>
      <c r="C385" s="1" t="s">
        <v>426</v>
      </c>
      <c r="D385" s="1" t="s">
        <v>11</v>
      </c>
      <c r="E385" s="14" t="s">
        <v>33</v>
      </c>
      <c r="F385" s="1" t="s">
        <v>39</v>
      </c>
      <c r="G385" s="1" t="s">
        <v>71</v>
      </c>
      <c r="H385" s="1" t="s">
        <v>36</v>
      </c>
      <c r="I385" s="1" t="s">
        <v>109</v>
      </c>
      <c r="J385" t="str">
        <f>+_xlfn.XLOOKUP(B385,INNOVACIÓN!A:A,INNOVACIÓN!B:B,"NO")</f>
        <v>NO</v>
      </c>
      <c r="K385">
        <v>20</v>
      </c>
      <c r="M385">
        <f>+_xlfn.XLOOKUP(A385,'COSTO Y PRECIO'!$A:$A,'COSTO Y PRECIO'!B:B)</f>
        <v>45</v>
      </c>
      <c r="N385" t="e">
        <f>+_xlfn.XLOOKUP(A385,'COSTO Y PRECIO'!$A:$A,'COSTO Y PRECIO'!C:C)</f>
        <v>#N/A</v>
      </c>
    </row>
    <row r="386" spans="1:14" x14ac:dyDescent="0.35">
      <c r="A386" s="1">
        <v>100080769</v>
      </c>
      <c r="B386" s="4">
        <v>75027018</v>
      </c>
      <c r="C386" s="1" t="s">
        <v>427</v>
      </c>
      <c r="D386" s="1" t="s">
        <v>11</v>
      </c>
      <c r="E386" s="14" t="s">
        <v>33</v>
      </c>
      <c r="F386" s="1" t="s">
        <v>39</v>
      </c>
      <c r="G386" s="1" t="s">
        <v>71</v>
      </c>
      <c r="H386" s="1" t="s">
        <v>36</v>
      </c>
      <c r="I386" s="1" t="s">
        <v>109</v>
      </c>
      <c r="J386" t="str">
        <f>+_xlfn.XLOOKUP(B386,INNOVACIÓN!A:A,INNOVACIÓN!B:B,"NO")</f>
        <v>NO</v>
      </c>
      <c r="K386">
        <v>14</v>
      </c>
      <c r="M386">
        <f>+_xlfn.XLOOKUP(A386,'COSTO Y PRECIO'!$A:$A,'COSTO Y PRECIO'!B:B)</f>
        <v>45</v>
      </c>
      <c r="N386" t="e">
        <f>+_xlfn.XLOOKUP(A386,'COSTO Y PRECIO'!$A:$A,'COSTO Y PRECIO'!C:C)</f>
        <v>#N/A</v>
      </c>
    </row>
    <row r="387" spans="1:14" x14ac:dyDescent="0.35">
      <c r="A387" s="1">
        <v>100080797</v>
      </c>
      <c r="B387" s="4">
        <v>75029388</v>
      </c>
      <c r="C387" s="1" t="s">
        <v>428</v>
      </c>
      <c r="D387" s="1" t="s">
        <v>11</v>
      </c>
      <c r="E387" s="14" t="s">
        <v>33</v>
      </c>
      <c r="F387" s="1" t="s">
        <v>39</v>
      </c>
      <c r="G387" s="1" t="s">
        <v>54</v>
      </c>
      <c r="H387" s="1" t="s">
        <v>36</v>
      </c>
      <c r="I387" s="1" t="s">
        <v>109</v>
      </c>
      <c r="J387" t="str">
        <f>+_xlfn.XLOOKUP(B387,INNOVACIÓN!A:A,INNOVACIÓN!B:B,"NO")</f>
        <v>NO</v>
      </c>
      <c r="K387">
        <v>20</v>
      </c>
      <c r="M387">
        <f>+_xlfn.XLOOKUP(A387,'COSTO Y PRECIO'!$A:$A,'COSTO Y PRECIO'!B:B)</f>
        <v>45</v>
      </c>
      <c r="N387" t="e">
        <f>+_xlfn.XLOOKUP(A387,'COSTO Y PRECIO'!$A:$A,'COSTO Y PRECIO'!C:C)</f>
        <v>#N/A</v>
      </c>
    </row>
    <row r="388" spans="1:14" x14ac:dyDescent="0.35">
      <c r="A388" s="1">
        <v>100022848</v>
      </c>
      <c r="B388" s="4">
        <v>7503031950496</v>
      </c>
      <c r="C388" s="1" t="s">
        <v>429</v>
      </c>
      <c r="D388" s="2" t="s">
        <v>11</v>
      </c>
      <c r="E388" s="14" t="s">
        <v>33</v>
      </c>
      <c r="F388" s="2" t="s">
        <v>46</v>
      </c>
      <c r="G388" s="2" t="s">
        <v>14</v>
      </c>
      <c r="H388" s="1" t="s">
        <v>36</v>
      </c>
      <c r="I388" s="1" t="s">
        <v>109</v>
      </c>
      <c r="J388" t="str">
        <f>+_xlfn.XLOOKUP(B388,INNOVACIÓN!A:A,INNOVACIÓN!B:B,"NO")</f>
        <v>NO</v>
      </c>
      <c r="K388">
        <v>20</v>
      </c>
      <c r="M388">
        <f>+_xlfn.XLOOKUP(A388,'COSTO Y PRECIO'!$A:$A,'COSTO Y PRECIO'!B:B)</f>
        <v>46.230000000000011</v>
      </c>
      <c r="N388">
        <f>+_xlfn.XLOOKUP(A388,'COSTO Y PRECIO'!$A:$A,'COSTO Y PRECIO'!C:C)</f>
        <v>96</v>
      </c>
    </row>
    <row r="389" spans="1:14" x14ac:dyDescent="0.35">
      <c r="A389" s="1">
        <v>101000061</v>
      </c>
      <c r="B389" s="4">
        <v>75006204</v>
      </c>
      <c r="C389" s="1" t="s">
        <v>430</v>
      </c>
      <c r="D389" s="1" t="s">
        <v>11</v>
      </c>
      <c r="E389" s="14" t="s">
        <v>33</v>
      </c>
      <c r="F389" s="1" t="s">
        <v>46</v>
      </c>
      <c r="G389" s="1" t="s">
        <v>14</v>
      </c>
      <c r="H389" s="1" t="s">
        <v>36</v>
      </c>
      <c r="I389" s="1" t="s">
        <v>109</v>
      </c>
      <c r="J389" t="str">
        <f>+_xlfn.XLOOKUP(B389,INNOVACIÓN!A:A,INNOVACIÓN!B:B,"NO")</f>
        <v>NO</v>
      </c>
      <c r="K389">
        <v>14</v>
      </c>
      <c r="M389">
        <f>+_xlfn.XLOOKUP(A389,'COSTO Y PRECIO'!$A:$A,'COSTO Y PRECIO'!B:B)</f>
        <v>37.300000000000004</v>
      </c>
      <c r="N389">
        <f>+_xlfn.XLOOKUP(A389,'COSTO Y PRECIO'!$A:$A,'COSTO Y PRECIO'!C:C)</f>
        <v>71</v>
      </c>
    </row>
    <row r="390" spans="1:14" x14ac:dyDescent="0.35">
      <c r="A390" s="1">
        <v>100022137</v>
      </c>
      <c r="B390" s="4">
        <v>7503031950311</v>
      </c>
      <c r="C390" s="1" t="s">
        <v>431</v>
      </c>
      <c r="D390" s="2" t="s">
        <v>11</v>
      </c>
      <c r="E390" s="14" t="s">
        <v>33</v>
      </c>
      <c r="F390" s="2" t="s">
        <v>46</v>
      </c>
      <c r="G390" s="2" t="s">
        <v>14</v>
      </c>
      <c r="H390" s="1" t="s">
        <v>36</v>
      </c>
      <c r="I390" s="1" t="s">
        <v>109</v>
      </c>
      <c r="J390" t="str">
        <f>+_xlfn.XLOOKUP(B390,INNOVACIÓN!A:A,INNOVACIÓN!B:B,"NO")</f>
        <v>NO</v>
      </c>
      <c r="K390">
        <v>20</v>
      </c>
      <c r="M390">
        <f>+_xlfn.XLOOKUP(A390,'COSTO Y PRECIO'!$A:$A,'COSTO Y PRECIO'!B:B)</f>
        <v>46.26</v>
      </c>
      <c r="N390">
        <f>+_xlfn.XLOOKUP(A390,'COSTO Y PRECIO'!$A:$A,'COSTO Y PRECIO'!C:C)</f>
        <v>96</v>
      </c>
    </row>
    <row r="391" spans="1:14" x14ac:dyDescent="0.35">
      <c r="A391" s="1">
        <v>100023892</v>
      </c>
      <c r="B391" s="4">
        <v>7503031950946</v>
      </c>
      <c r="C391" s="1" t="s">
        <v>432</v>
      </c>
      <c r="D391" s="2" t="s">
        <v>11</v>
      </c>
      <c r="E391" s="14" t="s">
        <v>33</v>
      </c>
      <c r="F391" s="2" t="s">
        <v>46</v>
      </c>
      <c r="G391" s="2" t="s">
        <v>14</v>
      </c>
      <c r="H391" s="1" t="s">
        <v>36</v>
      </c>
      <c r="I391" s="1" t="s">
        <v>109</v>
      </c>
      <c r="J391" t="str">
        <f>+_xlfn.XLOOKUP(B391,INNOVACIÓN!A:A,INNOVACIÓN!B:B,"NO")</f>
        <v>NO</v>
      </c>
      <c r="K391">
        <v>24</v>
      </c>
      <c r="M391">
        <f>+_xlfn.XLOOKUP(A391,'COSTO Y PRECIO'!$A:$A,'COSTO Y PRECIO'!B:B)</f>
        <v>49.639999999999993</v>
      </c>
      <c r="N391">
        <f>+_xlfn.XLOOKUP(A391,'COSTO Y PRECIO'!$A:$A,'COSTO Y PRECIO'!C:C)</f>
        <v>96</v>
      </c>
    </row>
    <row r="392" spans="1:14" x14ac:dyDescent="0.35">
      <c r="A392" s="1">
        <v>100022846</v>
      </c>
      <c r="B392" s="4">
        <v>7503031950489</v>
      </c>
      <c r="C392" s="1" t="s">
        <v>433</v>
      </c>
      <c r="D392" s="2" t="s">
        <v>11</v>
      </c>
      <c r="E392" s="14" t="s">
        <v>33</v>
      </c>
      <c r="F392" s="2" t="s">
        <v>46</v>
      </c>
      <c r="G392" s="2" t="s">
        <v>14</v>
      </c>
      <c r="H392" s="1" t="s">
        <v>36</v>
      </c>
      <c r="I392" s="1" t="s">
        <v>109</v>
      </c>
      <c r="J392" t="str">
        <f>+_xlfn.XLOOKUP(B392,INNOVACIÓN!A:A,INNOVACIÓN!B:B,"NO")</f>
        <v>NO</v>
      </c>
      <c r="K392">
        <v>20</v>
      </c>
      <c r="M392">
        <f>+_xlfn.XLOOKUP(A392,'COSTO Y PRECIO'!$A:$A,'COSTO Y PRECIO'!B:B)</f>
        <v>46.230000000000011</v>
      </c>
      <c r="N392">
        <f>+_xlfn.XLOOKUP(A392,'COSTO Y PRECIO'!$A:$A,'COSTO Y PRECIO'!C:C)</f>
        <v>96</v>
      </c>
    </row>
    <row r="393" spans="1:14" x14ac:dyDescent="0.35">
      <c r="A393" s="1">
        <v>100022136</v>
      </c>
      <c r="B393" s="4">
        <v>7503031950304</v>
      </c>
      <c r="C393" s="1" t="s">
        <v>434</v>
      </c>
      <c r="D393" s="2" t="s">
        <v>11</v>
      </c>
      <c r="E393" s="14" t="s">
        <v>33</v>
      </c>
      <c r="F393" s="2" t="s">
        <v>46</v>
      </c>
      <c r="G393" s="2" t="s">
        <v>14</v>
      </c>
      <c r="H393" s="1" t="s">
        <v>36</v>
      </c>
      <c r="I393" s="1" t="s">
        <v>109</v>
      </c>
      <c r="J393" t="str">
        <f>+_xlfn.XLOOKUP(B393,INNOVACIÓN!A:A,INNOVACIÓN!B:B,"NO")</f>
        <v>NO</v>
      </c>
      <c r="K393">
        <v>20</v>
      </c>
      <c r="M393">
        <f>+_xlfn.XLOOKUP(A393,'COSTO Y PRECIO'!$A:$A,'COSTO Y PRECIO'!B:B)</f>
        <v>46.26</v>
      </c>
      <c r="N393">
        <f>+_xlfn.XLOOKUP(A393,'COSTO Y PRECIO'!$A:$A,'COSTO Y PRECIO'!C:C)</f>
        <v>96</v>
      </c>
    </row>
    <row r="394" spans="1:14" x14ac:dyDescent="0.35">
      <c r="A394" s="1">
        <v>100022847</v>
      </c>
      <c r="B394" s="4">
        <v>7503031950472</v>
      </c>
      <c r="C394" s="1" t="s">
        <v>435</v>
      </c>
      <c r="D394" s="2" t="s">
        <v>11</v>
      </c>
      <c r="E394" s="14" t="s">
        <v>33</v>
      </c>
      <c r="F394" s="2" t="s">
        <v>46</v>
      </c>
      <c r="G394" s="1" t="s">
        <v>54</v>
      </c>
      <c r="H394" s="1" t="s">
        <v>36</v>
      </c>
      <c r="I394" s="1" t="s">
        <v>109</v>
      </c>
      <c r="J394" t="str">
        <f>+_xlfn.XLOOKUP(B394,INNOVACIÓN!A:A,INNOVACIÓN!B:B,"NO")</f>
        <v>NO</v>
      </c>
      <c r="K394">
        <v>20</v>
      </c>
      <c r="M394">
        <f>+_xlfn.XLOOKUP(A394,'COSTO Y PRECIO'!$A:$A,'COSTO Y PRECIO'!B:B)</f>
        <v>46.230000000000011</v>
      </c>
      <c r="N394">
        <f>+_xlfn.XLOOKUP(A394,'COSTO Y PRECIO'!$A:$A,'COSTO Y PRECIO'!C:C)</f>
        <v>96</v>
      </c>
    </row>
    <row r="395" spans="1:14" x14ac:dyDescent="0.35">
      <c r="A395" s="1">
        <v>100022134</v>
      </c>
      <c r="B395" s="4">
        <v>7503031950298</v>
      </c>
      <c r="C395" s="1" t="s">
        <v>436</v>
      </c>
      <c r="D395" s="2" t="s">
        <v>11</v>
      </c>
      <c r="E395" s="14" t="s">
        <v>33</v>
      </c>
      <c r="F395" s="2" t="s">
        <v>46</v>
      </c>
      <c r="G395" s="1" t="s">
        <v>54</v>
      </c>
      <c r="H395" s="1" t="s">
        <v>36</v>
      </c>
      <c r="I395" s="1" t="s">
        <v>109</v>
      </c>
      <c r="J395" t="str">
        <f>+_xlfn.XLOOKUP(B395,INNOVACIÓN!A:A,INNOVACIÓN!B:B,"NO")</f>
        <v>NO</v>
      </c>
      <c r="K395">
        <v>20</v>
      </c>
      <c r="M395">
        <f>+_xlfn.XLOOKUP(A395,'COSTO Y PRECIO'!$A:$A,'COSTO Y PRECIO'!B:B)</f>
        <v>46.26</v>
      </c>
      <c r="N395">
        <f>+_xlfn.XLOOKUP(A395,'COSTO Y PRECIO'!$A:$A,'COSTO Y PRECIO'!C:C)</f>
        <v>96</v>
      </c>
    </row>
    <row r="396" spans="1:14" x14ac:dyDescent="0.35">
      <c r="A396">
        <v>100007424</v>
      </c>
      <c r="B396" s="4">
        <v>75056001</v>
      </c>
      <c r="C396" t="s">
        <v>437</v>
      </c>
      <c r="D396" s="1" t="s">
        <v>11</v>
      </c>
      <c r="E396" s="14" t="s">
        <v>33</v>
      </c>
      <c r="F396" s="1" t="s">
        <v>39</v>
      </c>
      <c r="G396" s="1" t="s">
        <v>14</v>
      </c>
      <c r="H396" s="1" t="s">
        <v>36</v>
      </c>
      <c r="I396" s="1" t="s">
        <v>109</v>
      </c>
      <c r="J396" t="str">
        <f>+_xlfn.XLOOKUP(B396,INNOVACIÓN!A:A,INNOVACIÓN!B:B,"NO")</f>
        <v>NO</v>
      </c>
      <c r="K396">
        <v>20</v>
      </c>
      <c r="M396">
        <f>+_xlfn.XLOOKUP(A396,'COSTO Y PRECIO'!$A:$A,'COSTO Y PRECIO'!B:B)</f>
        <v>50</v>
      </c>
      <c r="N396" t="e">
        <f>+_xlfn.XLOOKUP(A396,'COSTO Y PRECIO'!$A:$A,'COSTO Y PRECIO'!C:C)</f>
        <v>#N/A</v>
      </c>
    </row>
    <row r="397" spans="1:14" x14ac:dyDescent="0.35">
      <c r="A397" s="1">
        <v>100015222</v>
      </c>
      <c r="B397" s="4">
        <v>75068790</v>
      </c>
      <c r="C397" s="1" t="s">
        <v>438</v>
      </c>
      <c r="D397" s="2" t="s">
        <v>11</v>
      </c>
      <c r="E397" s="14" t="s">
        <v>33</v>
      </c>
      <c r="F397" s="2" t="s">
        <v>39</v>
      </c>
      <c r="G397" s="2" t="s">
        <v>14</v>
      </c>
      <c r="H397" s="1" t="s">
        <v>36</v>
      </c>
      <c r="I397" s="1" t="s">
        <v>109</v>
      </c>
      <c r="J397" t="str">
        <f>+_xlfn.XLOOKUP(B397,INNOVACIÓN!A:A,INNOVACIÓN!B:B,"NO")</f>
        <v>NO</v>
      </c>
      <c r="K397">
        <v>20</v>
      </c>
      <c r="M397">
        <f>+_xlfn.XLOOKUP(A397,'COSTO Y PRECIO'!$A:$A,'COSTO Y PRECIO'!B:B)</f>
        <v>53.26</v>
      </c>
      <c r="N397" t="e">
        <f>+_xlfn.XLOOKUP(A397,'COSTO Y PRECIO'!$A:$A,'COSTO Y PRECIO'!C:C)</f>
        <v>#N/A</v>
      </c>
    </row>
    <row r="398" spans="1:14" x14ac:dyDescent="0.35">
      <c r="A398" s="1">
        <v>100023361</v>
      </c>
      <c r="B398" s="4">
        <v>7503031950540</v>
      </c>
      <c r="C398" s="1" t="s">
        <v>439</v>
      </c>
      <c r="D398" s="2" t="s">
        <v>11</v>
      </c>
      <c r="E398" s="14" t="s">
        <v>33</v>
      </c>
      <c r="F398" s="2" t="s">
        <v>41</v>
      </c>
      <c r="G398" s="2" t="s">
        <v>71</v>
      </c>
      <c r="H398" s="1" t="s">
        <v>36</v>
      </c>
      <c r="I398" s="1" t="s">
        <v>109</v>
      </c>
      <c r="J398" t="str">
        <f>+_xlfn.XLOOKUP(B398,INNOVACIÓN!A:A,INNOVACIÓN!B:B,"NO")</f>
        <v>NO</v>
      </c>
      <c r="K398">
        <v>20</v>
      </c>
      <c r="M398">
        <f>+_xlfn.XLOOKUP(A398,'COSTO Y PRECIO'!$A:$A,'COSTO Y PRECIO'!B:B)</f>
        <v>46.670000000000009</v>
      </c>
      <c r="N398">
        <f>+_xlfn.XLOOKUP(A398,'COSTO Y PRECIO'!$A:$A,'COSTO Y PRECIO'!C:C)</f>
        <v>66</v>
      </c>
    </row>
    <row r="399" spans="1:14" x14ac:dyDescent="0.35">
      <c r="A399">
        <v>100080977</v>
      </c>
      <c r="B399" s="4">
        <v>75047078</v>
      </c>
      <c r="C399" t="s">
        <v>440</v>
      </c>
      <c r="D399" s="1" t="s">
        <v>11</v>
      </c>
      <c r="E399" s="2" t="s">
        <v>33</v>
      </c>
      <c r="F399" s="1" t="s">
        <v>39</v>
      </c>
      <c r="G399" s="1" t="s">
        <v>54</v>
      </c>
      <c r="H399" s="1" t="s">
        <v>36</v>
      </c>
      <c r="I399" s="1" t="s">
        <v>109</v>
      </c>
      <c r="J399" t="str">
        <f>+_xlfn.XLOOKUP(B399,INNOVACIÓN!A:A,INNOVACIÓN!B:B,"NO")</f>
        <v>NO</v>
      </c>
      <c r="K399">
        <v>20</v>
      </c>
      <c r="M399">
        <f>+_xlfn.XLOOKUP(A399,'COSTO Y PRECIO'!$A:$A,'COSTO Y PRECIO'!B:B)</f>
        <v>50</v>
      </c>
      <c r="N399" t="e">
        <f>+_xlfn.XLOOKUP(A399,'COSTO Y PRECIO'!$A:$A,'COSTO Y PRECIO'!C:C)</f>
        <v>#N/A</v>
      </c>
    </row>
    <row r="400" spans="1:14" x14ac:dyDescent="0.35">
      <c r="A400" s="1">
        <v>100023423</v>
      </c>
      <c r="B400" s="1">
        <v>75079888</v>
      </c>
      <c r="C400" s="1" t="s">
        <v>441</v>
      </c>
      <c r="D400" s="1" t="s">
        <v>44</v>
      </c>
      <c r="E400" s="14" t="s">
        <v>33</v>
      </c>
      <c r="F400" s="1" t="s">
        <v>39</v>
      </c>
      <c r="G400" s="1" t="s">
        <v>58</v>
      </c>
      <c r="H400" s="1" t="s">
        <v>36</v>
      </c>
      <c r="I400" s="1" t="s">
        <v>109</v>
      </c>
      <c r="J400" t="str">
        <f>+_xlfn.XLOOKUP(B400,INNOVACIÓN!A:A,INNOVACIÓN!B:B,"NO")</f>
        <v>NO</v>
      </c>
      <c r="K400">
        <v>20</v>
      </c>
      <c r="M400">
        <f>+_xlfn.XLOOKUP(A400,'COSTO Y PRECIO'!$A:$A,'COSTO Y PRECIO'!B:B)</f>
        <v>54.96</v>
      </c>
      <c r="N400">
        <f>+_xlfn.XLOOKUP(A400,'COSTO Y PRECIO'!$A:$A,'COSTO Y PRECIO'!C:C)</f>
        <v>85</v>
      </c>
    </row>
    <row r="401" spans="1:14" x14ac:dyDescent="0.35">
      <c r="A401" s="2">
        <v>100023422</v>
      </c>
      <c r="B401" s="3">
        <v>75079901</v>
      </c>
      <c r="C401" s="2" t="s">
        <v>442</v>
      </c>
      <c r="D401" s="2" t="s">
        <v>44</v>
      </c>
      <c r="E401" s="14" t="s">
        <v>33</v>
      </c>
      <c r="F401" s="2" t="s">
        <v>39</v>
      </c>
      <c r="G401" s="2" t="s">
        <v>35</v>
      </c>
      <c r="H401" s="1" t="s">
        <v>36</v>
      </c>
      <c r="I401" s="1" t="s">
        <v>109</v>
      </c>
      <c r="J401" t="str">
        <f>+_xlfn.XLOOKUP(B401,INNOVACIÓN!A:A,INNOVACIÓN!B:B,"NO")</f>
        <v>NO</v>
      </c>
      <c r="K401">
        <v>20</v>
      </c>
      <c r="M401">
        <f>+_xlfn.XLOOKUP(A401,'COSTO Y PRECIO'!$A:$A,'COSTO Y PRECIO'!B:B)</f>
        <v>54.96</v>
      </c>
      <c r="N401">
        <f>+_xlfn.XLOOKUP(A401,'COSTO Y PRECIO'!$A:$A,'COSTO Y PRECIO'!C:C)</f>
        <v>85</v>
      </c>
    </row>
    <row r="402" spans="1:14" x14ac:dyDescent="0.35">
      <c r="A402" s="2">
        <v>100023424</v>
      </c>
      <c r="B402" s="3">
        <v>75079895</v>
      </c>
      <c r="C402" s="2" t="s">
        <v>443</v>
      </c>
      <c r="D402" s="2" t="s">
        <v>44</v>
      </c>
      <c r="E402" s="14" t="s">
        <v>33</v>
      </c>
      <c r="F402" s="2" t="s">
        <v>39</v>
      </c>
      <c r="G402" s="2" t="s">
        <v>35</v>
      </c>
      <c r="H402" s="1" t="s">
        <v>36</v>
      </c>
      <c r="I402" s="1" t="s">
        <v>109</v>
      </c>
      <c r="J402" t="str">
        <f>+_xlfn.XLOOKUP(B402,INNOVACIÓN!A:A,INNOVACIÓN!B:B,"NO")</f>
        <v>NO</v>
      </c>
      <c r="K402">
        <v>20</v>
      </c>
      <c r="M402">
        <f>+_xlfn.XLOOKUP(A402,'COSTO Y PRECIO'!$A:$A,'COSTO Y PRECIO'!B:B)</f>
        <v>54.96</v>
      </c>
      <c r="N402">
        <f>+_xlfn.XLOOKUP(A402,'COSTO Y PRECIO'!$A:$A,'COSTO Y PRECIO'!C:C)</f>
        <v>85</v>
      </c>
    </row>
    <row r="403" spans="1:14" x14ac:dyDescent="0.35">
      <c r="A403" s="2">
        <v>100023426</v>
      </c>
      <c r="B403" s="3">
        <v>75079956</v>
      </c>
      <c r="C403" s="2" t="s">
        <v>444</v>
      </c>
      <c r="D403" s="2" t="s">
        <v>44</v>
      </c>
      <c r="E403" s="14" t="s">
        <v>33</v>
      </c>
      <c r="F403" s="2" t="s">
        <v>41</v>
      </c>
      <c r="G403" s="2" t="s">
        <v>35</v>
      </c>
      <c r="H403" s="1" t="s">
        <v>36</v>
      </c>
      <c r="I403" s="1" t="s">
        <v>109</v>
      </c>
      <c r="J403" t="str">
        <f>+_xlfn.XLOOKUP(B403,INNOVACIÓN!A:A,INNOVACIÓN!B:B,"NO")</f>
        <v>NO</v>
      </c>
      <c r="K403">
        <v>20</v>
      </c>
      <c r="M403">
        <f>+_xlfn.XLOOKUP(A403,'COSTO Y PRECIO'!$A:$A,'COSTO Y PRECIO'!B:B)</f>
        <v>57.54</v>
      </c>
      <c r="N403">
        <f>+_xlfn.XLOOKUP(A403,'COSTO Y PRECIO'!$A:$A,'COSTO Y PRECIO'!C:C)</f>
        <v>89</v>
      </c>
    </row>
    <row r="404" spans="1:14" x14ac:dyDescent="0.35">
      <c r="A404" s="2">
        <v>100019548</v>
      </c>
      <c r="B404" s="3">
        <v>75073978</v>
      </c>
      <c r="C404" s="2" t="s">
        <v>445</v>
      </c>
      <c r="D404" s="2" t="s">
        <v>44</v>
      </c>
      <c r="E404" s="14" t="s">
        <v>33</v>
      </c>
      <c r="F404" s="2" t="s">
        <v>41</v>
      </c>
      <c r="G404" s="2" t="s">
        <v>14</v>
      </c>
      <c r="H404" s="1" t="s">
        <v>36</v>
      </c>
      <c r="I404" s="1" t="s">
        <v>109</v>
      </c>
      <c r="J404" t="str">
        <f>+_xlfn.XLOOKUP(B404,INNOVACIÓN!A:A,INNOVACIÓN!B:B,"NO")</f>
        <v>NO</v>
      </c>
      <c r="K404">
        <v>20</v>
      </c>
      <c r="M404">
        <f>+_xlfn.XLOOKUP(A404,'COSTO Y PRECIO'!$A:$A,'COSTO Y PRECIO'!B:B)</f>
        <v>50.429999999999993</v>
      </c>
      <c r="N404">
        <f>+_xlfn.XLOOKUP(A404,'COSTO Y PRECIO'!$A:$A,'COSTO Y PRECIO'!C:C)</f>
        <v>78</v>
      </c>
    </row>
    <row r="405" spans="1:14" x14ac:dyDescent="0.35">
      <c r="A405" s="1">
        <v>100019549</v>
      </c>
      <c r="B405" s="1">
        <v>75073985</v>
      </c>
      <c r="C405" s="1" t="s">
        <v>446</v>
      </c>
      <c r="D405" s="2" t="s">
        <v>44</v>
      </c>
      <c r="E405" s="14" t="s">
        <v>33</v>
      </c>
      <c r="F405" s="7" t="s">
        <v>46</v>
      </c>
      <c r="G405" s="7" t="s">
        <v>54</v>
      </c>
      <c r="H405" s="1" t="s">
        <v>36</v>
      </c>
      <c r="I405" s="1" t="s">
        <v>247</v>
      </c>
      <c r="J405" t="str">
        <f>+_xlfn.XLOOKUP(B405,INNOVACIÓN!A:A,INNOVACIÓN!B:B,"NO")</f>
        <v>NO</v>
      </c>
      <c r="K405">
        <v>20</v>
      </c>
      <c r="M405">
        <f>+_xlfn.XLOOKUP(A405,'COSTO Y PRECIO'!$A:$A,'COSTO Y PRECIO'!B:B)</f>
        <v>50.429999999999993</v>
      </c>
      <c r="N405">
        <f>+_xlfn.XLOOKUP(A405,'COSTO Y PRECIO'!$A:$A,'COSTO Y PRECIO'!C:C)</f>
        <v>78</v>
      </c>
    </row>
    <row r="406" spans="1:14" x14ac:dyDescent="0.35">
      <c r="A406" s="1">
        <v>100007451</v>
      </c>
      <c r="B406" s="1">
        <v>75057732</v>
      </c>
      <c r="C406" s="1" t="s">
        <v>447</v>
      </c>
      <c r="D406" s="2" t="s">
        <v>44</v>
      </c>
      <c r="E406" s="7" t="s">
        <v>33</v>
      </c>
      <c r="F406" s="7" t="s">
        <v>46</v>
      </c>
      <c r="G406" s="7" t="s">
        <v>54</v>
      </c>
      <c r="H406" s="1" t="s">
        <v>36</v>
      </c>
      <c r="I406" s="1" t="s">
        <v>247</v>
      </c>
      <c r="J406" t="str">
        <f>+_xlfn.XLOOKUP(B406,INNOVACIÓN!A:A,INNOVACIÓN!B:B,"NO")</f>
        <v>NO</v>
      </c>
      <c r="K406">
        <v>20</v>
      </c>
      <c r="M406">
        <f>+_xlfn.XLOOKUP(A406,'COSTO Y PRECIO'!$A:$A,'COSTO Y PRECIO'!B:B)</f>
        <v>50</v>
      </c>
      <c r="N406" t="e">
        <f>+_xlfn.XLOOKUP(A406,'COSTO Y PRECIO'!$A:$A,'COSTO Y PRECIO'!C:C)</f>
        <v>#N/A</v>
      </c>
    </row>
    <row r="407" spans="1:14" x14ac:dyDescent="0.35">
      <c r="A407" s="2">
        <v>100023714</v>
      </c>
      <c r="B407" s="3">
        <v>75080105</v>
      </c>
      <c r="C407" s="2" t="s">
        <v>448</v>
      </c>
      <c r="D407" s="2" t="s">
        <v>44</v>
      </c>
      <c r="E407" s="14" t="s">
        <v>33</v>
      </c>
      <c r="F407" s="2" t="s">
        <v>41</v>
      </c>
      <c r="G407" s="2" t="s">
        <v>35</v>
      </c>
      <c r="H407" s="1" t="s">
        <v>36</v>
      </c>
      <c r="I407" s="1" t="s">
        <v>109</v>
      </c>
      <c r="J407" t="str">
        <f>+_xlfn.XLOOKUP(B407,INNOVACIÓN!A:A,INNOVACIÓN!B:B,"NO")</f>
        <v>NO</v>
      </c>
      <c r="K407">
        <v>20</v>
      </c>
      <c r="M407">
        <f>+_xlfn.XLOOKUP(A407,'COSTO Y PRECIO'!$A:$A,'COSTO Y PRECIO'!B:B)</f>
        <v>45.909999999999982</v>
      </c>
      <c r="N407">
        <f>+_xlfn.XLOOKUP(A407,'COSTO Y PRECIO'!$A:$A,'COSTO Y PRECIO'!C:C)</f>
        <v>87</v>
      </c>
    </row>
    <row r="408" spans="1:14" x14ac:dyDescent="0.35">
      <c r="A408" s="1">
        <v>100017662</v>
      </c>
      <c r="B408" s="1">
        <v>75072506</v>
      </c>
      <c r="C408" s="1" t="s">
        <v>449</v>
      </c>
      <c r="D408" s="2" t="s">
        <v>44</v>
      </c>
      <c r="E408" s="14" t="s">
        <v>33</v>
      </c>
      <c r="F408" s="7" t="s">
        <v>46</v>
      </c>
      <c r="G408" s="7" t="s">
        <v>35</v>
      </c>
      <c r="H408" s="1" t="s">
        <v>36</v>
      </c>
      <c r="I408" s="1" t="s">
        <v>247</v>
      </c>
      <c r="J408" t="str">
        <f>+_xlfn.XLOOKUP(B408,INNOVACIÓN!A:A,INNOVACIÓN!B:B,"NO")</f>
        <v>NO</v>
      </c>
      <c r="K408">
        <v>25</v>
      </c>
      <c r="M408">
        <f>+_xlfn.XLOOKUP(A408,'COSTO Y PRECIO'!$A:$A,'COSTO Y PRECIO'!B:B)</f>
        <v>42.67</v>
      </c>
      <c r="N408">
        <f>+_xlfn.XLOOKUP(A408,'COSTO Y PRECIO'!$A:$A,'COSTO Y PRECIO'!C:C)</f>
        <v>66</v>
      </c>
    </row>
    <row r="409" spans="1:14" x14ac:dyDescent="0.35">
      <c r="A409" s="1">
        <v>100011378</v>
      </c>
      <c r="B409" s="1">
        <v>75063351</v>
      </c>
      <c r="C409" s="1" t="s">
        <v>450</v>
      </c>
      <c r="D409" s="1" t="s">
        <v>44</v>
      </c>
      <c r="E409" s="14" t="s">
        <v>33</v>
      </c>
      <c r="F409" s="1" t="s">
        <v>39</v>
      </c>
      <c r="G409" s="1" t="s">
        <v>58</v>
      </c>
      <c r="H409" s="1" t="s">
        <v>36</v>
      </c>
      <c r="I409" s="1" t="s">
        <v>247</v>
      </c>
      <c r="J409" t="str">
        <f>+_xlfn.XLOOKUP(B409,INNOVACIÓN!A:A,INNOVACIÓN!B:B,"NO")</f>
        <v>NO</v>
      </c>
      <c r="K409">
        <v>20</v>
      </c>
      <c r="M409">
        <f>+_xlfn.XLOOKUP(A409,'COSTO Y PRECIO'!$A:$A,'COSTO Y PRECIO'!B:B)</f>
        <v>54.96</v>
      </c>
      <c r="N409" t="e">
        <f>+_xlfn.XLOOKUP(A409,'COSTO Y PRECIO'!$A:$A,'COSTO Y PRECIO'!C:C)</f>
        <v>#N/A</v>
      </c>
    </row>
    <row r="410" spans="1:14" x14ac:dyDescent="0.35">
      <c r="A410" s="1">
        <v>100011380</v>
      </c>
      <c r="B410" s="1">
        <v>75063344</v>
      </c>
      <c r="C410" s="1" t="s">
        <v>451</v>
      </c>
      <c r="D410" s="1" t="s">
        <v>44</v>
      </c>
      <c r="E410" s="14" t="s">
        <v>33</v>
      </c>
      <c r="F410" s="1" t="s">
        <v>39</v>
      </c>
      <c r="G410" s="1" t="s">
        <v>58</v>
      </c>
      <c r="H410" s="1" t="s">
        <v>36</v>
      </c>
      <c r="I410" s="1" t="s">
        <v>247</v>
      </c>
      <c r="J410" t="str">
        <f>+_xlfn.XLOOKUP(B410,INNOVACIÓN!A:A,INNOVACIÓN!B:B,"NO")</f>
        <v>NO</v>
      </c>
      <c r="K410">
        <v>20</v>
      </c>
      <c r="M410">
        <f>+_xlfn.XLOOKUP(A410,'COSTO Y PRECIO'!$A:$A,'COSTO Y PRECIO'!B:B)</f>
        <v>54.96</v>
      </c>
      <c r="N410" t="e">
        <f>+_xlfn.XLOOKUP(A410,'COSTO Y PRECIO'!$A:$A,'COSTO Y PRECIO'!C:C)</f>
        <v>#N/A</v>
      </c>
    </row>
    <row r="411" spans="1:14" x14ac:dyDescent="0.35">
      <c r="A411" s="1">
        <v>100018747</v>
      </c>
      <c r="B411" s="1">
        <v>75074197</v>
      </c>
      <c r="C411" s="1" t="s">
        <v>452</v>
      </c>
      <c r="D411" s="2" t="s">
        <v>44</v>
      </c>
      <c r="E411" s="14" t="s">
        <v>33</v>
      </c>
      <c r="F411" s="7" t="s">
        <v>46</v>
      </c>
      <c r="G411" s="7" t="s">
        <v>35</v>
      </c>
      <c r="H411" s="1" t="s">
        <v>36</v>
      </c>
      <c r="I411" s="1" t="s">
        <v>247</v>
      </c>
      <c r="J411" t="str">
        <f>+_xlfn.XLOOKUP(B411,INNOVACIÓN!A:A,INNOVACIÓN!B:B,"NO")</f>
        <v>NO</v>
      </c>
      <c r="K411">
        <v>20</v>
      </c>
      <c r="M411">
        <f>+_xlfn.XLOOKUP(A411,'COSTO Y PRECIO'!$A:$A,'COSTO Y PRECIO'!B:B)</f>
        <v>45</v>
      </c>
      <c r="N411">
        <f>+_xlfn.XLOOKUP(A411,'COSTO Y PRECIO'!$A:$A,'COSTO Y PRECIO'!C:C)</f>
        <v>96</v>
      </c>
    </row>
    <row r="412" spans="1:14" x14ac:dyDescent="0.35">
      <c r="A412" s="1">
        <v>100018748</v>
      </c>
      <c r="B412" s="1">
        <v>75074203</v>
      </c>
      <c r="C412" s="1" t="s">
        <v>453</v>
      </c>
      <c r="D412" s="2" t="s">
        <v>44</v>
      </c>
      <c r="E412" s="14" t="s">
        <v>33</v>
      </c>
      <c r="F412" s="7" t="s">
        <v>46</v>
      </c>
      <c r="G412" s="7" t="s">
        <v>35</v>
      </c>
      <c r="H412" s="1" t="s">
        <v>36</v>
      </c>
      <c r="I412" s="1" t="s">
        <v>247</v>
      </c>
      <c r="J412" t="str">
        <f>+_xlfn.XLOOKUP(B412,INNOVACIÓN!A:A,INNOVACIÓN!B:B,"NO")</f>
        <v>NO</v>
      </c>
      <c r="K412">
        <v>20</v>
      </c>
      <c r="M412">
        <f>+_xlfn.XLOOKUP(A412,'COSTO Y PRECIO'!$A:$A,'COSTO Y PRECIO'!B:B)</f>
        <v>50.429999999999993</v>
      </c>
      <c r="N412">
        <f>+_xlfn.XLOOKUP(A412,'COSTO Y PRECIO'!$A:$A,'COSTO Y PRECIO'!C:C)</f>
        <v>59</v>
      </c>
    </row>
    <row r="413" spans="1:14" x14ac:dyDescent="0.35">
      <c r="A413" s="1">
        <v>100008777</v>
      </c>
      <c r="B413" s="1">
        <v>75061135</v>
      </c>
      <c r="C413" s="1" t="s">
        <v>454</v>
      </c>
      <c r="D413" s="1" t="s">
        <v>44</v>
      </c>
      <c r="E413" s="14" t="s">
        <v>33</v>
      </c>
      <c r="F413" s="1" t="s">
        <v>46</v>
      </c>
      <c r="G413" s="1" t="s">
        <v>58</v>
      </c>
      <c r="H413" s="1" t="s">
        <v>36</v>
      </c>
      <c r="I413" s="1" t="s">
        <v>247</v>
      </c>
      <c r="J413" t="str">
        <f>+_xlfn.XLOOKUP(B413,INNOVACIÓN!A:A,INNOVACIÓN!B:B,"NO")</f>
        <v>NO</v>
      </c>
      <c r="K413">
        <v>20</v>
      </c>
      <c r="M413">
        <f>+_xlfn.XLOOKUP(A413,'COSTO Y PRECIO'!$A:$A,'COSTO Y PRECIO'!B:B)</f>
        <v>50</v>
      </c>
      <c r="N413" t="e">
        <f>+_xlfn.XLOOKUP(A413,'COSTO Y PRECIO'!$A:$A,'COSTO Y PRECIO'!C:C)</f>
        <v>#N/A</v>
      </c>
    </row>
    <row r="414" spans="1:14" x14ac:dyDescent="0.35">
      <c r="A414" s="1">
        <v>100080954</v>
      </c>
      <c r="B414" s="1">
        <v>75047283</v>
      </c>
      <c r="C414" s="1" t="s">
        <v>455</v>
      </c>
      <c r="D414" s="1" t="s">
        <v>44</v>
      </c>
      <c r="E414" s="14" t="s">
        <v>33</v>
      </c>
      <c r="F414" s="1" t="s">
        <v>39</v>
      </c>
      <c r="G414" s="1" t="s">
        <v>58</v>
      </c>
      <c r="H414" s="1" t="s">
        <v>36</v>
      </c>
      <c r="I414" s="1" t="s">
        <v>247</v>
      </c>
      <c r="J414" t="str">
        <f>+_xlfn.XLOOKUP(B414,INNOVACIÓN!A:A,INNOVACIÓN!B:B,"NO")</f>
        <v>NO</v>
      </c>
      <c r="K414">
        <v>20</v>
      </c>
      <c r="M414">
        <f>+_xlfn.XLOOKUP(A414,'COSTO Y PRECIO'!$A:$A,'COSTO Y PRECIO'!B:B)</f>
        <v>50</v>
      </c>
      <c r="N414" t="e">
        <f>+_xlfn.XLOOKUP(A414,'COSTO Y PRECIO'!$A:$A,'COSTO Y PRECIO'!C:C)</f>
        <v>#N/A</v>
      </c>
    </row>
    <row r="415" spans="1:14" x14ac:dyDescent="0.35">
      <c r="A415" s="1">
        <v>100013301</v>
      </c>
      <c r="B415" s="1">
        <v>75066611</v>
      </c>
      <c r="C415" s="1" t="s">
        <v>456</v>
      </c>
      <c r="D415" s="1" t="s">
        <v>44</v>
      </c>
      <c r="E415" s="14" t="s">
        <v>33</v>
      </c>
      <c r="F415" s="1" t="s">
        <v>39</v>
      </c>
      <c r="G415" s="1" t="s">
        <v>52</v>
      </c>
      <c r="H415" s="1" t="s">
        <v>36</v>
      </c>
      <c r="I415" s="1" t="s">
        <v>247</v>
      </c>
      <c r="J415" t="str">
        <f>+_xlfn.XLOOKUP(B415,INNOVACIÓN!A:A,INNOVACIÓN!B:B,"NO")</f>
        <v>NO</v>
      </c>
      <c r="K415">
        <v>20</v>
      </c>
      <c r="M415">
        <f>+_xlfn.XLOOKUP(A415,'COSTO Y PRECIO'!$A:$A,'COSTO Y PRECIO'!B:B)</f>
        <v>50</v>
      </c>
      <c r="N415" t="e">
        <f>+_xlfn.XLOOKUP(A415,'COSTO Y PRECIO'!$A:$A,'COSTO Y PRECIO'!C:C)</f>
        <v>#N/A</v>
      </c>
    </row>
    <row r="416" spans="1:14" x14ac:dyDescent="0.35">
      <c r="A416" s="2">
        <v>100015645</v>
      </c>
      <c r="B416" s="3">
        <v>75070373</v>
      </c>
      <c r="C416" s="2" t="s">
        <v>457</v>
      </c>
      <c r="D416" s="2" t="s">
        <v>44</v>
      </c>
      <c r="E416" s="14" t="s">
        <v>33</v>
      </c>
      <c r="F416" s="2" t="s">
        <v>39</v>
      </c>
      <c r="G416" s="2" t="s">
        <v>54</v>
      </c>
      <c r="H416" s="1" t="s">
        <v>36</v>
      </c>
      <c r="I416" s="1" t="s">
        <v>109</v>
      </c>
      <c r="J416" t="str">
        <f>+_xlfn.XLOOKUP(B416,INNOVACIÓN!A:A,INNOVACIÓN!B:B,"NO")</f>
        <v>NO</v>
      </c>
      <c r="K416">
        <v>20</v>
      </c>
      <c r="M416">
        <f>+_xlfn.XLOOKUP(A416,'COSTO Y PRECIO'!$A:$A,'COSTO Y PRECIO'!B:B)</f>
        <v>54.96</v>
      </c>
      <c r="N416">
        <f>+_xlfn.XLOOKUP(A416,'COSTO Y PRECIO'!$A:$A,'COSTO Y PRECIO'!C:C)</f>
        <v>85</v>
      </c>
    </row>
    <row r="417" spans="1:14" x14ac:dyDescent="0.35">
      <c r="A417" s="1">
        <v>100015174</v>
      </c>
      <c r="B417" s="1">
        <v>75067878</v>
      </c>
      <c r="C417" s="1" t="s">
        <v>458</v>
      </c>
      <c r="D417" s="2" t="s">
        <v>44</v>
      </c>
      <c r="E417" s="14" t="s">
        <v>33</v>
      </c>
      <c r="F417" s="7" t="s">
        <v>39</v>
      </c>
      <c r="G417" s="8" t="s">
        <v>54</v>
      </c>
      <c r="H417" s="1" t="s">
        <v>36</v>
      </c>
      <c r="I417" s="1" t="s">
        <v>109</v>
      </c>
      <c r="J417" t="str">
        <f>+_xlfn.XLOOKUP(B417,INNOVACIÓN!A:A,INNOVACIÓN!B:B,"NO")</f>
        <v>NO</v>
      </c>
      <c r="K417">
        <v>20</v>
      </c>
      <c r="M417">
        <f>+_xlfn.XLOOKUP(A417,'COSTO Y PRECIO'!$A:$A,'COSTO Y PRECIO'!B:B)</f>
        <v>54.96</v>
      </c>
      <c r="N417">
        <f>+_xlfn.XLOOKUP(A417,'COSTO Y PRECIO'!$A:$A,'COSTO Y PRECIO'!C:C)</f>
        <v>85</v>
      </c>
    </row>
    <row r="418" spans="1:14" x14ac:dyDescent="0.35">
      <c r="A418" s="1">
        <v>100015648</v>
      </c>
      <c r="B418" s="1">
        <v>75070588</v>
      </c>
      <c r="C418" s="1" t="s">
        <v>459</v>
      </c>
      <c r="D418" s="2" t="s">
        <v>44</v>
      </c>
      <c r="E418" s="14" t="s">
        <v>33</v>
      </c>
      <c r="F418" s="7" t="s">
        <v>46</v>
      </c>
      <c r="G418" s="7" t="s">
        <v>35</v>
      </c>
      <c r="H418" s="1" t="s">
        <v>36</v>
      </c>
      <c r="I418" s="1" t="s">
        <v>247</v>
      </c>
      <c r="J418" t="str">
        <f>+_xlfn.XLOOKUP(B418,INNOVACIÓN!A:A,INNOVACIÓN!B:B,"NO")</f>
        <v>NO</v>
      </c>
      <c r="K418">
        <v>20</v>
      </c>
      <c r="M418">
        <f>+_xlfn.XLOOKUP(A418,'COSTO Y PRECIO'!$A:$A,'COSTO Y PRECIO'!B:B)</f>
        <v>50.429999999999993</v>
      </c>
      <c r="N418">
        <f>+_xlfn.XLOOKUP(A418,'COSTO Y PRECIO'!$A:$A,'COSTO Y PRECIO'!C:C)</f>
        <v>78</v>
      </c>
    </row>
    <row r="419" spans="1:14" x14ac:dyDescent="0.35">
      <c r="A419" s="2">
        <v>100017624</v>
      </c>
      <c r="B419" s="3">
        <v>75072674</v>
      </c>
      <c r="C419" s="2" t="s">
        <v>460</v>
      </c>
      <c r="D419" s="2" t="s">
        <v>44</v>
      </c>
      <c r="E419" s="14" t="s">
        <v>33</v>
      </c>
      <c r="F419" s="2" t="s">
        <v>46</v>
      </c>
      <c r="G419" s="2" t="s">
        <v>54</v>
      </c>
      <c r="H419" s="1" t="s">
        <v>36</v>
      </c>
      <c r="I419" s="1" t="s">
        <v>109</v>
      </c>
      <c r="J419" t="str">
        <f>+_xlfn.XLOOKUP(B419,INNOVACIÓN!A:A,INNOVACIÓN!B:B,"NO")</f>
        <v>NO</v>
      </c>
      <c r="K419">
        <v>20</v>
      </c>
      <c r="M419">
        <f>+_xlfn.XLOOKUP(A419,'COSTO Y PRECIO'!$A:$A,'COSTO Y PRECIO'!B:B)</f>
        <v>51.72000000000002</v>
      </c>
      <c r="N419">
        <f>+_xlfn.XLOOKUP(A419,'COSTO Y PRECIO'!$A:$A,'COSTO Y PRECIO'!C:C)</f>
        <v>80</v>
      </c>
    </row>
    <row r="420" spans="1:14" x14ac:dyDescent="0.35">
      <c r="A420" s="1">
        <v>100008441</v>
      </c>
      <c r="B420" s="1">
        <v>75058470</v>
      </c>
      <c r="C420" s="1" t="s">
        <v>461</v>
      </c>
      <c r="D420" s="1" t="s">
        <v>44</v>
      </c>
      <c r="E420" s="14" t="s">
        <v>33</v>
      </c>
      <c r="F420" s="1" t="s">
        <v>46</v>
      </c>
      <c r="G420" s="1" t="s">
        <v>58</v>
      </c>
      <c r="H420" s="1" t="s">
        <v>36</v>
      </c>
      <c r="I420" s="1" t="s">
        <v>247</v>
      </c>
      <c r="J420" t="str">
        <f>+_xlfn.XLOOKUP(B420,INNOVACIÓN!A:A,INNOVACIÓN!B:B,"NO")</f>
        <v>NO</v>
      </c>
      <c r="K420">
        <v>14</v>
      </c>
      <c r="M420">
        <f>+_xlfn.XLOOKUP(A420,'COSTO Y PRECIO'!$A:$A,'COSTO Y PRECIO'!B:B)</f>
        <v>50</v>
      </c>
      <c r="N420" t="e">
        <f>+_xlfn.XLOOKUP(A420,'COSTO Y PRECIO'!$A:$A,'COSTO Y PRECIO'!C:C)</f>
        <v>#N/A</v>
      </c>
    </row>
    <row r="421" spans="1:14" x14ac:dyDescent="0.35">
      <c r="A421" s="1">
        <v>100010934</v>
      </c>
      <c r="B421" s="1">
        <v>75062675</v>
      </c>
      <c r="C421" s="1" t="s">
        <v>462</v>
      </c>
      <c r="D421" s="1" t="s">
        <v>44</v>
      </c>
      <c r="E421" s="14" t="s">
        <v>33</v>
      </c>
      <c r="F421" s="1" t="s">
        <v>39</v>
      </c>
      <c r="G421" s="1" t="s">
        <v>58</v>
      </c>
      <c r="H421" s="1" t="s">
        <v>36</v>
      </c>
      <c r="I421" s="1" t="s">
        <v>247</v>
      </c>
      <c r="J421" t="str">
        <f>+_xlfn.XLOOKUP(B421,INNOVACIÓN!A:A,INNOVACIÓN!B:B,"NO")</f>
        <v>NO</v>
      </c>
      <c r="K421">
        <v>20</v>
      </c>
      <c r="M421">
        <f>+_xlfn.XLOOKUP(A421,'COSTO Y PRECIO'!$A:$A,'COSTO Y PRECIO'!B:B)</f>
        <v>54.96</v>
      </c>
      <c r="N421" t="e">
        <f>+_xlfn.XLOOKUP(A421,'COSTO Y PRECIO'!$A:$A,'COSTO Y PRECIO'!C:C)</f>
        <v>#N/A</v>
      </c>
    </row>
    <row r="422" spans="1:14" x14ac:dyDescent="0.35">
      <c r="A422" s="2">
        <v>900000012</v>
      </c>
      <c r="B422" s="4">
        <v>8356</v>
      </c>
      <c r="C422" s="2" t="s">
        <v>463</v>
      </c>
      <c r="D422" s="2" t="s">
        <v>11</v>
      </c>
      <c r="E422" s="2" t="s">
        <v>33</v>
      </c>
      <c r="F422" s="2" t="s">
        <v>100</v>
      </c>
      <c r="G422" s="2" t="s">
        <v>35</v>
      </c>
      <c r="H422" s="1" t="s">
        <v>36</v>
      </c>
      <c r="I422" s="1" t="s">
        <v>247</v>
      </c>
      <c r="J422" t="str">
        <f>+_xlfn.XLOOKUP(B422,INNOVACIÓN!A:A,INNOVACIÓN!B:B,"NO")</f>
        <v>NO</v>
      </c>
      <c r="K422">
        <v>20</v>
      </c>
      <c r="M422">
        <f>+_xlfn.XLOOKUP(A422,'COSTO Y PRECIO'!$A:$A,'COSTO Y PRECIO'!B:B)</f>
        <v>50</v>
      </c>
      <c r="N422" t="e">
        <f>+_xlfn.XLOOKUP(A422,'COSTO Y PRECIO'!$A:$A,'COSTO Y PRECIO'!C:C)</f>
        <v>#N/A</v>
      </c>
    </row>
    <row r="423" spans="1:14" x14ac:dyDescent="0.35">
      <c r="A423">
        <v>100020228</v>
      </c>
      <c r="B423" s="4">
        <v>5410706884555</v>
      </c>
      <c r="C423" t="s">
        <v>464</v>
      </c>
      <c r="D423" s="1" t="s">
        <v>11</v>
      </c>
      <c r="E423" s="2" t="s">
        <v>33</v>
      </c>
      <c r="F423" s="1" t="s">
        <v>70</v>
      </c>
      <c r="G423" s="1" t="s">
        <v>239</v>
      </c>
      <c r="H423" s="1" t="s">
        <v>70</v>
      </c>
      <c r="I423" s="1" t="s">
        <v>109</v>
      </c>
      <c r="J423" t="str">
        <f>+_xlfn.XLOOKUP(B423,INNOVACIÓN!A:A,INNOVACIÓN!B:B,"NO")</f>
        <v>NO</v>
      </c>
      <c r="M423">
        <f>+_xlfn.XLOOKUP(A423,'COSTO Y PRECIO'!$A:$A,'COSTO Y PRECIO'!B:B)</f>
        <v>1028.0599999999997</v>
      </c>
      <c r="N423">
        <f>+_xlfn.XLOOKUP(A423,'COSTO Y PRECIO'!$A:$A,'COSTO Y PRECIO'!C:C)</f>
        <v>1194</v>
      </c>
    </row>
    <row r="424" spans="1:14" x14ac:dyDescent="0.35">
      <c r="A424" s="1">
        <v>100017011</v>
      </c>
      <c r="B424" s="4">
        <v>5410706851496</v>
      </c>
      <c r="C424" s="1" t="s">
        <v>465</v>
      </c>
      <c r="D424" s="2" t="s">
        <v>11</v>
      </c>
      <c r="E424" s="2" t="s">
        <v>33</v>
      </c>
      <c r="F424" s="1" t="s">
        <v>70</v>
      </c>
      <c r="G424" s="1" t="s">
        <v>239</v>
      </c>
      <c r="H424" s="1" t="s">
        <v>70</v>
      </c>
      <c r="I424" s="1" t="s">
        <v>109</v>
      </c>
      <c r="J424" t="str">
        <f>+_xlfn.XLOOKUP(B424,INNOVACIÓN!A:A,INNOVACIÓN!B:B,"NO")</f>
        <v>NO</v>
      </c>
      <c r="M424">
        <f>+_xlfn.XLOOKUP(A424,'COSTO Y PRECIO'!$A:$A,'COSTO Y PRECIO'!B:B)</f>
        <v>50</v>
      </c>
      <c r="N424">
        <f>+_xlfn.XLOOKUP(A424,'COSTO Y PRECIO'!$A:$A,'COSTO Y PRECIO'!C:C)</f>
        <v>80</v>
      </c>
    </row>
    <row r="425" spans="1:14" x14ac:dyDescent="0.35">
      <c r="A425" s="1">
        <v>100021272</v>
      </c>
      <c r="B425" s="4">
        <v>7622100711049</v>
      </c>
      <c r="C425" s="1" t="s">
        <v>466</v>
      </c>
      <c r="D425" s="2" t="s">
        <v>11</v>
      </c>
      <c r="E425" s="2" t="s">
        <v>33</v>
      </c>
      <c r="F425" s="1" t="s">
        <v>70</v>
      </c>
      <c r="G425" s="1" t="s">
        <v>239</v>
      </c>
      <c r="H425" s="1" t="s">
        <v>70</v>
      </c>
      <c r="I425" s="1" t="s">
        <v>109</v>
      </c>
      <c r="J425" t="str">
        <f>+_xlfn.XLOOKUP(B425,INNOVACIÓN!A:A,INNOVACIÓN!B:B,"NO")</f>
        <v>NO</v>
      </c>
      <c r="M425">
        <f>+_xlfn.XLOOKUP(A425,'COSTO Y PRECIO'!$A:$A,'COSTO Y PRECIO'!B:B)</f>
        <v>26.780000000000005</v>
      </c>
      <c r="N425">
        <f>+_xlfn.XLOOKUP(A425,'COSTO Y PRECIO'!$A:$A,'COSTO Y PRECIO'!C:C)</f>
        <v>36</v>
      </c>
    </row>
    <row r="426" spans="1:14" x14ac:dyDescent="0.35">
      <c r="A426" s="1">
        <v>100018398</v>
      </c>
      <c r="B426" s="4">
        <v>7622100806332</v>
      </c>
      <c r="C426" s="1" t="s">
        <v>467</v>
      </c>
      <c r="D426" s="2" t="s">
        <v>11</v>
      </c>
      <c r="E426" s="2" t="s">
        <v>33</v>
      </c>
      <c r="F426" s="1" t="s">
        <v>70</v>
      </c>
      <c r="G426" s="1" t="s">
        <v>239</v>
      </c>
      <c r="H426" s="1" t="s">
        <v>70</v>
      </c>
      <c r="I426" s="1" t="s">
        <v>109</v>
      </c>
      <c r="J426" t="str">
        <f>+_xlfn.XLOOKUP(B426,INNOVACIÓN!A:A,INNOVACIÓN!B:B,"NO")</f>
        <v>NO</v>
      </c>
      <c r="M426">
        <f>+_xlfn.XLOOKUP(A426,'COSTO Y PRECIO'!$A:$A,'COSTO Y PRECIO'!B:B)</f>
        <v>50</v>
      </c>
      <c r="N426" t="e">
        <f>+_xlfn.XLOOKUP(A426,'COSTO Y PRECIO'!$A:$A,'COSTO Y PRECIO'!C:C)</f>
        <v>#N/A</v>
      </c>
    </row>
    <row r="427" spans="1:14" x14ac:dyDescent="0.35">
      <c r="A427">
        <v>100020901</v>
      </c>
      <c r="B427" s="4">
        <v>5410706903331</v>
      </c>
      <c r="C427" t="s">
        <v>468</v>
      </c>
      <c r="D427" s="1" t="s">
        <v>11</v>
      </c>
      <c r="E427" s="2" t="s">
        <v>33</v>
      </c>
      <c r="F427" s="1" t="s">
        <v>70</v>
      </c>
      <c r="G427" s="1" t="s">
        <v>239</v>
      </c>
      <c r="H427" s="1" t="s">
        <v>70</v>
      </c>
      <c r="I427" s="1" t="s">
        <v>109</v>
      </c>
      <c r="J427" t="str">
        <f>+_xlfn.XLOOKUP(B427,INNOVACIÓN!A:A,INNOVACIÓN!B:B,"NO")</f>
        <v>NO</v>
      </c>
      <c r="M427">
        <f>+_xlfn.XLOOKUP(A427,'COSTO Y PRECIO'!$A:$A,'COSTO Y PRECIO'!B:B)</f>
        <v>1028.0599999999997</v>
      </c>
      <c r="N427" t="e">
        <f>+_xlfn.XLOOKUP(A427,'COSTO Y PRECIO'!$A:$A,'COSTO Y PRECIO'!C:C)</f>
        <v>#N/A</v>
      </c>
    </row>
    <row r="428" spans="1:14" x14ac:dyDescent="0.35">
      <c r="A428">
        <v>100020906</v>
      </c>
      <c r="B428" s="4">
        <v>5410706903317</v>
      </c>
      <c r="C428" t="s">
        <v>469</v>
      </c>
      <c r="D428" s="1" t="s">
        <v>11</v>
      </c>
      <c r="E428" s="2" t="s">
        <v>33</v>
      </c>
      <c r="F428" s="1" t="s">
        <v>70</v>
      </c>
      <c r="G428" s="1" t="s">
        <v>239</v>
      </c>
      <c r="H428" s="1" t="s">
        <v>70</v>
      </c>
      <c r="I428" s="1" t="s">
        <v>109</v>
      </c>
      <c r="J428" t="str">
        <f>+_xlfn.XLOOKUP(B428,INNOVACIÓN!A:A,INNOVACIÓN!B:B,"NO")</f>
        <v>NO</v>
      </c>
      <c r="M428">
        <f>+_xlfn.XLOOKUP(A428,'COSTO Y PRECIO'!$A:$A,'COSTO Y PRECIO'!B:B)</f>
        <v>1028.0599999999997</v>
      </c>
      <c r="N428" t="e">
        <f>+_xlfn.XLOOKUP(A428,'COSTO Y PRECIO'!$A:$A,'COSTO Y PRECIO'!C:C)</f>
        <v>#N/A</v>
      </c>
    </row>
    <row r="429" spans="1:14" x14ac:dyDescent="0.35">
      <c r="A429" s="1">
        <v>100020904</v>
      </c>
      <c r="B429" s="4">
        <v>5410706903294</v>
      </c>
      <c r="C429" s="1" t="s">
        <v>470</v>
      </c>
      <c r="D429" s="2" t="s">
        <v>11</v>
      </c>
      <c r="E429" s="2" t="s">
        <v>33</v>
      </c>
      <c r="F429" s="1" t="s">
        <v>70</v>
      </c>
      <c r="G429" s="1" t="s">
        <v>239</v>
      </c>
      <c r="H429" s="1" t="s">
        <v>70</v>
      </c>
      <c r="I429" s="1" t="s">
        <v>109</v>
      </c>
      <c r="J429" t="str">
        <f>+_xlfn.XLOOKUP(B429,INNOVACIÓN!A:A,INNOVACIÓN!B:B,"NO")</f>
        <v>NO</v>
      </c>
      <c r="M429">
        <f>+_xlfn.XLOOKUP(A429,'COSTO Y PRECIO'!$A:$A,'COSTO Y PRECIO'!B:B)</f>
        <v>1028.0599999999997</v>
      </c>
      <c r="N429" t="e">
        <f>+_xlfn.XLOOKUP(A429,'COSTO Y PRECIO'!$A:$A,'COSTO Y PRECIO'!C:C)</f>
        <v>#N/A</v>
      </c>
    </row>
    <row r="430" spans="1:14" x14ac:dyDescent="0.35">
      <c r="A430">
        <v>100020905</v>
      </c>
      <c r="B430" s="4">
        <v>5410706903355</v>
      </c>
      <c r="C430" t="s">
        <v>471</v>
      </c>
      <c r="D430" s="1" t="s">
        <v>11</v>
      </c>
      <c r="E430" s="2" t="s">
        <v>33</v>
      </c>
      <c r="F430" s="1" t="s">
        <v>70</v>
      </c>
      <c r="G430" s="1" t="s">
        <v>239</v>
      </c>
      <c r="H430" s="1" t="s">
        <v>70</v>
      </c>
      <c r="I430" s="1" t="s">
        <v>109</v>
      </c>
      <c r="J430" t="str">
        <f>+_xlfn.XLOOKUP(B430,INNOVACIÓN!A:A,INNOVACIÓN!B:B,"NO")</f>
        <v>NO</v>
      </c>
      <c r="M430">
        <f>+_xlfn.XLOOKUP(A430,'COSTO Y PRECIO'!$A:$A,'COSTO Y PRECIO'!B:B)</f>
        <v>1028.0599999999997</v>
      </c>
      <c r="N430" t="e">
        <f>+_xlfn.XLOOKUP(A430,'COSTO Y PRECIO'!$A:$A,'COSTO Y PRECIO'!C:C)</f>
        <v>#N/A</v>
      </c>
    </row>
    <row r="431" spans="1:14" x14ac:dyDescent="0.35">
      <c r="A431">
        <v>100020177</v>
      </c>
      <c r="B431" s="4">
        <v>5410706884739</v>
      </c>
      <c r="C431" t="s">
        <v>472</v>
      </c>
      <c r="D431" s="1" t="s">
        <v>11</v>
      </c>
      <c r="E431" s="2" t="s">
        <v>33</v>
      </c>
      <c r="F431" s="1" t="s">
        <v>70</v>
      </c>
      <c r="G431" s="1" t="s">
        <v>239</v>
      </c>
      <c r="H431" s="1" t="s">
        <v>70</v>
      </c>
      <c r="I431" s="1" t="s">
        <v>109</v>
      </c>
      <c r="J431" t="str">
        <f>+_xlfn.XLOOKUP(B431,INNOVACIÓN!A:A,INNOVACIÓN!B:B,"NO")</f>
        <v>NO</v>
      </c>
      <c r="M431">
        <f>+_xlfn.XLOOKUP(A431,'COSTO Y PRECIO'!$A:$A,'COSTO Y PRECIO'!B:B)</f>
        <v>1028.06</v>
      </c>
      <c r="N431">
        <f>+_xlfn.XLOOKUP(A431,'COSTO Y PRECIO'!$A:$A,'COSTO Y PRECIO'!C:C)</f>
        <v>1399</v>
      </c>
    </row>
    <row r="432" spans="1:14" x14ac:dyDescent="0.35">
      <c r="A432">
        <v>100020178</v>
      </c>
      <c r="B432" s="4">
        <v>5410706884715</v>
      </c>
      <c r="C432" t="s">
        <v>473</v>
      </c>
      <c r="D432" s="1" t="s">
        <v>11</v>
      </c>
      <c r="E432" s="2" t="s">
        <v>33</v>
      </c>
      <c r="F432" s="1" t="s">
        <v>70</v>
      </c>
      <c r="G432" s="1" t="s">
        <v>239</v>
      </c>
      <c r="H432" s="1" t="s">
        <v>70</v>
      </c>
      <c r="I432" s="1" t="s">
        <v>109</v>
      </c>
      <c r="J432" t="str">
        <f>+_xlfn.XLOOKUP(B432,INNOVACIÓN!A:A,INNOVACIÓN!B:B,"NO")</f>
        <v>NO</v>
      </c>
      <c r="M432">
        <f>+_xlfn.XLOOKUP(A432,'COSTO Y PRECIO'!$A:$A,'COSTO Y PRECIO'!B:B)</f>
        <v>1028.06</v>
      </c>
      <c r="N432">
        <f>+_xlfn.XLOOKUP(A432,'COSTO Y PRECIO'!$A:$A,'COSTO Y PRECIO'!C:C)</f>
        <v>1399</v>
      </c>
    </row>
    <row r="433" spans="1:14" x14ac:dyDescent="0.35">
      <c r="A433">
        <v>100020179</v>
      </c>
      <c r="B433" s="4">
        <v>5410706884654</v>
      </c>
      <c r="C433" t="s">
        <v>474</v>
      </c>
      <c r="D433" s="1" t="s">
        <v>11</v>
      </c>
      <c r="E433" s="2" t="s">
        <v>33</v>
      </c>
      <c r="F433" s="1" t="s">
        <v>70</v>
      </c>
      <c r="G433" s="1" t="s">
        <v>239</v>
      </c>
      <c r="H433" s="1" t="s">
        <v>70</v>
      </c>
      <c r="I433" s="1" t="s">
        <v>109</v>
      </c>
      <c r="J433" t="str">
        <f>+_xlfn.XLOOKUP(B433,INNOVACIÓN!A:A,INNOVACIÓN!B:B,"NO")</f>
        <v>NO</v>
      </c>
      <c r="M433">
        <f>+_xlfn.XLOOKUP(A433,'COSTO Y PRECIO'!$A:$A,'COSTO Y PRECIO'!B:B)</f>
        <v>1028.06</v>
      </c>
      <c r="N433">
        <f>+_xlfn.XLOOKUP(A433,'COSTO Y PRECIO'!$A:$A,'COSTO Y PRECIO'!C:C)</f>
        <v>1399</v>
      </c>
    </row>
    <row r="434" spans="1:14" x14ac:dyDescent="0.35">
      <c r="A434" s="2">
        <v>100020992</v>
      </c>
      <c r="B434" s="4">
        <v>5410710000000</v>
      </c>
      <c r="C434" s="2" t="s">
        <v>475</v>
      </c>
      <c r="D434" s="2" t="s">
        <v>11</v>
      </c>
      <c r="E434" s="2" t="s">
        <v>33</v>
      </c>
      <c r="F434" s="1" t="s">
        <v>70</v>
      </c>
      <c r="G434" s="1" t="s">
        <v>239</v>
      </c>
      <c r="H434" s="1" t="s">
        <v>70</v>
      </c>
      <c r="I434" s="1" t="s">
        <v>109</v>
      </c>
      <c r="J434" t="str">
        <f>+_xlfn.XLOOKUP(B434,INNOVACIÓN!A:A,INNOVACIÓN!B:B,"NO")</f>
        <v>NO</v>
      </c>
      <c r="M434">
        <f>+_xlfn.XLOOKUP(A434,'COSTO Y PRECIO'!$A:$A,'COSTO Y PRECIO'!B:B)</f>
        <v>50</v>
      </c>
      <c r="N434" t="e">
        <f>+_xlfn.XLOOKUP(A434,'COSTO Y PRECIO'!$A:$A,'COSTO Y PRECIO'!C:C)</f>
        <v>#N/A</v>
      </c>
    </row>
    <row r="435" spans="1:14" x14ac:dyDescent="0.35">
      <c r="A435" s="1">
        <v>100015421</v>
      </c>
      <c r="B435" s="4">
        <v>7501045357423</v>
      </c>
      <c r="C435" s="1" t="s">
        <v>476</v>
      </c>
      <c r="D435" s="2" t="s">
        <v>11</v>
      </c>
      <c r="E435" s="2" t="s">
        <v>33</v>
      </c>
      <c r="F435" s="2" t="s">
        <v>46</v>
      </c>
      <c r="G435" s="2" t="s">
        <v>75</v>
      </c>
      <c r="H435" s="1" t="s">
        <v>70</v>
      </c>
      <c r="I435" s="1" t="s">
        <v>109</v>
      </c>
      <c r="J435" t="str">
        <f>+_xlfn.XLOOKUP(B435,INNOVACIÓN!A:A,INNOVACIÓN!B:B,"NO")</f>
        <v>NO</v>
      </c>
      <c r="M435">
        <f>+_xlfn.XLOOKUP(A435,'COSTO Y PRECIO'!$A:$A,'COSTO Y PRECIO'!B:B)</f>
        <v>51.649999999999984</v>
      </c>
      <c r="N435">
        <f>+_xlfn.XLOOKUP(A435,'COSTO Y PRECIO'!$A:$A,'COSTO Y PRECIO'!C:C)</f>
        <v>85</v>
      </c>
    </row>
    <row r="436" spans="1:14" x14ac:dyDescent="0.35">
      <c r="A436" s="1">
        <v>100015420</v>
      </c>
      <c r="B436" s="9">
        <v>7501045357416</v>
      </c>
      <c r="C436" s="1" t="s">
        <v>477</v>
      </c>
      <c r="D436" s="2" t="s">
        <v>11</v>
      </c>
      <c r="E436" s="2" t="s">
        <v>33</v>
      </c>
      <c r="F436" s="2" t="s">
        <v>46</v>
      </c>
      <c r="G436" s="2" t="s">
        <v>75</v>
      </c>
      <c r="H436" s="1" t="s">
        <v>70</v>
      </c>
      <c r="I436" s="1" t="s">
        <v>109</v>
      </c>
      <c r="J436" t="str">
        <f>+_xlfn.XLOOKUP(B436,INNOVACIÓN!A:A,INNOVACIÓN!B:B,"NO")</f>
        <v>NO</v>
      </c>
      <c r="M436">
        <f>+_xlfn.XLOOKUP(A436,'COSTO Y PRECIO'!$A:$A,'COSTO Y PRECIO'!B:B)</f>
        <v>51.649999999999984</v>
      </c>
      <c r="N436">
        <f>+_xlfn.XLOOKUP(A436,'COSTO Y PRECIO'!$A:$A,'COSTO Y PRECIO'!C:C)</f>
        <v>85</v>
      </c>
    </row>
    <row r="437" spans="1:14" x14ac:dyDescent="0.35">
      <c r="A437" s="1">
        <v>100015419</v>
      </c>
      <c r="B437" s="4">
        <v>7501045357430</v>
      </c>
      <c r="C437" s="1" t="s">
        <v>478</v>
      </c>
      <c r="D437" s="2" t="s">
        <v>11</v>
      </c>
      <c r="E437" s="2" t="s">
        <v>33</v>
      </c>
      <c r="F437" s="2" t="s">
        <v>46</v>
      </c>
      <c r="G437" s="2" t="s">
        <v>75</v>
      </c>
      <c r="H437" s="1" t="s">
        <v>70</v>
      </c>
      <c r="I437" s="1" t="s">
        <v>109</v>
      </c>
      <c r="J437" t="str">
        <f>+_xlfn.XLOOKUP(B437,INNOVACIÓN!A:A,INNOVACIÓN!B:B,"NO")</f>
        <v>NO</v>
      </c>
      <c r="M437">
        <f>+_xlfn.XLOOKUP(A437,'COSTO Y PRECIO'!$A:$A,'COSTO Y PRECIO'!B:B)</f>
        <v>51.649999999999984</v>
      </c>
      <c r="N437">
        <f>+_xlfn.XLOOKUP(A437,'COSTO Y PRECIO'!$A:$A,'COSTO Y PRECIO'!C:C)</f>
        <v>85</v>
      </c>
    </row>
    <row r="438" spans="1:14" x14ac:dyDescent="0.35">
      <c r="A438" s="1">
        <v>100018638</v>
      </c>
      <c r="B438" s="4">
        <v>7501045357898</v>
      </c>
      <c r="C438" s="1" t="s">
        <v>479</v>
      </c>
      <c r="D438" s="2" t="s">
        <v>11</v>
      </c>
      <c r="E438" s="2" t="s">
        <v>33</v>
      </c>
      <c r="F438" s="2" t="s">
        <v>46</v>
      </c>
      <c r="G438" s="2" t="s">
        <v>75</v>
      </c>
      <c r="H438" s="1" t="s">
        <v>70</v>
      </c>
      <c r="I438" s="1" t="s">
        <v>109</v>
      </c>
      <c r="J438" t="str">
        <f>+_xlfn.XLOOKUP(B438,INNOVACIÓN!A:A,INNOVACIÓN!B:B,"NO")</f>
        <v>NO</v>
      </c>
      <c r="M438">
        <f>+_xlfn.XLOOKUP(A438,'COSTO Y PRECIO'!$A:$A,'COSTO Y PRECIO'!B:B)</f>
        <v>51.649999999999984</v>
      </c>
      <c r="N438">
        <f>+_xlfn.XLOOKUP(A438,'COSTO Y PRECIO'!$A:$A,'COSTO Y PRECIO'!C:C)</f>
        <v>85</v>
      </c>
    </row>
    <row r="439" spans="1:14" x14ac:dyDescent="0.35">
      <c r="A439" s="1">
        <v>100015418</v>
      </c>
      <c r="B439" s="4">
        <v>7501045357454</v>
      </c>
      <c r="C439" s="1" t="s">
        <v>480</v>
      </c>
      <c r="D439" s="2" t="s">
        <v>11</v>
      </c>
      <c r="E439" s="2" t="s">
        <v>33</v>
      </c>
      <c r="F439" s="2" t="s">
        <v>46</v>
      </c>
      <c r="G439" s="2" t="s">
        <v>75</v>
      </c>
      <c r="H439" s="1" t="s">
        <v>70</v>
      </c>
      <c r="I439" s="1" t="s">
        <v>109</v>
      </c>
      <c r="J439" t="str">
        <f>+_xlfn.XLOOKUP(B439,INNOVACIÓN!A:A,INNOVACIÓN!B:B,"NO")</f>
        <v>NO</v>
      </c>
      <c r="M439">
        <f>+_xlfn.XLOOKUP(A439,'COSTO Y PRECIO'!$A:$A,'COSTO Y PRECIO'!B:B)</f>
        <v>51.649999999999984</v>
      </c>
      <c r="N439">
        <f>+_xlfn.XLOOKUP(A439,'COSTO Y PRECIO'!$A:$A,'COSTO Y PRECIO'!C:C)</f>
        <v>85</v>
      </c>
    </row>
    <row r="440" spans="1:14" x14ac:dyDescent="0.35">
      <c r="A440" s="1">
        <v>100018639</v>
      </c>
      <c r="B440" s="4">
        <v>7501045357966</v>
      </c>
      <c r="C440" s="1" t="s">
        <v>481</v>
      </c>
      <c r="D440" s="2" t="s">
        <v>11</v>
      </c>
      <c r="E440" s="2" t="s">
        <v>33</v>
      </c>
      <c r="F440" s="2" t="s">
        <v>46</v>
      </c>
      <c r="G440" s="2" t="s">
        <v>75</v>
      </c>
      <c r="H440" s="1" t="s">
        <v>70</v>
      </c>
      <c r="I440" s="1" t="s">
        <v>109</v>
      </c>
      <c r="J440" t="str">
        <f>+_xlfn.XLOOKUP(B440,INNOVACIÓN!A:A,INNOVACIÓN!B:B,"NO")</f>
        <v>NO</v>
      </c>
      <c r="M440">
        <f>+_xlfn.XLOOKUP(A440,'COSTO Y PRECIO'!$A:$A,'COSTO Y PRECIO'!B:B)</f>
        <v>51.649999999999984</v>
      </c>
      <c r="N440">
        <f>+_xlfn.XLOOKUP(A440,'COSTO Y PRECIO'!$A:$A,'COSTO Y PRECIO'!C:C)</f>
        <v>85</v>
      </c>
    </row>
    <row r="441" spans="1:14" x14ac:dyDescent="0.35">
      <c r="A441" s="1">
        <v>100017980</v>
      </c>
      <c r="B441" s="4">
        <v>7501045357881</v>
      </c>
      <c r="C441" s="1" t="s">
        <v>482</v>
      </c>
      <c r="D441" s="2" t="s">
        <v>11</v>
      </c>
      <c r="E441" s="2" t="s">
        <v>33</v>
      </c>
      <c r="F441" s="2" t="s">
        <v>46</v>
      </c>
      <c r="G441" s="2" t="s">
        <v>75</v>
      </c>
      <c r="H441" s="1" t="s">
        <v>70</v>
      </c>
      <c r="I441" s="1" t="s">
        <v>109</v>
      </c>
      <c r="J441" t="str">
        <f>+_xlfn.XLOOKUP(B441,INNOVACIÓN!A:A,INNOVACIÓN!B:B,"NO")</f>
        <v>NO</v>
      </c>
      <c r="M441">
        <f>+_xlfn.XLOOKUP(A441,'COSTO Y PRECIO'!$A:$A,'COSTO Y PRECIO'!B:B)</f>
        <v>51.649999999999984</v>
      </c>
      <c r="N441">
        <f>+_xlfn.XLOOKUP(A441,'COSTO Y PRECIO'!$A:$A,'COSTO Y PRECIO'!C:C)</f>
        <v>85</v>
      </c>
    </row>
    <row r="442" spans="1:14" x14ac:dyDescent="0.35">
      <c r="A442" s="1">
        <v>100015417</v>
      </c>
      <c r="B442" s="4">
        <v>7501045357447</v>
      </c>
      <c r="C442" s="1" t="s">
        <v>483</v>
      </c>
      <c r="D442" s="2" t="s">
        <v>11</v>
      </c>
      <c r="E442" s="2" t="s">
        <v>33</v>
      </c>
      <c r="F442" s="2" t="s">
        <v>46</v>
      </c>
      <c r="G442" s="2" t="s">
        <v>75</v>
      </c>
      <c r="H442" s="1" t="s">
        <v>70</v>
      </c>
      <c r="I442" s="1" t="s">
        <v>109</v>
      </c>
      <c r="J442" t="str">
        <f>+_xlfn.XLOOKUP(B442,INNOVACIÓN!A:A,INNOVACIÓN!B:B,"NO")</f>
        <v>NO</v>
      </c>
      <c r="M442">
        <f>+_xlfn.XLOOKUP(A442,'COSTO Y PRECIO'!$A:$A,'COSTO Y PRECIO'!B:B)</f>
        <v>51.649999999999984</v>
      </c>
      <c r="N442">
        <f>+_xlfn.XLOOKUP(A442,'COSTO Y PRECIO'!$A:$A,'COSTO Y PRECIO'!C:C)</f>
        <v>85</v>
      </c>
    </row>
    <row r="443" spans="1:14" x14ac:dyDescent="0.35">
      <c r="A443" s="1">
        <v>100022970</v>
      </c>
      <c r="B443" s="4">
        <v>7503031950571</v>
      </c>
      <c r="C443" s="1" t="s">
        <v>484</v>
      </c>
      <c r="D443" s="2" t="s">
        <v>11</v>
      </c>
      <c r="E443" s="2" t="s">
        <v>33</v>
      </c>
      <c r="F443" s="2" t="s">
        <v>46</v>
      </c>
      <c r="G443" s="2" t="s">
        <v>75</v>
      </c>
      <c r="H443" s="1" t="s">
        <v>70</v>
      </c>
      <c r="I443" s="1" t="s">
        <v>109</v>
      </c>
      <c r="J443" t="str">
        <f>+_xlfn.XLOOKUP(B443,INNOVACIÓN!A:A,INNOVACIÓN!B:B,"NO")</f>
        <v>NO</v>
      </c>
      <c r="M443">
        <f>+_xlfn.XLOOKUP(A443,'COSTO Y PRECIO'!$A:$A,'COSTO Y PRECIO'!B:B)</f>
        <v>51.649999999999984</v>
      </c>
      <c r="N443">
        <f>+_xlfn.XLOOKUP(A443,'COSTO Y PRECIO'!$A:$A,'COSTO Y PRECIO'!C:C)</f>
        <v>85</v>
      </c>
    </row>
    <row r="444" spans="1:14" x14ac:dyDescent="0.35">
      <c r="A444" s="1">
        <v>100015416</v>
      </c>
      <c r="B444" s="4">
        <v>7501045356259</v>
      </c>
      <c r="C444" s="1" t="s">
        <v>485</v>
      </c>
      <c r="D444" s="2" t="s">
        <v>11</v>
      </c>
      <c r="E444" s="2" t="s">
        <v>33</v>
      </c>
      <c r="F444" s="2" t="s">
        <v>46</v>
      </c>
      <c r="G444" s="2" t="s">
        <v>75</v>
      </c>
      <c r="H444" s="1" t="s">
        <v>70</v>
      </c>
      <c r="I444" s="1" t="s">
        <v>109</v>
      </c>
      <c r="J444" t="str">
        <f>+_xlfn.XLOOKUP(B444,INNOVACIÓN!A:A,INNOVACIÓN!B:B,"NO")</f>
        <v>NO</v>
      </c>
      <c r="M444">
        <f>+_xlfn.XLOOKUP(A444,'COSTO Y PRECIO'!$A:$A,'COSTO Y PRECIO'!B:B)</f>
        <v>51.649999999999984</v>
      </c>
      <c r="N444">
        <f>+_xlfn.XLOOKUP(A444,'COSTO Y PRECIO'!$A:$A,'COSTO Y PRECIO'!C:C)</f>
        <v>85</v>
      </c>
    </row>
    <row r="445" spans="1:14" x14ac:dyDescent="0.35">
      <c r="A445" s="2">
        <v>100021950</v>
      </c>
      <c r="B445" s="4">
        <v>75004392</v>
      </c>
      <c r="C445" s="2" t="s">
        <v>486</v>
      </c>
      <c r="D445" s="2" t="s">
        <v>11</v>
      </c>
      <c r="E445" s="14" t="s">
        <v>214</v>
      </c>
      <c r="F445" s="2" t="s">
        <v>609</v>
      </c>
      <c r="G445" s="2" t="s">
        <v>35</v>
      </c>
      <c r="H445" s="1" t="s">
        <v>36</v>
      </c>
      <c r="I445" s="1" t="s">
        <v>16</v>
      </c>
      <c r="J445" t="str">
        <f>+_xlfn.XLOOKUP(B445,INNOVACIÓN!A:A,INNOVACIÓN!B:B,"NO")</f>
        <v>NO</v>
      </c>
      <c r="K445">
        <v>20</v>
      </c>
      <c r="M445">
        <f>+_xlfn.XLOOKUP(A445,'COSTO Y PRECIO'!$A:$A,'COSTO Y PRECIO'!B:B)</f>
        <v>49.49</v>
      </c>
      <c r="N445">
        <f>+_xlfn.XLOOKUP(A445,'COSTO Y PRECIO'!$A:$A,'COSTO Y PRECIO'!C:C)</f>
        <v>72</v>
      </c>
    </row>
    <row r="446" spans="1:14" x14ac:dyDescent="0.35">
      <c r="A446">
        <v>100012007</v>
      </c>
      <c r="B446" s="4">
        <v>75063900</v>
      </c>
      <c r="C446" t="s">
        <v>487</v>
      </c>
      <c r="D446" s="1" t="s">
        <v>11</v>
      </c>
      <c r="E446" s="2" t="s">
        <v>33</v>
      </c>
      <c r="F446" s="1" t="s">
        <v>41</v>
      </c>
      <c r="G446" s="1" t="s">
        <v>35</v>
      </c>
      <c r="H446" s="1" t="s">
        <v>36</v>
      </c>
      <c r="I446" s="1" t="s">
        <v>109</v>
      </c>
      <c r="J446" t="str">
        <f>+_xlfn.XLOOKUP(B446,INNOVACIÓN!A:A,INNOVACIÓN!B:B,"NO")</f>
        <v>NO</v>
      </c>
      <c r="K446">
        <v>20</v>
      </c>
      <c r="M446">
        <f>+_xlfn.XLOOKUP(A446,'COSTO Y PRECIO'!$A:$A,'COSTO Y PRECIO'!B:B)</f>
        <v>48.11</v>
      </c>
      <c r="N446" t="e">
        <f>+_xlfn.XLOOKUP(A446,'COSTO Y PRECIO'!$A:$A,'COSTO Y PRECIO'!C:C)</f>
        <v>#N/A</v>
      </c>
    </row>
    <row r="447" spans="1:14" x14ac:dyDescent="0.35">
      <c r="A447">
        <v>100011702</v>
      </c>
      <c r="B447" s="4">
        <v>75063894</v>
      </c>
      <c r="C447" t="s">
        <v>488</v>
      </c>
      <c r="D447" s="1" t="s">
        <v>11</v>
      </c>
      <c r="E447" s="2" t="s">
        <v>33</v>
      </c>
      <c r="F447" s="1" t="s">
        <v>41</v>
      </c>
      <c r="G447" s="1" t="s">
        <v>35</v>
      </c>
      <c r="H447" s="1" t="s">
        <v>36</v>
      </c>
      <c r="I447" s="1" t="s">
        <v>109</v>
      </c>
      <c r="J447" t="str">
        <f>+_xlfn.XLOOKUP(B447,INNOVACIÓN!A:A,INNOVACIÓN!B:B,"NO")</f>
        <v>NO</v>
      </c>
      <c r="K447">
        <v>20</v>
      </c>
      <c r="M447">
        <f>+_xlfn.XLOOKUP(A447,'COSTO Y PRECIO'!$A:$A,'COSTO Y PRECIO'!B:B)</f>
        <v>48.11</v>
      </c>
      <c r="N447" t="e">
        <f>+_xlfn.XLOOKUP(A447,'COSTO Y PRECIO'!$A:$A,'COSTO Y PRECIO'!C:C)</f>
        <v>#N/A</v>
      </c>
    </row>
    <row r="448" spans="1:14" x14ac:dyDescent="0.35">
      <c r="A448" s="1">
        <v>100010267</v>
      </c>
      <c r="B448" s="4">
        <v>75061463</v>
      </c>
      <c r="C448" s="1" t="s">
        <v>489</v>
      </c>
      <c r="D448" s="1" t="s">
        <v>11</v>
      </c>
      <c r="E448" s="2" t="s">
        <v>33</v>
      </c>
      <c r="F448" s="1" t="s">
        <v>41</v>
      </c>
      <c r="G448" s="1" t="s">
        <v>54</v>
      </c>
      <c r="H448" s="1" t="s">
        <v>36</v>
      </c>
      <c r="I448" s="1" t="s">
        <v>109</v>
      </c>
      <c r="J448" t="str">
        <f>+_xlfn.XLOOKUP(B448,INNOVACIÓN!A:A,INNOVACIÓN!B:B,"NO")</f>
        <v>NO</v>
      </c>
      <c r="K448">
        <v>14</v>
      </c>
      <c r="M448">
        <f>+_xlfn.XLOOKUP(A448,'COSTO Y PRECIO'!$A:$A,'COSTO Y PRECIO'!B:B)</f>
        <v>48.11</v>
      </c>
      <c r="N448" t="e">
        <f>+_xlfn.XLOOKUP(A448,'COSTO Y PRECIO'!$A:$A,'COSTO Y PRECIO'!C:C)</f>
        <v>#N/A</v>
      </c>
    </row>
    <row r="449" spans="1:14" x14ac:dyDescent="0.35">
      <c r="A449">
        <v>100012003</v>
      </c>
      <c r="B449" s="4">
        <v>75063863</v>
      </c>
      <c r="C449" t="s">
        <v>490</v>
      </c>
      <c r="D449" s="1" t="s">
        <v>11</v>
      </c>
      <c r="E449" s="2" t="s">
        <v>33</v>
      </c>
      <c r="F449" s="1" t="s">
        <v>41</v>
      </c>
      <c r="G449" s="1" t="s">
        <v>54</v>
      </c>
      <c r="H449" s="1" t="s">
        <v>36</v>
      </c>
      <c r="I449" s="1" t="s">
        <v>109</v>
      </c>
      <c r="J449" t="str">
        <f>+_xlfn.XLOOKUP(B449,INNOVACIÓN!A:A,INNOVACIÓN!B:B,"NO")</f>
        <v>NO</v>
      </c>
      <c r="K449">
        <v>14</v>
      </c>
      <c r="M449">
        <f>+_xlfn.XLOOKUP(A449,'COSTO Y PRECIO'!$A:$A,'COSTO Y PRECIO'!B:B)</f>
        <v>48.11</v>
      </c>
      <c r="N449" t="e">
        <f>+_xlfn.XLOOKUP(A449,'COSTO Y PRECIO'!$A:$A,'COSTO Y PRECIO'!C:C)</f>
        <v>#N/A</v>
      </c>
    </row>
    <row r="450" spans="1:14" x14ac:dyDescent="0.35">
      <c r="A450">
        <v>100009575</v>
      </c>
      <c r="B450" s="4">
        <v>75061449</v>
      </c>
      <c r="C450" t="s">
        <v>491</v>
      </c>
      <c r="D450" s="1" t="s">
        <v>11</v>
      </c>
      <c r="E450" s="2" t="s">
        <v>33</v>
      </c>
      <c r="F450" s="1" t="s">
        <v>41</v>
      </c>
      <c r="G450" s="1" t="s">
        <v>35</v>
      </c>
      <c r="H450" s="1" t="s">
        <v>36</v>
      </c>
      <c r="I450" s="1" t="s">
        <v>109</v>
      </c>
      <c r="J450" t="str">
        <f>+_xlfn.XLOOKUP(B450,INNOVACIÓN!A:A,INNOVACIÓN!B:B,"NO")</f>
        <v>NO</v>
      </c>
      <c r="K450">
        <v>14</v>
      </c>
      <c r="M450">
        <f>+_xlfn.XLOOKUP(A450,'COSTO Y PRECIO'!$A:$A,'COSTO Y PRECIO'!B:B)</f>
        <v>48.11</v>
      </c>
      <c r="N450" t="e">
        <f>+_xlfn.XLOOKUP(A450,'COSTO Y PRECIO'!$A:$A,'COSTO Y PRECIO'!C:C)</f>
        <v>#N/A</v>
      </c>
    </row>
    <row r="451" spans="1:14" x14ac:dyDescent="0.35">
      <c r="A451">
        <v>100012005</v>
      </c>
      <c r="B451" s="4">
        <v>75063948</v>
      </c>
      <c r="C451" t="s">
        <v>492</v>
      </c>
      <c r="D451" s="1" t="s">
        <v>11</v>
      </c>
      <c r="E451" s="2" t="s">
        <v>33</v>
      </c>
      <c r="F451" s="1" t="s">
        <v>41</v>
      </c>
      <c r="G451" s="1" t="s">
        <v>71</v>
      </c>
      <c r="H451" s="1" t="s">
        <v>36</v>
      </c>
      <c r="I451" s="1" t="s">
        <v>109</v>
      </c>
      <c r="J451" t="str">
        <f>+_xlfn.XLOOKUP(B451,INNOVACIÓN!A:A,INNOVACIÓN!B:B,"NO")</f>
        <v>NO</v>
      </c>
      <c r="K451">
        <v>24</v>
      </c>
      <c r="M451">
        <f>+_xlfn.XLOOKUP(A451,'COSTO Y PRECIO'!$A:$A,'COSTO Y PRECIO'!B:B)</f>
        <v>48.11</v>
      </c>
      <c r="N451" t="e">
        <f>+_xlfn.XLOOKUP(A451,'COSTO Y PRECIO'!$A:$A,'COSTO Y PRECIO'!C:C)</f>
        <v>#N/A</v>
      </c>
    </row>
    <row r="452" spans="1:14" x14ac:dyDescent="0.35">
      <c r="A452">
        <v>100011705</v>
      </c>
      <c r="B452" s="4">
        <v>75063931</v>
      </c>
      <c r="C452" t="s">
        <v>493</v>
      </c>
      <c r="D452" s="1" t="s">
        <v>11</v>
      </c>
      <c r="E452" s="2" t="s">
        <v>33</v>
      </c>
      <c r="F452" s="1" t="s">
        <v>41</v>
      </c>
      <c r="G452" s="1" t="s">
        <v>71</v>
      </c>
      <c r="H452" s="1" t="s">
        <v>36</v>
      </c>
      <c r="I452" s="1" t="s">
        <v>109</v>
      </c>
      <c r="J452" t="str">
        <f>+_xlfn.XLOOKUP(B452,INNOVACIÓN!A:A,INNOVACIÓN!B:B,"NO")</f>
        <v>NO</v>
      </c>
      <c r="K452">
        <v>24</v>
      </c>
      <c r="M452">
        <f>+_xlfn.XLOOKUP(A452,'COSTO Y PRECIO'!$A:$A,'COSTO Y PRECIO'!B:B)</f>
        <v>48.11</v>
      </c>
      <c r="N452" t="e">
        <f>+_xlfn.XLOOKUP(A452,'COSTO Y PRECIO'!$A:$A,'COSTO Y PRECIO'!C:C)</f>
        <v>#N/A</v>
      </c>
    </row>
    <row r="453" spans="1:14" x14ac:dyDescent="0.35">
      <c r="A453" s="1">
        <v>100080984</v>
      </c>
      <c r="B453" s="4">
        <v>75049607</v>
      </c>
      <c r="C453" s="1" t="s">
        <v>494</v>
      </c>
      <c r="D453" s="1" t="s">
        <v>11</v>
      </c>
      <c r="E453" s="2" t="s">
        <v>33</v>
      </c>
      <c r="F453" s="1" t="s">
        <v>41</v>
      </c>
      <c r="G453" s="1" t="s">
        <v>71</v>
      </c>
      <c r="H453" s="1" t="s">
        <v>36</v>
      </c>
      <c r="I453" s="1" t="s">
        <v>109</v>
      </c>
      <c r="J453" t="str">
        <f>+_xlfn.XLOOKUP(B453,INNOVACIÓN!A:A,INNOVACIÓN!B:B,"NO")</f>
        <v>NO</v>
      </c>
      <c r="K453">
        <v>24</v>
      </c>
      <c r="M453">
        <f>+_xlfn.XLOOKUP(A453,'COSTO Y PRECIO'!$A:$A,'COSTO Y PRECIO'!B:B)</f>
        <v>48.11</v>
      </c>
      <c r="N453" t="e">
        <f>+_xlfn.XLOOKUP(A453,'COSTO Y PRECIO'!$A:$A,'COSTO Y PRECIO'!C:C)</f>
        <v>#N/A</v>
      </c>
    </row>
    <row r="454" spans="1:14" x14ac:dyDescent="0.35">
      <c r="A454">
        <v>100012002</v>
      </c>
      <c r="B454" s="4">
        <v>75063849</v>
      </c>
      <c r="C454" t="s">
        <v>495</v>
      </c>
      <c r="D454" s="1" t="s">
        <v>11</v>
      </c>
      <c r="E454" s="2" t="s">
        <v>33</v>
      </c>
      <c r="F454" s="1" t="s">
        <v>41</v>
      </c>
      <c r="G454" s="1" t="s">
        <v>71</v>
      </c>
      <c r="H454" s="1" t="s">
        <v>36</v>
      </c>
      <c r="I454" s="1" t="s">
        <v>109</v>
      </c>
      <c r="J454" t="str">
        <f>+_xlfn.XLOOKUP(B454,INNOVACIÓN!A:A,INNOVACIÓN!B:B,"NO")</f>
        <v>NO</v>
      </c>
      <c r="K454">
        <v>14</v>
      </c>
      <c r="M454">
        <f>+_xlfn.XLOOKUP(A454,'COSTO Y PRECIO'!$A:$A,'COSTO Y PRECIO'!B:B)</f>
        <v>48.11</v>
      </c>
      <c r="N454" t="e">
        <f>+_xlfn.XLOOKUP(A454,'COSTO Y PRECIO'!$A:$A,'COSTO Y PRECIO'!C:C)</f>
        <v>#N/A</v>
      </c>
    </row>
    <row r="455" spans="1:14" x14ac:dyDescent="0.35">
      <c r="A455" s="1">
        <v>100011706</v>
      </c>
      <c r="B455" s="4">
        <v>75063832</v>
      </c>
      <c r="C455" s="1" t="s">
        <v>496</v>
      </c>
      <c r="D455" s="1" t="s">
        <v>11</v>
      </c>
      <c r="E455" s="2" t="s">
        <v>33</v>
      </c>
      <c r="F455" s="1" t="s">
        <v>41</v>
      </c>
      <c r="G455" s="1" t="s">
        <v>71</v>
      </c>
      <c r="H455" s="1" t="s">
        <v>36</v>
      </c>
      <c r="I455" s="1" t="s">
        <v>109</v>
      </c>
      <c r="J455" t="str">
        <f>+_xlfn.XLOOKUP(B455,INNOVACIÓN!A:A,INNOVACIÓN!B:B,"NO")</f>
        <v>NO</v>
      </c>
      <c r="K455">
        <v>14</v>
      </c>
      <c r="M455">
        <f>+_xlfn.XLOOKUP(A455,'COSTO Y PRECIO'!$A:$A,'COSTO Y PRECIO'!B:B)</f>
        <v>48.11</v>
      </c>
      <c r="N455" t="e">
        <f>+_xlfn.XLOOKUP(A455,'COSTO Y PRECIO'!$A:$A,'COSTO Y PRECIO'!C:C)</f>
        <v>#N/A</v>
      </c>
    </row>
    <row r="456" spans="1:14" x14ac:dyDescent="0.35">
      <c r="A456" s="1">
        <v>100080976</v>
      </c>
      <c r="B456" s="4">
        <v>75049591</v>
      </c>
      <c r="C456" s="1" t="s">
        <v>497</v>
      </c>
      <c r="D456" s="1" t="s">
        <v>11</v>
      </c>
      <c r="E456" s="2" t="s">
        <v>33</v>
      </c>
      <c r="F456" s="1" t="s">
        <v>41</v>
      </c>
      <c r="G456" s="1" t="s">
        <v>71</v>
      </c>
      <c r="H456" s="1" t="s">
        <v>36</v>
      </c>
      <c r="I456" s="1" t="s">
        <v>109</v>
      </c>
      <c r="J456" t="str">
        <f>+_xlfn.XLOOKUP(B456,INNOVACIÓN!A:A,INNOVACIÓN!B:B,"NO")</f>
        <v>NO</v>
      </c>
      <c r="K456">
        <v>20</v>
      </c>
      <c r="M456">
        <f>+_xlfn.XLOOKUP(A456,'COSTO Y PRECIO'!$A:$A,'COSTO Y PRECIO'!B:B)</f>
        <v>48.11</v>
      </c>
      <c r="N456" t="e">
        <f>+_xlfn.XLOOKUP(A456,'COSTO Y PRECIO'!$A:$A,'COSTO Y PRECIO'!C:C)</f>
        <v>#N/A</v>
      </c>
    </row>
    <row r="457" spans="1:14" x14ac:dyDescent="0.35">
      <c r="A457">
        <v>100080951</v>
      </c>
      <c r="B457" s="4">
        <v>75047092</v>
      </c>
      <c r="C457" t="s">
        <v>498</v>
      </c>
      <c r="D457" s="1" t="s">
        <v>11</v>
      </c>
      <c r="E457" s="2" t="s">
        <v>33</v>
      </c>
      <c r="F457" s="1" t="s">
        <v>41</v>
      </c>
      <c r="G457" s="1" t="s">
        <v>71</v>
      </c>
      <c r="H457" s="1" t="s">
        <v>36</v>
      </c>
      <c r="I457" s="1" t="s">
        <v>109</v>
      </c>
      <c r="J457" t="str">
        <f>+_xlfn.XLOOKUP(B457,INNOVACIÓN!A:A,INNOVACIÓN!B:B,"NO")</f>
        <v>NO</v>
      </c>
      <c r="K457">
        <v>24</v>
      </c>
      <c r="M457">
        <f>+_xlfn.XLOOKUP(A457,'COSTO Y PRECIO'!$A:$A,'COSTO Y PRECIO'!B:B)</f>
        <v>48.11</v>
      </c>
      <c r="N457" t="e">
        <f>+_xlfn.XLOOKUP(A457,'COSTO Y PRECIO'!$A:$A,'COSTO Y PRECIO'!C:C)</f>
        <v>#N/A</v>
      </c>
    </row>
    <row r="458" spans="1:14" x14ac:dyDescent="0.35">
      <c r="A458">
        <v>100080869</v>
      </c>
      <c r="B458" s="4">
        <v>75037048</v>
      </c>
      <c r="C458" t="s">
        <v>499</v>
      </c>
      <c r="D458" s="1" t="s">
        <v>11</v>
      </c>
      <c r="E458" s="2" t="s">
        <v>33</v>
      </c>
      <c r="F458" s="1" t="s">
        <v>41</v>
      </c>
      <c r="G458" s="1" t="s">
        <v>35</v>
      </c>
      <c r="H458" s="1" t="s">
        <v>36</v>
      </c>
      <c r="I458" s="1" t="s">
        <v>109</v>
      </c>
      <c r="J458" t="str">
        <f>+_xlfn.XLOOKUP(B458,INNOVACIÓN!A:A,INNOVACIÓN!B:B,"NO")</f>
        <v>NO</v>
      </c>
      <c r="K458">
        <v>20</v>
      </c>
      <c r="M458">
        <f>+_xlfn.XLOOKUP(A458,'COSTO Y PRECIO'!$A:$A,'COSTO Y PRECIO'!B:B)</f>
        <v>48.11</v>
      </c>
      <c r="N458" t="e">
        <f>+_xlfn.XLOOKUP(A458,'COSTO Y PRECIO'!$A:$A,'COSTO Y PRECIO'!C:C)</f>
        <v>#N/A</v>
      </c>
    </row>
    <row r="459" spans="1:14" x14ac:dyDescent="0.35">
      <c r="A459">
        <v>100005287</v>
      </c>
      <c r="B459" s="4">
        <v>75053048</v>
      </c>
      <c r="C459" t="s">
        <v>500</v>
      </c>
      <c r="D459" s="1" t="s">
        <v>11</v>
      </c>
      <c r="E459" s="2" t="s">
        <v>33</v>
      </c>
      <c r="F459" s="1" t="s">
        <v>41</v>
      </c>
      <c r="G459" s="1" t="s">
        <v>54</v>
      </c>
      <c r="H459" s="1" t="s">
        <v>36</v>
      </c>
      <c r="I459" s="1" t="s">
        <v>109</v>
      </c>
      <c r="J459" t="str">
        <f>+_xlfn.XLOOKUP(B459,INNOVACIÓN!A:A,INNOVACIÓN!B:B,"NO")</f>
        <v>NO</v>
      </c>
      <c r="K459">
        <v>20</v>
      </c>
      <c r="M459">
        <f>+_xlfn.XLOOKUP(A459,'COSTO Y PRECIO'!$A:$A,'COSTO Y PRECIO'!B:B)</f>
        <v>59.22</v>
      </c>
      <c r="N459" t="e">
        <f>+_xlfn.XLOOKUP(A459,'COSTO Y PRECIO'!$A:$A,'COSTO Y PRECIO'!C:C)</f>
        <v>#N/A</v>
      </c>
    </row>
    <row r="460" spans="1:14" x14ac:dyDescent="0.35">
      <c r="A460">
        <v>100012006</v>
      </c>
      <c r="B460" s="4">
        <v>75063924</v>
      </c>
      <c r="C460" t="s">
        <v>501</v>
      </c>
      <c r="D460" s="1" t="s">
        <v>11</v>
      </c>
      <c r="E460" s="2" t="s">
        <v>33</v>
      </c>
      <c r="F460" s="1" t="s">
        <v>41</v>
      </c>
      <c r="G460" s="1" t="s">
        <v>35</v>
      </c>
      <c r="H460" s="1" t="s">
        <v>36</v>
      </c>
      <c r="I460" s="1" t="s">
        <v>109</v>
      </c>
      <c r="J460" t="str">
        <f>+_xlfn.XLOOKUP(B460,INNOVACIÓN!A:A,INNOVACIÓN!B:B,"NO")</f>
        <v>NO</v>
      </c>
      <c r="K460">
        <v>24</v>
      </c>
      <c r="M460">
        <f>+_xlfn.XLOOKUP(A460,'COSTO Y PRECIO'!$A:$A,'COSTO Y PRECIO'!B:B)</f>
        <v>48.11</v>
      </c>
      <c r="N460" t="e">
        <f>+_xlfn.XLOOKUP(A460,'COSTO Y PRECIO'!$A:$A,'COSTO Y PRECIO'!C:C)</f>
        <v>#N/A</v>
      </c>
    </row>
    <row r="461" spans="1:14" x14ac:dyDescent="0.35">
      <c r="A461">
        <v>100011704</v>
      </c>
      <c r="B461" s="4">
        <v>75063917</v>
      </c>
      <c r="C461" t="s">
        <v>502</v>
      </c>
      <c r="D461" s="1" t="s">
        <v>11</v>
      </c>
      <c r="E461" s="2" t="s">
        <v>33</v>
      </c>
      <c r="F461" s="1" t="s">
        <v>41</v>
      </c>
      <c r="G461" s="1" t="s">
        <v>35</v>
      </c>
      <c r="H461" s="1" t="s">
        <v>36</v>
      </c>
      <c r="I461" s="1" t="s">
        <v>109</v>
      </c>
      <c r="J461" t="str">
        <f>+_xlfn.XLOOKUP(B461,INNOVACIÓN!A:A,INNOVACIÓN!B:B,"NO")</f>
        <v>NO</v>
      </c>
      <c r="K461">
        <v>24</v>
      </c>
      <c r="M461">
        <f>+_xlfn.XLOOKUP(A461,'COSTO Y PRECIO'!$A:$A,'COSTO Y PRECIO'!B:B)</f>
        <v>48.11</v>
      </c>
      <c r="N461" t="e">
        <f>+_xlfn.XLOOKUP(A461,'COSTO Y PRECIO'!$A:$A,'COSTO Y PRECIO'!C:C)</f>
        <v>#N/A</v>
      </c>
    </row>
    <row r="462" spans="1:14" x14ac:dyDescent="0.35">
      <c r="A462" s="1">
        <v>100011708</v>
      </c>
      <c r="B462" s="4">
        <v>75063870</v>
      </c>
      <c r="C462" s="1" t="s">
        <v>503</v>
      </c>
      <c r="D462" s="1" t="s">
        <v>11</v>
      </c>
      <c r="E462" s="2" t="s">
        <v>33</v>
      </c>
      <c r="F462" s="1" t="s">
        <v>41</v>
      </c>
      <c r="G462" s="1" t="s">
        <v>35</v>
      </c>
      <c r="H462" s="1" t="s">
        <v>36</v>
      </c>
      <c r="I462" s="1" t="s">
        <v>109</v>
      </c>
      <c r="J462" t="str">
        <f>+_xlfn.XLOOKUP(B462,INNOVACIÓN!A:A,INNOVACIÓN!B:B,"NO")</f>
        <v>NO</v>
      </c>
      <c r="K462">
        <v>14</v>
      </c>
      <c r="M462">
        <f>+_xlfn.XLOOKUP(A462,'COSTO Y PRECIO'!$A:$A,'COSTO Y PRECIO'!B:B)</f>
        <v>48.11</v>
      </c>
      <c r="N462" t="e">
        <f>+_xlfn.XLOOKUP(A462,'COSTO Y PRECIO'!$A:$A,'COSTO Y PRECIO'!C:C)</f>
        <v>#N/A</v>
      </c>
    </row>
    <row r="463" spans="1:14" x14ac:dyDescent="0.35">
      <c r="A463">
        <v>100008186</v>
      </c>
      <c r="B463" s="4">
        <v>75057817</v>
      </c>
      <c r="C463" t="s">
        <v>504</v>
      </c>
      <c r="D463" s="1" t="s">
        <v>11</v>
      </c>
      <c r="E463" s="2" t="s">
        <v>33</v>
      </c>
      <c r="F463" s="1" t="s">
        <v>41</v>
      </c>
      <c r="G463" s="1" t="s">
        <v>35</v>
      </c>
      <c r="H463" s="1" t="s">
        <v>36</v>
      </c>
      <c r="I463" s="1" t="s">
        <v>109</v>
      </c>
      <c r="J463" t="str">
        <f>+_xlfn.XLOOKUP(B463,INNOVACIÓN!A:A,INNOVACIÓN!B:B,"NO")</f>
        <v>NO</v>
      </c>
      <c r="K463">
        <v>14</v>
      </c>
      <c r="M463">
        <f>+_xlfn.XLOOKUP(A463,'COSTO Y PRECIO'!$A:$A,'COSTO Y PRECIO'!B:B)</f>
        <v>26.33</v>
      </c>
      <c r="N463" t="e">
        <f>+_xlfn.XLOOKUP(A463,'COSTO Y PRECIO'!$A:$A,'COSTO Y PRECIO'!C:C)</f>
        <v>#N/A</v>
      </c>
    </row>
    <row r="464" spans="1:14" x14ac:dyDescent="0.35">
      <c r="A464" s="1">
        <v>100011671</v>
      </c>
      <c r="B464" s="4">
        <v>75063771</v>
      </c>
      <c r="C464" s="1" t="s">
        <v>505</v>
      </c>
      <c r="D464" s="2" t="s">
        <v>11</v>
      </c>
      <c r="E464" s="2" t="s">
        <v>33</v>
      </c>
      <c r="F464" s="1" t="s">
        <v>41</v>
      </c>
      <c r="G464" s="1" t="s">
        <v>14</v>
      </c>
      <c r="H464" s="1" t="s">
        <v>36</v>
      </c>
      <c r="I464" s="1" t="s">
        <v>109</v>
      </c>
      <c r="J464" t="str">
        <f>+_xlfn.XLOOKUP(B464,INNOVACIÓN!A:A,INNOVACIÓN!B:B,"NO")</f>
        <v>NO</v>
      </c>
      <c r="K464">
        <v>20</v>
      </c>
      <c r="M464">
        <f>+_xlfn.XLOOKUP(A464,'COSTO Y PRECIO'!$A:$A,'COSTO Y PRECIO'!B:B)</f>
        <v>46.67</v>
      </c>
      <c r="N464">
        <f>+_xlfn.XLOOKUP(A464,'COSTO Y PRECIO'!$A:$A,'COSTO Y PRECIO'!C:C)</f>
        <v>71</v>
      </c>
    </row>
    <row r="465" spans="1:14" x14ac:dyDescent="0.35">
      <c r="A465" s="1">
        <v>100018204</v>
      </c>
      <c r="B465" s="4">
        <v>7501045300139</v>
      </c>
      <c r="C465" s="1" t="s">
        <v>506</v>
      </c>
      <c r="D465" s="2" t="s">
        <v>11</v>
      </c>
      <c r="E465" s="2" t="s">
        <v>33</v>
      </c>
      <c r="F465" s="1" t="s">
        <v>41</v>
      </c>
      <c r="G465" s="1" t="s">
        <v>14</v>
      </c>
      <c r="H465" s="1" t="s">
        <v>36</v>
      </c>
      <c r="I465" s="1" t="s">
        <v>109</v>
      </c>
      <c r="J465" t="str">
        <f>+_xlfn.XLOOKUP(B465,INNOVACIÓN!A:A,INNOVACIÓN!B:B,"NO")</f>
        <v>NO</v>
      </c>
      <c r="K465">
        <v>20</v>
      </c>
      <c r="M465">
        <f>+_xlfn.XLOOKUP(A465,'COSTO Y PRECIO'!$A:$A,'COSTO Y PRECIO'!B:B)</f>
        <v>46.67</v>
      </c>
      <c r="N465" t="e">
        <f>+_xlfn.XLOOKUP(A465,'COSTO Y PRECIO'!$A:$A,'COSTO Y PRECIO'!C:C)</f>
        <v>#N/A</v>
      </c>
    </row>
    <row r="466" spans="1:14" x14ac:dyDescent="0.35">
      <c r="A466" s="1">
        <v>100018203</v>
      </c>
      <c r="B466" s="4">
        <v>7501045300122</v>
      </c>
      <c r="C466" s="1" t="s">
        <v>507</v>
      </c>
      <c r="D466" s="2" t="s">
        <v>11</v>
      </c>
      <c r="E466" s="2" t="s">
        <v>33</v>
      </c>
      <c r="F466" s="1" t="s">
        <v>41</v>
      </c>
      <c r="G466" s="1" t="s">
        <v>54</v>
      </c>
      <c r="H466" s="1" t="s">
        <v>36</v>
      </c>
      <c r="I466" s="1" t="s">
        <v>109</v>
      </c>
      <c r="J466" t="str">
        <f>+_xlfn.XLOOKUP(B466,INNOVACIÓN!A:A,INNOVACIÓN!B:B,"NO")</f>
        <v>NO</v>
      </c>
      <c r="K466">
        <v>20</v>
      </c>
      <c r="M466">
        <f>+_xlfn.XLOOKUP(A466,'COSTO Y PRECIO'!$A:$A,'COSTO Y PRECIO'!B:B)</f>
        <v>46.67</v>
      </c>
      <c r="N466" t="e">
        <f>+_xlfn.XLOOKUP(A466,'COSTO Y PRECIO'!$A:$A,'COSTO Y PRECIO'!C:C)</f>
        <v>#N/A</v>
      </c>
    </row>
    <row r="467" spans="1:14" x14ac:dyDescent="0.35">
      <c r="A467">
        <v>100004742</v>
      </c>
      <c r="B467" s="4">
        <v>75052867</v>
      </c>
      <c r="C467" t="s">
        <v>508</v>
      </c>
      <c r="D467" s="1" t="s">
        <v>11</v>
      </c>
      <c r="E467" s="2" t="s">
        <v>33</v>
      </c>
      <c r="F467" s="1" t="s">
        <v>41</v>
      </c>
      <c r="G467" s="1" t="s">
        <v>35</v>
      </c>
      <c r="H467" s="1" t="s">
        <v>36</v>
      </c>
      <c r="I467" s="1" t="s">
        <v>109</v>
      </c>
      <c r="J467" t="str">
        <f>+_xlfn.XLOOKUP(B467,INNOVACIÓN!A:A,INNOVACIÓN!B:B,"NO")</f>
        <v>NO</v>
      </c>
      <c r="K467">
        <v>20</v>
      </c>
      <c r="M467">
        <f>+_xlfn.XLOOKUP(A467,'COSTO Y PRECIO'!$A:$A,'COSTO Y PRECIO'!B:B)</f>
        <v>46.67</v>
      </c>
      <c r="N467" t="e">
        <f>+_xlfn.XLOOKUP(A467,'COSTO Y PRECIO'!$A:$A,'COSTO Y PRECIO'!C:C)</f>
        <v>#N/A</v>
      </c>
    </row>
    <row r="468" spans="1:14" x14ac:dyDescent="0.35">
      <c r="A468" s="1">
        <v>100080980</v>
      </c>
      <c r="B468" s="4">
        <v>75049577</v>
      </c>
      <c r="C468" s="1" t="s">
        <v>509</v>
      </c>
      <c r="D468" s="1" t="s">
        <v>11</v>
      </c>
      <c r="E468" s="2" t="s">
        <v>33</v>
      </c>
      <c r="F468" s="1" t="s">
        <v>41</v>
      </c>
      <c r="G468" s="1" t="s">
        <v>14</v>
      </c>
      <c r="H468" s="1" t="s">
        <v>36</v>
      </c>
      <c r="I468" s="1" t="s">
        <v>109</v>
      </c>
      <c r="J468" t="str">
        <f>+_xlfn.XLOOKUP(B468,INNOVACIÓN!A:A,INNOVACIÓN!B:B,"NO")</f>
        <v>NO</v>
      </c>
      <c r="K468">
        <v>20</v>
      </c>
      <c r="M468">
        <f>+_xlfn.XLOOKUP(A468,'COSTO Y PRECIO'!$A:$A,'COSTO Y PRECIO'!B:B)</f>
        <v>26.33</v>
      </c>
      <c r="N468" t="e">
        <f>+_xlfn.XLOOKUP(A468,'COSTO Y PRECIO'!$A:$A,'COSTO Y PRECIO'!C:C)</f>
        <v>#N/A</v>
      </c>
    </row>
    <row r="469" spans="1:14" x14ac:dyDescent="0.35">
      <c r="A469" s="1">
        <v>100012202</v>
      </c>
      <c r="B469" s="4">
        <v>75064112</v>
      </c>
      <c r="C469" s="1" t="s">
        <v>510</v>
      </c>
      <c r="D469" s="1" t="s">
        <v>11</v>
      </c>
      <c r="E469" s="2" t="s">
        <v>33</v>
      </c>
      <c r="F469" s="1" t="s">
        <v>41</v>
      </c>
      <c r="G469" s="1" t="s">
        <v>35</v>
      </c>
      <c r="H469" s="1" t="s">
        <v>36</v>
      </c>
      <c r="I469" s="1" t="s">
        <v>109</v>
      </c>
      <c r="J469" t="str">
        <f>+_xlfn.XLOOKUP(B469,INNOVACIÓN!A:A,INNOVACIÓN!B:B,"NO")</f>
        <v>NO</v>
      </c>
      <c r="K469">
        <v>24</v>
      </c>
      <c r="M469">
        <f>+_xlfn.XLOOKUP(A469,'COSTO Y PRECIO'!$A:$A,'COSTO Y PRECIO'!B:B)</f>
        <v>26.33</v>
      </c>
      <c r="N469" t="e">
        <f>+_xlfn.XLOOKUP(A469,'COSTO Y PRECIO'!$A:$A,'COSTO Y PRECIO'!C:C)</f>
        <v>#N/A</v>
      </c>
    </row>
    <row r="470" spans="1:14" x14ac:dyDescent="0.35">
      <c r="A470" s="1">
        <v>100011674</v>
      </c>
      <c r="B470" s="4">
        <v>75063726</v>
      </c>
      <c r="C470" s="1" t="s">
        <v>511</v>
      </c>
      <c r="D470" s="2" t="s">
        <v>11</v>
      </c>
      <c r="E470" s="2" t="s">
        <v>33</v>
      </c>
      <c r="F470" s="1" t="s">
        <v>41</v>
      </c>
      <c r="G470" s="2" t="s">
        <v>35</v>
      </c>
      <c r="H470" s="1" t="s">
        <v>36</v>
      </c>
      <c r="I470" s="1" t="s">
        <v>109</v>
      </c>
      <c r="J470" t="str">
        <f>+_xlfn.XLOOKUP(B470,INNOVACIÓN!A:A,INNOVACIÓN!B:B,"NO")</f>
        <v>NO</v>
      </c>
      <c r="K470">
        <v>20</v>
      </c>
      <c r="M470">
        <f>+_xlfn.XLOOKUP(A470,'COSTO Y PRECIO'!$A:$A,'COSTO Y PRECIO'!B:B)</f>
        <v>26.33</v>
      </c>
      <c r="N470" t="e">
        <f>+_xlfn.XLOOKUP(A470,'COSTO Y PRECIO'!$A:$A,'COSTO Y PRECIO'!C:C)</f>
        <v>#N/A</v>
      </c>
    </row>
    <row r="471" spans="1:14" x14ac:dyDescent="0.35">
      <c r="A471" s="1">
        <v>100011678</v>
      </c>
      <c r="B471" s="4">
        <v>75063757</v>
      </c>
      <c r="C471" s="1" t="s">
        <v>512</v>
      </c>
      <c r="D471" s="1" t="s">
        <v>11</v>
      </c>
      <c r="E471" s="2" t="s">
        <v>33</v>
      </c>
      <c r="F471" s="1" t="s">
        <v>41</v>
      </c>
      <c r="G471" s="1" t="s">
        <v>35</v>
      </c>
      <c r="H471" s="1" t="s">
        <v>36</v>
      </c>
      <c r="I471" s="1" t="s">
        <v>109</v>
      </c>
      <c r="J471" t="str">
        <f>+_xlfn.XLOOKUP(B471,INNOVACIÓN!A:A,INNOVACIÓN!B:B,"NO")</f>
        <v>NO</v>
      </c>
      <c r="K471">
        <v>14</v>
      </c>
      <c r="M471">
        <f>+_xlfn.XLOOKUP(A471,'COSTO Y PRECIO'!$A:$A,'COSTO Y PRECIO'!B:B)</f>
        <v>26.33</v>
      </c>
      <c r="N471" t="e">
        <f>+_xlfn.XLOOKUP(A471,'COSTO Y PRECIO'!$A:$A,'COSTO Y PRECIO'!C:C)</f>
        <v>#N/A</v>
      </c>
    </row>
    <row r="472" spans="1:14" x14ac:dyDescent="0.35">
      <c r="A472">
        <v>100018490</v>
      </c>
      <c r="B472" s="4">
        <v>7501045300146</v>
      </c>
      <c r="C472" t="s">
        <v>513</v>
      </c>
      <c r="D472" s="1" t="s">
        <v>11</v>
      </c>
      <c r="E472" s="2" t="s">
        <v>33</v>
      </c>
      <c r="F472" s="1" t="s">
        <v>41</v>
      </c>
      <c r="G472" s="1" t="s">
        <v>35</v>
      </c>
      <c r="H472" s="1" t="s">
        <v>36</v>
      </c>
      <c r="I472" s="1" t="s">
        <v>109</v>
      </c>
      <c r="J472" t="str">
        <f>+_xlfn.XLOOKUP(B472,INNOVACIÓN!A:A,INNOVACIÓN!B:B,"NO")</f>
        <v>NO</v>
      </c>
      <c r="K472">
        <v>20</v>
      </c>
      <c r="M472">
        <f>+_xlfn.XLOOKUP(A472,'COSTO Y PRECIO'!$A:$A,'COSTO Y PRECIO'!B:B)</f>
        <v>26.33</v>
      </c>
      <c r="N472" t="e">
        <f>+_xlfn.XLOOKUP(A472,'COSTO Y PRECIO'!$A:$A,'COSTO Y PRECIO'!C:C)</f>
        <v>#N/A</v>
      </c>
    </row>
    <row r="473" spans="1:14" x14ac:dyDescent="0.35">
      <c r="A473" s="1">
        <v>100014571</v>
      </c>
      <c r="B473" s="4">
        <v>75069506</v>
      </c>
      <c r="C473" s="1" t="s">
        <v>514</v>
      </c>
      <c r="D473" s="1" t="s">
        <v>11</v>
      </c>
      <c r="E473" s="2" t="s">
        <v>33</v>
      </c>
      <c r="F473" s="1" t="s">
        <v>41</v>
      </c>
      <c r="G473" s="1" t="s">
        <v>54</v>
      </c>
      <c r="H473" s="1" t="s">
        <v>36</v>
      </c>
      <c r="I473" s="1" t="s">
        <v>109</v>
      </c>
      <c r="J473" t="str">
        <f>+_xlfn.XLOOKUP(B473,INNOVACIÓN!A:A,INNOVACIÓN!B:B,"NO")</f>
        <v>NO</v>
      </c>
      <c r="K473">
        <v>20</v>
      </c>
      <c r="M473">
        <f>+_xlfn.XLOOKUP(A473,'COSTO Y PRECIO'!$A:$A,'COSTO Y PRECIO'!B:B)</f>
        <v>46.67</v>
      </c>
      <c r="N473">
        <f>+_xlfn.XLOOKUP(A473,'COSTO Y PRECIO'!$A:$A,'COSTO Y PRECIO'!C:C)</f>
        <v>78</v>
      </c>
    </row>
    <row r="474" spans="1:14" x14ac:dyDescent="0.35">
      <c r="A474" s="1">
        <v>100013983</v>
      </c>
      <c r="B474" s="4">
        <v>75067854</v>
      </c>
      <c r="C474" s="1" t="s">
        <v>515</v>
      </c>
      <c r="D474" s="1" t="s">
        <v>11</v>
      </c>
      <c r="E474" s="2" t="s">
        <v>33</v>
      </c>
      <c r="F474" s="1" t="s">
        <v>41</v>
      </c>
      <c r="G474" s="1" t="s">
        <v>35</v>
      </c>
      <c r="H474" s="1" t="s">
        <v>36</v>
      </c>
      <c r="I474" s="1" t="s">
        <v>109</v>
      </c>
      <c r="J474" t="str">
        <f>+_xlfn.XLOOKUP(B474,INNOVACIÓN!A:A,INNOVACIÓN!B:B,"NO")</f>
        <v>NO</v>
      </c>
      <c r="K474">
        <v>25</v>
      </c>
      <c r="M474">
        <f>+_xlfn.XLOOKUP(A474,'COSTO Y PRECIO'!$A:$A,'COSTO Y PRECIO'!B:B)</f>
        <v>50.850000000000016</v>
      </c>
      <c r="N474">
        <f>+_xlfn.XLOOKUP(A474,'COSTO Y PRECIO'!$A:$A,'COSTO Y PRECIO'!C:C)</f>
        <v>72.5</v>
      </c>
    </row>
    <row r="475" spans="1:14" x14ac:dyDescent="0.35">
      <c r="A475">
        <v>100013785</v>
      </c>
      <c r="B475" s="4">
        <v>75067892</v>
      </c>
      <c r="C475" t="s">
        <v>516</v>
      </c>
      <c r="D475" s="1" t="s">
        <v>11</v>
      </c>
      <c r="E475" s="2" t="s">
        <v>33</v>
      </c>
      <c r="F475" s="1" t="s">
        <v>41</v>
      </c>
      <c r="G475" s="1" t="s">
        <v>35</v>
      </c>
      <c r="H475" s="1" t="s">
        <v>36</v>
      </c>
      <c r="I475" s="1" t="s">
        <v>109</v>
      </c>
      <c r="J475" t="str">
        <f>+_xlfn.XLOOKUP(B475,INNOVACIÓN!A:A,INNOVACIÓN!B:B,"NO")</f>
        <v>NO</v>
      </c>
      <c r="K475">
        <v>25</v>
      </c>
      <c r="M475">
        <f>+_xlfn.XLOOKUP(A475,'COSTO Y PRECIO'!$A:$A,'COSTO Y PRECIO'!B:B)</f>
        <v>26.33</v>
      </c>
      <c r="N475" t="e">
        <f>+_xlfn.XLOOKUP(A475,'COSTO Y PRECIO'!$A:$A,'COSTO Y PRECIO'!C:C)</f>
        <v>#N/A</v>
      </c>
    </row>
    <row r="476" spans="1:14" x14ac:dyDescent="0.35">
      <c r="A476" s="1">
        <v>100013982</v>
      </c>
      <c r="B476" s="4">
        <v>75067823</v>
      </c>
      <c r="C476" s="1" t="s">
        <v>517</v>
      </c>
      <c r="D476" s="1" t="s">
        <v>11</v>
      </c>
      <c r="E476" s="2" t="s">
        <v>33</v>
      </c>
      <c r="F476" s="1" t="s">
        <v>41</v>
      </c>
      <c r="G476" s="1" t="s">
        <v>35</v>
      </c>
      <c r="H476" s="1" t="s">
        <v>36</v>
      </c>
      <c r="I476" s="1" t="s">
        <v>109</v>
      </c>
      <c r="J476" t="str">
        <f>+_xlfn.XLOOKUP(B476,INNOVACIÓN!A:A,INNOVACIÓN!B:B,"NO")</f>
        <v>NO</v>
      </c>
      <c r="K476">
        <v>15</v>
      </c>
      <c r="M476">
        <f>+_xlfn.XLOOKUP(A476,'COSTO Y PRECIO'!$A:$A,'COSTO Y PRECIO'!B:B)</f>
        <v>50.85</v>
      </c>
      <c r="N476">
        <f>+_xlfn.XLOOKUP(A476,'COSTO Y PRECIO'!$A:$A,'COSTO Y PRECIO'!C:C)</f>
        <v>72</v>
      </c>
    </row>
    <row r="477" spans="1:14" x14ac:dyDescent="0.35">
      <c r="A477" s="1">
        <v>100008185</v>
      </c>
      <c r="B477" s="4">
        <v>75057824</v>
      </c>
      <c r="C477" s="1" t="s">
        <v>518</v>
      </c>
      <c r="D477" s="1" t="s">
        <v>11</v>
      </c>
      <c r="E477" s="2" t="s">
        <v>33</v>
      </c>
      <c r="F477" s="1" t="s">
        <v>41</v>
      </c>
      <c r="G477" s="1" t="s">
        <v>54</v>
      </c>
      <c r="H477" s="1" t="s">
        <v>36</v>
      </c>
      <c r="I477" s="1" t="s">
        <v>109</v>
      </c>
      <c r="J477" t="str">
        <f>+_xlfn.XLOOKUP(B477,INNOVACIÓN!A:A,INNOVACIÓN!B:B,"NO")</f>
        <v>NO</v>
      </c>
      <c r="K477">
        <v>14</v>
      </c>
      <c r="M477">
        <f>+_xlfn.XLOOKUP(A477,'COSTO Y PRECIO'!$A:$A,'COSTO Y PRECIO'!B:B)</f>
        <v>26.33</v>
      </c>
      <c r="N477" t="e">
        <f>+_xlfn.XLOOKUP(A477,'COSTO Y PRECIO'!$A:$A,'COSTO Y PRECIO'!C:C)</f>
        <v>#N/A</v>
      </c>
    </row>
    <row r="478" spans="1:14" x14ac:dyDescent="0.35">
      <c r="A478">
        <v>100080979</v>
      </c>
      <c r="B478" s="4">
        <v>75049584</v>
      </c>
      <c r="C478" t="s">
        <v>519</v>
      </c>
      <c r="D478" s="1" t="s">
        <v>11</v>
      </c>
      <c r="E478" s="2" t="s">
        <v>33</v>
      </c>
      <c r="F478" s="1" t="s">
        <v>41</v>
      </c>
      <c r="G478" s="1" t="s">
        <v>54</v>
      </c>
      <c r="H478" s="1" t="s">
        <v>36</v>
      </c>
      <c r="I478" s="1" t="s">
        <v>109</v>
      </c>
      <c r="J478" t="str">
        <f>+_xlfn.XLOOKUP(B478,INNOVACIÓN!A:A,INNOVACIÓN!B:B,"NO")</f>
        <v>NO</v>
      </c>
      <c r="K478">
        <v>20</v>
      </c>
      <c r="M478">
        <f>+_xlfn.XLOOKUP(A478,'COSTO Y PRECIO'!$A:$A,'COSTO Y PRECIO'!B:B)</f>
        <v>26.33</v>
      </c>
      <c r="N478" t="e">
        <f>+_xlfn.XLOOKUP(A478,'COSTO Y PRECIO'!$A:$A,'COSTO Y PRECIO'!C:C)</f>
        <v>#N/A</v>
      </c>
    </row>
    <row r="479" spans="1:14" x14ac:dyDescent="0.35">
      <c r="A479" s="1">
        <v>100021797</v>
      </c>
      <c r="B479" s="4">
        <v>7503031950267</v>
      </c>
      <c r="C479" s="1" t="s">
        <v>520</v>
      </c>
      <c r="D479" s="2" t="s">
        <v>11</v>
      </c>
      <c r="E479" s="2" t="s">
        <v>33</v>
      </c>
      <c r="F479" s="1" t="s">
        <v>41</v>
      </c>
      <c r="G479" s="2" t="s">
        <v>35</v>
      </c>
      <c r="H479" s="1" t="s">
        <v>36</v>
      </c>
      <c r="I479" s="1" t="s">
        <v>109</v>
      </c>
      <c r="J479" t="str">
        <f>+_xlfn.XLOOKUP(B479,INNOVACIÓN!A:A,INNOVACIÓN!B:B,"NO")</f>
        <v>NO</v>
      </c>
      <c r="K479">
        <v>25</v>
      </c>
      <c r="M479">
        <f>+_xlfn.XLOOKUP(A479,'COSTO Y PRECIO'!$A:$A,'COSTO Y PRECIO'!B:B)</f>
        <v>43.860000000000007</v>
      </c>
      <c r="N479">
        <f>+_xlfn.XLOOKUP(A479,'COSTO Y PRECIO'!$A:$A,'COSTO Y PRECIO'!C:C)</f>
        <v>62</v>
      </c>
    </row>
    <row r="480" spans="1:14" x14ac:dyDescent="0.35">
      <c r="A480" s="1">
        <v>100019960</v>
      </c>
      <c r="B480" s="4">
        <v>7503031950113</v>
      </c>
      <c r="C480" s="1" t="s">
        <v>521</v>
      </c>
      <c r="D480" s="2" t="s">
        <v>11</v>
      </c>
      <c r="E480" s="2" t="s">
        <v>33</v>
      </c>
      <c r="F480" s="1" t="s">
        <v>41</v>
      </c>
      <c r="G480" s="1" t="s">
        <v>14</v>
      </c>
      <c r="H480" s="1" t="s">
        <v>36</v>
      </c>
      <c r="I480" s="1" t="s">
        <v>109</v>
      </c>
      <c r="J480" t="str">
        <f>+_xlfn.XLOOKUP(B480,INNOVACIÓN!A:A,INNOVACIÓN!B:B,"NO")</f>
        <v>NO</v>
      </c>
      <c r="K480">
        <v>20</v>
      </c>
      <c r="M480">
        <f>+_xlfn.XLOOKUP(A480,'COSTO Y PRECIO'!$A:$A,'COSTO Y PRECIO'!B:B)</f>
        <v>37.840000000000003</v>
      </c>
      <c r="N480">
        <f>+_xlfn.XLOOKUP(A480,'COSTO Y PRECIO'!$A:$A,'COSTO Y PRECIO'!C:C)</f>
        <v>53</v>
      </c>
    </row>
    <row r="481" spans="1:14" x14ac:dyDescent="0.35">
      <c r="A481" s="1">
        <v>100019961</v>
      </c>
      <c r="B481" s="4">
        <v>7503031950106</v>
      </c>
      <c r="C481" s="1" t="s">
        <v>522</v>
      </c>
      <c r="D481" s="2" t="s">
        <v>11</v>
      </c>
      <c r="E481" s="2" t="s">
        <v>33</v>
      </c>
      <c r="F481" s="1" t="s">
        <v>41</v>
      </c>
      <c r="G481" s="1" t="s">
        <v>54</v>
      </c>
      <c r="H481" s="1" t="s">
        <v>36</v>
      </c>
      <c r="I481" s="1" t="s">
        <v>109</v>
      </c>
      <c r="J481" t="str">
        <f>+_xlfn.XLOOKUP(B481,INNOVACIÓN!A:A,INNOVACIÓN!B:B,"NO")</f>
        <v>NO</v>
      </c>
      <c r="K481">
        <v>20</v>
      </c>
      <c r="M481">
        <f>+_xlfn.XLOOKUP(A481,'COSTO Y PRECIO'!$A:$A,'COSTO Y PRECIO'!B:B)</f>
        <v>46.67</v>
      </c>
      <c r="N481" t="e">
        <f>+_xlfn.XLOOKUP(A481,'COSTO Y PRECIO'!$A:$A,'COSTO Y PRECIO'!C:C)</f>
        <v>#N/A</v>
      </c>
    </row>
    <row r="482" spans="1:14" x14ac:dyDescent="0.35">
      <c r="A482" s="1">
        <v>100014579</v>
      </c>
      <c r="B482" s="4">
        <v>75069773</v>
      </c>
      <c r="C482" s="1" t="s">
        <v>523</v>
      </c>
      <c r="D482" s="2" t="s">
        <v>11</v>
      </c>
      <c r="E482" s="2" t="s">
        <v>33</v>
      </c>
      <c r="F482" s="1" t="s">
        <v>41</v>
      </c>
      <c r="G482" s="1" t="s">
        <v>14</v>
      </c>
      <c r="H482" s="1" t="s">
        <v>36</v>
      </c>
      <c r="I482" s="1" t="s">
        <v>109</v>
      </c>
      <c r="J482" t="str">
        <f>+_xlfn.XLOOKUP(B482,INNOVACIÓN!A:A,INNOVACIÓN!B:B,"NO")</f>
        <v>NO</v>
      </c>
      <c r="K482">
        <v>20</v>
      </c>
      <c r="M482">
        <f>+_xlfn.XLOOKUP(A482,'COSTO Y PRECIO'!$A:$A,'COSTO Y PRECIO'!B:B)</f>
        <v>26.33</v>
      </c>
      <c r="N482" t="e">
        <f>+_xlfn.XLOOKUP(A482,'COSTO Y PRECIO'!$A:$A,'COSTO Y PRECIO'!C:C)</f>
        <v>#N/A</v>
      </c>
    </row>
    <row r="483" spans="1:14" x14ac:dyDescent="0.35">
      <c r="A483" s="1">
        <v>100080958</v>
      </c>
      <c r="B483" s="4">
        <v>75047498</v>
      </c>
      <c r="C483" s="1" t="s">
        <v>524</v>
      </c>
      <c r="D483" s="2" t="s">
        <v>11</v>
      </c>
      <c r="E483" s="2" t="s">
        <v>33</v>
      </c>
      <c r="F483" s="1" t="s">
        <v>41</v>
      </c>
      <c r="G483" s="1" t="s">
        <v>35</v>
      </c>
      <c r="H483" s="1" t="s">
        <v>36</v>
      </c>
      <c r="I483" s="1" t="s">
        <v>109</v>
      </c>
      <c r="J483" t="str">
        <f>+_xlfn.XLOOKUP(B483,INNOVACIÓN!A:A,INNOVACIÓN!B:B,"NO")</f>
        <v>NO</v>
      </c>
      <c r="K483">
        <v>20</v>
      </c>
      <c r="M483">
        <f>+_xlfn.XLOOKUP(A483,'COSTO Y PRECIO'!$A:$A,'COSTO Y PRECIO'!B:B)</f>
        <v>26.33</v>
      </c>
      <c r="N483" t="e">
        <f>+_xlfn.XLOOKUP(A483,'COSTO Y PRECIO'!$A:$A,'COSTO Y PRECIO'!C:C)</f>
        <v>#N/A</v>
      </c>
    </row>
    <row r="484" spans="1:14" x14ac:dyDescent="0.35">
      <c r="A484" s="1">
        <v>100080961</v>
      </c>
      <c r="B484" s="4">
        <v>75047467</v>
      </c>
      <c r="C484" s="1" t="s">
        <v>525</v>
      </c>
      <c r="D484" s="2" t="s">
        <v>11</v>
      </c>
      <c r="E484" s="2" t="s">
        <v>33</v>
      </c>
      <c r="F484" s="1" t="s">
        <v>41</v>
      </c>
      <c r="G484" s="1" t="s">
        <v>14</v>
      </c>
      <c r="H484" s="1" t="s">
        <v>36</v>
      </c>
      <c r="I484" s="1" t="s">
        <v>109</v>
      </c>
      <c r="J484" t="str">
        <f>+_xlfn.XLOOKUP(B484,INNOVACIÓN!A:A,INNOVACIÓN!B:B,"NO")</f>
        <v>NO</v>
      </c>
      <c r="K484">
        <v>20</v>
      </c>
      <c r="M484">
        <f>+_xlfn.XLOOKUP(A484,'COSTO Y PRECIO'!$A:$A,'COSTO Y PRECIO'!B:B)</f>
        <v>26.33</v>
      </c>
      <c r="N484" t="e">
        <f>+_xlfn.XLOOKUP(A484,'COSTO Y PRECIO'!$A:$A,'COSTO Y PRECIO'!C:C)</f>
        <v>#N/A</v>
      </c>
    </row>
    <row r="485" spans="1:14" x14ac:dyDescent="0.35">
      <c r="A485" s="1">
        <v>100012203</v>
      </c>
      <c r="B485" s="4">
        <v>75061715</v>
      </c>
      <c r="C485" s="1" t="s">
        <v>526</v>
      </c>
      <c r="D485" s="2" t="s">
        <v>11</v>
      </c>
      <c r="E485" s="2" t="s">
        <v>33</v>
      </c>
      <c r="F485" s="1" t="s">
        <v>41</v>
      </c>
      <c r="G485" s="2" t="s">
        <v>71</v>
      </c>
      <c r="H485" s="1" t="s">
        <v>36</v>
      </c>
      <c r="I485" s="1" t="s">
        <v>109</v>
      </c>
      <c r="J485" t="str">
        <f>+_xlfn.XLOOKUP(B485,INNOVACIÓN!A:A,INNOVACIÓN!B:B,"NO")</f>
        <v>NO</v>
      </c>
      <c r="K485">
        <v>24</v>
      </c>
      <c r="M485">
        <f>+_xlfn.XLOOKUP(A485,'COSTO Y PRECIO'!$A:$A,'COSTO Y PRECIO'!B:B)</f>
        <v>26.33</v>
      </c>
      <c r="N485" t="e">
        <f>+_xlfn.XLOOKUP(A485,'COSTO Y PRECIO'!$A:$A,'COSTO Y PRECIO'!C:C)</f>
        <v>#N/A</v>
      </c>
    </row>
    <row r="486" spans="1:14" x14ac:dyDescent="0.35">
      <c r="A486" s="1">
        <v>100011673</v>
      </c>
      <c r="B486" s="4">
        <v>75063825</v>
      </c>
      <c r="C486" s="1" t="s">
        <v>527</v>
      </c>
      <c r="D486" s="2" t="s">
        <v>11</v>
      </c>
      <c r="E486" s="2" t="s">
        <v>33</v>
      </c>
      <c r="F486" s="1" t="s">
        <v>41</v>
      </c>
      <c r="G486" s="2" t="s">
        <v>71</v>
      </c>
      <c r="H486" s="1" t="s">
        <v>36</v>
      </c>
      <c r="I486" s="1" t="s">
        <v>109</v>
      </c>
      <c r="J486" t="str">
        <f>+_xlfn.XLOOKUP(B486,INNOVACIÓN!A:A,INNOVACIÓN!B:B,"NO")</f>
        <v>NO</v>
      </c>
      <c r="K486">
        <v>20</v>
      </c>
      <c r="M486">
        <f>+_xlfn.XLOOKUP(A486,'COSTO Y PRECIO'!$A:$A,'COSTO Y PRECIO'!B:B)</f>
        <v>46.67</v>
      </c>
      <c r="N486">
        <f>+_xlfn.XLOOKUP(A486,'COSTO Y PRECIO'!$A:$A,'COSTO Y PRECIO'!C:C)</f>
        <v>66</v>
      </c>
    </row>
    <row r="487" spans="1:14" x14ac:dyDescent="0.35">
      <c r="A487" s="1">
        <v>100008184</v>
      </c>
      <c r="B487" s="4">
        <v>75057800</v>
      </c>
      <c r="C487" s="1" t="s">
        <v>528</v>
      </c>
      <c r="D487" s="1" t="s">
        <v>11</v>
      </c>
      <c r="E487" s="2" t="s">
        <v>33</v>
      </c>
      <c r="F487" s="1" t="s">
        <v>41</v>
      </c>
      <c r="G487" s="1" t="s">
        <v>71</v>
      </c>
      <c r="H487" s="1" t="s">
        <v>36</v>
      </c>
      <c r="I487" s="1" t="s">
        <v>109</v>
      </c>
      <c r="J487" t="str">
        <f>+_xlfn.XLOOKUP(B487,INNOVACIÓN!A:A,INNOVACIÓN!B:B,"NO")</f>
        <v>NO</v>
      </c>
      <c r="K487">
        <v>14</v>
      </c>
      <c r="M487">
        <f>+_xlfn.XLOOKUP(A487,'COSTO Y PRECIO'!$A:$A,'COSTO Y PRECIO'!B:B)</f>
        <v>26.33</v>
      </c>
      <c r="N487" t="e">
        <f>+_xlfn.XLOOKUP(A487,'COSTO Y PRECIO'!$A:$A,'COSTO Y PRECIO'!C:C)</f>
        <v>#N/A</v>
      </c>
    </row>
    <row r="488" spans="1:14" x14ac:dyDescent="0.35">
      <c r="A488" s="1">
        <v>100011677</v>
      </c>
      <c r="B488" s="4">
        <v>75063740</v>
      </c>
      <c r="C488" s="1" t="s">
        <v>529</v>
      </c>
      <c r="D488" s="2" t="s">
        <v>11</v>
      </c>
      <c r="E488" s="2" t="s">
        <v>33</v>
      </c>
      <c r="F488" s="1" t="s">
        <v>41</v>
      </c>
      <c r="G488" s="2" t="s">
        <v>71</v>
      </c>
      <c r="H488" s="1" t="s">
        <v>36</v>
      </c>
      <c r="I488" s="1" t="s">
        <v>109</v>
      </c>
      <c r="J488" t="str">
        <f>+_xlfn.XLOOKUP(B488,INNOVACIÓN!A:A,INNOVACIÓN!B:B,"NO")</f>
        <v>NO</v>
      </c>
      <c r="K488">
        <v>14</v>
      </c>
      <c r="M488">
        <f>+_xlfn.XLOOKUP(A488,'COSTO Y PRECIO'!$A:$A,'COSTO Y PRECIO'!B:B)</f>
        <v>26.33</v>
      </c>
      <c r="N488">
        <f>+_xlfn.XLOOKUP(A488,'COSTO Y PRECIO'!$A:$A,'COSTO Y PRECIO'!C:C)</f>
        <v>37</v>
      </c>
    </row>
    <row r="489" spans="1:14" x14ac:dyDescent="0.35">
      <c r="A489" s="1">
        <v>100018931</v>
      </c>
      <c r="B489" s="4">
        <v>7503023959346</v>
      </c>
      <c r="C489" s="1" t="s">
        <v>530</v>
      </c>
      <c r="D489" s="2" t="s">
        <v>32</v>
      </c>
      <c r="E489" s="2" t="s">
        <v>33</v>
      </c>
      <c r="F489" s="1" t="s">
        <v>39</v>
      </c>
      <c r="G489" s="1" t="s">
        <v>35</v>
      </c>
      <c r="H489" s="1" t="s">
        <v>36</v>
      </c>
      <c r="I489" s="1" t="s">
        <v>247</v>
      </c>
      <c r="J489" t="str">
        <f>+_xlfn.XLOOKUP(B489,INNOVACIÓN!A:A,INNOVACIÓN!B:B,"NO")</f>
        <v>NO</v>
      </c>
      <c r="K489">
        <v>20</v>
      </c>
      <c r="M489">
        <f>+_xlfn.XLOOKUP(A489,'COSTO Y PRECIO'!$A:$A,'COSTO Y PRECIO'!B:B)</f>
        <v>52.846999999999987</v>
      </c>
      <c r="N489">
        <f>+_xlfn.XLOOKUP(A489,'COSTO Y PRECIO'!$A:$A,'COSTO Y PRECIO'!C:C)</f>
        <v>85</v>
      </c>
    </row>
    <row r="490" spans="1:14" x14ac:dyDescent="0.35">
      <c r="A490" s="1">
        <v>100017393</v>
      </c>
      <c r="B490" s="4">
        <v>7503023959230</v>
      </c>
      <c r="C490" s="1" t="s">
        <v>531</v>
      </c>
      <c r="D490" s="2" t="s">
        <v>32</v>
      </c>
      <c r="E490" s="2" t="s">
        <v>33</v>
      </c>
      <c r="F490" s="1" t="s">
        <v>39</v>
      </c>
      <c r="G490" s="1" t="s">
        <v>35</v>
      </c>
      <c r="H490" s="1" t="s">
        <v>36</v>
      </c>
      <c r="I490" s="1" t="s">
        <v>247</v>
      </c>
      <c r="J490" t="str">
        <f>+_xlfn.XLOOKUP(B490,INNOVACIÓN!A:A,INNOVACIÓN!B:B,"NO")</f>
        <v>NO</v>
      </c>
      <c r="K490">
        <v>20</v>
      </c>
      <c r="M490">
        <f>+_xlfn.XLOOKUP(A490,'COSTO Y PRECIO'!$A:$A,'COSTO Y PRECIO'!B:B)</f>
        <v>49.942999999999991</v>
      </c>
      <c r="N490">
        <f>+_xlfn.XLOOKUP(A490,'COSTO Y PRECIO'!$A:$A,'COSTO Y PRECIO'!C:C)</f>
        <v>85</v>
      </c>
    </row>
    <row r="491" spans="1:14" x14ac:dyDescent="0.35">
      <c r="A491" s="1">
        <v>100080917</v>
      </c>
      <c r="B491" s="1">
        <v>75045135</v>
      </c>
      <c r="C491" s="1" t="s">
        <v>532</v>
      </c>
      <c r="D491" s="1" t="s">
        <v>32</v>
      </c>
      <c r="E491" s="2" t="s">
        <v>33</v>
      </c>
      <c r="F491" s="1" t="s">
        <v>46</v>
      </c>
      <c r="G491" s="1" t="s">
        <v>35</v>
      </c>
      <c r="H491" s="1" t="s">
        <v>36</v>
      </c>
      <c r="I491" s="1" t="s">
        <v>247</v>
      </c>
      <c r="J491" t="str">
        <f>+_xlfn.XLOOKUP(B491,INNOVACIÓN!A:A,INNOVACIÓN!B:B,"NO")</f>
        <v>NO</v>
      </c>
      <c r="K491">
        <v>20</v>
      </c>
      <c r="M491">
        <f>+_xlfn.XLOOKUP(A491,'COSTO Y PRECIO'!$A:$A,'COSTO Y PRECIO'!B:B)</f>
        <v>50</v>
      </c>
      <c r="N491" t="e">
        <f>+_xlfn.XLOOKUP(A491,'COSTO Y PRECIO'!$A:$A,'COSTO Y PRECIO'!C:C)</f>
        <v>#N/A</v>
      </c>
    </row>
    <row r="492" spans="1:14" x14ac:dyDescent="0.35">
      <c r="A492" s="1">
        <v>100080184</v>
      </c>
      <c r="B492" s="4">
        <v>8308315</v>
      </c>
      <c r="C492" s="1" t="s">
        <v>533</v>
      </c>
      <c r="D492" s="2" t="s">
        <v>32</v>
      </c>
      <c r="E492" s="2" t="s">
        <v>33</v>
      </c>
      <c r="F492" s="1" t="s">
        <v>46</v>
      </c>
      <c r="G492" s="1" t="s">
        <v>35</v>
      </c>
      <c r="H492" s="1" t="s">
        <v>36</v>
      </c>
      <c r="I492" s="1" t="s">
        <v>247</v>
      </c>
      <c r="J492" t="str">
        <f>+_xlfn.XLOOKUP(B492,INNOVACIÓN!A:A,INNOVACIÓN!B:B,"NO")</f>
        <v>NO</v>
      </c>
      <c r="K492">
        <v>20</v>
      </c>
      <c r="M492">
        <f>+_xlfn.XLOOKUP(A492,'COSTO Y PRECIO'!$A:$A,'COSTO Y PRECIO'!B:B)</f>
        <v>50</v>
      </c>
      <c r="N492" t="e">
        <f>+_xlfn.XLOOKUP(A492,'COSTO Y PRECIO'!$A:$A,'COSTO Y PRECIO'!C:C)</f>
        <v>#N/A</v>
      </c>
    </row>
    <row r="493" spans="1:14" x14ac:dyDescent="0.35">
      <c r="A493" s="1">
        <v>100080865</v>
      </c>
      <c r="B493" s="1">
        <v>75039370</v>
      </c>
      <c r="C493" s="1" t="s">
        <v>534</v>
      </c>
      <c r="D493" s="1" t="s">
        <v>32</v>
      </c>
      <c r="E493" s="2" t="s">
        <v>33</v>
      </c>
      <c r="F493" s="1" t="s">
        <v>46</v>
      </c>
      <c r="G493" s="1" t="s">
        <v>14</v>
      </c>
      <c r="H493" s="1" t="s">
        <v>36</v>
      </c>
      <c r="I493" s="1" t="s">
        <v>247</v>
      </c>
      <c r="J493" t="str">
        <f>+_xlfn.XLOOKUP(B493,INNOVACIÓN!A:A,INNOVACIÓN!B:B,"NO")</f>
        <v>NO</v>
      </c>
      <c r="K493">
        <v>20</v>
      </c>
      <c r="M493">
        <f>+_xlfn.XLOOKUP(A493,'COSTO Y PRECIO'!$A:$A,'COSTO Y PRECIO'!B:B)</f>
        <v>50</v>
      </c>
      <c r="N493" t="e">
        <f>+_xlfn.XLOOKUP(A493,'COSTO Y PRECIO'!$A:$A,'COSTO Y PRECIO'!C:C)</f>
        <v>#N/A</v>
      </c>
    </row>
    <row r="494" spans="1:14" x14ac:dyDescent="0.35">
      <c r="A494" s="1">
        <v>100080895</v>
      </c>
      <c r="B494" s="1">
        <v>75043230</v>
      </c>
      <c r="C494" s="1" t="s">
        <v>535</v>
      </c>
      <c r="D494" s="1" t="s">
        <v>32</v>
      </c>
      <c r="E494" s="2" t="s">
        <v>33</v>
      </c>
      <c r="F494" s="1" t="s">
        <v>46</v>
      </c>
      <c r="G494" s="1" t="s">
        <v>14</v>
      </c>
      <c r="H494" s="1" t="s">
        <v>36</v>
      </c>
      <c r="I494" s="1" t="s">
        <v>247</v>
      </c>
      <c r="J494" t="str">
        <f>+_xlfn.XLOOKUP(B494,INNOVACIÓN!A:A,INNOVACIÓN!B:B,"NO")</f>
        <v>NO</v>
      </c>
      <c r="K494">
        <v>20</v>
      </c>
      <c r="M494">
        <f>+_xlfn.XLOOKUP(A494,'COSTO Y PRECIO'!$A:$A,'COSTO Y PRECIO'!B:B)</f>
        <v>48.195</v>
      </c>
      <c r="N494" t="e">
        <f>+_xlfn.XLOOKUP(A494,'COSTO Y PRECIO'!$A:$A,'COSTO Y PRECIO'!C:C)</f>
        <v>#N/A</v>
      </c>
    </row>
    <row r="495" spans="1:14" x14ac:dyDescent="0.35">
      <c r="A495" s="1">
        <v>100080695</v>
      </c>
      <c r="B495" s="4">
        <v>8338918</v>
      </c>
      <c r="C495" s="1" t="s">
        <v>536</v>
      </c>
      <c r="D495" s="2" t="s">
        <v>32</v>
      </c>
      <c r="E495" s="2" t="s">
        <v>33</v>
      </c>
      <c r="F495" s="1" t="s">
        <v>46</v>
      </c>
      <c r="G495" s="1" t="s">
        <v>35</v>
      </c>
      <c r="H495" s="1" t="s">
        <v>36</v>
      </c>
      <c r="I495" s="1" t="s">
        <v>247</v>
      </c>
      <c r="J495" t="str">
        <f>+_xlfn.XLOOKUP(B495,INNOVACIÓN!A:A,INNOVACIÓN!B:B,"NO")</f>
        <v>NO</v>
      </c>
      <c r="K495">
        <v>14</v>
      </c>
      <c r="M495">
        <f>+_xlfn.XLOOKUP(A495,'COSTO Y PRECIO'!$A:$A,'COSTO Y PRECIO'!B:B)</f>
        <v>50</v>
      </c>
      <c r="N495" t="e">
        <f>+_xlfn.XLOOKUP(A495,'COSTO Y PRECIO'!$A:$A,'COSTO Y PRECIO'!C:C)</f>
        <v>#N/A</v>
      </c>
    </row>
    <row r="496" spans="1:14" x14ac:dyDescent="0.35">
      <c r="A496" s="1">
        <v>100014240</v>
      </c>
      <c r="B496" s="4">
        <v>7503023959025</v>
      </c>
      <c r="C496" s="1" t="s">
        <v>537</v>
      </c>
      <c r="D496" s="2" t="s">
        <v>32</v>
      </c>
      <c r="E496" s="2" t="s">
        <v>33</v>
      </c>
      <c r="F496" s="1" t="s">
        <v>46</v>
      </c>
      <c r="G496" s="1" t="s">
        <v>35</v>
      </c>
      <c r="H496" s="1" t="s">
        <v>36</v>
      </c>
      <c r="I496" s="1" t="s">
        <v>247</v>
      </c>
      <c r="J496" t="str">
        <f>+_xlfn.XLOOKUP(B496,INNOVACIÓN!A:A,INNOVACIÓN!B:B,"NO")</f>
        <v>NO</v>
      </c>
      <c r="K496">
        <v>14</v>
      </c>
      <c r="M496">
        <f>+_xlfn.XLOOKUP(A496,'COSTO Y PRECIO'!$A:$A,'COSTO Y PRECIO'!B:B)</f>
        <v>39.779999999999987</v>
      </c>
      <c r="N496">
        <f>+_xlfn.XLOOKUP(A496,'COSTO Y PRECIO'!$A:$A,'COSTO Y PRECIO'!C:C)</f>
        <v>78</v>
      </c>
    </row>
    <row r="497" spans="1:14" x14ac:dyDescent="0.35">
      <c r="A497" s="1">
        <v>100014242</v>
      </c>
      <c r="B497" s="4">
        <v>7503023959117</v>
      </c>
      <c r="C497" s="1" t="s">
        <v>538</v>
      </c>
      <c r="D497" s="2" t="s">
        <v>32</v>
      </c>
      <c r="E497" s="2" t="s">
        <v>33</v>
      </c>
      <c r="F497" s="1" t="s">
        <v>46</v>
      </c>
      <c r="G497" s="1" t="s">
        <v>14</v>
      </c>
      <c r="H497" s="1" t="s">
        <v>36</v>
      </c>
      <c r="I497" s="1" t="s">
        <v>247</v>
      </c>
      <c r="J497" t="str">
        <f>+_xlfn.XLOOKUP(B497,INNOVACIÓN!A:A,INNOVACIÓN!B:B,"NO")</f>
        <v>NO</v>
      </c>
      <c r="K497">
        <v>20</v>
      </c>
      <c r="M497">
        <f>+_xlfn.XLOOKUP(A497,'COSTO Y PRECIO'!$A:$A,'COSTO Y PRECIO'!B:B)</f>
        <v>48.195000000000007</v>
      </c>
      <c r="N497">
        <f>+_xlfn.XLOOKUP(A497,'COSTO Y PRECIO'!$A:$A,'COSTO Y PRECIO'!C:C)</f>
        <v>78</v>
      </c>
    </row>
    <row r="498" spans="1:14" x14ac:dyDescent="0.35">
      <c r="A498" s="1">
        <v>100014243</v>
      </c>
      <c r="B498" s="4">
        <v>7503023959131</v>
      </c>
      <c r="C498" s="1" t="s">
        <v>539</v>
      </c>
      <c r="D498" s="2" t="s">
        <v>32</v>
      </c>
      <c r="E498" s="2" t="s">
        <v>33</v>
      </c>
      <c r="F498" s="1" t="s">
        <v>46</v>
      </c>
      <c r="G498" s="1" t="s">
        <v>35</v>
      </c>
      <c r="H498" s="1" t="s">
        <v>36</v>
      </c>
      <c r="I498" s="1" t="s">
        <v>247</v>
      </c>
      <c r="J498" t="str">
        <f>+_xlfn.XLOOKUP(B498,INNOVACIÓN!A:A,INNOVACIÓN!B:B,"NO")</f>
        <v>NO</v>
      </c>
      <c r="K498">
        <v>20</v>
      </c>
      <c r="M498">
        <f>+_xlfn.XLOOKUP(A498,'COSTO Y PRECIO'!$A:$A,'COSTO Y PRECIO'!B:B)</f>
        <v>48.195</v>
      </c>
      <c r="N498" t="e">
        <f>+_xlfn.XLOOKUP(A498,'COSTO Y PRECIO'!$A:$A,'COSTO Y PRECIO'!C:C)</f>
        <v>#N/A</v>
      </c>
    </row>
    <row r="499" spans="1:14" x14ac:dyDescent="0.35">
      <c r="A499" s="2">
        <v>100020727</v>
      </c>
      <c r="B499" s="4">
        <v>75015725</v>
      </c>
      <c r="C499" s="2" t="s">
        <v>540</v>
      </c>
      <c r="D499" s="2" t="s">
        <v>11</v>
      </c>
      <c r="E499" s="2" t="s">
        <v>33</v>
      </c>
      <c r="F499" s="2" t="s">
        <v>46</v>
      </c>
      <c r="G499" s="2" t="s">
        <v>54</v>
      </c>
      <c r="H499" s="1" t="s">
        <v>36</v>
      </c>
      <c r="I499" s="1" t="s">
        <v>109</v>
      </c>
      <c r="J499" t="str">
        <f>+_xlfn.XLOOKUP(B499,INNOVACIÓN!A:A,INNOVACIÓN!B:B,"NO")</f>
        <v>NO</v>
      </c>
      <c r="K499">
        <v>20</v>
      </c>
      <c r="M499">
        <f>+_xlfn.XLOOKUP(A499,'COSTO Y PRECIO'!$A:$A,'COSTO Y PRECIO'!B:B)</f>
        <v>51.649999999999984</v>
      </c>
      <c r="N499">
        <f>+_xlfn.XLOOKUP(A499,'COSTO Y PRECIO'!$A:$A,'COSTO Y PRECIO'!C:C)</f>
        <v>78</v>
      </c>
    </row>
    <row r="500" spans="1:14" x14ac:dyDescent="0.35">
      <c r="A500" s="1">
        <v>100022210</v>
      </c>
      <c r="B500" s="4">
        <v>75012694</v>
      </c>
      <c r="C500" s="1" t="s">
        <v>541</v>
      </c>
      <c r="D500" s="2" t="s">
        <v>11</v>
      </c>
      <c r="E500" s="2" t="s">
        <v>33</v>
      </c>
      <c r="F500" s="2" t="s">
        <v>46</v>
      </c>
      <c r="G500" s="2" t="s">
        <v>14</v>
      </c>
      <c r="H500" s="1" t="s">
        <v>36</v>
      </c>
      <c r="I500" s="1" t="s">
        <v>109</v>
      </c>
      <c r="J500" t="str">
        <f>+_xlfn.XLOOKUP(B500,INNOVACIÓN!A:A,INNOVACIÓN!B:B,"NO")</f>
        <v>NO</v>
      </c>
      <c r="K500">
        <v>20</v>
      </c>
      <c r="M500">
        <f>+_xlfn.XLOOKUP(A500,'COSTO Y PRECIO'!$A:$A,'COSTO Y PRECIO'!B:B)</f>
        <v>51.649999999999984</v>
      </c>
      <c r="N500">
        <f>+_xlfn.XLOOKUP(A500,'COSTO Y PRECIO'!$A:$A,'COSTO Y PRECIO'!C:C)</f>
        <v>78</v>
      </c>
    </row>
    <row r="501" spans="1:14" x14ac:dyDescent="0.35">
      <c r="A501" s="1">
        <v>100020728</v>
      </c>
      <c r="B501" s="4">
        <v>75018825</v>
      </c>
      <c r="C501" s="1" t="s">
        <v>542</v>
      </c>
      <c r="D501" s="2" t="s">
        <v>11</v>
      </c>
      <c r="E501" s="2" t="s">
        <v>33</v>
      </c>
      <c r="F501" s="2" t="s">
        <v>46</v>
      </c>
      <c r="G501" s="2" t="s">
        <v>14</v>
      </c>
      <c r="H501" s="1" t="s">
        <v>36</v>
      </c>
      <c r="I501" s="1" t="s">
        <v>109</v>
      </c>
      <c r="J501" t="str">
        <f>+_xlfn.XLOOKUP(B501,INNOVACIÓN!A:A,INNOVACIÓN!B:B,"NO")</f>
        <v>NO</v>
      </c>
      <c r="K501">
        <v>20</v>
      </c>
      <c r="M501">
        <f>+_xlfn.XLOOKUP(A501,'COSTO Y PRECIO'!$A:$A,'COSTO Y PRECIO'!B:B)</f>
        <v>51.649999999999984</v>
      </c>
      <c r="N501">
        <f>+_xlfn.XLOOKUP(A501,'COSTO Y PRECIO'!$A:$A,'COSTO Y PRECIO'!C:C)</f>
        <v>78</v>
      </c>
    </row>
    <row r="502" spans="1:14" x14ac:dyDescent="0.35">
      <c r="A502" s="1">
        <v>100020729</v>
      </c>
      <c r="B502" s="4">
        <v>75012564</v>
      </c>
      <c r="C502" s="1" t="s">
        <v>543</v>
      </c>
      <c r="D502" s="2" t="s">
        <v>11</v>
      </c>
      <c r="E502" s="2" t="s">
        <v>33</v>
      </c>
      <c r="F502" s="2" t="s">
        <v>46</v>
      </c>
      <c r="G502" s="2" t="s">
        <v>14</v>
      </c>
      <c r="H502" s="1" t="s">
        <v>36</v>
      </c>
      <c r="I502" s="1" t="s">
        <v>109</v>
      </c>
      <c r="J502" t="str">
        <f>+_xlfn.XLOOKUP(B502,INNOVACIÓN!A:A,INNOVACIÓN!B:B,"NO")</f>
        <v>NO</v>
      </c>
      <c r="K502">
        <v>20</v>
      </c>
      <c r="M502">
        <f>+_xlfn.XLOOKUP(A502,'COSTO Y PRECIO'!$A:$A,'COSTO Y PRECIO'!B:B)</f>
        <v>51.649999999999984</v>
      </c>
      <c r="N502">
        <f>+_xlfn.XLOOKUP(A502,'COSTO Y PRECIO'!$A:$A,'COSTO Y PRECIO'!C:C)</f>
        <v>78</v>
      </c>
    </row>
    <row r="503" spans="1:14" x14ac:dyDescent="0.35">
      <c r="A503" s="1">
        <v>100015187</v>
      </c>
      <c r="B503" s="4">
        <v>75068752</v>
      </c>
      <c r="C503" s="1" t="s">
        <v>544</v>
      </c>
      <c r="D503" s="2" t="s">
        <v>11</v>
      </c>
      <c r="E503" s="2" t="s">
        <v>33</v>
      </c>
      <c r="F503" s="2" t="s">
        <v>39</v>
      </c>
      <c r="G503" s="2" t="s">
        <v>71</v>
      </c>
      <c r="H503" s="1" t="s">
        <v>36</v>
      </c>
      <c r="I503" s="1" t="s">
        <v>109</v>
      </c>
      <c r="J503" t="str">
        <f>+_xlfn.XLOOKUP(B503,INNOVACIÓN!A:A,INNOVACIÓN!B:B,"NO")</f>
        <v>NO</v>
      </c>
      <c r="K503">
        <v>20</v>
      </c>
      <c r="M503">
        <f>+_xlfn.XLOOKUP(A503,'COSTO Y PRECIO'!$A:$A,'COSTO Y PRECIO'!B:B)</f>
        <v>62</v>
      </c>
      <c r="N503">
        <f>+_xlfn.XLOOKUP(A503,'COSTO Y PRECIO'!$A:$A,'COSTO Y PRECIO'!C:C)</f>
        <v>106</v>
      </c>
    </row>
    <row r="504" spans="1:14" x14ac:dyDescent="0.35">
      <c r="A504" s="1">
        <v>100014718</v>
      </c>
      <c r="B504" s="4">
        <v>75068806</v>
      </c>
      <c r="C504" s="1" t="s">
        <v>545</v>
      </c>
      <c r="D504" s="1" t="s">
        <v>11</v>
      </c>
      <c r="E504" s="2" t="s">
        <v>33</v>
      </c>
      <c r="F504" s="2" t="s">
        <v>39</v>
      </c>
      <c r="G504" s="1" t="s">
        <v>71</v>
      </c>
      <c r="H504" s="1" t="s">
        <v>36</v>
      </c>
      <c r="I504" s="1" t="s">
        <v>109</v>
      </c>
      <c r="J504" t="str">
        <f>+_xlfn.XLOOKUP(B504,INNOVACIÓN!A:A,INNOVACIÓN!B:B,"NO")</f>
        <v>NO</v>
      </c>
      <c r="K504">
        <v>14</v>
      </c>
      <c r="M504">
        <f>+_xlfn.XLOOKUP(A504,'COSTO Y PRECIO'!$A:$A,'COSTO Y PRECIO'!B:B)</f>
        <v>39.56</v>
      </c>
      <c r="N504">
        <f>+_xlfn.XLOOKUP(A504,'COSTO Y PRECIO'!$A:$A,'COSTO Y PRECIO'!C:C)</f>
        <v>58</v>
      </c>
    </row>
    <row r="505" spans="1:14" x14ac:dyDescent="0.35">
      <c r="A505" s="1">
        <v>100080033</v>
      </c>
      <c r="B505" s="4">
        <v>75001247</v>
      </c>
      <c r="C505" s="1" t="s">
        <v>546</v>
      </c>
      <c r="D505" s="2" t="s">
        <v>11</v>
      </c>
      <c r="E505" s="2" t="s">
        <v>33</v>
      </c>
      <c r="F505" s="2" t="s">
        <v>39</v>
      </c>
      <c r="G505" s="1" t="s">
        <v>54</v>
      </c>
      <c r="H505" s="1" t="s">
        <v>36</v>
      </c>
      <c r="I505" s="1" t="s">
        <v>109</v>
      </c>
      <c r="J505" t="str">
        <f>+_xlfn.XLOOKUP(B505,INNOVACIÓN!A:A,INNOVACIÓN!B:B,"NO")</f>
        <v>NO</v>
      </c>
      <c r="K505">
        <v>20</v>
      </c>
      <c r="M505">
        <f>+_xlfn.XLOOKUP(A505,'COSTO Y PRECIO'!$A:$A,'COSTO Y PRECIO'!B:B)</f>
        <v>73.099999999999994</v>
      </c>
      <c r="N505">
        <f>+_xlfn.XLOOKUP(A505,'COSTO Y PRECIO'!$A:$A,'COSTO Y PRECIO'!C:C)</f>
        <v>60</v>
      </c>
    </row>
    <row r="506" spans="1:14" x14ac:dyDescent="0.35">
      <c r="A506" s="1">
        <v>100080862</v>
      </c>
      <c r="B506" s="4">
        <v>75038007</v>
      </c>
      <c r="C506" s="1" t="s">
        <v>547</v>
      </c>
      <c r="D506" s="1" t="s">
        <v>11</v>
      </c>
      <c r="E506" s="2" t="s">
        <v>33</v>
      </c>
      <c r="F506" s="1" t="s">
        <v>39</v>
      </c>
      <c r="G506" s="1" t="s">
        <v>54</v>
      </c>
      <c r="H506" s="1" t="s">
        <v>36</v>
      </c>
      <c r="I506" s="1" t="s">
        <v>109</v>
      </c>
      <c r="J506" t="str">
        <f>+_xlfn.XLOOKUP(B506,INNOVACIÓN!A:A,INNOVACIÓN!B:B,"NO")</f>
        <v>NO</v>
      </c>
      <c r="K506">
        <v>14</v>
      </c>
      <c r="M506">
        <f>+_xlfn.XLOOKUP(A506,'COSTO Y PRECIO'!$A:$A,'COSTO Y PRECIO'!B:B)</f>
        <v>39.559999999999995</v>
      </c>
      <c r="N506">
        <f>+_xlfn.XLOOKUP(A506,'COSTO Y PRECIO'!$A:$A,'COSTO Y PRECIO'!C:C)</f>
        <v>58.153846153846153</v>
      </c>
    </row>
    <row r="507" spans="1:14" x14ac:dyDescent="0.35">
      <c r="A507">
        <v>100080439</v>
      </c>
      <c r="B507" s="4">
        <v>75016760</v>
      </c>
      <c r="C507" t="s">
        <v>548</v>
      </c>
      <c r="D507" s="1" t="s">
        <v>11</v>
      </c>
      <c r="E507" s="2" t="s">
        <v>33</v>
      </c>
      <c r="F507" s="1" t="s">
        <v>39</v>
      </c>
      <c r="G507" s="1" t="s">
        <v>71</v>
      </c>
      <c r="H507" s="1" t="s">
        <v>36</v>
      </c>
      <c r="I507" s="1" t="s">
        <v>109</v>
      </c>
      <c r="J507" t="str">
        <f>+_xlfn.XLOOKUP(B507,INNOVACIÓN!A:A,INNOVACIÓN!B:B,"NO")</f>
        <v>NO</v>
      </c>
      <c r="K507">
        <v>20</v>
      </c>
      <c r="M507">
        <f>+_xlfn.XLOOKUP(A507,'COSTO Y PRECIO'!$A:$A,'COSTO Y PRECIO'!B:B)</f>
        <v>73.099999999999994</v>
      </c>
      <c r="N507">
        <f>+_xlfn.XLOOKUP(A507,'COSTO Y PRECIO'!$A:$A,'COSTO Y PRECIO'!C:C)</f>
        <v>99</v>
      </c>
    </row>
    <row r="508" spans="1:14" x14ac:dyDescent="0.35">
      <c r="A508" s="1">
        <v>100080861</v>
      </c>
      <c r="B508" s="4">
        <v>75037994</v>
      </c>
      <c r="C508" s="1" t="s">
        <v>549</v>
      </c>
      <c r="D508" s="2" t="s">
        <v>11</v>
      </c>
      <c r="E508" s="2" t="s">
        <v>33</v>
      </c>
      <c r="F508" s="2" t="s">
        <v>39</v>
      </c>
      <c r="G508" s="2" t="s">
        <v>71</v>
      </c>
      <c r="H508" s="1" t="s">
        <v>36</v>
      </c>
      <c r="I508" s="1" t="s">
        <v>109</v>
      </c>
      <c r="J508" t="str">
        <f>+_xlfn.XLOOKUP(B508,INNOVACIÓN!A:A,INNOVACIÓN!B:B,"NO")</f>
        <v>NO</v>
      </c>
      <c r="K508">
        <v>14</v>
      </c>
      <c r="M508">
        <f>+_xlfn.XLOOKUP(A508,'COSTO Y PRECIO'!$A:$A,'COSTO Y PRECIO'!B:B)</f>
        <v>73.099999999999994</v>
      </c>
      <c r="N508">
        <f>+_xlfn.XLOOKUP(A508,'COSTO Y PRECIO'!$A:$A,'COSTO Y PRECIO'!C:C)</f>
        <v>99</v>
      </c>
    </row>
    <row r="509" spans="1:14" x14ac:dyDescent="0.35">
      <c r="A509" s="1">
        <v>100080031</v>
      </c>
      <c r="B509" s="4">
        <v>75001254</v>
      </c>
      <c r="C509" s="1" t="s">
        <v>550</v>
      </c>
      <c r="D509" s="2" t="s">
        <v>11</v>
      </c>
      <c r="E509" s="2" t="s">
        <v>33</v>
      </c>
      <c r="F509" s="2" t="s">
        <v>39</v>
      </c>
      <c r="G509" s="2" t="s">
        <v>71</v>
      </c>
      <c r="H509" s="1" t="s">
        <v>36</v>
      </c>
      <c r="I509" s="1" t="s">
        <v>109</v>
      </c>
      <c r="J509" t="str">
        <f>+_xlfn.XLOOKUP(B509,INNOVACIÓN!A:A,INNOVACIÓN!B:B,"NO")</f>
        <v>NO</v>
      </c>
      <c r="K509">
        <v>20</v>
      </c>
      <c r="M509">
        <f>+_xlfn.XLOOKUP(A509,'COSTO Y PRECIO'!$A:$A,'COSTO Y PRECIO'!B:B)</f>
        <v>73.099999999999994</v>
      </c>
      <c r="N509">
        <f>+_xlfn.XLOOKUP(A509,'COSTO Y PRECIO'!$A:$A,'COSTO Y PRECIO'!C:C)</f>
        <v>99</v>
      </c>
    </row>
    <row r="510" spans="1:14" x14ac:dyDescent="0.35">
      <c r="A510" s="1">
        <v>100080926</v>
      </c>
      <c r="B510" s="4">
        <v>75045692</v>
      </c>
      <c r="C510" s="1" t="s">
        <v>551</v>
      </c>
      <c r="D510" s="1" t="s">
        <v>11</v>
      </c>
      <c r="E510" s="2" t="s">
        <v>33</v>
      </c>
      <c r="F510" s="1" t="s">
        <v>39</v>
      </c>
      <c r="G510" s="1" t="s">
        <v>54</v>
      </c>
      <c r="H510" s="1" t="s">
        <v>36</v>
      </c>
      <c r="I510" s="1" t="s">
        <v>109</v>
      </c>
      <c r="J510" t="str">
        <f>+_xlfn.XLOOKUP(B510,INNOVACIÓN!A:A,INNOVACIÓN!B:B,"NO")</f>
        <v>NO</v>
      </c>
      <c r="K510">
        <v>20</v>
      </c>
      <c r="M510">
        <f>+_xlfn.XLOOKUP(A510,'COSTO Y PRECIO'!$A:$A,'COSTO Y PRECIO'!B:B)</f>
        <v>48.195</v>
      </c>
      <c r="N510">
        <f>+_xlfn.XLOOKUP(A510,'COSTO Y PRECIO'!$A:$A,'COSTO Y PRECIO'!C:C)</f>
        <v>78</v>
      </c>
    </row>
    <row r="511" spans="1:14" x14ac:dyDescent="0.35">
      <c r="A511" s="2">
        <v>100022054</v>
      </c>
      <c r="B511" s="3">
        <v>7503023959438</v>
      </c>
      <c r="C511" s="2" t="s">
        <v>552</v>
      </c>
      <c r="D511" s="2" t="s">
        <v>32</v>
      </c>
      <c r="E511" s="14" t="s">
        <v>589</v>
      </c>
      <c r="F511" s="2" t="s">
        <v>609</v>
      </c>
      <c r="G511" s="2" t="s">
        <v>14</v>
      </c>
      <c r="H511" s="1" t="s">
        <v>36</v>
      </c>
      <c r="I511" s="1" t="s">
        <v>16</v>
      </c>
      <c r="J511" t="str">
        <f>+_xlfn.XLOOKUP(B511,INNOVACIÓN!A:A,INNOVACIÓN!B:B,"NO")</f>
        <v>SI</v>
      </c>
      <c r="K511">
        <v>20</v>
      </c>
      <c r="M511">
        <f>+_xlfn.XLOOKUP(A511,'COSTO Y PRECIO'!$A:$A,'COSTO Y PRECIO'!B:B)</f>
        <v>38.25</v>
      </c>
      <c r="N511">
        <f>+_xlfn.XLOOKUP(A511,'COSTO Y PRECIO'!$A:$A,'COSTO Y PRECIO'!C:C)</f>
        <v>56.692307692307693</v>
      </c>
    </row>
    <row r="512" spans="1:14" x14ac:dyDescent="0.35">
      <c r="A512">
        <v>100026143</v>
      </c>
      <c r="B512">
        <v>75084011</v>
      </c>
      <c r="C512" t="s">
        <v>553</v>
      </c>
      <c r="D512" s="2" t="s">
        <v>11</v>
      </c>
      <c r="E512" s="2" t="s">
        <v>74</v>
      </c>
      <c r="F512" s="14" t="s">
        <v>41</v>
      </c>
      <c r="G512" s="2" t="s">
        <v>75</v>
      </c>
      <c r="H512" s="1" t="s">
        <v>70</v>
      </c>
      <c r="I512" s="1" t="s">
        <v>16</v>
      </c>
      <c r="J512" t="str">
        <f>+_xlfn.XLOOKUP(B512,INNOVACIÓN!A:A,INNOVACIÓN!B:B,"NO")</f>
        <v>NO</v>
      </c>
      <c r="M512">
        <f>+_xlfn.XLOOKUP(A512,'COSTO Y PRECIO'!$A:$A,'COSTO Y PRECIO'!B:B)</f>
        <v>60.120000000000005</v>
      </c>
      <c r="N512">
        <f>+_xlfn.XLOOKUP(A512,'COSTO Y PRECIO'!$A:$A,'COSTO Y PRECIO'!C:C)</f>
        <v>85</v>
      </c>
    </row>
    <row r="513" spans="1:14" x14ac:dyDescent="0.35">
      <c r="A513">
        <v>100024418</v>
      </c>
      <c r="B513" s="6">
        <v>7702303253338</v>
      </c>
      <c r="C513" t="s">
        <v>554</v>
      </c>
      <c r="D513" s="1" t="s">
        <v>44</v>
      </c>
      <c r="E513" s="1" t="s">
        <v>146</v>
      </c>
      <c r="F513" s="1" t="s">
        <v>13</v>
      </c>
      <c r="G513" s="2" t="s">
        <v>14</v>
      </c>
      <c r="H513" s="1" t="s">
        <v>15</v>
      </c>
      <c r="I513" s="1" t="s">
        <v>16</v>
      </c>
      <c r="J513" t="str">
        <f>+_xlfn.XLOOKUP(B513,INNOVACIÓN!A:A,INNOVACIÓN!B:B,"NO")</f>
        <v>NO</v>
      </c>
      <c r="K513">
        <v>15</v>
      </c>
      <c r="L513" t="s">
        <v>676</v>
      </c>
      <c r="M513">
        <f>+_xlfn.XLOOKUP(A513,'COSTO Y PRECIO'!$A:$A,'COSTO Y PRECIO'!B:B)</f>
        <v>61.659999999999975</v>
      </c>
      <c r="N513">
        <f>+_xlfn.XLOOKUP(A513,'COSTO Y PRECIO'!$A:$A,'COSTO Y PRECIO'!C:C)</f>
        <v>80</v>
      </c>
    </row>
    <row r="514" spans="1:14" x14ac:dyDescent="0.35">
      <c r="A514">
        <v>100026302</v>
      </c>
      <c r="B514" s="6">
        <v>7503039738553</v>
      </c>
      <c r="C514" t="s">
        <v>555</v>
      </c>
      <c r="D514" s="2" t="s">
        <v>44</v>
      </c>
      <c r="E514" s="2" t="s">
        <v>33</v>
      </c>
      <c r="F514" s="2" t="s">
        <v>13</v>
      </c>
      <c r="G514" s="2" t="s">
        <v>14</v>
      </c>
      <c r="H514" s="1" t="s">
        <v>15</v>
      </c>
      <c r="I514" s="1" t="s">
        <v>109</v>
      </c>
      <c r="J514" t="str">
        <f>+_xlfn.XLOOKUP(B514,INNOVACIÓN!A:A,INNOVACIÓN!B:B,"NO")</f>
        <v>NO</v>
      </c>
      <c r="K514">
        <v>15</v>
      </c>
      <c r="L514" t="s">
        <v>676</v>
      </c>
      <c r="M514">
        <f>+_xlfn.XLOOKUP(A514,'COSTO Y PRECIO'!$A:$A,'COSTO Y PRECIO'!B:B)</f>
        <v>61.659999999999975</v>
      </c>
      <c r="N514">
        <f>+_xlfn.XLOOKUP(A514,'COSTO Y PRECIO'!$A:$A,'COSTO Y PRECIO'!C:C)</f>
        <v>80</v>
      </c>
    </row>
    <row r="515" spans="1:14" x14ac:dyDescent="0.35">
      <c r="A515">
        <v>100025296</v>
      </c>
      <c r="B515" s="6">
        <v>7503039738409</v>
      </c>
      <c r="C515" t="s">
        <v>556</v>
      </c>
      <c r="D515" s="2" t="s">
        <v>44</v>
      </c>
      <c r="E515" t="s">
        <v>33</v>
      </c>
      <c r="F515" s="1" t="s">
        <v>13</v>
      </c>
      <c r="G515" s="2" t="s">
        <v>14</v>
      </c>
      <c r="H515" s="1" t="s">
        <v>15</v>
      </c>
      <c r="I515" s="1" t="s">
        <v>109</v>
      </c>
      <c r="J515" t="str">
        <f>+_xlfn.XLOOKUP(B515,INNOVACIÓN!A:A,INNOVACIÓN!B:B,"NO")</f>
        <v>NO</v>
      </c>
      <c r="K515">
        <v>20</v>
      </c>
      <c r="L515" t="s">
        <v>677</v>
      </c>
      <c r="M515">
        <f>+_xlfn.XLOOKUP(A515,'COSTO Y PRECIO'!$A:$A,'COSTO Y PRECIO'!B:B)</f>
        <v>80.919999999999987</v>
      </c>
      <c r="N515">
        <f>+_xlfn.XLOOKUP(A515,'COSTO Y PRECIO'!$A:$A,'COSTO Y PRECIO'!C:C)</f>
        <v>105</v>
      </c>
    </row>
    <row r="516" spans="1:14" x14ac:dyDescent="0.35">
      <c r="A516">
        <v>100026069</v>
      </c>
      <c r="B516" s="6">
        <v>7503039738430</v>
      </c>
      <c r="C516" t="s">
        <v>557</v>
      </c>
      <c r="D516" s="14" t="s">
        <v>44</v>
      </c>
      <c r="E516" s="2" t="s">
        <v>146</v>
      </c>
      <c r="F516" s="1" t="s">
        <v>13</v>
      </c>
      <c r="G516" s="2" t="s">
        <v>14</v>
      </c>
      <c r="H516" s="2" t="s">
        <v>15</v>
      </c>
      <c r="I516" s="1" t="s">
        <v>16</v>
      </c>
      <c r="J516" t="str">
        <f>+_xlfn.XLOOKUP(B516,INNOVACIÓN!A:A,INNOVACIÓN!B:B,"NO")</f>
        <v>NO</v>
      </c>
      <c r="K516">
        <v>20</v>
      </c>
      <c r="L516" t="s">
        <v>677</v>
      </c>
      <c r="M516">
        <f>+_xlfn.XLOOKUP(A516,'COSTO Y PRECIO'!$A:$A,'COSTO Y PRECIO'!B:B)</f>
        <v>80.919999999999987</v>
      </c>
      <c r="N516">
        <f>+_xlfn.XLOOKUP(A516,'COSTO Y PRECIO'!$A:$A,'COSTO Y PRECIO'!C:C)</f>
        <v>105</v>
      </c>
    </row>
    <row r="517" spans="1:14" x14ac:dyDescent="0.35">
      <c r="A517">
        <v>100024415</v>
      </c>
      <c r="B517" s="6">
        <v>7702303630924</v>
      </c>
      <c r="C517" t="s">
        <v>558</v>
      </c>
      <c r="D517" s="1" t="s">
        <v>44</v>
      </c>
      <c r="E517" s="1" t="s">
        <v>146</v>
      </c>
      <c r="F517" s="1" t="s">
        <v>13</v>
      </c>
      <c r="G517" s="2" t="s">
        <v>14</v>
      </c>
      <c r="H517" s="1" t="s">
        <v>15</v>
      </c>
      <c r="I517" s="1" t="s">
        <v>16</v>
      </c>
      <c r="J517" t="str">
        <f>+_xlfn.XLOOKUP(B517,INNOVACIÓN!A:A,INNOVACIÓN!B:B,"NO")</f>
        <v>NO</v>
      </c>
      <c r="K517">
        <v>15</v>
      </c>
      <c r="L517" t="s">
        <v>675</v>
      </c>
      <c r="M517">
        <f>+_xlfn.XLOOKUP(A517,'COSTO Y PRECIO'!$A:$A,'COSTO Y PRECIO'!B:B)</f>
        <v>61.659999999999975</v>
      </c>
      <c r="N517">
        <f>+_xlfn.XLOOKUP(A517,'COSTO Y PRECIO'!$A:$A,'COSTO Y PRECIO'!C:C)</f>
        <v>80</v>
      </c>
    </row>
    <row r="518" spans="1:14" x14ac:dyDescent="0.35">
      <c r="A518">
        <v>100026074</v>
      </c>
      <c r="B518" s="6">
        <v>7503039738522</v>
      </c>
      <c r="C518" t="s">
        <v>559</v>
      </c>
      <c r="D518" s="14" t="s">
        <v>44</v>
      </c>
      <c r="E518" s="2" t="s">
        <v>33</v>
      </c>
      <c r="F518" s="1" t="s">
        <v>13</v>
      </c>
      <c r="G518" s="2" t="s">
        <v>14</v>
      </c>
      <c r="H518" s="2" t="s">
        <v>15</v>
      </c>
      <c r="I518" s="1" t="s">
        <v>109</v>
      </c>
      <c r="J518" t="str">
        <f>+_xlfn.XLOOKUP(B518,INNOVACIÓN!A:A,INNOVACIÓN!B:B,"NO")</f>
        <v>NO</v>
      </c>
      <c r="K518">
        <v>15</v>
      </c>
      <c r="L518" t="s">
        <v>675</v>
      </c>
      <c r="M518">
        <f>+_xlfn.XLOOKUP(A518,'COSTO Y PRECIO'!$A:$A,'COSTO Y PRECIO'!B:B)</f>
        <v>61.659999999999975</v>
      </c>
      <c r="N518">
        <f>+_xlfn.XLOOKUP(A518,'COSTO Y PRECIO'!$A:$A,'COSTO Y PRECIO'!C:C)</f>
        <v>80</v>
      </c>
    </row>
    <row r="519" spans="1:14" x14ac:dyDescent="0.35">
      <c r="A519">
        <v>100024416</v>
      </c>
      <c r="B519" s="6">
        <v>7702303813235</v>
      </c>
      <c r="C519" t="s">
        <v>560</v>
      </c>
      <c r="D519" s="1" t="s">
        <v>44</v>
      </c>
      <c r="E519" s="1" t="s">
        <v>33</v>
      </c>
      <c r="F519" s="1" t="s">
        <v>13</v>
      </c>
      <c r="G519" s="2" t="s">
        <v>14</v>
      </c>
      <c r="H519" s="1" t="s">
        <v>15</v>
      </c>
      <c r="I519" s="1" t="s">
        <v>109</v>
      </c>
      <c r="J519" t="str">
        <f>+_xlfn.XLOOKUP(B519,INNOVACIÓN!A:A,INNOVACIÓN!B:B,"NO")</f>
        <v>NO</v>
      </c>
      <c r="K519">
        <v>15</v>
      </c>
      <c r="L519" t="s">
        <v>676</v>
      </c>
      <c r="M519">
        <f>+_xlfn.XLOOKUP(A519,'COSTO Y PRECIO'!$A:$A,'COSTO Y PRECIO'!B:B)</f>
        <v>61.659999999999975</v>
      </c>
      <c r="N519">
        <f>+_xlfn.XLOOKUP(A519,'COSTO Y PRECIO'!$A:$A,'COSTO Y PRECIO'!C:C)</f>
        <v>80</v>
      </c>
    </row>
    <row r="520" spans="1:14" x14ac:dyDescent="0.35">
      <c r="A520">
        <v>100026304</v>
      </c>
      <c r="B520" s="6">
        <v>7503039738560</v>
      </c>
      <c r="C520" t="s">
        <v>561</v>
      </c>
      <c r="D520" s="2" t="s">
        <v>44</v>
      </c>
      <c r="E520" s="2" t="s">
        <v>33</v>
      </c>
      <c r="F520" s="2" t="s">
        <v>13</v>
      </c>
      <c r="G520" s="2" t="s">
        <v>14</v>
      </c>
      <c r="H520" s="1" t="s">
        <v>15</v>
      </c>
      <c r="I520" s="1" t="s">
        <v>109</v>
      </c>
      <c r="J520" t="str">
        <f>+_xlfn.XLOOKUP(B520,INNOVACIÓN!A:A,INNOVACIÓN!B:B,"NO")</f>
        <v>NO</v>
      </c>
      <c r="K520">
        <v>15</v>
      </c>
      <c r="L520" t="s">
        <v>676</v>
      </c>
      <c r="M520">
        <f>+_xlfn.XLOOKUP(A520,'COSTO Y PRECIO'!$A:$A,'COSTO Y PRECIO'!B:B)</f>
        <v>61.659999999999975</v>
      </c>
      <c r="N520">
        <f>+_xlfn.XLOOKUP(A520,'COSTO Y PRECIO'!$A:$A,'COSTO Y PRECIO'!C:C)</f>
        <v>80</v>
      </c>
    </row>
    <row r="521" spans="1:14" x14ac:dyDescent="0.35">
      <c r="A521">
        <v>100026383</v>
      </c>
      <c r="B521" s="6">
        <v>75084004</v>
      </c>
      <c r="C521" t="s">
        <v>562</v>
      </c>
      <c r="D521" s="1" t="s">
        <v>11</v>
      </c>
      <c r="E521" s="2" t="s">
        <v>33</v>
      </c>
      <c r="F521" s="2" t="s">
        <v>46</v>
      </c>
      <c r="G521" s="2" t="s">
        <v>75</v>
      </c>
      <c r="H521" s="1" t="s">
        <v>70</v>
      </c>
      <c r="I521" s="1" t="s">
        <v>16</v>
      </c>
      <c r="J521" t="str">
        <f>+_xlfn.XLOOKUP(B521,INNOVACIÓN!A:A,INNOVACIÓN!B:B,"NO")</f>
        <v>NO</v>
      </c>
      <c r="M521">
        <f>+_xlfn.XLOOKUP(A521,'COSTO Y PRECIO'!$A:$A,'COSTO Y PRECIO'!B:B)</f>
        <v>60.120000000000005</v>
      </c>
      <c r="N521">
        <f>+_xlfn.XLOOKUP(A521,'COSTO Y PRECIO'!$A:$A,'COSTO Y PRECIO'!C:C)</f>
        <v>85</v>
      </c>
    </row>
    <row r="522" spans="1:14" x14ac:dyDescent="0.35">
      <c r="A522">
        <v>100025292</v>
      </c>
      <c r="B522" s="6">
        <v>7503039738386</v>
      </c>
      <c r="C522" t="s">
        <v>563</v>
      </c>
      <c r="D522" s="2" t="s">
        <v>44</v>
      </c>
      <c r="E522" t="s">
        <v>33</v>
      </c>
      <c r="F522" s="1" t="s">
        <v>13</v>
      </c>
      <c r="G522" s="2" t="s">
        <v>14</v>
      </c>
      <c r="H522" s="1" t="s">
        <v>15</v>
      </c>
      <c r="I522" s="1" t="s">
        <v>109</v>
      </c>
      <c r="J522" t="str">
        <f>+_xlfn.XLOOKUP(B522,INNOVACIÓN!A:A,INNOVACIÓN!B:B,"NO")</f>
        <v>NO</v>
      </c>
      <c r="K522">
        <v>20</v>
      </c>
      <c r="L522" t="s">
        <v>677</v>
      </c>
      <c r="M522">
        <f>+_xlfn.XLOOKUP(A522,'COSTO Y PRECIO'!$A:$A,'COSTO Y PRECIO'!B:B)</f>
        <v>80.919999999999987</v>
      </c>
      <c r="N522">
        <f>+_xlfn.XLOOKUP(A522,'COSTO Y PRECIO'!$A:$A,'COSTO Y PRECIO'!C:C)</f>
        <v>105</v>
      </c>
    </row>
    <row r="523" spans="1:14" x14ac:dyDescent="0.35">
      <c r="A523">
        <v>100025895</v>
      </c>
      <c r="B523" s="6">
        <v>7503039738478</v>
      </c>
      <c r="C523" t="s">
        <v>564</v>
      </c>
      <c r="D523" s="2" t="s">
        <v>44</v>
      </c>
      <c r="E523" s="1" t="s">
        <v>33</v>
      </c>
      <c r="F523" s="1" t="s">
        <v>13</v>
      </c>
      <c r="G523" s="2" t="s">
        <v>14</v>
      </c>
      <c r="H523" s="1" t="s">
        <v>15</v>
      </c>
      <c r="I523" s="1" t="s">
        <v>109</v>
      </c>
      <c r="J523" t="str">
        <f>+_xlfn.XLOOKUP(B523,INNOVACIÓN!A:A,INNOVACIÓN!B:B,"NO")</f>
        <v>NO</v>
      </c>
      <c r="K523">
        <v>15</v>
      </c>
      <c r="L523" t="s">
        <v>676</v>
      </c>
      <c r="M523">
        <f>+_xlfn.XLOOKUP(A523,'COSTO Y PRECIO'!$A:$A,'COSTO Y PRECIO'!B:B)</f>
        <v>61.659999999999975</v>
      </c>
      <c r="N523">
        <f>+_xlfn.XLOOKUP(A523,'COSTO Y PRECIO'!$A:$A,'COSTO Y PRECIO'!C:C)</f>
        <v>80</v>
      </c>
    </row>
    <row r="524" spans="1:14" x14ac:dyDescent="0.35">
      <c r="A524">
        <v>100026382</v>
      </c>
      <c r="B524" s="6">
        <v>75085384</v>
      </c>
      <c r="C524" t="s">
        <v>565</v>
      </c>
      <c r="D524" s="1" t="s">
        <v>11</v>
      </c>
      <c r="E524" s="14" t="s">
        <v>161</v>
      </c>
      <c r="F524" s="2" t="s">
        <v>608</v>
      </c>
      <c r="G524" s="2" t="s">
        <v>71</v>
      </c>
      <c r="H524" s="1" t="s">
        <v>36</v>
      </c>
      <c r="I524" s="1" t="s">
        <v>16</v>
      </c>
      <c r="J524" t="str">
        <f>+_xlfn.XLOOKUP(B524,INNOVACIÓN!A:A,INNOVACIÓN!B:B,"NO")</f>
        <v>NO</v>
      </c>
      <c r="K524">
        <v>20</v>
      </c>
      <c r="M524">
        <f>+_xlfn.XLOOKUP(A524,'COSTO Y PRECIO'!$A:$A,'COSTO Y PRECIO'!B:B)</f>
        <v>52.26</v>
      </c>
      <c r="N524">
        <f>+_xlfn.XLOOKUP(A524,'COSTO Y PRECIO'!$A:$A,'COSTO Y PRECIO'!C:C)</f>
        <v>76</v>
      </c>
    </row>
    <row r="525" spans="1:14" x14ac:dyDescent="0.35">
      <c r="A525">
        <v>100026305</v>
      </c>
      <c r="B525" s="6">
        <v>7503039738577</v>
      </c>
      <c r="C525" t="s">
        <v>566</v>
      </c>
      <c r="D525" s="2" t="s">
        <v>44</v>
      </c>
      <c r="E525" s="2" t="s">
        <v>33</v>
      </c>
      <c r="F525" s="2" t="s">
        <v>13</v>
      </c>
      <c r="G525" s="2" t="s">
        <v>14</v>
      </c>
      <c r="H525" s="1" t="s">
        <v>15</v>
      </c>
      <c r="I525" s="1" t="s">
        <v>109</v>
      </c>
      <c r="J525" t="str">
        <f>+_xlfn.XLOOKUP(B525,INNOVACIÓN!A:A,INNOVACIÓN!B:B,"NO")</f>
        <v>NO</v>
      </c>
      <c r="K525">
        <v>15</v>
      </c>
      <c r="L525" t="s">
        <v>676</v>
      </c>
      <c r="M525">
        <f>+_xlfn.XLOOKUP(A525,'COSTO Y PRECIO'!$A:$A,'COSTO Y PRECIO'!B:B)</f>
        <v>61.659999999999975</v>
      </c>
      <c r="N525">
        <f>+_xlfn.XLOOKUP(A525,'COSTO Y PRECIO'!$A:$A,'COSTO Y PRECIO'!C:C)</f>
        <v>80</v>
      </c>
    </row>
    <row r="526" spans="1:14" x14ac:dyDescent="0.35">
      <c r="A526">
        <v>100026380</v>
      </c>
      <c r="B526" s="6">
        <v>75086091</v>
      </c>
      <c r="C526" t="s">
        <v>567</v>
      </c>
      <c r="D526" s="1" t="s">
        <v>11</v>
      </c>
      <c r="E526" s="14" t="s">
        <v>161</v>
      </c>
      <c r="F526" s="2" t="s">
        <v>608</v>
      </c>
      <c r="G526" s="2" t="s">
        <v>71</v>
      </c>
      <c r="H526" s="1" t="s">
        <v>36</v>
      </c>
      <c r="I526" s="1" t="s">
        <v>16</v>
      </c>
      <c r="J526" t="str">
        <f>+_xlfn.XLOOKUP(B526,INNOVACIÓN!A:A,INNOVACIÓN!B:B,"NO")</f>
        <v>NO</v>
      </c>
      <c r="K526">
        <v>20</v>
      </c>
      <c r="M526">
        <f>+_xlfn.XLOOKUP(A526,'COSTO Y PRECIO'!$A:$A,'COSTO Y PRECIO'!B:B)</f>
        <v>52.26</v>
      </c>
      <c r="N526">
        <f>+_xlfn.XLOOKUP(A526,'COSTO Y PRECIO'!$A:$A,'COSTO Y PRECIO'!C:C)</f>
        <v>76</v>
      </c>
    </row>
    <row r="527" spans="1:14" x14ac:dyDescent="0.35">
      <c r="A527" s="1">
        <v>100011672</v>
      </c>
      <c r="B527" s="4">
        <v>75063801</v>
      </c>
      <c r="C527" s="1" t="s">
        <v>568</v>
      </c>
      <c r="D527" s="2" t="s">
        <v>11</v>
      </c>
      <c r="E527" s="14" t="s">
        <v>161</v>
      </c>
      <c r="F527" s="2" t="s">
        <v>608</v>
      </c>
      <c r="G527" s="2" t="s">
        <v>54</v>
      </c>
      <c r="H527" s="1" t="s">
        <v>36</v>
      </c>
      <c r="I527" s="1" t="s">
        <v>16</v>
      </c>
      <c r="J527" t="str">
        <f>+_xlfn.XLOOKUP(B527,INNOVACIÓN!A:A,INNOVACIÓN!B:B,"NO")</f>
        <v>NO</v>
      </c>
      <c r="K527">
        <v>20</v>
      </c>
      <c r="M527">
        <f>+_xlfn.XLOOKUP(A527,'COSTO Y PRECIO'!$A:$A,'COSTO Y PRECIO'!B:B)</f>
        <v>52.26</v>
      </c>
      <c r="N527">
        <f>+_xlfn.XLOOKUP(A527,'COSTO Y PRECIO'!$A:$A,'COSTO Y PRECIO'!C:C)</f>
        <v>76</v>
      </c>
    </row>
    <row r="528" spans="1:14" x14ac:dyDescent="0.35">
      <c r="A528">
        <v>100026471</v>
      </c>
      <c r="B528" s="6">
        <v>7622100510727</v>
      </c>
      <c r="C528" t="s">
        <v>569</v>
      </c>
      <c r="D528" s="2" t="s">
        <v>11</v>
      </c>
      <c r="E528" s="2" t="s">
        <v>242</v>
      </c>
      <c r="F528" s="1" t="s">
        <v>70</v>
      </c>
      <c r="G528" s="1" t="s">
        <v>239</v>
      </c>
      <c r="H528" s="1" t="s">
        <v>70</v>
      </c>
      <c r="I528" s="1" t="s">
        <v>16</v>
      </c>
      <c r="J528" t="str">
        <f>+_xlfn.XLOOKUP(B528,INNOVACIÓN!A:A,INNOVACIÓN!B:B,"NO")</f>
        <v>NO</v>
      </c>
      <c r="M528">
        <f>+_xlfn.XLOOKUP(A528,'COSTO Y PRECIO'!$A:$A,'COSTO Y PRECIO'!B:B)</f>
        <v>330.81</v>
      </c>
      <c r="N528">
        <f>+_xlfn.XLOOKUP(A528,'COSTO Y PRECIO'!$A:$A,'COSTO Y PRECIO'!C:C)</f>
        <v>599</v>
      </c>
    </row>
    <row r="529" spans="1:14" x14ac:dyDescent="0.35">
      <c r="A529">
        <v>100026467</v>
      </c>
      <c r="B529" s="6">
        <v>7622100511076</v>
      </c>
      <c r="C529" t="s">
        <v>570</v>
      </c>
      <c r="D529" s="2" t="s">
        <v>11</v>
      </c>
      <c r="E529" s="2" t="s">
        <v>242</v>
      </c>
      <c r="F529" s="1" t="s">
        <v>70</v>
      </c>
      <c r="G529" s="1" t="s">
        <v>239</v>
      </c>
      <c r="H529" s="1" t="s">
        <v>70</v>
      </c>
      <c r="I529" s="1" t="s">
        <v>16</v>
      </c>
      <c r="J529" t="str">
        <f>+_xlfn.XLOOKUP(B529,INNOVACIÓN!A:A,INNOVACIÓN!B:B,"NO")</f>
        <v>NO</v>
      </c>
      <c r="M529">
        <f>+_xlfn.XLOOKUP(A529,'COSTO Y PRECIO'!$A:$A,'COSTO Y PRECIO'!B:B)</f>
        <v>554.95000000000005</v>
      </c>
      <c r="N529">
        <f>+_xlfn.XLOOKUP(A529,'COSTO Y PRECIO'!$A:$A,'COSTO Y PRECIO'!C:C)</f>
        <v>999</v>
      </c>
    </row>
    <row r="530" spans="1:14" x14ac:dyDescent="0.35">
      <c r="A530">
        <v>100026473</v>
      </c>
      <c r="B530" s="6">
        <v>7622100510765</v>
      </c>
      <c r="C530" t="s">
        <v>571</v>
      </c>
      <c r="D530" s="2" t="s">
        <v>11</v>
      </c>
      <c r="E530" s="2" t="s">
        <v>242</v>
      </c>
      <c r="F530" s="1" t="s">
        <v>70</v>
      </c>
      <c r="G530" s="1" t="s">
        <v>239</v>
      </c>
      <c r="H530" s="1" t="s">
        <v>70</v>
      </c>
      <c r="I530" s="1" t="s">
        <v>16</v>
      </c>
      <c r="J530" t="str">
        <f>+_xlfn.XLOOKUP(B530,INNOVACIÓN!A:A,INNOVACIÓN!B:B,"NO")</f>
        <v>NO</v>
      </c>
      <c r="M530">
        <f>+_xlfn.XLOOKUP(A530,'COSTO Y PRECIO'!$A:$A,'COSTO Y PRECIO'!B:B)</f>
        <v>330.81</v>
      </c>
      <c r="N530">
        <f>+_xlfn.XLOOKUP(A530,'COSTO Y PRECIO'!$A:$A,'COSTO Y PRECIO'!C:C)</f>
        <v>599</v>
      </c>
    </row>
    <row r="531" spans="1:14" x14ac:dyDescent="0.35">
      <c r="A531">
        <v>100026616</v>
      </c>
      <c r="B531" s="6">
        <v>7622100511038</v>
      </c>
      <c r="C531" t="s">
        <v>666</v>
      </c>
      <c r="D531" s="2" t="s">
        <v>11</v>
      </c>
      <c r="E531" s="2" t="s">
        <v>242</v>
      </c>
      <c r="F531" s="1" t="s">
        <v>70</v>
      </c>
      <c r="G531" s="1" t="s">
        <v>239</v>
      </c>
      <c r="H531" s="1" t="s">
        <v>70</v>
      </c>
      <c r="I531" s="1" t="s">
        <v>16</v>
      </c>
      <c r="J531" t="str">
        <f>+_xlfn.XLOOKUP(B531,INNOVACIÓN!A:A,INNOVACIÓN!B:B,"NO")</f>
        <v>NO</v>
      </c>
      <c r="M531">
        <f>+_xlfn.XLOOKUP(A531,'COSTO Y PRECIO'!$A:$A,'COSTO Y PRECIO'!B:B)</f>
        <v>554.95000000000005</v>
      </c>
      <c r="N531">
        <f>+_xlfn.XLOOKUP(A531,'COSTO Y PRECIO'!$A:$A,'COSTO Y PRECIO'!C:C)</f>
        <v>999</v>
      </c>
    </row>
    <row r="532" spans="1:14" x14ac:dyDescent="0.35">
      <c r="A532">
        <v>100026687</v>
      </c>
      <c r="B532">
        <v>75084585</v>
      </c>
      <c r="C532" t="s">
        <v>591</v>
      </c>
      <c r="D532" s="2" t="s">
        <v>44</v>
      </c>
      <c r="E532" s="14" t="s">
        <v>33</v>
      </c>
      <c r="F532" s="2" t="s">
        <v>46</v>
      </c>
      <c r="H532" s="1" t="s">
        <v>36</v>
      </c>
      <c r="I532" s="1" t="s">
        <v>109</v>
      </c>
      <c r="J532" t="str">
        <f>+_xlfn.XLOOKUP(B532,INNOVACIÓN!A:A,INNOVACIÓN!B:B,"NO")</f>
        <v>NO</v>
      </c>
      <c r="K532">
        <v>20</v>
      </c>
      <c r="M532">
        <f>+_xlfn.XLOOKUP(A532,'COSTO Y PRECIO'!$A:$A,'COSTO Y PRECIO'!B:B)</f>
        <v>65.900000000000006</v>
      </c>
      <c r="N532">
        <f>+_xlfn.XLOOKUP(A532,'COSTO Y PRECIO'!$A:$A,'COSTO Y PRECIO'!C:C)</f>
        <v>98</v>
      </c>
    </row>
    <row r="533" spans="1:14" x14ac:dyDescent="0.35">
      <c r="A533">
        <v>100026688</v>
      </c>
      <c r="B533">
        <v>75084608</v>
      </c>
      <c r="C533" t="s">
        <v>592</v>
      </c>
      <c r="D533" s="2" t="s">
        <v>44</v>
      </c>
      <c r="E533" s="14" t="s">
        <v>33</v>
      </c>
      <c r="F533" s="2" t="s">
        <v>46</v>
      </c>
      <c r="H533" s="1" t="s">
        <v>36</v>
      </c>
      <c r="I533" s="1" t="s">
        <v>109</v>
      </c>
      <c r="J533" t="str">
        <f>+_xlfn.XLOOKUP(B533,INNOVACIÓN!A:A,INNOVACIÓN!B:B,"NO")</f>
        <v>NO</v>
      </c>
      <c r="K533">
        <v>20</v>
      </c>
      <c r="M533">
        <f>+_xlfn.XLOOKUP(A533,'COSTO Y PRECIO'!$A:$A,'COSTO Y PRECIO'!B:B)</f>
        <v>65.900000000000006</v>
      </c>
      <c r="N533">
        <f>+_xlfn.XLOOKUP(A533,'COSTO Y PRECIO'!$A:$A,'COSTO Y PRECIO'!C:C)</f>
        <v>98</v>
      </c>
    </row>
    <row r="534" spans="1:14" x14ac:dyDescent="0.35">
      <c r="A534">
        <v>100026689</v>
      </c>
      <c r="B534">
        <v>75084592</v>
      </c>
      <c r="C534" t="s">
        <v>593</v>
      </c>
      <c r="D534" s="2" t="s">
        <v>44</v>
      </c>
      <c r="E534" s="14" t="s">
        <v>33</v>
      </c>
      <c r="F534" s="2" t="s">
        <v>46</v>
      </c>
      <c r="H534" s="1" t="s">
        <v>36</v>
      </c>
      <c r="I534" s="1" t="s">
        <v>109</v>
      </c>
      <c r="J534" t="str">
        <f>+_xlfn.XLOOKUP(B534,INNOVACIÓN!A:A,INNOVACIÓN!B:B,"NO")</f>
        <v>NO</v>
      </c>
      <c r="K534">
        <v>20</v>
      </c>
      <c r="M534">
        <f>+_xlfn.XLOOKUP(A534,'COSTO Y PRECIO'!$A:$A,'COSTO Y PRECIO'!B:B)</f>
        <v>65.900000000000006</v>
      </c>
      <c r="N534">
        <f>+_xlfn.XLOOKUP(A534,'COSTO Y PRECIO'!$A:$A,'COSTO Y PRECIO'!C:C)</f>
        <v>98</v>
      </c>
    </row>
    <row r="535" spans="1:14" x14ac:dyDescent="0.35">
      <c r="A535">
        <v>100026690</v>
      </c>
      <c r="B535">
        <v>75084646</v>
      </c>
      <c r="C535" t="s">
        <v>594</v>
      </c>
      <c r="D535" s="2" t="s">
        <v>44</v>
      </c>
      <c r="E535" s="14" t="s">
        <v>33</v>
      </c>
      <c r="F535" s="2" t="s">
        <v>46</v>
      </c>
      <c r="H535" s="1" t="s">
        <v>36</v>
      </c>
      <c r="I535" s="1" t="s">
        <v>109</v>
      </c>
      <c r="J535" t="str">
        <f>+_xlfn.XLOOKUP(B535,INNOVACIÓN!A:A,INNOVACIÓN!B:B,"NO")</f>
        <v>NO</v>
      </c>
      <c r="K535">
        <v>20</v>
      </c>
      <c r="M535">
        <f>+_xlfn.XLOOKUP(A535,'COSTO Y PRECIO'!$A:$A,'COSTO Y PRECIO'!B:B)</f>
        <v>65.900000000000006</v>
      </c>
      <c r="N535">
        <f>+_xlfn.XLOOKUP(A535,'COSTO Y PRECIO'!$A:$A,'COSTO Y PRECIO'!C:C)</f>
        <v>98</v>
      </c>
    </row>
    <row r="536" spans="1:14" x14ac:dyDescent="0.35">
      <c r="A536">
        <v>100026691</v>
      </c>
      <c r="B536">
        <v>75084639</v>
      </c>
      <c r="C536" t="s">
        <v>595</v>
      </c>
      <c r="D536" s="2" t="s">
        <v>44</v>
      </c>
      <c r="E536" s="14" t="s">
        <v>33</v>
      </c>
      <c r="F536" s="2" t="s">
        <v>46</v>
      </c>
      <c r="H536" s="1" t="s">
        <v>36</v>
      </c>
      <c r="I536" s="1" t="s">
        <v>109</v>
      </c>
      <c r="J536" t="str">
        <f>+_xlfn.XLOOKUP(B536,INNOVACIÓN!A:A,INNOVACIÓN!B:B,"NO")</f>
        <v>NO</v>
      </c>
      <c r="K536">
        <v>20</v>
      </c>
      <c r="M536">
        <f>+_xlfn.XLOOKUP(A536,'COSTO Y PRECIO'!$A:$A,'COSTO Y PRECIO'!B:B)</f>
        <v>65.900000000000006</v>
      </c>
      <c r="N536">
        <f>+_xlfn.XLOOKUP(A536,'COSTO Y PRECIO'!$A:$A,'COSTO Y PRECIO'!C:C)</f>
        <v>98</v>
      </c>
    </row>
    <row r="537" spans="1:14" x14ac:dyDescent="0.35">
      <c r="A537">
        <v>100026692</v>
      </c>
      <c r="B537">
        <v>75084653</v>
      </c>
      <c r="C537" t="s">
        <v>596</v>
      </c>
      <c r="D537" s="2" t="s">
        <v>44</v>
      </c>
      <c r="E537" s="14" t="s">
        <v>33</v>
      </c>
      <c r="F537" s="2" t="s">
        <v>46</v>
      </c>
      <c r="H537" s="1" t="s">
        <v>36</v>
      </c>
      <c r="I537" s="1" t="s">
        <v>109</v>
      </c>
      <c r="J537" t="str">
        <f>+_xlfn.XLOOKUP(B537,INNOVACIÓN!A:A,INNOVACIÓN!B:B,"NO")</f>
        <v>NO</v>
      </c>
      <c r="K537">
        <v>20</v>
      </c>
      <c r="M537">
        <f>+_xlfn.XLOOKUP(A537,'COSTO Y PRECIO'!$A:$A,'COSTO Y PRECIO'!B:B)</f>
        <v>65.900000000000006</v>
      </c>
      <c r="N537">
        <f>+_xlfn.XLOOKUP(A537,'COSTO Y PRECIO'!$A:$A,'COSTO Y PRECIO'!C:C)</f>
        <v>98</v>
      </c>
    </row>
    <row r="538" spans="1:14" x14ac:dyDescent="0.35">
      <c r="A538">
        <v>100026676</v>
      </c>
      <c r="B538">
        <v>75087142</v>
      </c>
      <c r="C538" t="s">
        <v>597</v>
      </c>
      <c r="D538" s="2" t="s">
        <v>44</v>
      </c>
      <c r="E538" s="14" t="s">
        <v>33</v>
      </c>
      <c r="F538" s="2" t="s">
        <v>39</v>
      </c>
      <c r="H538" s="1" t="s">
        <v>36</v>
      </c>
      <c r="I538" s="1" t="s">
        <v>109</v>
      </c>
      <c r="J538" t="str">
        <f>+_xlfn.XLOOKUP(B538,INNOVACIÓN!A:A,INNOVACIÓN!B:B,"NO")</f>
        <v>SI</v>
      </c>
      <c r="K538">
        <v>20</v>
      </c>
      <c r="M538">
        <f>+_xlfn.XLOOKUP(A538,'COSTO Y PRECIO'!$A:$A,'COSTO Y PRECIO'!B:B)</f>
        <v>65.900000000000006</v>
      </c>
      <c r="N538">
        <f>+_xlfn.XLOOKUP(A538,'COSTO Y PRECIO'!$A:$A,'COSTO Y PRECIO'!C:C)</f>
        <v>98</v>
      </c>
    </row>
    <row r="539" spans="1:14" x14ac:dyDescent="0.35">
      <c r="A539">
        <v>100026677</v>
      </c>
      <c r="B539">
        <v>75087159</v>
      </c>
      <c r="C539" t="s">
        <v>598</v>
      </c>
      <c r="D539" s="2" t="s">
        <v>44</v>
      </c>
      <c r="E539" s="14" t="s">
        <v>33</v>
      </c>
      <c r="F539" s="2" t="s">
        <v>39</v>
      </c>
      <c r="H539" s="1" t="s">
        <v>36</v>
      </c>
      <c r="I539" s="1" t="s">
        <v>109</v>
      </c>
      <c r="J539" t="str">
        <f>+_xlfn.XLOOKUP(B539,INNOVACIÓN!A:A,INNOVACIÓN!B:B,"NO")</f>
        <v>SI</v>
      </c>
      <c r="K539">
        <v>20</v>
      </c>
      <c r="M539">
        <f>+_xlfn.XLOOKUP(A539,'COSTO Y PRECIO'!$A:$A,'COSTO Y PRECIO'!B:B)</f>
        <v>65.900000000000006</v>
      </c>
      <c r="N539">
        <f>+_xlfn.XLOOKUP(A539,'COSTO Y PRECIO'!$A:$A,'COSTO Y PRECIO'!C:C)</f>
        <v>98</v>
      </c>
    </row>
    <row r="540" spans="1:14" x14ac:dyDescent="0.35">
      <c r="A540">
        <v>100026678</v>
      </c>
      <c r="B540">
        <v>75087166</v>
      </c>
      <c r="C540" t="s">
        <v>599</v>
      </c>
      <c r="D540" s="2" t="s">
        <v>44</v>
      </c>
      <c r="E540" s="14" t="s">
        <v>33</v>
      </c>
      <c r="F540" s="2" t="s">
        <v>39</v>
      </c>
      <c r="H540" s="1" t="s">
        <v>36</v>
      </c>
      <c r="I540" s="1" t="s">
        <v>109</v>
      </c>
      <c r="J540" t="str">
        <f>+_xlfn.XLOOKUP(B540,INNOVACIÓN!A:A,INNOVACIÓN!B:B,"NO")</f>
        <v>SI</v>
      </c>
      <c r="K540">
        <v>20</v>
      </c>
      <c r="M540">
        <f>+_xlfn.XLOOKUP(A540,'COSTO Y PRECIO'!$A:$A,'COSTO Y PRECIO'!B:B)</f>
        <v>65.900000000000006</v>
      </c>
      <c r="N540">
        <f>+_xlfn.XLOOKUP(A540,'COSTO Y PRECIO'!$A:$A,'COSTO Y PRECIO'!C:C)</f>
        <v>98</v>
      </c>
    </row>
    <row r="541" spans="1:14" x14ac:dyDescent="0.35">
      <c r="A541">
        <v>100026679</v>
      </c>
      <c r="B541">
        <v>75087173</v>
      </c>
      <c r="C541" t="s">
        <v>600</v>
      </c>
      <c r="D541" s="2" t="s">
        <v>44</v>
      </c>
      <c r="E541" s="14" t="s">
        <v>33</v>
      </c>
      <c r="F541" s="2" t="s">
        <v>39</v>
      </c>
      <c r="H541" s="1" t="s">
        <v>36</v>
      </c>
      <c r="I541" s="1" t="s">
        <v>109</v>
      </c>
      <c r="J541" t="str">
        <f>+_xlfn.XLOOKUP(B541,INNOVACIÓN!A:A,INNOVACIÓN!B:B,"NO")</f>
        <v>SI</v>
      </c>
      <c r="K541">
        <v>20</v>
      </c>
      <c r="M541">
        <f>+_xlfn.XLOOKUP(A541,'COSTO Y PRECIO'!$A:$A,'COSTO Y PRECIO'!B:B)</f>
        <v>65.900000000000006</v>
      </c>
      <c r="N541">
        <f>+_xlfn.XLOOKUP(A541,'COSTO Y PRECIO'!$A:$A,'COSTO Y PRECIO'!C:C)</f>
        <v>98</v>
      </c>
    </row>
    <row r="542" spans="1:14" x14ac:dyDescent="0.35">
      <c r="A542">
        <v>100026680</v>
      </c>
      <c r="B542">
        <v>75087180</v>
      </c>
      <c r="C542" t="s">
        <v>601</v>
      </c>
      <c r="D542" s="2" t="s">
        <v>44</v>
      </c>
      <c r="E542" s="14" t="s">
        <v>33</v>
      </c>
      <c r="F542" s="2" t="s">
        <v>39</v>
      </c>
      <c r="H542" s="1" t="s">
        <v>36</v>
      </c>
      <c r="I542" s="1" t="s">
        <v>109</v>
      </c>
      <c r="J542" t="str">
        <f>+_xlfn.XLOOKUP(B542,INNOVACIÓN!A:A,INNOVACIÓN!B:B,"NO")</f>
        <v>SI</v>
      </c>
      <c r="K542">
        <v>20</v>
      </c>
      <c r="M542">
        <f>+_xlfn.XLOOKUP(A542,'COSTO Y PRECIO'!$A:$A,'COSTO Y PRECIO'!B:B)</f>
        <v>65.900000000000006</v>
      </c>
      <c r="N542">
        <f>+_xlfn.XLOOKUP(A542,'COSTO Y PRECIO'!$A:$A,'COSTO Y PRECIO'!C:C)</f>
        <v>98</v>
      </c>
    </row>
    <row r="543" spans="1:14" x14ac:dyDescent="0.35">
      <c r="A543">
        <v>100026684</v>
      </c>
      <c r="B543">
        <v>75084493</v>
      </c>
      <c r="C543" t="s">
        <v>602</v>
      </c>
      <c r="D543" s="2" t="s">
        <v>44</v>
      </c>
      <c r="E543" s="14" t="s">
        <v>67</v>
      </c>
      <c r="F543" s="2" t="s">
        <v>608</v>
      </c>
      <c r="H543" s="1" t="s">
        <v>36</v>
      </c>
      <c r="I543" s="1" t="s">
        <v>16</v>
      </c>
      <c r="J543" t="str">
        <f>+_xlfn.XLOOKUP(B543,INNOVACIÓN!A:A,INNOVACIÓN!B:B,"NO")</f>
        <v>SI</v>
      </c>
      <c r="K543">
        <v>20</v>
      </c>
      <c r="M543">
        <f>+_xlfn.XLOOKUP(A543,'COSTO Y PRECIO'!$A:$A,'COSTO Y PRECIO'!B:B)</f>
        <v>51.1</v>
      </c>
      <c r="N543">
        <f>+_xlfn.XLOOKUP(A543,'COSTO Y PRECIO'!$A:$A,'COSTO Y PRECIO'!C:C)</f>
        <v>76</v>
      </c>
    </row>
    <row r="544" spans="1:14" x14ac:dyDescent="0.35">
      <c r="A544">
        <v>100026681</v>
      </c>
      <c r="B544">
        <v>75087197</v>
      </c>
      <c r="C544" t="s">
        <v>603</v>
      </c>
      <c r="D544" s="2" t="s">
        <v>44</v>
      </c>
      <c r="E544" s="14" t="s">
        <v>33</v>
      </c>
      <c r="F544" s="2" t="s">
        <v>609</v>
      </c>
      <c r="H544" s="1" t="s">
        <v>36</v>
      </c>
      <c r="I544" s="1" t="s">
        <v>109</v>
      </c>
      <c r="J544" t="str">
        <f>+_xlfn.XLOOKUP(B544,INNOVACIÓN!A:A,INNOVACIÓN!B:B,"NO")</f>
        <v>SI</v>
      </c>
      <c r="K544">
        <v>25</v>
      </c>
      <c r="M544">
        <f>+_xlfn.XLOOKUP(A544,'COSTO Y PRECIO'!$A:$A,'COSTO Y PRECIO'!B:B)</f>
        <v>53.72</v>
      </c>
      <c r="N544">
        <f>+_xlfn.XLOOKUP(A544,'COSTO Y PRECIO'!$A:$A,'COSTO Y PRECIO'!C:C)</f>
        <v>82</v>
      </c>
    </row>
    <row r="545" spans="1:14" x14ac:dyDescent="0.35">
      <c r="A545">
        <v>100026682</v>
      </c>
      <c r="B545">
        <v>75087203</v>
      </c>
      <c r="C545" t="s">
        <v>604</v>
      </c>
      <c r="D545" s="2" t="s">
        <v>44</v>
      </c>
      <c r="E545" s="14" t="s">
        <v>33</v>
      </c>
      <c r="F545" s="14" t="s">
        <v>46</v>
      </c>
      <c r="H545" s="1" t="s">
        <v>36</v>
      </c>
      <c r="I545" s="1" t="s">
        <v>109</v>
      </c>
      <c r="J545" t="str">
        <f>+_xlfn.XLOOKUP(B545,INNOVACIÓN!A:A,INNOVACIÓN!B:B,"NO")</f>
        <v>SI</v>
      </c>
      <c r="K545">
        <v>14</v>
      </c>
      <c r="M545">
        <f>+_xlfn.XLOOKUP(A545,'COSTO Y PRECIO'!$A:$A,'COSTO Y PRECIO'!B:B)</f>
        <v>33.409999999999997</v>
      </c>
      <c r="N545">
        <f>+_xlfn.XLOOKUP(A545,'COSTO Y PRECIO'!$A:$A,'COSTO Y PRECIO'!C:C)</f>
        <v>51</v>
      </c>
    </row>
    <row r="546" spans="1:14" x14ac:dyDescent="0.35">
      <c r="A546">
        <v>100026683</v>
      </c>
      <c r="B546">
        <v>75087210</v>
      </c>
      <c r="C546" t="s">
        <v>605</v>
      </c>
      <c r="D546" s="2" t="s">
        <v>44</v>
      </c>
      <c r="E546" s="14" t="s">
        <v>33</v>
      </c>
      <c r="F546" s="2" t="s">
        <v>609</v>
      </c>
      <c r="H546" s="1" t="s">
        <v>36</v>
      </c>
      <c r="I546" s="1" t="s">
        <v>16</v>
      </c>
      <c r="J546" t="str">
        <f>+_xlfn.XLOOKUP(B546,INNOVACIÓN!A:A,INNOVACIÓN!B:B,"NO")</f>
        <v>SI</v>
      </c>
      <c r="K546">
        <v>25</v>
      </c>
      <c r="M546">
        <f>+_xlfn.XLOOKUP(A546,'COSTO Y PRECIO'!$A:$A,'COSTO Y PRECIO'!B:B)</f>
        <v>53.72</v>
      </c>
      <c r="N546">
        <f>+_xlfn.XLOOKUP(A546,'COSTO Y PRECIO'!$A:$A,'COSTO Y PRECIO'!C:C)</f>
        <v>82</v>
      </c>
    </row>
    <row r="547" spans="1:14" x14ac:dyDescent="0.35">
      <c r="A547">
        <v>100026685</v>
      </c>
      <c r="B547">
        <v>75086381</v>
      </c>
      <c r="C547" t="s">
        <v>606</v>
      </c>
      <c r="D547" s="2" t="s">
        <v>11</v>
      </c>
      <c r="E547" s="14" t="s">
        <v>161</v>
      </c>
      <c r="F547" s="2" t="s">
        <v>608</v>
      </c>
      <c r="H547" s="1" t="s">
        <v>36</v>
      </c>
      <c r="I547" s="1" t="s">
        <v>16</v>
      </c>
      <c r="J547" t="str">
        <f>+_xlfn.XLOOKUP(B547,INNOVACIÓN!A:A,INNOVACIÓN!B:B,"NO")</f>
        <v>NO</v>
      </c>
      <c r="K547">
        <v>20</v>
      </c>
      <c r="M547">
        <f>+_xlfn.XLOOKUP(A547,'COSTO Y PRECIO'!$A:$A,'COSTO Y PRECIO'!B:B)</f>
        <v>52.26</v>
      </c>
      <c r="N547">
        <f>+_xlfn.XLOOKUP(A547,'COSTO Y PRECIO'!$A:$A,'COSTO Y PRECIO'!C:C)</f>
        <v>76</v>
      </c>
    </row>
    <row r="548" spans="1:14" x14ac:dyDescent="0.35">
      <c r="A548">
        <v>100026614</v>
      </c>
      <c r="B548" s="6">
        <v>7501045300177</v>
      </c>
      <c r="C548" t="s">
        <v>607</v>
      </c>
      <c r="D548" s="2" t="s">
        <v>11</v>
      </c>
      <c r="E548" s="1" t="s">
        <v>33</v>
      </c>
      <c r="F548" s="2" t="s">
        <v>39</v>
      </c>
      <c r="H548" s="1" t="s">
        <v>36</v>
      </c>
      <c r="I548" s="1" t="s">
        <v>109</v>
      </c>
      <c r="J548" t="str">
        <f>+_xlfn.XLOOKUP(B548,INNOVACIÓN!A:A,INNOVACIÓN!B:B,"NO")</f>
        <v>NO</v>
      </c>
      <c r="K548">
        <v>20</v>
      </c>
      <c r="M548">
        <f>+_xlfn.XLOOKUP(A548,'COSTO Y PRECIO'!$A:$A,'COSTO Y PRECIO'!B:B)</f>
        <v>66.680000000000007</v>
      </c>
      <c r="N548">
        <f>+_xlfn.XLOOKUP(A548,'COSTO Y PRECIO'!$A:$A,'COSTO Y PRECIO'!C:C)</f>
        <v>98</v>
      </c>
    </row>
    <row r="549" spans="1:14" x14ac:dyDescent="0.35">
      <c r="A549">
        <v>100027095</v>
      </c>
      <c r="B549" s="13">
        <v>75087586</v>
      </c>
      <c r="C549" t="s">
        <v>665</v>
      </c>
      <c r="D549" s="2" t="s">
        <v>11</v>
      </c>
      <c r="E549" s="14" t="s">
        <v>161</v>
      </c>
      <c r="F549" s="2" t="s">
        <v>608</v>
      </c>
      <c r="H549" s="1" t="s">
        <v>36</v>
      </c>
      <c r="I549" s="1" t="s">
        <v>16</v>
      </c>
      <c r="J549" t="str">
        <f>+_xlfn.XLOOKUP(B549,INNOVACIÓN!A:A,INNOVACIÓN!B:B,"NO")</f>
        <v>SI</v>
      </c>
      <c r="K549">
        <v>20</v>
      </c>
      <c r="M549">
        <f>+_xlfn.XLOOKUP(A549,'COSTO Y PRECIO'!$A:$A,'COSTO Y PRECIO'!B:B)</f>
        <v>52.26</v>
      </c>
      <c r="N549">
        <f>+_xlfn.XLOOKUP(A549,'COSTO Y PRECIO'!$A:$A,'COSTO Y PRECIO'!C:C)</f>
        <v>76</v>
      </c>
    </row>
    <row r="550" spans="1:14" x14ac:dyDescent="0.35">
      <c r="A550" s="16">
        <v>100027096</v>
      </c>
      <c r="B550" s="17">
        <v>7311250035586</v>
      </c>
      <c r="C550" s="18" t="s">
        <v>611</v>
      </c>
      <c r="D550" s="2" t="s">
        <v>11</v>
      </c>
      <c r="E550" s="14" t="s">
        <v>12</v>
      </c>
      <c r="F550" s="14" t="s">
        <v>13</v>
      </c>
      <c r="H550" s="1" t="s">
        <v>15</v>
      </c>
      <c r="I550" s="1" t="s">
        <v>16</v>
      </c>
      <c r="J550" t="str">
        <f>+_xlfn.XLOOKUP(B550,INNOVACIÓN!A:A,INNOVACIÓN!B:B,"NO")</f>
        <v>SI</v>
      </c>
      <c r="K550">
        <v>15</v>
      </c>
      <c r="L550" t="s">
        <v>675</v>
      </c>
      <c r="M550">
        <f>+_xlfn.XLOOKUP(A550,'COSTO Y PRECIO'!$A:$A,'COSTO Y PRECIO'!B:B)</f>
        <v>47.17</v>
      </c>
      <c r="N550">
        <f>+_xlfn.XLOOKUP(A550,'COSTO Y PRECIO'!$A:$A,'COSTO Y PRECIO'!C:C)</f>
        <v>85</v>
      </c>
    </row>
    <row r="551" spans="1:14" x14ac:dyDescent="0.35">
      <c r="A551" s="16">
        <v>100027097</v>
      </c>
      <c r="B551" s="17">
        <v>7311250035609</v>
      </c>
      <c r="C551" s="18" t="s">
        <v>612</v>
      </c>
      <c r="D551" s="2" t="s">
        <v>11</v>
      </c>
      <c r="E551" s="14" t="s">
        <v>12</v>
      </c>
      <c r="F551" s="14" t="s">
        <v>13</v>
      </c>
      <c r="H551" s="1" t="s">
        <v>15</v>
      </c>
      <c r="I551" s="1" t="s">
        <v>16</v>
      </c>
      <c r="J551" t="str">
        <f>+_xlfn.XLOOKUP(B551,INNOVACIÓN!A:A,INNOVACIÓN!B:B,"NO")</f>
        <v>SI</v>
      </c>
      <c r="K551">
        <v>15</v>
      </c>
      <c r="L551" t="s">
        <v>676</v>
      </c>
      <c r="M551">
        <f>+_xlfn.XLOOKUP(A551,'COSTO Y PRECIO'!$A:$A,'COSTO Y PRECIO'!B:B)</f>
        <v>47.17</v>
      </c>
      <c r="N551">
        <f>+_xlfn.XLOOKUP(A551,'COSTO Y PRECIO'!$A:$A,'COSTO Y PRECIO'!C:C)</f>
        <v>85</v>
      </c>
    </row>
    <row r="552" spans="1:14" x14ac:dyDescent="0.35">
      <c r="A552">
        <v>100027103</v>
      </c>
      <c r="B552" s="13">
        <v>7503039738805</v>
      </c>
      <c r="C552" s="12" t="s">
        <v>613</v>
      </c>
      <c r="D552" s="2" t="s">
        <v>44</v>
      </c>
      <c r="E552" s="14" t="s">
        <v>146</v>
      </c>
      <c r="F552" s="14" t="s">
        <v>13</v>
      </c>
      <c r="H552" s="1" t="s">
        <v>15</v>
      </c>
      <c r="I552" s="1" t="s">
        <v>16</v>
      </c>
      <c r="J552" t="str">
        <f>+_xlfn.XLOOKUP(B552,INNOVACIÓN!A:A,INNOVACIÓN!B:B,"NO")</f>
        <v>NO</v>
      </c>
      <c r="K552">
        <v>15</v>
      </c>
      <c r="L552" t="s">
        <v>677</v>
      </c>
      <c r="M552">
        <f>+_xlfn.XLOOKUP(A552,'COSTO Y PRECIO'!$A:$A,'COSTO Y PRECIO'!B:B)</f>
        <v>65.510000000000005</v>
      </c>
      <c r="N552">
        <f>+_xlfn.XLOOKUP(A552,'COSTO Y PRECIO'!$A:$A,'COSTO Y PRECIO'!C:C)</f>
        <v>85</v>
      </c>
    </row>
    <row r="553" spans="1:14" x14ac:dyDescent="0.35">
      <c r="A553">
        <v>100027104</v>
      </c>
      <c r="B553" s="13">
        <v>7503039738812</v>
      </c>
      <c r="C553" s="12" t="s">
        <v>614</v>
      </c>
      <c r="D553" s="2" t="s">
        <v>44</v>
      </c>
      <c r="E553" s="14" t="s">
        <v>146</v>
      </c>
      <c r="F553" s="14" t="s">
        <v>13</v>
      </c>
      <c r="H553" s="1" t="s">
        <v>15</v>
      </c>
      <c r="I553" s="1" t="s">
        <v>16</v>
      </c>
      <c r="J553" t="str">
        <f>+_xlfn.XLOOKUP(B553,INNOVACIÓN!A:A,INNOVACIÓN!B:B,"NO")</f>
        <v>NO</v>
      </c>
      <c r="K553">
        <v>15</v>
      </c>
      <c r="L553" t="s">
        <v>677</v>
      </c>
      <c r="M553">
        <f>+_xlfn.XLOOKUP(A553,'COSTO Y PRECIO'!$A:$A,'COSTO Y PRECIO'!B:B)</f>
        <v>65.510000000000005</v>
      </c>
      <c r="N553">
        <f>+_xlfn.XLOOKUP(A553,'COSTO Y PRECIO'!$A:$A,'COSTO Y PRECIO'!C:C)</f>
        <v>85</v>
      </c>
    </row>
    <row r="554" spans="1:14" x14ac:dyDescent="0.35">
      <c r="A554">
        <v>100027105</v>
      </c>
      <c r="B554" s="13">
        <v>7503039738829</v>
      </c>
      <c r="C554" s="12" t="s">
        <v>615</v>
      </c>
      <c r="D554" s="2" t="s">
        <v>44</v>
      </c>
      <c r="E554" s="14" t="s">
        <v>146</v>
      </c>
      <c r="F554" s="14" t="s">
        <v>13</v>
      </c>
      <c r="H554" s="1" t="s">
        <v>15</v>
      </c>
      <c r="I554" s="1" t="s">
        <v>16</v>
      </c>
      <c r="J554" t="str">
        <f>+_xlfn.XLOOKUP(B554,INNOVACIÓN!A:A,INNOVACIÓN!B:B,"NO")</f>
        <v>NO</v>
      </c>
      <c r="K554">
        <v>15</v>
      </c>
      <c r="L554" t="s">
        <v>677</v>
      </c>
      <c r="M554">
        <f>+_xlfn.XLOOKUP(A554,'COSTO Y PRECIO'!$A:$A,'COSTO Y PRECIO'!B:B)</f>
        <v>65.510000000000005</v>
      </c>
      <c r="N554">
        <f>+_xlfn.XLOOKUP(A554,'COSTO Y PRECIO'!$A:$A,'COSTO Y PRECIO'!C:C)</f>
        <v>85</v>
      </c>
    </row>
    <row r="555" spans="1:14" x14ac:dyDescent="0.35">
      <c r="A555">
        <v>100027106</v>
      </c>
      <c r="B555" s="13">
        <v>7503039738836</v>
      </c>
      <c r="C555" s="12" t="s">
        <v>616</v>
      </c>
      <c r="D555" s="2" t="s">
        <v>44</v>
      </c>
      <c r="E555" s="14" t="s">
        <v>146</v>
      </c>
      <c r="F555" s="14" t="s">
        <v>13</v>
      </c>
      <c r="H555" s="1" t="s">
        <v>15</v>
      </c>
      <c r="I555" s="1" t="s">
        <v>16</v>
      </c>
      <c r="J555" t="str">
        <f>+_xlfn.XLOOKUP(B555,INNOVACIÓN!A:A,INNOVACIÓN!B:B,"NO")</f>
        <v>NO</v>
      </c>
      <c r="K555">
        <v>15</v>
      </c>
      <c r="L555" t="s">
        <v>677</v>
      </c>
      <c r="M555">
        <f>+_xlfn.XLOOKUP(A555,'COSTO Y PRECIO'!$A:$A,'COSTO Y PRECIO'!B:B)</f>
        <v>65.510000000000005</v>
      </c>
      <c r="N555">
        <f>+_xlfn.XLOOKUP(A555,'COSTO Y PRECIO'!$A:$A,'COSTO Y PRECIO'!C:C)</f>
        <v>85</v>
      </c>
    </row>
    <row r="556" spans="1:14" x14ac:dyDescent="0.35">
      <c r="A556">
        <v>100027098</v>
      </c>
      <c r="B556" s="13">
        <v>7503039738843</v>
      </c>
      <c r="C556" t="s">
        <v>667</v>
      </c>
      <c r="D556" s="2" t="s">
        <v>44</v>
      </c>
      <c r="E556" s="14" t="s">
        <v>146</v>
      </c>
      <c r="F556" s="14" t="s">
        <v>13</v>
      </c>
      <c r="H556" s="1" t="s">
        <v>15</v>
      </c>
      <c r="I556" s="1" t="s">
        <v>16</v>
      </c>
      <c r="J556" t="str">
        <f>+_xlfn.XLOOKUP(B556,INNOVACIÓN!A:A,INNOVACIÓN!B:B,"NO")</f>
        <v>SI</v>
      </c>
      <c r="K556">
        <v>15</v>
      </c>
      <c r="L556" t="s">
        <v>675</v>
      </c>
      <c r="M556">
        <f>+_xlfn.XLOOKUP(A556,'COSTO Y PRECIO'!$A:$A,'COSTO Y PRECIO'!B:B)</f>
        <v>53.18</v>
      </c>
      <c r="N556">
        <f>+_xlfn.XLOOKUP(A556,'COSTO Y PRECIO'!$A:$A,'COSTO Y PRECIO'!C:C)</f>
        <v>69</v>
      </c>
    </row>
    <row r="557" spans="1:14" x14ac:dyDescent="0.35">
      <c r="A557">
        <v>100027099</v>
      </c>
      <c r="B557" s="13">
        <v>7503039738867</v>
      </c>
      <c r="C557" s="12" t="s">
        <v>618</v>
      </c>
      <c r="D557" s="2" t="s">
        <v>44</v>
      </c>
      <c r="E557" s="14" t="s">
        <v>146</v>
      </c>
      <c r="F557" s="14" t="s">
        <v>13</v>
      </c>
      <c r="H557" s="1" t="s">
        <v>15</v>
      </c>
      <c r="I557" s="1" t="s">
        <v>16</v>
      </c>
      <c r="J557" t="str">
        <f>+_xlfn.XLOOKUP(B557,INNOVACIÓN!A:A,INNOVACIÓN!B:B,"NO")</f>
        <v>SI</v>
      </c>
      <c r="K557">
        <v>15</v>
      </c>
      <c r="L557" t="s">
        <v>677</v>
      </c>
      <c r="M557">
        <f>+_xlfn.XLOOKUP(A557,'COSTO Y PRECIO'!$A:$A,'COSTO Y PRECIO'!B:B)</f>
        <v>65.510000000000005</v>
      </c>
      <c r="N557">
        <f>+_xlfn.XLOOKUP(A557,'COSTO Y PRECIO'!$A:$A,'COSTO Y PRECIO'!C:C)</f>
        <v>85</v>
      </c>
    </row>
    <row r="558" spans="1:14" x14ac:dyDescent="0.35">
      <c r="A558">
        <v>100027102</v>
      </c>
      <c r="B558" s="13">
        <v>7503039738874</v>
      </c>
      <c r="C558" t="s">
        <v>669</v>
      </c>
      <c r="D558" s="2" t="s">
        <v>44</v>
      </c>
      <c r="E558" s="14" t="s">
        <v>146</v>
      </c>
      <c r="F558" s="14" t="s">
        <v>13</v>
      </c>
      <c r="H558" s="1" t="s">
        <v>15</v>
      </c>
      <c r="I558" s="1" t="s">
        <v>16</v>
      </c>
      <c r="J558" t="str">
        <f>+_xlfn.XLOOKUP(B558,INNOVACIÓN!A:A,INNOVACIÓN!B:B,"NO")</f>
        <v>SI</v>
      </c>
      <c r="K558">
        <v>15</v>
      </c>
      <c r="L558" t="s">
        <v>677</v>
      </c>
      <c r="M558">
        <f>+_xlfn.XLOOKUP(A558,'COSTO Y PRECIO'!$A:$A,'COSTO Y PRECIO'!B:B)</f>
        <v>65.510000000000005</v>
      </c>
      <c r="N558">
        <f>+_xlfn.XLOOKUP(A558,'COSTO Y PRECIO'!$A:$A,'COSTO Y PRECIO'!C:C)</f>
        <v>85</v>
      </c>
    </row>
    <row r="559" spans="1:14" x14ac:dyDescent="0.35">
      <c r="A559">
        <v>100080354</v>
      </c>
      <c r="C559" t="s">
        <v>622</v>
      </c>
      <c r="D559" t="s">
        <v>87</v>
      </c>
      <c r="E559" t="s">
        <v>33</v>
      </c>
      <c r="F559" t="s">
        <v>87</v>
      </c>
      <c r="G559" s="2" t="s">
        <v>87</v>
      </c>
      <c r="H559" s="1" t="s">
        <v>87</v>
      </c>
      <c r="I559" s="1" t="s">
        <v>16</v>
      </c>
      <c r="J559" t="str">
        <f>+_xlfn.XLOOKUP(B559,INNOVACIÓN!A:A,INNOVACIÓN!B:B,"NO")</f>
        <v>NO</v>
      </c>
      <c r="M559">
        <f>+_xlfn.XLOOKUP(A559,'COSTO Y PRECIO'!$A:$A,'COSTO Y PRECIO'!B:B)</f>
        <v>6.78</v>
      </c>
      <c r="N559">
        <f>+_xlfn.XLOOKUP(A559,'COSTO Y PRECIO'!$A:$A,'COSTO Y PRECIO'!C:C)</f>
        <v>10.5</v>
      </c>
    </row>
    <row r="560" spans="1:14" x14ac:dyDescent="0.35">
      <c r="A560">
        <v>100080382</v>
      </c>
      <c r="C560" t="s">
        <v>623</v>
      </c>
      <c r="D560" t="s">
        <v>87</v>
      </c>
      <c r="E560" t="s">
        <v>33</v>
      </c>
      <c r="F560" t="s">
        <v>87</v>
      </c>
      <c r="G560" s="2" t="s">
        <v>87</v>
      </c>
      <c r="H560" s="1" t="s">
        <v>87</v>
      </c>
      <c r="I560" s="1" t="s">
        <v>16</v>
      </c>
      <c r="J560" t="str">
        <f>+_xlfn.XLOOKUP(B560,INNOVACIÓN!A:A,INNOVACIÓN!B:B,"NO")</f>
        <v>NO</v>
      </c>
      <c r="M560">
        <f>+_xlfn.XLOOKUP(A560,'COSTO Y PRECIO'!$A:$A,'COSTO Y PRECIO'!B:B)</f>
        <v>7.9099999999999975</v>
      </c>
      <c r="N560">
        <f>+_xlfn.XLOOKUP(A560,'COSTO Y PRECIO'!$A:$A,'COSTO Y PRECIO'!C:C)</f>
        <v>20</v>
      </c>
    </row>
    <row r="561" spans="1:14" x14ac:dyDescent="0.35">
      <c r="A561">
        <v>100013782</v>
      </c>
      <c r="C561" t="s">
        <v>624</v>
      </c>
      <c r="D561" t="s">
        <v>11</v>
      </c>
      <c r="E561" t="s">
        <v>33</v>
      </c>
      <c r="F561" t="s">
        <v>41</v>
      </c>
      <c r="H561" s="1" t="s">
        <v>36</v>
      </c>
      <c r="I561" s="1" t="s">
        <v>109</v>
      </c>
      <c r="J561" t="str">
        <f>+_xlfn.XLOOKUP(B561,INNOVACIÓN!A:A,INNOVACIÓN!B:B,"NO")</f>
        <v>NO</v>
      </c>
      <c r="K561">
        <v>20</v>
      </c>
      <c r="M561">
        <f>+_xlfn.XLOOKUP(A561,'COSTO Y PRECIO'!$A:$A,'COSTO Y PRECIO'!B:B)</f>
        <v>26.33</v>
      </c>
      <c r="N561" t="e">
        <f>+_xlfn.XLOOKUP(A561,'COSTO Y PRECIO'!$A:$A,'COSTO Y PRECIO'!C:C)</f>
        <v>#N/A</v>
      </c>
    </row>
    <row r="562" spans="1:14" x14ac:dyDescent="0.35">
      <c r="A562">
        <v>100024718</v>
      </c>
      <c r="C562" t="s">
        <v>579</v>
      </c>
      <c r="D562" t="s">
        <v>44</v>
      </c>
      <c r="E562" t="s">
        <v>33</v>
      </c>
      <c r="F562" s="1" t="s">
        <v>252</v>
      </c>
      <c r="H562" s="1" t="s">
        <v>252</v>
      </c>
      <c r="I562" s="1" t="s">
        <v>247</v>
      </c>
      <c r="J562" t="str">
        <f>+_xlfn.XLOOKUP(B562,INNOVACIÓN!A:A,INNOVACIÓN!B:B,"NO")</f>
        <v>NO</v>
      </c>
      <c r="M562">
        <f>+_xlfn.XLOOKUP(A562,'COSTO Y PRECIO'!$A:$A,'COSTO Y PRECIO'!B:B)</f>
        <v>115.59999999999998</v>
      </c>
      <c r="N562">
        <f>+_xlfn.XLOOKUP(A562,'COSTO Y PRECIO'!$A:$A,'COSTO Y PRECIO'!C:C)</f>
        <v>150</v>
      </c>
    </row>
    <row r="563" spans="1:14" x14ac:dyDescent="0.35">
      <c r="A563">
        <v>101000060</v>
      </c>
      <c r="C563" t="s">
        <v>625</v>
      </c>
      <c r="D563" t="s">
        <v>11</v>
      </c>
      <c r="E563" t="s">
        <v>33</v>
      </c>
      <c r="F563" t="s">
        <v>46</v>
      </c>
      <c r="H563" s="1" t="s">
        <v>36</v>
      </c>
      <c r="I563" s="1" t="s">
        <v>109</v>
      </c>
      <c r="J563" t="str">
        <f>+_xlfn.XLOOKUP(B563,INNOVACIÓN!A:A,INNOVACIÓN!B:B,"NO")</f>
        <v>NO</v>
      </c>
      <c r="K563">
        <v>14</v>
      </c>
      <c r="M563">
        <f>+_xlfn.XLOOKUP(A563,'COSTO Y PRECIO'!$A:$A,'COSTO Y PRECIO'!B:B)</f>
        <v>37.299999999999997</v>
      </c>
      <c r="N563">
        <f>+_xlfn.XLOOKUP(A563,'COSTO Y PRECIO'!$A:$A,'COSTO Y PRECIO'!C:C)</f>
        <v>103</v>
      </c>
    </row>
    <row r="564" spans="1:14" x14ac:dyDescent="0.35">
      <c r="A564">
        <v>100017238</v>
      </c>
      <c r="C564" t="s">
        <v>626</v>
      </c>
      <c r="D564" t="s">
        <v>628</v>
      </c>
      <c r="E564" t="s">
        <v>33</v>
      </c>
      <c r="F564" t="s">
        <v>39</v>
      </c>
      <c r="H564" s="1" t="s">
        <v>36</v>
      </c>
      <c r="I564" s="1" t="s">
        <v>16</v>
      </c>
      <c r="J564" t="str">
        <f>+_xlfn.XLOOKUP(B564,INNOVACIÓN!A:A,INNOVACIÓN!B:B,"NO")</f>
        <v>NO</v>
      </c>
      <c r="K564">
        <v>20</v>
      </c>
      <c r="M564">
        <f>+_xlfn.XLOOKUP(A564,'COSTO Y PRECIO'!$A:$A,'COSTO Y PRECIO'!B:B)</f>
        <v>38.18</v>
      </c>
      <c r="N564">
        <f>+_xlfn.XLOOKUP(A564,'COSTO Y PRECIO'!$A:$A,'COSTO Y PRECIO'!C:C)</f>
        <v>38.135000000000005</v>
      </c>
    </row>
    <row r="565" spans="1:14" x14ac:dyDescent="0.35">
      <c r="A565">
        <v>100024719</v>
      </c>
      <c r="B565" s="6">
        <v>7707200945799</v>
      </c>
      <c r="C565" t="s">
        <v>627</v>
      </c>
      <c r="D565" t="s">
        <v>44</v>
      </c>
      <c r="E565" t="s">
        <v>33</v>
      </c>
      <c r="F565" t="s">
        <v>252</v>
      </c>
      <c r="H565" t="s">
        <v>252</v>
      </c>
      <c r="I565" s="1" t="s">
        <v>247</v>
      </c>
      <c r="J565" t="str">
        <f>+_xlfn.XLOOKUP(B565,INNOVACIÓN!A:A,INNOVACIÓN!B:B,"NO")</f>
        <v>NO</v>
      </c>
      <c r="M565">
        <f>+_xlfn.XLOOKUP(A565,'COSTO Y PRECIO'!$A:$A,'COSTO Y PRECIO'!B:B)</f>
        <v>246.62</v>
      </c>
      <c r="N565">
        <f>+_xlfn.XLOOKUP(A565,'COSTO Y PRECIO'!$A:$A,'COSTO Y PRECIO'!C:C)</f>
        <v>320</v>
      </c>
    </row>
    <row r="566" spans="1:14" x14ac:dyDescent="0.35">
      <c r="A566">
        <v>100080894</v>
      </c>
      <c r="B566" s="6">
        <v>75043209</v>
      </c>
      <c r="C566" t="s">
        <v>629</v>
      </c>
      <c r="D566" t="s">
        <v>32</v>
      </c>
      <c r="E566" t="s">
        <v>33</v>
      </c>
      <c r="F566" t="s">
        <v>46</v>
      </c>
      <c r="H566" t="s">
        <v>36</v>
      </c>
      <c r="I566" s="1" t="s">
        <v>247</v>
      </c>
      <c r="J566" t="str">
        <f>+_xlfn.XLOOKUP(B566,INNOVACIÓN!A:A,INNOVACIÓN!B:B,"NO")</f>
        <v>NO</v>
      </c>
      <c r="K566">
        <v>20</v>
      </c>
      <c r="M566">
        <f>+_xlfn.XLOOKUP(A566,'COSTO Y PRECIO'!$A:$A,'COSTO Y PRECIO'!B:B)</f>
        <v>0</v>
      </c>
      <c r="N566">
        <f>+_xlfn.XLOOKUP(A566,'COSTO Y PRECIO'!$A:$A,'COSTO Y PRECIO'!C:C)</f>
        <v>0</v>
      </c>
    </row>
    <row r="567" spans="1:14" x14ac:dyDescent="0.35">
      <c r="A567">
        <v>100011675</v>
      </c>
      <c r="B567" s="6">
        <v>75063702</v>
      </c>
      <c r="C567" t="s">
        <v>630</v>
      </c>
      <c r="D567" t="s">
        <v>11</v>
      </c>
      <c r="E567" t="s">
        <v>33</v>
      </c>
      <c r="F567" t="s">
        <v>41</v>
      </c>
      <c r="H567" t="s">
        <v>36</v>
      </c>
      <c r="I567" s="1" t="s">
        <v>247</v>
      </c>
      <c r="J567" t="str">
        <f>+_xlfn.XLOOKUP(B567,INNOVACIÓN!A:A,INNOVACIÓN!B:B,"NO")</f>
        <v>NO</v>
      </c>
      <c r="K567">
        <v>14</v>
      </c>
      <c r="M567">
        <f>+_xlfn.XLOOKUP(A567,'COSTO Y PRECIO'!$A:$A,'COSTO Y PRECIO'!B:B)</f>
        <v>26.33</v>
      </c>
      <c r="N567">
        <f>+_xlfn.XLOOKUP(A567,'COSTO Y PRECIO'!$A:$A,'COSTO Y PRECIO'!C:C)</f>
        <v>37</v>
      </c>
    </row>
    <row r="568" spans="1:14" x14ac:dyDescent="0.35">
      <c r="A568">
        <v>100009363</v>
      </c>
      <c r="B568" s="6">
        <v>7503023648035</v>
      </c>
      <c r="C568" t="s">
        <v>631</v>
      </c>
      <c r="D568" t="s">
        <v>87</v>
      </c>
      <c r="E568" t="s">
        <v>33</v>
      </c>
      <c r="F568" t="s">
        <v>87</v>
      </c>
      <c r="G568" t="s">
        <v>33</v>
      </c>
      <c r="H568" t="s">
        <v>87</v>
      </c>
      <c r="I568" s="1" t="s">
        <v>247</v>
      </c>
      <c r="J568" t="str">
        <f>+_xlfn.XLOOKUP(B568,INNOVACIÓN!A:A,INNOVACIÓN!B:B,"NO")</f>
        <v>NO</v>
      </c>
      <c r="M568">
        <f>+_xlfn.XLOOKUP(A568,'COSTO Y PRECIO'!$A:$A,'COSTO Y PRECIO'!B:B)</f>
        <v>24.700199999999999</v>
      </c>
      <c r="N568">
        <f>+_xlfn.XLOOKUP(A568,'COSTO Y PRECIO'!$A:$A,'COSTO Y PRECIO'!C:C)</f>
        <v>35</v>
      </c>
    </row>
    <row r="569" spans="1:14" x14ac:dyDescent="0.35">
      <c r="A569">
        <v>100009365</v>
      </c>
      <c r="B569" s="6">
        <v>7503023648028</v>
      </c>
      <c r="C569" t="s">
        <v>632</v>
      </c>
      <c r="D569" t="s">
        <v>87</v>
      </c>
      <c r="E569" t="s">
        <v>33</v>
      </c>
      <c r="F569" t="s">
        <v>87</v>
      </c>
      <c r="G569" t="s">
        <v>33</v>
      </c>
      <c r="H569" t="s">
        <v>87</v>
      </c>
      <c r="I569" s="1" t="s">
        <v>247</v>
      </c>
      <c r="J569" t="str">
        <f>+_xlfn.XLOOKUP(B569,INNOVACIÓN!A:A,INNOVACIÓN!B:B,"NO")</f>
        <v>NO</v>
      </c>
      <c r="M569">
        <f>+_xlfn.XLOOKUP(A569,'COSTO Y PRECIO'!$A:$A,'COSTO Y PRECIO'!B:B)</f>
        <v>38.819000000000003</v>
      </c>
      <c r="N569">
        <f>+_xlfn.XLOOKUP(A569,'COSTO Y PRECIO'!$A:$A,'COSTO Y PRECIO'!C:C)</f>
        <v>55</v>
      </c>
    </row>
    <row r="570" spans="1:14" x14ac:dyDescent="0.35">
      <c r="A570">
        <v>100080406</v>
      </c>
      <c r="B570" s="6">
        <v>7501609500968</v>
      </c>
      <c r="C570" t="s">
        <v>633</v>
      </c>
      <c r="D570" t="s">
        <v>87</v>
      </c>
      <c r="E570" t="s">
        <v>33</v>
      </c>
      <c r="F570" t="s">
        <v>87</v>
      </c>
      <c r="G570" t="s">
        <v>33</v>
      </c>
      <c r="H570" t="s">
        <v>87</v>
      </c>
      <c r="I570" s="1" t="s">
        <v>247</v>
      </c>
      <c r="J570" t="str">
        <f>+_xlfn.XLOOKUP(B570,INNOVACIÓN!A:A,INNOVACIÓN!B:B,"NO")</f>
        <v>NO</v>
      </c>
      <c r="M570">
        <f>+_xlfn.XLOOKUP(A570,'COSTO Y PRECIO'!$A:$A,'COSTO Y PRECIO'!B:B)</f>
        <v>29.6</v>
      </c>
      <c r="N570">
        <f>+_xlfn.XLOOKUP(A570,'COSTO Y PRECIO'!$A:$A,'COSTO Y PRECIO'!C:C)</f>
        <v>40</v>
      </c>
    </row>
    <row r="571" spans="1:14" x14ac:dyDescent="0.35">
      <c r="A571">
        <v>100011025</v>
      </c>
      <c r="B571" s="6">
        <v>10000</v>
      </c>
      <c r="C571" t="s">
        <v>182</v>
      </c>
      <c r="D571" t="s">
        <v>11</v>
      </c>
      <c r="E571" t="s">
        <v>33</v>
      </c>
      <c r="F571" t="s">
        <v>46</v>
      </c>
      <c r="H571" t="s">
        <v>36</v>
      </c>
      <c r="I571" s="1" t="s">
        <v>247</v>
      </c>
      <c r="J571" t="str">
        <f>+_xlfn.XLOOKUP(B571,INNOVACIÓN!A:A,INNOVACIÓN!B:B,"NO")</f>
        <v>NO</v>
      </c>
      <c r="K571">
        <v>20</v>
      </c>
      <c r="M571">
        <f>+_xlfn.XLOOKUP(A571,'COSTO Y PRECIO'!$A:$A,'COSTO Y PRECIO'!B:B)</f>
        <v>0</v>
      </c>
      <c r="N571">
        <f>+_xlfn.XLOOKUP(A571,'COSTO Y PRECIO'!$A:$A,'COSTO Y PRECIO'!C:C)</f>
        <v>0</v>
      </c>
    </row>
    <row r="572" spans="1:14" x14ac:dyDescent="0.35">
      <c r="A572">
        <v>100013300</v>
      </c>
      <c r="B572" s="6">
        <v>75066901</v>
      </c>
      <c r="C572" t="s">
        <v>634</v>
      </c>
      <c r="D572" t="s">
        <v>44</v>
      </c>
      <c r="E572" t="s">
        <v>33</v>
      </c>
      <c r="F572" t="s">
        <v>608</v>
      </c>
      <c r="H572" t="s">
        <v>36</v>
      </c>
      <c r="I572" s="1" t="s">
        <v>247</v>
      </c>
      <c r="J572" t="str">
        <f>+_xlfn.XLOOKUP(B572,INNOVACIÓN!A:A,INNOVACIÓN!B:B,"NO")</f>
        <v>NO</v>
      </c>
      <c r="K572">
        <v>20</v>
      </c>
      <c r="M572">
        <f>+_xlfn.XLOOKUP(A572,'COSTO Y PRECIO'!$A:$A,'COSTO Y PRECIO'!B:B)</f>
        <v>50.43</v>
      </c>
      <c r="N572">
        <f>+_xlfn.XLOOKUP(A572,'COSTO Y PRECIO'!$A:$A,'COSTO Y PRECIO'!C:C)</f>
        <v>78</v>
      </c>
    </row>
    <row r="573" spans="1:14" x14ac:dyDescent="0.35">
      <c r="A573">
        <v>100016260</v>
      </c>
      <c r="B573" s="6">
        <v>25900000288</v>
      </c>
      <c r="C573" t="s">
        <v>635</v>
      </c>
      <c r="D573" t="s">
        <v>87</v>
      </c>
      <c r="E573" t="s">
        <v>33</v>
      </c>
      <c r="F573" t="s">
        <v>87</v>
      </c>
      <c r="G573" t="s">
        <v>33</v>
      </c>
      <c r="H573" t="s">
        <v>87</v>
      </c>
      <c r="I573" s="1" t="s">
        <v>247</v>
      </c>
      <c r="J573" t="str">
        <f>+_xlfn.XLOOKUP(B573,INNOVACIÓN!A:A,INNOVACIÓN!B:B,"NO")</f>
        <v>NO</v>
      </c>
      <c r="M573">
        <f>+_xlfn.XLOOKUP(A573,'COSTO Y PRECIO'!$A:$A,'COSTO Y PRECIO'!B:B)</f>
        <v>52.91</v>
      </c>
      <c r="N573">
        <f>+_xlfn.XLOOKUP(A573,'COSTO Y PRECIO'!$A:$A,'COSTO Y PRECIO'!C:C)</f>
        <v>98</v>
      </c>
    </row>
    <row r="574" spans="1:14" x14ac:dyDescent="0.35">
      <c r="A574">
        <v>100017183</v>
      </c>
      <c r="B574" s="6">
        <v>42230748</v>
      </c>
      <c r="C574" t="s">
        <v>586</v>
      </c>
      <c r="D574" t="s">
        <v>87</v>
      </c>
      <c r="E574" t="s">
        <v>33</v>
      </c>
      <c r="F574" t="s">
        <v>87</v>
      </c>
      <c r="G574" t="s">
        <v>33</v>
      </c>
      <c r="H574" t="s">
        <v>87</v>
      </c>
      <c r="I574" s="1" t="s">
        <v>16</v>
      </c>
      <c r="J574" t="str">
        <f>+_xlfn.XLOOKUP(B574,INNOVACIÓN!A:A,INNOVACIÓN!B:B,"NO")</f>
        <v>NO</v>
      </c>
      <c r="M574">
        <f>+_xlfn.XLOOKUP(A574,'COSTO Y PRECIO'!$A:$A,'COSTO Y PRECIO'!B:B)</f>
        <v>32</v>
      </c>
      <c r="N574" t="e">
        <f>+_xlfn.XLOOKUP(A574,'COSTO Y PRECIO'!$A:$A,'COSTO Y PRECIO'!C:C)</f>
        <v>#N/A</v>
      </c>
    </row>
    <row r="575" spans="1:14" x14ac:dyDescent="0.35">
      <c r="A575">
        <v>100016041</v>
      </c>
      <c r="B575" s="6">
        <v>25900213053</v>
      </c>
      <c r="C575" t="s">
        <v>584</v>
      </c>
      <c r="D575" t="s">
        <v>87</v>
      </c>
      <c r="E575" t="s">
        <v>33</v>
      </c>
      <c r="F575" t="s">
        <v>87</v>
      </c>
      <c r="G575" t="s">
        <v>33</v>
      </c>
      <c r="H575" t="s">
        <v>87</v>
      </c>
      <c r="I575" s="1" t="s">
        <v>247</v>
      </c>
      <c r="J575" t="str">
        <f>+_xlfn.XLOOKUP(B575,INNOVACIÓN!A:A,INNOVACIÓN!B:B,"NO")</f>
        <v>NO</v>
      </c>
      <c r="M575">
        <f>+_xlfn.XLOOKUP(A575,'COSTO Y PRECIO'!$A:$A,'COSTO Y PRECIO'!B:B)</f>
        <v>0</v>
      </c>
      <c r="N575">
        <f>+_xlfn.XLOOKUP(A575,'COSTO Y PRECIO'!$A:$A,'COSTO Y PRECIO'!C:C)</f>
        <v>0</v>
      </c>
    </row>
    <row r="576" spans="1:14" x14ac:dyDescent="0.35">
      <c r="A576">
        <v>100080949</v>
      </c>
      <c r="B576" s="6">
        <v>7503006684265</v>
      </c>
      <c r="C576" t="s">
        <v>636</v>
      </c>
      <c r="D576" t="s">
        <v>87</v>
      </c>
      <c r="E576" t="s">
        <v>33</v>
      </c>
      <c r="F576" t="s">
        <v>87</v>
      </c>
      <c r="G576" t="s">
        <v>33</v>
      </c>
      <c r="H576" t="s">
        <v>87</v>
      </c>
      <c r="I576" s="1" t="s">
        <v>247</v>
      </c>
      <c r="J576" t="str">
        <f>+_xlfn.XLOOKUP(B576,INNOVACIÓN!A:A,INNOVACIÓN!B:B,"NO")</f>
        <v>NO</v>
      </c>
      <c r="M576">
        <f>+_xlfn.XLOOKUP(A576,'COSTO Y PRECIO'!$A:$A,'COSTO Y PRECIO'!B:B)</f>
        <v>66</v>
      </c>
      <c r="N576">
        <f>+_xlfn.XLOOKUP(A576,'COSTO Y PRECIO'!$A:$A,'COSTO Y PRECIO'!C:C)</f>
        <v>100</v>
      </c>
    </row>
    <row r="577" spans="1:14" x14ac:dyDescent="0.35">
      <c r="A577">
        <v>100015384</v>
      </c>
      <c r="B577" s="6">
        <v>85000100</v>
      </c>
      <c r="C577" t="s">
        <v>637</v>
      </c>
      <c r="D577" t="s">
        <v>87</v>
      </c>
      <c r="E577" t="s">
        <v>33</v>
      </c>
      <c r="F577" t="s">
        <v>87</v>
      </c>
      <c r="G577" t="s">
        <v>33</v>
      </c>
      <c r="H577" t="s">
        <v>87</v>
      </c>
      <c r="I577" s="1" t="s">
        <v>247</v>
      </c>
      <c r="J577" t="str">
        <f>+_xlfn.XLOOKUP(B577,INNOVACIÓN!A:A,INNOVACIÓN!B:B,"NO")</f>
        <v>NO</v>
      </c>
      <c r="M577">
        <f>+_xlfn.XLOOKUP(A577,'COSTO Y PRECIO'!$A:$A,'COSTO Y PRECIO'!B:B)</f>
        <v>52</v>
      </c>
      <c r="N577">
        <f>+_xlfn.XLOOKUP(A577,'COSTO Y PRECIO'!$A:$A,'COSTO Y PRECIO'!C:C)</f>
        <v>90</v>
      </c>
    </row>
    <row r="578" spans="1:14" x14ac:dyDescent="0.35">
      <c r="A578">
        <v>100024717</v>
      </c>
      <c r="B578" s="6">
        <v>7707200947854</v>
      </c>
      <c r="C578" t="s">
        <v>638</v>
      </c>
      <c r="D578" t="s">
        <v>44</v>
      </c>
      <c r="E578" t="s">
        <v>33</v>
      </c>
      <c r="F578" t="s">
        <v>252</v>
      </c>
      <c r="H578" t="s">
        <v>252</v>
      </c>
      <c r="I578" s="1" t="s">
        <v>247</v>
      </c>
      <c r="J578" t="str">
        <f>+_xlfn.XLOOKUP(B578,INNOVACIÓN!A:A,INNOVACIÓN!B:B,"NO")</f>
        <v>NO</v>
      </c>
      <c r="M578">
        <f>+_xlfn.XLOOKUP(A578,'COSTO Y PRECIO'!$A:$A,'COSTO Y PRECIO'!B:B)</f>
        <v>246.62</v>
      </c>
      <c r="N578">
        <f>+_xlfn.XLOOKUP(A578,'COSTO Y PRECIO'!$A:$A,'COSTO Y PRECIO'!C:C)</f>
        <v>150</v>
      </c>
    </row>
    <row r="579" spans="1:14" x14ac:dyDescent="0.35">
      <c r="A579">
        <v>100024723</v>
      </c>
      <c r="B579" s="6">
        <v>7707200947311</v>
      </c>
      <c r="C579" t="s">
        <v>639</v>
      </c>
      <c r="D579" t="s">
        <v>44</v>
      </c>
      <c r="E579" t="s">
        <v>33</v>
      </c>
      <c r="F579" t="s">
        <v>252</v>
      </c>
      <c r="H579" t="s">
        <v>252</v>
      </c>
      <c r="I579" s="1" t="s">
        <v>247</v>
      </c>
      <c r="J579" t="str">
        <f>+_xlfn.XLOOKUP(B579,INNOVACIÓN!A:A,INNOVACIÓN!B:B,"NO")</f>
        <v>NO</v>
      </c>
      <c r="M579">
        <f>+_xlfn.XLOOKUP(A579,'COSTO Y PRECIO'!$A:$A,'COSTO Y PRECIO'!B:B)</f>
        <v>246.62</v>
      </c>
      <c r="N579">
        <f>+_xlfn.XLOOKUP(A579,'COSTO Y PRECIO'!$A:$A,'COSTO Y PRECIO'!C:C)</f>
        <v>320</v>
      </c>
    </row>
    <row r="580" spans="1:14" x14ac:dyDescent="0.35">
      <c r="A580">
        <v>100024893</v>
      </c>
      <c r="B580" s="6">
        <v>7707200943825</v>
      </c>
      <c r="C580" t="s">
        <v>640</v>
      </c>
      <c r="D580" t="s">
        <v>44</v>
      </c>
      <c r="E580" t="s">
        <v>33</v>
      </c>
      <c r="F580" t="s">
        <v>252</v>
      </c>
      <c r="H580" t="s">
        <v>252</v>
      </c>
      <c r="I580" s="1" t="s">
        <v>247</v>
      </c>
      <c r="J580" t="str">
        <f>+_xlfn.XLOOKUP(B580,INNOVACIÓN!A:A,INNOVACIÓN!B:B,"NO")</f>
        <v>NO</v>
      </c>
      <c r="M580">
        <f>+_xlfn.XLOOKUP(A580,'COSTO Y PRECIO'!$A:$A,'COSTO Y PRECIO'!B:B)</f>
        <v>246.62</v>
      </c>
      <c r="N580">
        <f>+_xlfn.XLOOKUP(A580,'COSTO Y PRECIO'!$A:$A,'COSTO Y PRECIO'!C:C)</f>
        <v>150</v>
      </c>
    </row>
    <row r="581" spans="1:14" x14ac:dyDescent="0.35">
      <c r="A581">
        <v>100027108</v>
      </c>
      <c r="B581" s="6">
        <v>7502274777471</v>
      </c>
      <c r="C581" t="s">
        <v>641</v>
      </c>
      <c r="D581" t="s">
        <v>642</v>
      </c>
      <c r="E581" t="s">
        <v>643</v>
      </c>
      <c r="F581" t="s">
        <v>13</v>
      </c>
      <c r="H581" s="1" t="s">
        <v>15</v>
      </c>
      <c r="I581" s="1" t="s">
        <v>16</v>
      </c>
      <c r="J581" t="str">
        <f>+_xlfn.XLOOKUP(B581,INNOVACIÓN!A:A,INNOVACIÓN!B:B,"NO")</f>
        <v>SI</v>
      </c>
      <c r="K581">
        <v>10</v>
      </c>
      <c r="L581" t="s">
        <v>674</v>
      </c>
      <c r="M581">
        <f>+_xlfn.XLOOKUP(A581,'COSTO Y PRECIO'!$A:$A,'COSTO Y PRECIO'!B:B)</f>
        <v>28.01</v>
      </c>
      <c r="N581">
        <f>+_xlfn.XLOOKUP(A581,'COSTO Y PRECIO'!$A:$A,'COSTO Y PRECIO'!C:C)</f>
        <v>50</v>
      </c>
    </row>
    <row r="582" spans="1:14" x14ac:dyDescent="0.35">
      <c r="A582">
        <v>100027109</v>
      </c>
      <c r="B582" s="6">
        <v>7502274777501</v>
      </c>
      <c r="C582" t="s">
        <v>644</v>
      </c>
      <c r="D582" t="s">
        <v>642</v>
      </c>
      <c r="E582" t="s">
        <v>643</v>
      </c>
      <c r="F582" t="s">
        <v>13</v>
      </c>
      <c r="H582" s="1" t="s">
        <v>15</v>
      </c>
      <c r="I582" s="1" t="s">
        <v>16</v>
      </c>
      <c r="J582" t="str">
        <f>+_xlfn.XLOOKUP(B582,INNOVACIÓN!A:A,INNOVACIÓN!B:B,"NO")</f>
        <v>SI</v>
      </c>
      <c r="K582">
        <v>10</v>
      </c>
      <c r="L582" t="s">
        <v>675</v>
      </c>
      <c r="M582">
        <f>+_xlfn.XLOOKUP(A582,'COSTO Y PRECIO'!$A:$A,'COSTO Y PRECIO'!B:B)</f>
        <v>28.01</v>
      </c>
      <c r="N582">
        <f>+_xlfn.XLOOKUP(A582,'COSTO Y PRECIO'!$A:$A,'COSTO Y PRECIO'!C:C)</f>
        <v>50</v>
      </c>
    </row>
    <row r="583" spans="1:14" x14ac:dyDescent="0.35">
      <c r="A583">
        <v>100027110</v>
      </c>
      <c r="B583" s="6">
        <v>7502274777488</v>
      </c>
      <c r="C583" t="s">
        <v>645</v>
      </c>
      <c r="D583" t="s">
        <v>642</v>
      </c>
      <c r="E583" t="s">
        <v>643</v>
      </c>
      <c r="F583" t="s">
        <v>13</v>
      </c>
      <c r="H583" s="1" t="s">
        <v>15</v>
      </c>
      <c r="I583" s="1" t="s">
        <v>16</v>
      </c>
      <c r="J583" t="str">
        <f>+_xlfn.XLOOKUP(B583,INNOVACIÓN!A:A,INNOVACIÓN!B:B,"NO")</f>
        <v>SI</v>
      </c>
      <c r="K583">
        <v>10</v>
      </c>
      <c r="L583" t="s">
        <v>674</v>
      </c>
      <c r="M583">
        <f>+_xlfn.XLOOKUP(A583,'COSTO Y PRECIO'!$A:$A,'COSTO Y PRECIO'!B:B)</f>
        <v>28.01</v>
      </c>
      <c r="N583">
        <f>+_xlfn.XLOOKUP(A583,'COSTO Y PRECIO'!$A:$A,'COSTO Y PRECIO'!C:C)</f>
        <v>50</v>
      </c>
    </row>
    <row r="584" spans="1:14" x14ac:dyDescent="0.35">
      <c r="A584">
        <v>100027111</v>
      </c>
      <c r="B584" s="6">
        <v>7502274777464</v>
      </c>
      <c r="C584" t="s">
        <v>646</v>
      </c>
      <c r="D584" t="s">
        <v>642</v>
      </c>
      <c r="E584" t="s">
        <v>643</v>
      </c>
      <c r="F584" t="s">
        <v>13</v>
      </c>
      <c r="H584" s="1" t="s">
        <v>15</v>
      </c>
      <c r="I584" s="1" t="s">
        <v>16</v>
      </c>
      <c r="J584" t="str">
        <f>+_xlfn.XLOOKUP(B584,INNOVACIÓN!A:A,INNOVACIÓN!B:B,"NO")</f>
        <v>SI</v>
      </c>
      <c r="K584">
        <v>10</v>
      </c>
      <c r="L584" t="s">
        <v>674</v>
      </c>
      <c r="M584">
        <f>+_xlfn.XLOOKUP(A584,'COSTO Y PRECIO'!$A:$A,'COSTO Y PRECIO'!B:B)</f>
        <v>28.01</v>
      </c>
      <c r="N584">
        <f>+_xlfn.XLOOKUP(A584,'COSTO Y PRECIO'!$A:$A,'COSTO Y PRECIO'!C:C)</f>
        <v>50</v>
      </c>
    </row>
    <row r="585" spans="1:14" x14ac:dyDescent="0.35">
      <c r="A585" s="6">
        <v>100027324</v>
      </c>
      <c r="B585" s="6">
        <v>75086145</v>
      </c>
      <c r="C585" t="s">
        <v>660</v>
      </c>
      <c r="D585" s="2" t="s">
        <v>44</v>
      </c>
      <c r="E585" s="14" t="s">
        <v>67</v>
      </c>
      <c r="F585" s="2" t="s">
        <v>608</v>
      </c>
      <c r="G585" s="2" t="s">
        <v>71</v>
      </c>
      <c r="H585" s="1" t="s">
        <v>36</v>
      </c>
      <c r="I585" s="1" t="s">
        <v>16</v>
      </c>
      <c r="J585" t="str">
        <f>+_xlfn.XLOOKUP(B585,INNOVACIÓN!A:A,INNOVACIÓN!B:B,"NO")</f>
        <v>SI</v>
      </c>
      <c r="K585">
        <v>14</v>
      </c>
      <c r="M585">
        <f>+_xlfn.XLOOKUP(A585,'COSTO Y PRECIO'!$A:$A,'COSTO Y PRECIO'!B:B)</f>
        <v>36.31</v>
      </c>
      <c r="N585">
        <f>+_xlfn.XLOOKUP(A585,'COSTO Y PRECIO'!$A:$A,'COSTO Y PRECIO'!C:C)</f>
        <v>54</v>
      </c>
    </row>
    <row r="586" spans="1:14" x14ac:dyDescent="0.35">
      <c r="A586">
        <v>100027323</v>
      </c>
      <c r="B586" s="6">
        <v>75086176</v>
      </c>
      <c r="C586" t="s">
        <v>668</v>
      </c>
      <c r="D586" s="2" t="s">
        <v>44</v>
      </c>
      <c r="E586" s="14" t="s">
        <v>67</v>
      </c>
      <c r="F586" s="2" t="s">
        <v>608</v>
      </c>
      <c r="G586" s="2" t="s">
        <v>71</v>
      </c>
      <c r="H586" s="1" t="s">
        <v>36</v>
      </c>
      <c r="I586" s="1" t="s">
        <v>16</v>
      </c>
      <c r="J586" t="str">
        <f>+_xlfn.XLOOKUP(B586,INNOVACIÓN!A:A,INNOVACIÓN!B:B,"NO")</f>
        <v>SI</v>
      </c>
      <c r="K586">
        <v>14</v>
      </c>
      <c r="M586">
        <f>+_xlfn.XLOOKUP(A586,'COSTO Y PRECIO'!$A:$A,'COSTO Y PRECIO'!B:B)</f>
        <v>36.31</v>
      </c>
      <c r="N586">
        <f>+_xlfn.XLOOKUP(A586,'COSTO Y PRECIO'!$A:$A,'COSTO Y PRECIO'!C:C)</f>
        <v>54</v>
      </c>
    </row>
    <row r="587" spans="1:14" x14ac:dyDescent="0.35">
      <c r="A587" s="6">
        <v>100027464</v>
      </c>
      <c r="B587" s="6">
        <v>7503039738904</v>
      </c>
      <c r="C587" s="6" t="s">
        <v>670</v>
      </c>
      <c r="D587" t="s">
        <v>44</v>
      </c>
      <c r="E587" t="s">
        <v>146</v>
      </c>
      <c r="F587" t="s">
        <v>13</v>
      </c>
      <c r="H587" s="1" t="s">
        <v>15</v>
      </c>
      <c r="I587" s="1" t="s">
        <v>16</v>
      </c>
      <c r="J587" t="str">
        <f>+_xlfn.XLOOKUP(B587,INNOVACIÓN!A:A,INNOVACIÓN!B:B,"NO")</f>
        <v>SI</v>
      </c>
      <c r="K587">
        <v>15</v>
      </c>
      <c r="L587" t="s">
        <v>677</v>
      </c>
      <c r="M587">
        <f>+_xlfn.XLOOKUP(A587,'COSTO Y PRECIO'!$A:$A,'COSTO Y PRECIO'!B:B)</f>
        <v>65.510000000000005</v>
      </c>
      <c r="N587">
        <f>+_xlfn.XLOOKUP(A587,'COSTO Y PRECIO'!$A:$A,'COSTO Y PRECIO'!C:C)</f>
        <v>85</v>
      </c>
    </row>
    <row r="588" spans="1:14" x14ac:dyDescent="0.35">
      <c r="A588" s="6">
        <v>100027462</v>
      </c>
      <c r="B588" s="6">
        <v>7503039738911</v>
      </c>
      <c r="C588" s="6" t="s">
        <v>671</v>
      </c>
      <c r="D588" t="s">
        <v>44</v>
      </c>
      <c r="E588" t="s">
        <v>146</v>
      </c>
      <c r="F588" t="s">
        <v>13</v>
      </c>
      <c r="H588" s="1" t="s">
        <v>15</v>
      </c>
      <c r="I588" s="1" t="s">
        <v>16</v>
      </c>
      <c r="J588" t="str">
        <f>+_xlfn.XLOOKUP(B588,INNOVACIÓN!A:A,INNOVACIÓN!B:B,"NO")</f>
        <v>SI</v>
      </c>
      <c r="K588">
        <v>15</v>
      </c>
      <c r="L588" t="s">
        <v>677</v>
      </c>
      <c r="M588">
        <f>+_xlfn.XLOOKUP(A588,'COSTO Y PRECIO'!$A:$A,'COSTO Y PRECIO'!B:B)</f>
        <v>65.510000000000005</v>
      </c>
      <c r="N588">
        <f>+_xlfn.XLOOKUP(A588,'COSTO Y PRECIO'!$A:$A,'COSTO Y PRECIO'!C:C)</f>
        <v>85</v>
      </c>
    </row>
    <row r="589" spans="1:14" x14ac:dyDescent="0.35">
      <c r="A589" s="6">
        <v>100009965</v>
      </c>
      <c r="B589" s="6">
        <v>9872</v>
      </c>
      <c r="C589" t="s">
        <v>700</v>
      </c>
      <c r="D589" t="s">
        <v>44</v>
      </c>
      <c r="E589" s="1" t="s">
        <v>33</v>
      </c>
      <c r="F589" t="s">
        <v>36</v>
      </c>
      <c r="H589" s="1" t="s">
        <v>36</v>
      </c>
      <c r="I589" s="1" t="s">
        <v>247</v>
      </c>
      <c r="J589" t="str">
        <f>+_xlfn.XLOOKUP(B589,INNOVACIÓN!A:A,INNOVACIÓN!B:B,"NO")</f>
        <v>NO</v>
      </c>
      <c r="M589" t="e">
        <f>+_xlfn.XLOOKUP(A589,'COSTO Y PRECIO'!$A:$A,'COSTO Y PRECIO'!B:B)</f>
        <v>#N/A</v>
      </c>
      <c r="N589" t="e">
        <f>+_xlfn.XLOOKUP(A589,'COSTO Y PRECIO'!$A:$A,'COSTO Y PRECIO'!C:C)</f>
        <v>#N/A</v>
      </c>
    </row>
    <row r="590" spans="1:14" x14ac:dyDescent="0.35">
      <c r="A590" s="6">
        <v>100027603</v>
      </c>
      <c r="B590" s="6">
        <v>7503039738966</v>
      </c>
      <c r="C590" t="s">
        <v>680</v>
      </c>
      <c r="D590" t="s">
        <v>44</v>
      </c>
      <c r="E590" t="s">
        <v>146</v>
      </c>
      <c r="F590" t="s">
        <v>13</v>
      </c>
      <c r="H590" s="1" t="s">
        <v>15</v>
      </c>
      <c r="I590" s="1" t="s">
        <v>16</v>
      </c>
      <c r="J590" s="1" t="s">
        <v>588</v>
      </c>
      <c r="M590">
        <f>+_xlfn.XLOOKUP(A590,'COSTO Y PRECIO'!$A:$A,'COSTO Y PRECIO'!B:B)</f>
        <v>65.510000000000005</v>
      </c>
      <c r="N590">
        <f>+_xlfn.XLOOKUP(A590,'COSTO Y PRECIO'!$A:$A,'COSTO Y PRECIO'!C:C)</f>
        <v>85</v>
      </c>
    </row>
  </sheetData>
  <conditionalFormatting sqref="A2:A584">
    <cfRule type="duplicateValues" dxfId="19" priority="261"/>
  </conditionalFormatting>
  <conditionalFormatting sqref="A2:A590">
    <cfRule type="duplicateValues" dxfId="18" priority="40"/>
    <cfRule type="duplicateValues" dxfId="17" priority="41"/>
  </conditionalFormatting>
  <conditionalFormatting sqref="I2:I590">
    <cfRule type="containsText" dxfId="16" priority="1" operator="containsText" text="Descontinuado (Con Stock)">
      <formula>NOT(ISERROR(SEARCH("Descontinuado (Con Stock)",I2)))</formula>
    </cfRule>
    <cfRule type="containsText" dxfId="15" priority="2" operator="containsText" text="Inactivo">
      <formula>NOT(ISERROR(SEARCH("Inactivo",I2)))</formula>
    </cfRule>
    <cfRule type="containsText" dxfId="14" priority="3" operator="containsText" text="Activo">
      <formula>NOT(ISERROR(SEARCH("Activo",I2)))</formula>
    </cfRule>
  </conditionalFormatting>
  <conditionalFormatting sqref="J590">
    <cfRule type="containsText" dxfId="13" priority="42" operator="containsText" text="Descontinuado (Con Stock)">
      <formula>NOT(ISERROR(SEARCH("Descontinuado (Con Stock)",J590)))</formula>
    </cfRule>
    <cfRule type="containsText" dxfId="12" priority="43" operator="containsText" text="Inactivo">
      <formula>NOT(ISERROR(SEARCH("Inactivo",J590)))</formula>
    </cfRule>
    <cfRule type="containsText" dxfId="11" priority="44" operator="containsText" text="Activo">
      <formula>NOT(ISERROR(SEARCH("Activo",J590)))</formula>
    </cfRule>
  </conditionalFormatting>
  <dataValidations count="1">
    <dataValidation type="list" allowBlank="1" showInputMessage="1" showErrorMessage="1" sqref="I589 I2:I586" xr:uid="{7825FBB4-532C-45B5-9583-AE19718B0900}">
      <formula1>#REF!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08C93-C1DD-4FA5-BE70-7E10525ABA66}">
  <dimension ref="A1:C589"/>
  <sheetViews>
    <sheetView workbookViewId="0">
      <selection activeCell="B3" sqref="B3"/>
    </sheetView>
  </sheetViews>
  <sheetFormatPr baseColWidth="10" defaultRowHeight="14.5" x14ac:dyDescent="0.35"/>
  <cols>
    <col min="1" max="1" width="13.36328125" style="28" bestFit="1" customWidth="1"/>
    <col min="2" max="2" width="10.6328125" style="28" bestFit="1" customWidth="1"/>
    <col min="3" max="3" width="11.81640625" style="28" bestFit="1" customWidth="1"/>
  </cols>
  <sheetData>
    <row r="1" spans="1:3" x14ac:dyDescent="0.35">
      <c r="A1" s="28" t="s">
        <v>0</v>
      </c>
      <c r="B1" s="28" t="s">
        <v>701</v>
      </c>
      <c r="C1" s="28" t="s">
        <v>702</v>
      </c>
    </row>
    <row r="2" spans="1:3" x14ac:dyDescent="0.35">
      <c r="A2" s="28">
        <v>100024998</v>
      </c>
      <c r="B2" s="28">
        <v>47.150000000000006</v>
      </c>
      <c r="C2" s="28">
        <v>85</v>
      </c>
    </row>
    <row r="3" spans="1:3" x14ac:dyDescent="0.35">
      <c r="A3" s="28">
        <v>100024997</v>
      </c>
      <c r="B3" s="28">
        <v>47.150000000000006</v>
      </c>
      <c r="C3" s="28">
        <v>85</v>
      </c>
    </row>
    <row r="4" spans="1:3" x14ac:dyDescent="0.35">
      <c r="A4" s="28">
        <v>100025304</v>
      </c>
      <c r="B4" s="28">
        <v>47.150000000000006</v>
      </c>
      <c r="C4" s="28">
        <v>85</v>
      </c>
    </row>
    <row r="5" spans="1:3" x14ac:dyDescent="0.35">
      <c r="A5" s="28">
        <v>100026067</v>
      </c>
      <c r="B5" s="28">
        <v>47.150000000000006</v>
      </c>
      <c r="C5" s="28">
        <v>85</v>
      </c>
    </row>
    <row r="6" spans="1:3" x14ac:dyDescent="0.35">
      <c r="A6" s="28">
        <v>100026065</v>
      </c>
      <c r="B6" s="28">
        <v>47.150000000000006</v>
      </c>
      <c r="C6" s="28">
        <v>85</v>
      </c>
    </row>
    <row r="7" spans="1:3" x14ac:dyDescent="0.35">
      <c r="A7" s="28">
        <v>100024400</v>
      </c>
      <c r="B7" s="28">
        <v>47.150000000000006</v>
      </c>
      <c r="C7" s="28">
        <v>85</v>
      </c>
    </row>
    <row r="8" spans="1:3" x14ac:dyDescent="0.35">
      <c r="A8" s="28">
        <v>100024295</v>
      </c>
      <c r="B8" s="28">
        <v>47.150000000000006</v>
      </c>
      <c r="C8" s="28">
        <v>85</v>
      </c>
    </row>
    <row r="9" spans="1:3" x14ac:dyDescent="0.35">
      <c r="A9" s="28">
        <v>100024399</v>
      </c>
      <c r="B9" s="28">
        <v>47.150000000000006</v>
      </c>
      <c r="C9" s="28">
        <v>85</v>
      </c>
    </row>
    <row r="10" spans="1:3" x14ac:dyDescent="0.35">
      <c r="A10" s="28">
        <v>100024294</v>
      </c>
      <c r="B10" s="28">
        <v>47.150000000000006</v>
      </c>
      <c r="C10" s="28">
        <v>85</v>
      </c>
    </row>
    <row r="11" spans="1:3" x14ac:dyDescent="0.35">
      <c r="A11" s="28">
        <v>100026064</v>
      </c>
      <c r="B11" s="28">
        <v>47.150000000000006</v>
      </c>
      <c r="C11" s="28">
        <v>85</v>
      </c>
    </row>
    <row r="12" spans="1:3" x14ac:dyDescent="0.35">
      <c r="A12" s="28">
        <v>100024398</v>
      </c>
      <c r="B12" s="28">
        <v>47.150000000000006</v>
      </c>
      <c r="C12" s="28">
        <v>85</v>
      </c>
    </row>
    <row r="13" spans="1:3" x14ac:dyDescent="0.35">
      <c r="A13" s="28">
        <v>100024293</v>
      </c>
      <c r="B13" s="28">
        <v>47.150000000000006</v>
      </c>
      <c r="C13" s="28">
        <v>85</v>
      </c>
    </row>
    <row r="14" spans="1:3" x14ac:dyDescent="0.35">
      <c r="A14" s="28">
        <v>100024397</v>
      </c>
      <c r="B14" s="28">
        <v>47.150000000000006</v>
      </c>
      <c r="C14" s="28">
        <v>85</v>
      </c>
    </row>
    <row r="15" spans="1:3" x14ac:dyDescent="0.35">
      <c r="A15" s="28">
        <v>100024289</v>
      </c>
      <c r="B15" s="28">
        <v>47.150000000000006</v>
      </c>
      <c r="C15" s="28">
        <v>85</v>
      </c>
    </row>
    <row r="16" spans="1:3" x14ac:dyDescent="0.35">
      <c r="A16" s="28">
        <v>100026062</v>
      </c>
      <c r="B16" s="28">
        <v>47.150000000000006</v>
      </c>
      <c r="C16" s="28">
        <v>85</v>
      </c>
    </row>
    <row r="17" spans="1:3" x14ac:dyDescent="0.35">
      <c r="A17" s="28">
        <v>100080917</v>
      </c>
      <c r="B17" s="28">
        <v>50</v>
      </c>
      <c r="C17" s="28" t="e">
        <v>#N/A</v>
      </c>
    </row>
    <row r="18" spans="1:3" x14ac:dyDescent="0.35">
      <c r="A18" s="28">
        <v>100080184</v>
      </c>
      <c r="B18" s="28">
        <v>50</v>
      </c>
      <c r="C18" s="28" t="e">
        <v>#N/A</v>
      </c>
    </row>
    <row r="19" spans="1:3" x14ac:dyDescent="0.35">
      <c r="A19" s="28">
        <v>100080865</v>
      </c>
      <c r="B19" s="28">
        <v>50</v>
      </c>
      <c r="C19" s="28" t="e">
        <v>#N/A</v>
      </c>
    </row>
    <row r="20" spans="1:3" x14ac:dyDescent="0.35">
      <c r="A20" s="28">
        <v>100080895</v>
      </c>
      <c r="B20" s="28">
        <v>48.195</v>
      </c>
      <c r="C20" s="28" t="e">
        <v>#N/A</v>
      </c>
    </row>
    <row r="21" spans="1:3" x14ac:dyDescent="0.35">
      <c r="A21" s="28">
        <v>100080695</v>
      </c>
      <c r="B21" s="28">
        <v>50</v>
      </c>
      <c r="C21" s="28" t="e">
        <v>#N/A</v>
      </c>
    </row>
    <row r="22" spans="1:3" x14ac:dyDescent="0.35">
      <c r="A22" s="28">
        <v>100025053</v>
      </c>
      <c r="B22" s="28">
        <v>57.54</v>
      </c>
      <c r="C22" s="28">
        <v>89</v>
      </c>
    </row>
    <row r="23" spans="1:3" x14ac:dyDescent="0.35">
      <c r="A23" s="28">
        <v>100024321</v>
      </c>
      <c r="B23" s="28">
        <v>64.010000000000005</v>
      </c>
      <c r="C23" s="28">
        <v>99</v>
      </c>
    </row>
    <row r="24" spans="1:3" x14ac:dyDescent="0.35">
      <c r="A24" s="28">
        <v>100024462</v>
      </c>
      <c r="B24" s="28">
        <v>61.659999999999975</v>
      </c>
      <c r="C24" s="28">
        <v>80</v>
      </c>
    </row>
    <row r="25" spans="1:3" x14ac:dyDescent="0.35">
      <c r="A25" s="28">
        <v>100012153</v>
      </c>
      <c r="B25" s="28">
        <v>68.53</v>
      </c>
      <c r="C25" s="28">
        <v>106</v>
      </c>
    </row>
    <row r="26" spans="1:3" x14ac:dyDescent="0.35">
      <c r="A26" s="28">
        <v>100080955</v>
      </c>
      <c r="B26" s="28">
        <v>59.48</v>
      </c>
      <c r="C26" s="28">
        <v>92</v>
      </c>
    </row>
    <row r="27" spans="1:3" x14ac:dyDescent="0.35">
      <c r="A27" s="28">
        <v>100080952</v>
      </c>
      <c r="B27" s="28">
        <v>64.010000000000005</v>
      </c>
      <c r="C27" s="28">
        <v>99</v>
      </c>
    </row>
    <row r="28" spans="1:3" x14ac:dyDescent="0.35">
      <c r="A28" s="28">
        <v>100004788</v>
      </c>
      <c r="B28" s="28">
        <v>68.53</v>
      </c>
      <c r="C28" s="28">
        <v>106</v>
      </c>
    </row>
    <row r="29" spans="1:3" x14ac:dyDescent="0.35">
      <c r="A29" s="28">
        <v>100019550</v>
      </c>
      <c r="B29" s="28">
        <v>63.36</v>
      </c>
      <c r="C29" s="28">
        <v>98</v>
      </c>
    </row>
    <row r="30" spans="1:3" x14ac:dyDescent="0.35">
      <c r="A30" s="28">
        <v>100026068</v>
      </c>
      <c r="B30" s="28">
        <v>56.25</v>
      </c>
      <c r="C30" s="28">
        <v>87</v>
      </c>
    </row>
    <row r="31" spans="1:3" x14ac:dyDescent="0.35">
      <c r="A31" s="28">
        <v>100011590</v>
      </c>
      <c r="B31" s="28">
        <v>50</v>
      </c>
      <c r="C31" s="28" t="e">
        <v>#N/A</v>
      </c>
    </row>
    <row r="32" spans="1:3" x14ac:dyDescent="0.35">
      <c r="A32" s="28">
        <v>100018746</v>
      </c>
      <c r="B32" s="28">
        <v>45.05</v>
      </c>
      <c r="C32" s="28">
        <v>67</v>
      </c>
    </row>
    <row r="33" spans="1:3" x14ac:dyDescent="0.35">
      <c r="A33" s="28">
        <v>100020970</v>
      </c>
      <c r="B33" s="28">
        <v>33.409999999999997</v>
      </c>
      <c r="C33" s="28">
        <v>51</v>
      </c>
    </row>
    <row r="34" spans="1:3" x14ac:dyDescent="0.35">
      <c r="A34" s="28">
        <v>100020969</v>
      </c>
      <c r="B34" s="28">
        <v>47.17</v>
      </c>
      <c r="C34" s="28">
        <v>72</v>
      </c>
    </row>
    <row r="35" spans="1:3" x14ac:dyDescent="0.35">
      <c r="A35" s="28">
        <v>100013891</v>
      </c>
      <c r="B35" s="28">
        <v>66.569999999999993</v>
      </c>
      <c r="C35" s="28">
        <v>99</v>
      </c>
    </row>
    <row r="36" spans="1:3" x14ac:dyDescent="0.35">
      <c r="A36" s="28">
        <v>100012997</v>
      </c>
      <c r="B36" s="28">
        <v>63.36</v>
      </c>
      <c r="C36" s="28">
        <v>98</v>
      </c>
    </row>
    <row r="37" spans="1:3" x14ac:dyDescent="0.35">
      <c r="A37" s="28">
        <v>100023317</v>
      </c>
      <c r="B37" s="28">
        <v>53.72</v>
      </c>
      <c r="C37" s="28">
        <v>82</v>
      </c>
    </row>
    <row r="38" spans="1:3" x14ac:dyDescent="0.35">
      <c r="A38" s="28">
        <v>100016489</v>
      </c>
      <c r="B38" s="28">
        <v>53.79</v>
      </c>
      <c r="C38" s="28" t="e">
        <v>#N/A</v>
      </c>
    </row>
    <row r="39" spans="1:3" x14ac:dyDescent="0.35">
      <c r="A39" s="28">
        <v>100013892</v>
      </c>
      <c r="B39" s="28">
        <v>66.569999999999993</v>
      </c>
      <c r="C39" s="28">
        <v>99</v>
      </c>
    </row>
    <row r="40" spans="1:3" x14ac:dyDescent="0.35">
      <c r="A40" s="28">
        <v>100026387</v>
      </c>
      <c r="B40" s="28">
        <v>51.1</v>
      </c>
      <c r="C40" s="28">
        <v>76</v>
      </c>
    </row>
    <row r="41" spans="1:3" x14ac:dyDescent="0.35">
      <c r="A41" s="28">
        <v>100016443</v>
      </c>
      <c r="B41" s="28">
        <v>65.900000000000006</v>
      </c>
      <c r="C41" s="28">
        <v>98</v>
      </c>
    </row>
    <row r="42" spans="1:3" x14ac:dyDescent="0.35">
      <c r="A42" s="28">
        <v>100025311</v>
      </c>
      <c r="B42" s="28">
        <v>60.120000000000005</v>
      </c>
      <c r="C42" s="28">
        <v>85</v>
      </c>
    </row>
    <row r="43" spans="1:3" x14ac:dyDescent="0.35">
      <c r="A43" s="28">
        <v>100024244</v>
      </c>
      <c r="B43" s="28">
        <v>60.120000000000005</v>
      </c>
      <c r="C43" s="28">
        <v>85</v>
      </c>
    </row>
    <row r="44" spans="1:3" x14ac:dyDescent="0.35">
      <c r="A44" s="28">
        <v>100023686</v>
      </c>
      <c r="B44" s="28">
        <v>60.120000000000005</v>
      </c>
      <c r="C44" s="28">
        <v>85</v>
      </c>
    </row>
    <row r="45" spans="1:3" x14ac:dyDescent="0.35">
      <c r="A45" s="28">
        <v>100023685</v>
      </c>
      <c r="B45" s="28">
        <v>60.120000000000005</v>
      </c>
      <c r="C45" s="28">
        <v>85</v>
      </c>
    </row>
    <row r="46" spans="1:3" x14ac:dyDescent="0.35">
      <c r="A46" s="28">
        <v>100024999</v>
      </c>
      <c r="B46" s="28">
        <v>60.120000000000005</v>
      </c>
      <c r="C46" s="28">
        <v>85</v>
      </c>
    </row>
    <row r="47" spans="1:3" x14ac:dyDescent="0.35">
      <c r="A47" s="28">
        <v>100025310</v>
      </c>
      <c r="B47" s="28">
        <v>60.120000000000005</v>
      </c>
      <c r="C47" s="28">
        <v>85</v>
      </c>
    </row>
    <row r="48" spans="1:3" x14ac:dyDescent="0.35">
      <c r="A48" s="28">
        <v>100023682</v>
      </c>
      <c r="B48" s="28">
        <v>60.120000000000005</v>
      </c>
      <c r="C48" s="28">
        <v>85</v>
      </c>
    </row>
    <row r="49" spans="1:3" x14ac:dyDescent="0.35">
      <c r="A49" s="28">
        <v>100023681</v>
      </c>
      <c r="B49" s="28">
        <v>60.120000000000005</v>
      </c>
      <c r="C49" s="28">
        <v>85</v>
      </c>
    </row>
    <row r="50" spans="1:3" x14ac:dyDescent="0.35">
      <c r="A50" s="28">
        <v>100024932</v>
      </c>
      <c r="B50" s="28">
        <v>60.120000000000005</v>
      </c>
      <c r="C50" s="28">
        <v>85</v>
      </c>
    </row>
    <row r="51" spans="1:3" x14ac:dyDescent="0.35">
      <c r="A51" s="28">
        <v>100024246</v>
      </c>
      <c r="B51" s="28">
        <v>60.120000000000005</v>
      </c>
      <c r="C51" s="28">
        <v>85</v>
      </c>
    </row>
    <row r="52" spans="1:3" x14ac:dyDescent="0.35">
      <c r="A52" s="28">
        <v>100023679</v>
      </c>
      <c r="B52" s="28">
        <v>60.120000000000005</v>
      </c>
      <c r="C52" s="28">
        <v>85</v>
      </c>
    </row>
    <row r="53" spans="1:3" x14ac:dyDescent="0.35">
      <c r="A53" s="28">
        <v>100080351</v>
      </c>
      <c r="B53" s="28">
        <v>54</v>
      </c>
      <c r="C53" s="28">
        <v>79.333333333333329</v>
      </c>
    </row>
    <row r="54" spans="1:3" x14ac:dyDescent="0.35">
      <c r="A54" s="28">
        <v>100080762</v>
      </c>
      <c r="B54" s="28">
        <v>29.319999999999997</v>
      </c>
      <c r="C54" s="28">
        <v>44</v>
      </c>
    </row>
    <row r="55" spans="1:3" x14ac:dyDescent="0.35">
      <c r="A55" s="28">
        <v>100017182</v>
      </c>
      <c r="B55" s="28">
        <v>32</v>
      </c>
      <c r="C55" s="28" t="e">
        <v>#N/A</v>
      </c>
    </row>
    <row r="56" spans="1:3" x14ac:dyDescent="0.35">
      <c r="A56" s="28">
        <v>100080938</v>
      </c>
      <c r="B56" s="28">
        <v>69</v>
      </c>
      <c r="C56" s="28" t="e">
        <v>#N/A</v>
      </c>
    </row>
    <row r="57" spans="1:3" x14ac:dyDescent="0.35">
      <c r="A57" s="28">
        <v>100024599</v>
      </c>
      <c r="B57" s="28">
        <v>46</v>
      </c>
      <c r="C57" s="28">
        <v>85</v>
      </c>
    </row>
    <row r="58" spans="1:3" x14ac:dyDescent="0.35">
      <c r="A58" s="28">
        <v>100080942</v>
      </c>
      <c r="B58" s="28">
        <v>69</v>
      </c>
      <c r="C58" s="28" t="e">
        <v>#N/A</v>
      </c>
    </row>
    <row r="59" spans="1:3" x14ac:dyDescent="0.35">
      <c r="A59" s="28">
        <v>100080943</v>
      </c>
      <c r="B59" s="28">
        <v>69</v>
      </c>
      <c r="C59" s="28" t="e">
        <v>#N/A</v>
      </c>
    </row>
    <row r="60" spans="1:3" x14ac:dyDescent="0.35">
      <c r="A60" s="28">
        <v>100080941</v>
      </c>
      <c r="B60" s="28">
        <v>69</v>
      </c>
      <c r="C60" s="28" t="e">
        <v>#N/A</v>
      </c>
    </row>
    <row r="61" spans="1:3" x14ac:dyDescent="0.35">
      <c r="A61" s="28">
        <v>100080939</v>
      </c>
      <c r="B61" s="28">
        <v>69</v>
      </c>
      <c r="C61" s="28">
        <v>120</v>
      </c>
    </row>
    <row r="62" spans="1:3" x14ac:dyDescent="0.35">
      <c r="A62" s="28">
        <v>100080940</v>
      </c>
      <c r="B62" s="28">
        <v>69</v>
      </c>
      <c r="C62" s="28" t="e">
        <v>#N/A</v>
      </c>
    </row>
    <row r="63" spans="1:3" x14ac:dyDescent="0.35">
      <c r="A63" s="28">
        <v>100016044</v>
      </c>
      <c r="B63" s="28">
        <v>69</v>
      </c>
      <c r="C63" s="28" t="e">
        <v>#N/A</v>
      </c>
    </row>
    <row r="64" spans="1:3" x14ac:dyDescent="0.35">
      <c r="A64" s="28">
        <v>100016043</v>
      </c>
      <c r="B64" s="28">
        <v>69</v>
      </c>
      <c r="C64" s="28" t="e">
        <v>#N/A</v>
      </c>
    </row>
    <row r="65" spans="1:3" x14ac:dyDescent="0.35">
      <c r="A65" s="28">
        <v>100016042</v>
      </c>
      <c r="B65" s="28">
        <v>69</v>
      </c>
      <c r="C65" s="28" t="e">
        <v>#N/A</v>
      </c>
    </row>
    <row r="66" spans="1:3" x14ac:dyDescent="0.35">
      <c r="A66" s="28">
        <v>100016045</v>
      </c>
      <c r="B66" s="28">
        <v>69</v>
      </c>
      <c r="C66" s="28" t="e">
        <v>#N/A</v>
      </c>
    </row>
    <row r="67" spans="1:3" x14ac:dyDescent="0.35">
      <c r="A67" s="28">
        <v>101000079</v>
      </c>
      <c r="B67" s="28">
        <v>65.900000000000006</v>
      </c>
      <c r="C67" s="28">
        <v>98</v>
      </c>
    </row>
    <row r="68" spans="1:3" x14ac:dyDescent="0.35">
      <c r="A68" s="28">
        <v>100017982</v>
      </c>
      <c r="B68" s="28">
        <v>50.45</v>
      </c>
      <c r="C68" s="28">
        <v>77</v>
      </c>
    </row>
    <row r="69" spans="1:3" x14ac:dyDescent="0.35">
      <c r="A69" s="28">
        <v>100023425</v>
      </c>
      <c r="B69" s="28">
        <v>57</v>
      </c>
      <c r="C69" s="28">
        <v>87</v>
      </c>
    </row>
    <row r="70" spans="1:3" x14ac:dyDescent="0.35">
      <c r="A70" s="28">
        <v>100020837</v>
      </c>
      <c r="B70" s="28">
        <v>35.380000000000003</v>
      </c>
      <c r="C70" s="28">
        <v>54</v>
      </c>
    </row>
    <row r="71" spans="1:3" x14ac:dyDescent="0.35">
      <c r="A71" s="28">
        <v>100021658</v>
      </c>
      <c r="B71" s="28">
        <v>35.380000000000003</v>
      </c>
      <c r="C71" s="28">
        <v>54</v>
      </c>
    </row>
    <row r="72" spans="1:3" x14ac:dyDescent="0.35">
      <c r="A72" s="28">
        <v>100080802</v>
      </c>
      <c r="B72" s="28">
        <v>66.569999999999993</v>
      </c>
      <c r="C72" s="28">
        <v>99</v>
      </c>
    </row>
    <row r="73" spans="1:3" x14ac:dyDescent="0.35">
      <c r="A73" s="28">
        <v>100020838</v>
      </c>
      <c r="B73" s="28">
        <v>65.900000000000006</v>
      </c>
      <c r="C73" s="28">
        <v>98</v>
      </c>
    </row>
    <row r="74" spans="1:3" x14ac:dyDescent="0.35">
      <c r="A74" s="28">
        <v>100025670</v>
      </c>
      <c r="B74" s="28">
        <v>33.409999999999997</v>
      </c>
      <c r="C74" s="28">
        <v>51</v>
      </c>
    </row>
    <row r="75" spans="1:3" x14ac:dyDescent="0.35">
      <c r="A75" s="28">
        <v>100025843</v>
      </c>
      <c r="B75" s="28">
        <v>53.79</v>
      </c>
      <c r="C75" s="28">
        <v>80</v>
      </c>
    </row>
    <row r="76" spans="1:3" x14ac:dyDescent="0.35">
      <c r="A76" s="28">
        <v>100021978</v>
      </c>
      <c r="B76" s="28">
        <v>50.45</v>
      </c>
      <c r="C76" s="28">
        <v>77</v>
      </c>
    </row>
    <row r="77" spans="1:3" x14ac:dyDescent="0.35">
      <c r="A77" s="28">
        <v>100024596</v>
      </c>
      <c r="B77" s="28">
        <v>65.900000000000006</v>
      </c>
      <c r="C77" s="28">
        <v>98</v>
      </c>
    </row>
    <row r="78" spans="1:3" x14ac:dyDescent="0.35">
      <c r="A78" s="28">
        <v>100026385</v>
      </c>
      <c r="B78" s="28">
        <v>51.1</v>
      </c>
      <c r="C78" s="28">
        <v>76</v>
      </c>
    </row>
    <row r="79" spans="1:3" x14ac:dyDescent="0.35">
      <c r="A79" s="28">
        <v>100026386</v>
      </c>
      <c r="B79" s="28">
        <v>51.1</v>
      </c>
      <c r="C79" s="28">
        <v>76</v>
      </c>
    </row>
    <row r="80" spans="1:3" x14ac:dyDescent="0.35">
      <c r="A80" s="28">
        <v>100022118</v>
      </c>
      <c r="B80" s="28">
        <v>65.900000000000006</v>
      </c>
      <c r="C80" s="28">
        <v>98</v>
      </c>
    </row>
    <row r="81" spans="1:3" x14ac:dyDescent="0.35">
      <c r="A81" s="28">
        <v>100022233</v>
      </c>
      <c r="B81" s="28">
        <v>65.900000000000006</v>
      </c>
      <c r="C81" s="28">
        <v>98</v>
      </c>
    </row>
    <row r="82" spans="1:3" x14ac:dyDescent="0.35">
      <c r="A82" s="28">
        <v>100014187</v>
      </c>
      <c r="B82" s="28">
        <v>65.900000000000006</v>
      </c>
      <c r="C82" s="28">
        <v>98</v>
      </c>
    </row>
    <row r="83" spans="1:3" x14ac:dyDescent="0.35">
      <c r="A83" s="28">
        <v>100026388</v>
      </c>
      <c r="B83" s="28">
        <v>51.1</v>
      </c>
      <c r="C83" s="28">
        <v>76</v>
      </c>
    </row>
    <row r="84" spans="1:3" x14ac:dyDescent="0.35">
      <c r="A84" s="28">
        <v>100025673</v>
      </c>
      <c r="B84" s="28">
        <v>47.17</v>
      </c>
      <c r="C84" s="28">
        <v>72</v>
      </c>
    </row>
    <row r="85" spans="1:3" x14ac:dyDescent="0.35">
      <c r="A85" s="28">
        <v>100025677</v>
      </c>
      <c r="B85" s="28">
        <v>53.72</v>
      </c>
      <c r="C85" s="28">
        <v>82</v>
      </c>
    </row>
    <row r="86" spans="1:3" x14ac:dyDescent="0.35">
      <c r="A86" s="28">
        <v>100025672</v>
      </c>
      <c r="B86" s="28">
        <v>33.409999999999997</v>
      </c>
      <c r="C86" s="28">
        <v>51</v>
      </c>
    </row>
    <row r="87" spans="1:3" x14ac:dyDescent="0.35">
      <c r="A87" s="28">
        <v>100025675</v>
      </c>
      <c r="B87" s="28">
        <v>47.17</v>
      </c>
      <c r="C87" s="28">
        <v>72</v>
      </c>
    </row>
    <row r="88" spans="1:3" x14ac:dyDescent="0.35">
      <c r="A88" s="28">
        <v>100025844</v>
      </c>
      <c r="B88" s="28">
        <v>53.79</v>
      </c>
      <c r="C88" s="28">
        <v>80</v>
      </c>
    </row>
    <row r="89" spans="1:3" x14ac:dyDescent="0.35">
      <c r="A89" s="28">
        <v>100025850</v>
      </c>
      <c r="B89" s="28">
        <v>65.900000000000006</v>
      </c>
      <c r="C89" s="28">
        <v>98</v>
      </c>
    </row>
    <row r="90" spans="1:3" x14ac:dyDescent="0.35">
      <c r="A90" s="28">
        <v>100025847</v>
      </c>
      <c r="B90" s="28">
        <v>53.79</v>
      </c>
      <c r="C90" s="28">
        <v>80</v>
      </c>
    </row>
    <row r="91" spans="1:3" x14ac:dyDescent="0.35">
      <c r="A91" s="28">
        <v>100025848</v>
      </c>
      <c r="B91" s="28">
        <v>53.79</v>
      </c>
      <c r="C91" s="28">
        <v>80</v>
      </c>
    </row>
    <row r="92" spans="1:3" x14ac:dyDescent="0.35">
      <c r="A92" s="28">
        <v>100013077</v>
      </c>
      <c r="B92" s="28">
        <v>47.74</v>
      </c>
      <c r="C92" s="28" t="e">
        <v>#N/A</v>
      </c>
    </row>
    <row r="93" spans="1:3" x14ac:dyDescent="0.35">
      <c r="A93" s="28">
        <v>100012746</v>
      </c>
      <c r="B93" s="28">
        <v>65.900000000000006</v>
      </c>
      <c r="C93" s="28">
        <v>98</v>
      </c>
    </row>
    <row r="94" spans="1:3" x14ac:dyDescent="0.35">
      <c r="A94" s="28">
        <v>100025845</v>
      </c>
      <c r="B94" s="28">
        <v>53.79</v>
      </c>
      <c r="C94" s="28">
        <v>80</v>
      </c>
    </row>
    <row r="95" spans="1:3" x14ac:dyDescent="0.35">
      <c r="A95" s="28">
        <v>100013075</v>
      </c>
      <c r="B95" s="28">
        <v>45.05</v>
      </c>
      <c r="C95" s="28">
        <v>67</v>
      </c>
    </row>
    <row r="96" spans="1:3" x14ac:dyDescent="0.35">
      <c r="A96" s="28">
        <v>100025282</v>
      </c>
      <c r="B96" s="28">
        <v>49.76</v>
      </c>
      <c r="C96" s="28">
        <v>74</v>
      </c>
    </row>
    <row r="97" spans="1:3" x14ac:dyDescent="0.35">
      <c r="A97" s="28">
        <v>100010093</v>
      </c>
      <c r="B97" s="28">
        <v>53.79</v>
      </c>
      <c r="C97" s="28" t="e">
        <v>#N/A</v>
      </c>
    </row>
    <row r="98" spans="1:3" x14ac:dyDescent="0.35">
      <c r="A98" s="28">
        <v>100016413</v>
      </c>
      <c r="B98" s="28">
        <v>59.84</v>
      </c>
      <c r="C98" s="28">
        <v>89</v>
      </c>
    </row>
    <row r="99" spans="1:3" x14ac:dyDescent="0.35">
      <c r="A99" s="28">
        <v>100013078</v>
      </c>
      <c r="B99" s="28">
        <v>36.31</v>
      </c>
      <c r="C99" s="28">
        <v>66</v>
      </c>
    </row>
    <row r="100" spans="1:3" x14ac:dyDescent="0.35">
      <c r="A100" s="28">
        <v>100005585</v>
      </c>
      <c r="B100" s="28">
        <v>65.900000000000006</v>
      </c>
      <c r="C100" s="28">
        <v>98</v>
      </c>
    </row>
    <row r="101" spans="1:3" x14ac:dyDescent="0.35">
      <c r="A101" s="28">
        <v>100016412</v>
      </c>
      <c r="B101" s="28">
        <v>59.84</v>
      </c>
      <c r="C101" s="28">
        <v>89</v>
      </c>
    </row>
    <row r="102" spans="1:3" x14ac:dyDescent="0.35">
      <c r="A102" s="28">
        <v>100080644</v>
      </c>
      <c r="B102" s="28">
        <v>66.569999999999993</v>
      </c>
      <c r="C102" s="28">
        <v>99</v>
      </c>
    </row>
    <row r="103" spans="1:3" x14ac:dyDescent="0.35">
      <c r="A103" s="28">
        <v>100018745</v>
      </c>
      <c r="B103" s="28">
        <v>45.05</v>
      </c>
      <c r="C103" s="28">
        <v>67</v>
      </c>
    </row>
    <row r="104" spans="1:3" x14ac:dyDescent="0.35">
      <c r="A104" s="28">
        <v>100019234</v>
      </c>
      <c r="B104" s="28">
        <v>49.76</v>
      </c>
      <c r="C104" s="28">
        <v>74</v>
      </c>
    </row>
    <row r="105" spans="1:3" x14ac:dyDescent="0.35">
      <c r="A105" s="28">
        <v>100025846</v>
      </c>
      <c r="B105" s="28">
        <v>53.79</v>
      </c>
      <c r="C105" s="28">
        <v>80</v>
      </c>
    </row>
    <row r="106" spans="1:3" x14ac:dyDescent="0.35">
      <c r="A106" s="28">
        <v>100025842</v>
      </c>
      <c r="B106" s="28">
        <v>53.79</v>
      </c>
      <c r="C106" s="28">
        <v>80</v>
      </c>
    </row>
    <row r="107" spans="1:3" x14ac:dyDescent="0.35">
      <c r="A107" s="28">
        <v>100080975</v>
      </c>
      <c r="B107" s="28">
        <v>57.54</v>
      </c>
      <c r="C107" s="28">
        <v>89</v>
      </c>
    </row>
    <row r="108" spans="1:3" x14ac:dyDescent="0.35">
      <c r="A108" s="28">
        <v>100019233</v>
      </c>
      <c r="B108" s="28">
        <v>49.090000000000011</v>
      </c>
      <c r="C108" s="28">
        <v>73</v>
      </c>
    </row>
    <row r="109" spans="1:3" x14ac:dyDescent="0.35">
      <c r="A109" s="28">
        <v>100025893</v>
      </c>
      <c r="B109" s="28">
        <v>61.659999999999975</v>
      </c>
      <c r="C109" s="28">
        <v>80</v>
      </c>
    </row>
    <row r="110" spans="1:3" x14ac:dyDescent="0.35">
      <c r="A110" s="28">
        <v>100026306</v>
      </c>
      <c r="B110" s="28">
        <v>61.659999999999975</v>
      </c>
      <c r="C110" s="28">
        <v>80</v>
      </c>
    </row>
    <row r="111" spans="1:3" x14ac:dyDescent="0.35">
      <c r="A111" s="28">
        <v>100024419</v>
      </c>
      <c r="B111" s="28">
        <v>61.659999999999975</v>
      </c>
      <c r="C111" s="28">
        <v>80</v>
      </c>
    </row>
    <row r="112" spans="1:3" x14ac:dyDescent="0.35">
      <c r="A112" s="28">
        <v>100026071</v>
      </c>
      <c r="B112" s="28">
        <v>61.659999999999975</v>
      </c>
      <c r="C112" s="28">
        <v>80</v>
      </c>
    </row>
    <row r="113" spans="1:3" x14ac:dyDescent="0.35">
      <c r="A113" s="28">
        <v>100024420</v>
      </c>
      <c r="B113" s="28">
        <v>61.659999999999975</v>
      </c>
      <c r="C113" s="28">
        <v>80</v>
      </c>
    </row>
    <row r="114" spans="1:3" x14ac:dyDescent="0.35">
      <c r="A114" s="28">
        <v>100016248</v>
      </c>
      <c r="B114" s="28">
        <v>50</v>
      </c>
      <c r="C114" s="28" t="e">
        <v>#N/A</v>
      </c>
    </row>
    <row r="115" spans="1:3" x14ac:dyDescent="0.35">
      <c r="A115" s="28">
        <v>100009364</v>
      </c>
      <c r="B115" s="28">
        <v>38.819000000000003</v>
      </c>
      <c r="C115" s="28" t="e">
        <v>#N/A</v>
      </c>
    </row>
    <row r="116" spans="1:3" x14ac:dyDescent="0.35">
      <c r="A116" s="28">
        <v>100009359</v>
      </c>
      <c r="B116" s="28">
        <v>24.700199999999999</v>
      </c>
      <c r="C116" s="28" t="e">
        <v>#N/A</v>
      </c>
    </row>
    <row r="117" spans="1:3" x14ac:dyDescent="0.35">
      <c r="A117" s="28">
        <v>100080381</v>
      </c>
      <c r="B117" s="28">
        <v>29.37</v>
      </c>
      <c r="C117" s="28">
        <v>54.166666666666664</v>
      </c>
    </row>
    <row r="118" spans="1:3" x14ac:dyDescent="0.35">
      <c r="A118" s="28">
        <v>100020133</v>
      </c>
      <c r="B118" s="28">
        <v>48.87</v>
      </c>
      <c r="C118" s="28">
        <v>72</v>
      </c>
    </row>
    <row r="119" spans="1:3" x14ac:dyDescent="0.35">
      <c r="A119" s="28">
        <v>100018656</v>
      </c>
      <c r="B119" s="28">
        <v>66.680000000000007</v>
      </c>
      <c r="C119" s="28">
        <v>98</v>
      </c>
    </row>
    <row r="120" spans="1:3" x14ac:dyDescent="0.35">
      <c r="A120" s="28">
        <v>100018872</v>
      </c>
      <c r="B120" s="28">
        <v>66.680000000000007</v>
      </c>
      <c r="C120" s="28">
        <v>98</v>
      </c>
    </row>
    <row r="121" spans="1:3" x14ac:dyDescent="0.35">
      <c r="A121" s="28">
        <v>100021790</v>
      </c>
      <c r="B121" s="28">
        <v>66.680000000000007</v>
      </c>
      <c r="C121" s="28">
        <v>98</v>
      </c>
    </row>
    <row r="122" spans="1:3" x14ac:dyDescent="0.35">
      <c r="A122" s="28">
        <v>100014868</v>
      </c>
      <c r="B122" s="28">
        <v>72.39</v>
      </c>
      <c r="C122" s="28">
        <v>105</v>
      </c>
    </row>
    <row r="123" spans="1:3" x14ac:dyDescent="0.35">
      <c r="A123" s="28">
        <v>100025332</v>
      </c>
      <c r="B123" s="28">
        <v>66.680000000000007</v>
      </c>
      <c r="C123" s="28">
        <v>98</v>
      </c>
    </row>
    <row r="124" spans="1:3" x14ac:dyDescent="0.35">
      <c r="A124" s="28">
        <v>100013110</v>
      </c>
      <c r="B124" s="28">
        <v>52.96</v>
      </c>
      <c r="C124" s="28">
        <v>77</v>
      </c>
    </row>
    <row r="125" spans="1:3" x14ac:dyDescent="0.35">
      <c r="A125" s="28">
        <v>100014711</v>
      </c>
      <c r="B125" s="28">
        <v>72.39</v>
      </c>
      <c r="C125" s="28">
        <v>105</v>
      </c>
    </row>
    <row r="126" spans="1:3" x14ac:dyDescent="0.35">
      <c r="A126" s="28">
        <v>100014569</v>
      </c>
      <c r="B126" s="28">
        <v>52.96</v>
      </c>
      <c r="C126" s="28">
        <v>77</v>
      </c>
    </row>
    <row r="127" spans="1:3" x14ac:dyDescent="0.35">
      <c r="A127" s="28">
        <v>100024881</v>
      </c>
      <c r="B127" s="28">
        <v>66.680000000000007</v>
      </c>
      <c r="C127" s="28">
        <v>98</v>
      </c>
    </row>
    <row r="128" spans="1:3" x14ac:dyDescent="0.35">
      <c r="A128" s="28">
        <v>100023312</v>
      </c>
      <c r="B128" s="28">
        <v>67.53</v>
      </c>
      <c r="C128" s="28">
        <v>98</v>
      </c>
    </row>
    <row r="129" spans="1:3" x14ac:dyDescent="0.35">
      <c r="A129" s="28">
        <v>100023311</v>
      </c>
      <c r="B129" s="28">
        <v>67.53</v>
      </c>
      <c r="C129" s="28">
        <v>98</v>
      </c>
    </row>
    <row r="130" spans="1:3" x14ac:dyDescent="0.35">
      <c r="A130" s="28">
        <v>100024134</v>
      </c>
      <c r="B130" s="28">
        <v>49.639999999999993</v>
      </c>
      <c r="C130" s="28">
        <v>96</v>
      </c>
    </row>
    <row r="131" spans="1:3" x14ac:dyDescent="0.35">
      <c r="A131" s="28">
        <v>100080928</v>
      </c>
      <c r="B131" s="28">
        <v>73.08</v>
      </c>
      <c r="C131" s="28">
        <v>106</v>
      </c>
    </row>
    <row r="132" spans="1:3" x14ac:dyDescent="0.35">
      <c r="A132" s="28">
        <v>100015186</v>
      </c>
      <c r="B132" s="28">
        <v>52.96</v>
      </c>
      <c r="C132" s="28">
        <v>77</v>
      </c>
    </row>
    <row r="133" spans="1:3" x14ac:dyDescent="0.35">
      <c r="A133" s="28">
        <v>100015037</v>
      </c>
      <c r="B133" s="28">
        <v>66.14</v>
      </c>
      <c r="C133" s="28">
        <v>96</v>
      </c>
    </row>
    <row r="134" spans="1:3" x14ac:dyDescent="0.35">
      <c r="A134" s="28">
        <v>100014570</v>
      </c>
      <c r="B134" s="28">
        <v>72.39</v>
      </c>
      <c r="C134" s="28">
        <v>105</v>
      </c>
    </row>
    <row r="135" spans="1:3" x14ac:dyDescent="0.35">
      <c r="A135" s="28">
        <v>100013136</v>
      </c>
      <c r="B135" s="28">
        <v>66.680000000000007</v>
      </c>
      <c r="C135" s="28">
        <v>98</v>
      </c>
    </row>
    <row r="136" spans="1:3" x14ac:dyDescent="0.35">
      <c r="A136" s="28">
        <v>101000062</v>
      </c>
      <c r="B136" s="28">
        <v>66.680000000000007</v>
      </c>
      <c r="C136" s="28">
        <v>98</v>
      </c>
    </row>
    <row r="137" spans="1:3" x14ac:dyDescent="0.35">
      <c r="A137" s="28">
        <v>100022336</v>
      </c>
      <c r="B137" s="28">
        <v>68.09</v>
      </c>
      <c r="C137" s="28">
        <v>99</v>
      </c>
    </row>
    <row r="138" spans="1:3" x14ac:dyDescent="0.35">
      <c r="A138" s="28">
        <v>100022523</v>
      </c>
      <c r="B138" s="28">
        <v>61.28</v>
      </c>
      <c r="C138" s="28">
        <v>89</v>
      </c>
    </row>
    <row r="139" spans="1:3" x14ac:dyDescent="0.35">
      <c r="A139" s="28">
        <v>100022965</v>
      </c>
      <c r="B139" s="28">
        <v>61.28</v>
      </c>
      <c r="C139" s="28">
        <v>89</v>
      </c>
    </row>
    <row r="140" spans="1:3" x14ac:dyDescent="0.35">
      <c r="A140" s="28">
        <v>100022335</v>
      </c>
      <c r="B140" s="28">
        <v>45.89</v>
      </c>
      <c r="C140" s="28">
        <v>67</v>
      </c>
    </row>
    <row r="141" spans="1:3" x14ac:dyDescent="0.35">
      <c r="A141" s="28">
        <v>100080028</v>
      </c>
      <c r="B141" s="28">
        <v>66.14</v>
      </c>
      <c r="C141" s="28">
        <v>96</v>
      </c>
    </row>
    <row r="142" spans="1:3" x14ac:dyDescent="0.35">
      <c r="A142" s="28">
        <v>100080027</v>
      </c>
      <c r="B142" s="28">
        <v>72.39</v>
      </c>
      <c r="C142" s="28">
        <v>105</v>
      </c>
    </row>
    <row r="143" spans="1:3" x14ac:dyDescent="0.35">
      <c r="A143" s="28">
        <v>100080257</v>
      </c>
      <c r="B143" s="28">
        <v>52.96</v>
      </c>
      <c r="C143" s="28">
        <v>77</v>
      </c>
    </row>
    <row r="144" spans="1:3" x14ac:dyDescent="0.35">
      <c r="A144" s="28">
        <v>100080820</v>
      </c>
      <c r="B144" s="28">
        <v>72.39</v>
      </c>
      <c r="C144" s="28">
        <v>105</v>
      </c>
    </row>
    <row r="145" spans="1:3" x14ac:dyDescent="0.35">
      <c r="A145" s="28">
        <v>100080904</v>
      </c>
      <c r="B145" s="28">
        <v>52.96</v>
      </c>
      <c r="C145" s="28">
        <v>77</v>
      </c>
    </row>
    <row r="146" spans="1:3" x14ac:dyDescent="0.35">
      <c r="A146" s="28">
        <v>100080850</v>
      </c>
      <c r="B146" s="28">
        <v>72.39</v>
      </c>
      <c r="C146" s="28">
        <v>105</v>
      </c>
    </row>
    <row r="147" spans="1:3" x14ac:dyDescent="0.35">
      <c r="A147" s="28">
        <v>100080903</v>
      </c>
      <c r="B147" s="28">
        <v>52.96</v>
      </c>
      <c r="C147" s="28">
        <v>77</v>
      </c>
    </row>
    <row r="148" spans="1:3" x14ac:dyDescent="0.35">
      <c r="A148" s="28">
        <v>100080687</v>
      </c>
      <c r="B148" s="28">
        <v>72.39</v>
      </c>
      <c r="C148" s="28">
        <v>105</v>
      </c>
    </row>
    <row r="149" spans="1:3" x14ac:dyDescent="0.35">
      <c r="A149" s="28">
        <v>100019981</v>
      </c>
      <c r="B149" s="28">
        <v>66.680000000000007</v>
      </c>
      <c r="C149" s="28">
        <v>98</v>
      </c>
    </row>
    <row r="150" spans="1:3" x14ac:dyDescent="0.35">
      <c r="A150" s="28">
        <v>100080372</v>
      </c>
      <c r="B150" s="28">
        <v>66.239999999999995</v>
      </c>
      <c r="C150" s="28">
        <v>111.75</v>
      </c>
    </row>
    <row r="151" spans="1:3" x14ac:dyDescent="0.35">
      <c r="A151" s="28">
        <v>100026301</v>
      </c>
      <c r="B151" s="28">
        <v>61.659999999999975</v>
      </c>
      <c r="C151" s="28">
        <v>80</v>
      </c>
    </row>
    <row r="152" spans="1:3" x14ac:dyDescent="0.35">
      <c r="A152" s="28">
        <v>100025297</v>
      </c>
      <c r="B152" s="28">
        <v>80.919999999999987</v>
      </c>
      <c r="C152" s="28">
        <v>105</v>
      </c>
    </row>
    <row r="153" spans="1:3" x14ac:dyDescent="0.35">
      <c r="A153" s="28">
        <v>100019230</v>
      </c>
      <c r="B153" s="28">
        <v>49.76</v>
      </c>
      <c r="C153" s="28">
        <v>74</v>
      </c>
    </row>
    <row r="154" spans="1:3" x14ac:dyDescent="0.35">
      <c r="A154" s="28">
        <v>100026070</v>
      </c>
      <c r="B154" s="28">
        <v>61.659999999999975</v>
      </c>
      <c r="C154" s="28">
        <v>80</v>
      </c>
    </row>
    <row r="155" spans="1:3" x14ac:dyDescent="0.35">
      <c r="A155" s="28">
        <v>100024465</v>
      </c>
      <c r="B155" s="28">
        <v>61.659999999999975</v>
      </c>
      <c r="C155" s="28">
        <v>80</v>
      </c>
    </row>
    <row r="156" spans="1:3" x14ac:dyDescent="0.35">
      <c r="A156" s="28">
        <v>100026300</v>
      </c>
      <c r="B156" s="28">
        <v>61.659999999999975</v>
      </c>
      <c r="C156" s="28">
        <v>80</v>
      </c>
    </row>
    <row r="157" spans="1:3" x14ac:dyDescent="0.35">
      <c r="A157" s="28">
        <v>100025298</v>
      </c>
      <c r="B157" s="28">
        <v>80.919999999999987</v>
      </c>
      <c r="C157" s="28">
        <v>105</v>
      </c>
    </row>
    <row r="158" spans="1:3" x14ac:dyDescent="0.35">
      <c r="A158" s="28">
        <v>100025894</v>
      </c>
      <c r="B158" s="28">
        <v>61.659999999999975</v>
      </c>
      <c r="C158" s="28">
        <v>80</v>
      </c>
    </row>
    <row r="159" spans="1:3" x14ac:dyDescent="0.35">
      <c r="A159" s="28">
        <v>100026307</v>
      </c>
      <c r="B159" s="28">
        <v>61.659999999999975</v>
      </c>
      <c r="C159" s="28">
        <v>80</v>
      </c>
    </row>
    <row r="160" spans="1:3" x14ac:dyDescent="0.35">
      <c r="A160" s="28">
        <v>100024417</v>
      </c>
      <c r="B160" s="28">
        <v>61.659999999999975</v>
      </c>
      <c r="C160" s="28">
        <v>80</v>
      </c>
    </row>
    <row r="161" spans="1:3" x14ac:dyDescent="0.35">
      <c r="A161" s="28">
        <v>100026072</v>
      </c>
      <c r="B161" s="28">
        <v>61.659999999999975</v>
      </c>
      <c r="C161" s="28">
        <v>80</v>
      </c>
    </row>
    <row r="162" spans="1:3" x14ac:dyDescent="0.35">
      <c r="A162" s="28">
        <v>100021048</v>
      </c>
      <c r="B162" s="28">
        <v>59.76</v>
      </c>
      <c r="C162" s="28">
        <v>87</v>
      </c>
    </row>
    <row r="163" spans="1:3" x14ac:dyDescent="0.35">
      <c r="A163" s="28">
        <v>100020945</v>
      </c>
      <c r="B163" s="28">
        <v>36.99</v>
      </c>
      <c r="C163" s="28">
        <v>54</v>
      </c>
    </row>
    <row r="164" spans="1:3" x14ac:dyDescent="0.35">
      <c r="A164" s="28">
        <v>100080353</v>
      </c>
      <c r="B164" s="28">
        <v>5.8559999999999999</v>
      </c>
      <c r="C164" s="28">
        <v>12</v>
      </c>
    </row>
    <row r="165" spans="1:3" x14ac:dyDescent="0.35">
      <c r="A165" s="28">
        <v>100018038</v>
      </c>
      <c r="B165" s="28">
        <v>52.96</v>
      </c>
      <c r="C165" s="28">
        <v>77</v>
      </c>
    </row>
    <row r="166" spans="1:3" x14ac:dyDescent="0.35">
      <c r="A166" s="28">
        <v>100016254</v>
      </c>
      <c r="B166" s="28">
        <v>52.91</v>
      </c>
      <c r="C166" s="28" t="e">
        <v>#N/A</v>
      </c>
    </row>
    <row r="167" spans="1:3" x14ac:dyDescent="0.35">
      <c r="A167" s="28">
        <v>100009916</v>
      </c>
      <c r="B167" s="28">
        <v>200.75</v>
      </c>
      <c r="C167" s="28" t="e">
        <v>#N/A</v>
      </c>
    </row>
    <row r="168" spans="1:3" x14ac:dyDescent="0.35">
      <c r="A168" s="28">
        <v>100080763</v>
      </c>
      <c r="B168" s="28">
        <v>66.02</v>
      </c>
      <c r="C168" s="28">
        <v>93.5</v>
      </c>
    </row>
    <row r="169" spans="1:3" x14ac:dyDescent="0.35">
      <c r="A169" s="28">
        <v>100080946</v>
      </c>
      <c r="B169" s="28">
        <v>101</v>
      </c>
      <c r="C169" s="28" t="e">
        <v>#N/A</v>
      </c>
    </row>
    <row r="170" spans="1:3" x14ac:dyDescent="0.35">
      <c r="A170" s="28">
        <v>100080944</v>
      </c>
      <c r="B170" s="28">
        <v>101</v>
      </c>
      <c r="C170" s="28" t="e">
        <v>#N/A</v>
      </c>
    </row>
    <row r="171" spans="1:3" x14ac:dyDescent="0.35">
      <c r="A171" s="28">
        <v>100080945</v>
      </c>
      <c r="B171" s="28">
        <v>101</v>
      </c>
      <c r="C171" s="28" t="e">
        <v>#N/A</v>
      </c>
    </row>
    <row r="172" spans="1:3" x14ac:dyDescent="0.35">
      <c r="A172" s="28">
        <v>100024320</v>
      </c>
      <c r="B172" s="28">
        <v>56.3</v>
      </c>
      <c r="C172" s="28">
        <v>82</v>
      </c>
    </row>
    <row r="173" spans="1:3" x14ac:dyDescent="0.35">
      <c r="A173" s="28">
        <v>100021977</v>
      </c>
      <c r="B173" s="28">
        <v>34.92</v>
      </c>
      <c r="C173" s="28">
        <v>51</v>
      </c>
    </row>
    <row r="174" spans="1:3" x14ac:dyDescent="0.35">
      <c r="A174" s="28">
        <v>100080034</v>
      </c>
      <c r="B174" s="28">
        <v>60.59</v>
      </c>
      <c r="C174" s="28">
        <v>88</v>
      </c>
    </row>
    <row r="175" spans="1:3" x14ac:dyDescent="0.35">
      <c r="A175" s="28">
        <v>100080899</v>
      </c>
      <c r="B175" s="28">
        <v>31.3657</v>
      </c>
      <c r="C175" s="28">
        <v>55</v>
      </c>
    </row>
    <row r="176" spans="1:3" x14ac:dyDescent="0.35">
      <c r="A176" s="28">
        <v>100016411</v>
      </c>
      <c r="B176" s="28">
        <v>42.838999999999999</v>
      </c>
      <c r="C176" s="28">
        <v>55</v>
      </c>
    </row>
    <row r="177" spans="1:3" x14ac:dyDescent="0.35">
      <c r="A177" s="28">
        <v>100014242</v>
      </c>
      <c r="B177" s="28">
        <v>48.195000000000007</v>
      </c>
      <c r="C177" s="28">
        <v>78</v>
      </c>
    </row>
    <row r="178" spans="1:3" x14ac:dyDescent="0.35">
      <c r="A178" s="28">
        <v>100018931</v>
      </c>
      <c r="B178" s="28">
        <v>52.846999999999987</v>
      </c>
      <c r="C178" s="28">
        <v>85</v>
      </c>
    </row>
    <row r="179" spans="1:3" x14ac:dyDescent="0.35">
      <c r="A179" s="28">
        <v>100022054</v>
      </c>
      <c r="B179" s="28">
        <v>38.25</v>
      </c>
      <c r="C179" s="28">
        <v>56.692307692307693</v>
      </c>
    </row>
    <row r="180" spans="1:3" x14ac:dyDescent="0.35">
      <c r="A180" s="28">
        <v>100021814</v>
      </c>
      <c r="B180" s="28">
        <v>55.24</v>
      </c>
      <c r="C180" s="28">
        <v>96</v>
      </c>
    </row>
    <row r="181" spans="1:3" x14ac:dyDescent="0.35">
      <c r="A181" s="28">
        <v>100080957</v>
      </c>
      <c r="B181" s="28">
        <v>74.47</v>
      </c>
      <c r="C181" s="28">
        <v>108</v>
      </c>
    </row>
    <row r="182" spans="1:3" x14ac:dyDescent="0.35">
      <c r="A182" s="28">
        <v>100009230</v>
      </c>
      <c r="B182" s="28">
        <v>68.919999999999973</v>
      </c>
      <c r="C182" s="28">
        <v>100</v>
      </c>
    </row>
    <row r="183" spans="1:3" x14ac:dyDescent="0.35">
      <c r="A183" s="28">
        <v>100004048</v>
      </c>
      <c r="B183" s="28">
        <v>74.47</v>
      </c>
      <c r="C183" s="28">
        <v>108</v>
      </c>
    </row>
    <row r="184" spans="1:3" x14ac:dyDescent="0.35">
      <c r="A184" s="28">
        <v>100014714</v>
      </c>
      <c r="B184" s="28">
        <v>74.47</v>
      </c>
      <c r="C184" s="28">
        <v>108</v>
      </c>
    </row>
    <row r="185" spans="1:3" x14ac:dyDescent="0.35">
      <c r="A185" s="28">
        <v>100007108</v>
      </c>
      <c r="B185" s="28">
        <v>68.919999999999973</v>
      </c>
      <c r="C185" s="28">
        <v>100</v>
      </c>
    </row>
    <row r="186" spans="1:3" x14ac:dyDescent="0.35">
      <c r="A186" s="28">
        <v>100080440</v>
      </c>
      <c r="B186" s="28">
        <v>74.47</v>
      </c>
      <c r="C186" s="28">
        <v>108</v>
      </c>
    </row>
    <row r="187" spans="1:3" x14ac:dyDescent="0.35">
      <c r="A187" s="28">
        <v>100014779</v>
      </c>
      <c r="B187" s="28">
        <v>54.6</v>
      </c>
      <c r="C187" s="28">
        <v>96</v>
      </c>
    </row>
    <row r="188" spans="1:3" x14ac:dyDescent="0.35">
      <c r="A188" s="28">
        <v>100014778</v>
      </c>
      <c r="B188" s="28">
        <v>70</v>
      </c>
      <c r="C188" s="28">
        <v>121</v>
      </c>
    </row>
    <row r="189" spans="1:3" x14ac:dyDescent="0.35">
      <c r="A189" s="28">
        <v>100080948</v>
      </c>
      <c r="B189" s="28">
        <v>70</v>
      </c>
      <c r="C189" s="28">
        <v>121</v>
      </c>
    </row>
    <row r="190" spans="1:3" x14ac:dyDescent="0.35">
      <c r="A190" s="28">
        <v>100014777</v>
      </c>
      <c r="B190" s="28">
        <v>62</v>
      </c>
      <c r="C190" s="28">
        <v>108</v>
      </c>
    </row>
    <row r="191" spans="1:3" x14ac:dyDescent="0.35">
      <c r="A191" s="28">
        <v>100080947</v>
      </c>
      <c r="B191" s="28">
        <v>62</v>
      </c>
      <c r="C191" s="28">
        <v>108</v>
      </c>
    </row>
    <row r="192" spans="1:3" x14ac:dyDescent="0.35">
      <c r="A192" s="28">
        <v>100014775</v>
      </c>
      <c r="B192" s="28">
        <v>70</v>
      </c>
      <c r="C192" s="28">
        <v>121</v>
      </c>
    </row>
    <row r="193" spans="1:3" x14ac:dyDescent="0.35">
      <c r="A193" s="28">
        <v>100014774</v>
      </c>
      <c r="B193" s="28">
        <v>50</v>
      </c>
      <c r="C193" s="28">
        <v>88</v>
      </c>
    </row>
    <row r="194" spans="1:3" x14ac:dyDescent="0.35">
      <c r="A194" s="28">
        <v>100014772</v>
      </c>
      <c r="B194" s="28">
        <v>54.6</v>
      </c>
      <c r="C194" s="28">
        <v>96</v>
      </c>
    </row>
    <row r="195" spans="1:3" x14ac:dyDescent="0.35">
      <c r="A195" s="28">
        <v>100024288</v>
      </c>
      <c r="B195" s="28">
        <v>498.91</v>
      </c>
      <c r="C195" s="28">
        <v>899</v>
      </c>
    </row>
    <row r="196" spans="1:3" x14ac:dyDescent="0.35">
      <c r="A196" s="28">
        <v>100024859</v>
      </c>
      <c r="B196" s="28">
        <v>274.77</v>
      </c>
      <c r="C196" s="28">
        <v>499</v>
      </c>
    </row>
    <row r="197" spans="1:3" x14ac:dyDescent="0.35">
      <c r="A197" s="28">
        <v>100024286</v>
      </c>
      <c r="B197" s="28">
        <v>274.77</v>
      </c>
      <c r="C197" s="28">
        <v>499</v>
      </c>
    </row>
    <row r="198" spans="1:3" x14ac:dyDescent="0.35">
      <c r="A198" s="28">
        <v>100024282</v>
      </c>
      <c r="B198" s="28">
        <v>274.77</v>
      </c>
      <c r="C198" s="28">
        <v>499</v>
      </c>
    </row>
    <row r="199" spans="1:3" x14ac:dyDescent="0.35">
      <c r="A199" s="28">
        <v>100024862</v>
      </c>
      <c r="B199" s="28">
        <v>498.91</v>
      </c>
      <c r="C199" s="28">
        <v>899</v>
      </c>
    </row>
    <row r="200" spans="1:3" x14ac:dyDescent="0.35">
      <c r="A200" s="28">
        <v>100024861</v>
      </c>
      <c r="B200" s="28">
        <v>498.91</v>
      </c>
      <c r="C200" s="28">
        <v>899</v>
      </c>
    </row>
    <row r="201" spans="1:3" x14ac:dyDescent="0.35">
      <c r="A201" s="28">
        <v>100017393</v>
      </c>
      <c r="B201" s="28">
        <v>49.942999999999991</v>
      </c>
      <c r="C201" s="28">
        <v>85</v>
      </c>
    </row>
    <row r="202" spans="1:3" x14ac:dyDescent="0.35">
      <c r="A202" s="28">
        <v>100014240</v>
      </c>
      <c r="B202" s="28">
        <v>39.779999999999987</v>
      </c>
      <c r="C202" s="28">
        <v>78</v>
      </c>
    </row>
    <row r="203" spans="1:3" x14ac:dyDescent="0.35">
      <c r="A203" s="28">
        <v>100080896</v>
      </c>
      <c r="B203" s="28">
        <v>38.25</v>
      </c>
      <c r="C203" s="28">
        <v>55</v>
      </c>
    </row>
    <row r="204" spans="1:3" x14ac:dyDescent="0.35">
      <c r="A204" s="28">
        <v>100080897</v>
      </c>
      <c r="B204" s="28">
        <v>38.029999999999987</v>
      </c>
      <c r="C204" s="28">
        <v>66</v>
      </c>
    </row>
    <row r="205" spans="1:3" x14ac:dyDescent="0.35">
      <c r="A205" s="28">
        <v>101000082</v>
      </c>
      <c r="B205" s="28">
        <v>115.59999999999998</v>
      </c>
      <c r="C205" s="28">
        <v>150</v>
      </c>
    </row>
    <row r="206" spans="1:3" x14ac:dyDescent="0.35">
      <c r="A206" s="28">
        <v>101000081</v>
      </c>
      <c r="B206" s="28">
        <v>115.59999999999998</v>
      </c>
      <c r="C206" s="28">
        <v>150</v>
      </c>
    </row>
    <row r="207" spans="1:3" x14ac:dyDescent="0.35">
      <c r="A207" s="28">
        <v>101000080</v>
      </c>
      <c r="B207" s="28">
        <v>115.59999999999998</v>
      </c>
      <c r="C207" s="28">
        <v>150</v>
      </c>
    </row>
    <row r="208" spans="1:3" x14ac:dyDescent="0.35">
      <c r="A208" s="28">
        <v>101000083</v>
      </c>
      <c r="B208" s="28">
        <v>115.59999999999998</v>
      </c>
      <c r="C208" s="28">
        <v>150</v>
      </c>
    </row>
    <row r="209" spans="1:3" x14ac:dyDescent="0.35">
      <c r="A209" s="28">
        <v>100024729</v>
      </c>
      <c r="B209" s="28">
        <v>123.30999999999996</v>
      </c>
      <c r="C209" s="28">
        <v>160</v>
      </c>
    </row>
    <row r="210" spans="1:3" x14ac:dyDescent="0.35">
      <c r="A210" s="28">
        <v>100024658</v>
      </c>
      <c r="B210" s="28">
        <v>123.31</v>
      </c>
      <c r="C210" s="28">
        <v>160</v>
      </c>
    </row>
    <row r="211" spans="1:3" x14ac:dyDescent="0.35">
      <c r="A211" s="28">
        <v>100024727</v>
      </c>
      <c r="B211" s="28">
        <v>123.30999999999996</v>
      </c>
      <c r="C211" s="28">
        <v>160</v>
      </c>
    </row>
    <row r="212" spans="1:3" x14ac:dyDescent="0.35">
      <c r="A212" s="28">
        <v>100024656</v>
      </c>
      <c r="B212" s="28">
        <v>123.31</v>
      </c>
      <c r="C212" s="28">
        <v>160</v>
      </c>
    </row>
    <row r="213" spans="1:3" x14ac:dyDescent="0.35">
      <c r="A213" s="28">
        <v>100024726</v>
      </c>
      <c r="B213" s="28">
        <v>123.30999999999996</v>
      </c>
      <c r="C213" s="28">
        <v>160</v>
      </c>
    </row>
    <row r="214" spans="1:3" x14ac:dyDescent="0.35">
      <c r="A214" s="28">
        <v>100024655</v>
      </c>
      <c r="B214" s="28">
        <v>123.31</v>
      </c>
      <c r="C214" s="28">
        <v>160</v>
      </c>
    </row>
    <row r="215" spans="1:3" x14ac:dyDescent="0.35">
      <c r="A215" s="28">
        <v>100024728</v>
      </c>
      <c r="B215" s="28">
        <v>123.30999999999996</v>
      </c>
      <c r="C215" s="28">
        <v>160</v>
      </c>
    </row>
    <row r="216" spans="1:3" x14ac:dyDescent="0.35">
      <c r="A216" s="28">
        <v>100024657</v>
      </c>
      <c r="B216" s="28">
        <v>123.31</v>
      </c>
      <c r="C216" s="28">
        <v>160</v>
      </c>
    </row>
    <row r="217" spans="1:3" x14ac:dyDescent="0.35">
      <c r="A217" s="28">
        <v>100023126</v>
      </c>
      <c r="B217" s="28">
        <v>76.299999999999983</v>
      </c>
      <c r="C217" s="28">
        <v>99</v>
      </c>
    </row>
    <row r="218" spans="1:3" x14ac:dyDescent="0.35">
      <c r="A218" s="28">
        <v>100024725</v>
      </c>
      <c r="B218" s="28">
        <v>115.59999999999998</v>
      </c>
      <c r="C218" s="28">
        <v>150</v>
      </c>
    </row>
    <row r="219" spans="1:3" x14ac:dyDescent="0.35">
      <c r="A219" s="28">
        <v>101000088</v>
      </c>
      <c r="B219" s="28">
        <v>115.59999999999998</v>
      </c>
      <c r="C219" s="28">
        <v>150</v>
      </c>
    </row>
    <row r="220" spans="1:3" x14ac:dyDescent="0.35">
      <c r="A220" s="28">
        <v>101000087</v>
      </c>
      <c r="B220" s="28">
        <v>115.59999999999998</v>
      </c>
      <c r="C220" s="28">
        <v>150</v>
      </c>
    </row>
    <row r="221" spans="1:3" x14ac:dyDescent="0.35">
      <c r="A221" s="28">
        <v>101000085</v>
      </c>
      <c r="B221" s="28">
        <v>115.59999999999998</v>
      </c>
      <c r="C221" s="28">
        <v>150</v>
      </c>
    </row>
    <row r="222" spans="1:3" x14ac:dyDescent="0.35">
      <c r="A222" s="28">
        <v>101000086</v>
      </c>
      <c r="B222" s="28">
        <v>115.59999999999998</v>
      </c>
      <c r="C222" s="28">
        <v>150</v>
      </c>
    </row>
    <row r="223" spans="1:3" x14ac:dyDescent="0.35">
      <c r="A223" s="28">
        <v>100024653</v>
      </c>
      <c r="B223" s="28">
        <v>246.62</v>
      </c>
      <c r="C223" s="28">
        <v>320</v>
      </c>
    </row>
    <row r="224" spans="1:3" x14ac:dyDescent="0.35">
      <c r="A224" s="28">
        <v>100024649</v>
      </c>
      <c r="B224" s="28">
        <v>246.62</v>
      </c>
      <c r="C224" s="28">
        <v>320</v>
      </c>
    </row>
    <row r="225" spans="1:3" x14ac:dyDescent="0.35">
      <c r="A225" s="28">
        <v>100024722</v>
      </c>
      <c r="B225" s="28">
        <v>246.61999999999992</v>
      </c>
      <c r="C225" s="28">
        <v>320</v>
      </c>
    </row>
    <row r="226" spans="1:3" x14ac:dyDescent="0.35">
      <c r="A226" s="28">
        <v>100024652</v>
      </c>
      <c r="B226" s="28">
        <v>246.62</v>
      </c>
      <c r="C226" s="28">
        <v>320</v>
      </c>
    </row>
    <row r="227" spans="1:3" x14ac:dyDescent="0.35">
      <c r="A227" s="28">
        <v>100024720</v>
      </c>
      <c r="B227" s="28">
        <v>246.61999999999992</v>
      </c>
      <c r="C227" s="28">
        <v>320</v>
      </c>
    </row>
    <row r="228" spans="1:3" x14ac:dyDescent="0.35">
      <c r="A228" s="28">
        <v>100024650</v>
      </c>
      <c r="B228" s="28">
        <v>246.62</v>
      </c>
      <c r="C228" s="28">
        <v>320</v>
      </c>
    </row>
    <row r="229" spans="1:3" x14ac:dyDescent="0.35">
      <c r="A229" s="28">
        <v>100024721</v>
      </c>
      <c r="B229" s="28">
        <v>246.61999999999992</v>
      </c>
      <c r="C229" s="28">
        <v>320</v>
      </c>
    </row>
    <row r="230" spans="1:3" x14ac:dyDescent="0.35">
      <c r="A230" s="28">
        <v>100024651</v>
      </c>
      <c r="B230" s="28">
        <v>246.62</v>
      </c>
      <c r="C230" s="28">
        <v>320</v>
      </c>
    </row>
    <row r="231" spans="1:3" x14ac:dyDescent="0.35">
      <c r="A231" s="28">
        <v>100024724</v>
      </c>
      <c r="B231" s="28">
        <v>246.61999999999992</v>
      </c>
      <c r="C231" s="28">
        <v>320</v>
      </c>
    </row>
    <row r="232" spans="1:3" x14ac:dyDescent="0.35">
      <c r="A232" s="28">
        <v>100024654</v>
      </c>
      <c r="B232" s="28">
        <v>246.62</v>
      </c>
      <c r="C232" s="28">
        <v>320</v>
      </c>
    </row>
    <row r="233" spans="1:3" x14ac:dyDescent="0.35">
      <c r="A233" s="28">
        <v>101000089</v>
      </c>
      <c r="B233" s="28">
        <v>231.21</v>
      </c>
      <c r="C233" s="28">
        <v>300</v>
      </c>
    </row>
    <row r="234" spans="1:3" x14ac:dyDescent="0.35">
      <c r="A234" s="28">
        <v>100024414</v>
      </c>
      <c r="B234" s="28">
        <v>231.21</v>
      </c>
      <c r="C234" s="28">
        <v>300</v>
      </c>
    </row>
    <row r="235" spans="1:3" x14ac:dyDescent="0.35">
      <c r="A235" s="28">
        <v>101000092</v>
      </c>
      <c r="B235" s="28">
        <v>231.21</v>
      </c>
      <c r="C235" s="28">
        <v>300</v>
      </c>
    </row>
    <row r="236" spans="1:3" x14ac:dyDescent="0.35">
      <c r="A236" s="28">
        <v>101000090</v>
      </c>
      <c r="B236" s="28">
        <v>231.21</v>
      </c>
      <c r="C236" s="28">
        <v>300</v>
      </c>
    </row>
    <row r="237" spans="1:3" x14ac:dyDescent="0.35">
      <c r="A237" s="28">
        <v>101000091</v>
      </c>
      <c r="B237" s="28">
        <v>231.21</v>
      </c>
      <c r="C237" s="28">
        <v>300</v>
      </c>
    </row>
    <row r="238" spans="1:3" x14ac:dyDescent="0.35">
      <c r="A238" s="28">
        <v>101000093</v>
      </c>
      <c r="B238" s="28">
        <v>231.21</v>
      </c>
      <c r="C238" s="28">
        <v>300</v>
      </c>
    </row>
    <row r="239" spans="1:3" x14ac:dyDescent="0.35">
      <c r="A239" s="28">
        <v>100024714</v>
      </c>
      <c r="B239" s="28">
        <v>115.59999999999998</v>
      </c>
      <c r="C239" s="28">
        <v>150</v>
      </c>
    </row>
    <row r="240" spans="1:3" x14ac:dyDescent="0.35">
      <c r="A240" s="28">
        <v>100024627</v>
      </c>
      <c r="B240" s="28">
        <v>115.6</v>
      </c>
      <c r="C240" s="28">
        <v>150</v>
      </c>
    </row>
    <row r="241" spans="1:3" x14ac:dyDescent="0.35">
      <c r="A241" s="28">
        <v>100024625</v>
      </c>
      <c r="B241" s="28">
        <v>115.6</v>
      </c>
      <c r="C241" s="28">
        <v>150</v>
      </c>
    </row>
    <row r="242" spans="1:3" x14ac:dyDescent="0.35">
      <c r="A242" s="28">
        <v>100024712</v>
      </c>
      <c r="B242" s="28">
        <v>115.59999999999998</v>
      </c>
      <c r="C242" s="28">
        <v>150</v>
      </c>
    </row>
    <row r="243" spans="1:3" x14ac:dyDescent="0.35">
      <c r="A243" s="28">
        <v>100024715</v>
      </c>
      <c r="B243" s="28">
        <v>115.59999999999998</v>
      </c>
      <c r="C243" s="28">
        <v>150</v>
      </c>
    </row>
    <row r="244" spans="1:3" x14ac:dyDescent="0.35">
      <c r="A244" s="28">
        <v>100024623</v>
      </c>
      <c r="B244" s="28">
        <v>115.6</v>
      </c>
      <c r="C244" s="28">
        <v>150</v>
      </c>
    </row>
    <row r="245" spans="1:3" x14ac:dyDescent="0.35">
      <c r="A245" s="28">
        <v>100024716</v>
      </c>
      <c r="B245" s="28">
        <v>115.59999999999998</v>
      </c>
      <c r="C245" s="28">
        <v>150</v>
      </c>
    </row>
    <row r="246" spans="1:3" x14ac:dyDescent="0.35">
      <c r="A246" s="28">
        <v>100024624</v>
      </c>
      <c r="B246" s="28">
        <v>115.6</v>
      </c>
      <c r="C246" s="28">
        <v>150</v>
      </c>
    </row>
    <row r="247" spans="1:3" x14ac:dyDescent="0.35">
      <c r="A247" s="28">
        <v>100023339</v>
      </c>
      <c r="B247" s="28">
        <v>107.9</v>
      </c>
      <c r="C247" s="28">
        <v>140</v>
      </c>
    </row>
    <row r="248" spans="1:3" x14ac:dyDescent="0.35">
      <c r="A248" s="28">
        <v>100022786</v>
      </c>
      <c r="B248" s="28">
        <v>107.9</v>
      </c>
      <c r="C248" s="28">
        <v>140</v>
      </c>
    </row>
    <row r="249" spans="1:3" x14ac:dyDescent="0.35">
      <c r="A249" s="28">
        <v>100022785</v>
      </c>
      <c r="B249" s="28">
        <v>107.90000000000002</v>
      </c>
      <c r="C249" s="28">
        <v>140</v>
      </c>
    </row>
    <row r="250" spans="1:3" x14ac:dyDescent="0.35">
      <c r="A250" s="28">
        <v>100023338</v>
      </c>
      <c r="B250" s="28">
        <v>107.9</v>
      </c>
      <c r="C250" s="28">
        <v>140</v>
      </c>
    </row>
    <row r="251" spans="1:3" x14ac:dyDescent="0.35">
      <c r="A251" s="28">
        <v>100023094</v>
      </c>
      <c r="B251" s="28">
        <v>107.9</v>
      </c>
      <c r="C251" s="28">
        <v>140</v>
      </c>
    </row>
    <row r="252" spans="1:3" x14ac:dyDescent="0.35">
      <c r="A252" s="28">
        <v>100023336</v>
      </c>
      <c r="B252" s="28">
        <v>107.9</v>
      </c>
      <c r="C252" s="28">
        <v>140</v>
      </c>
    </row>
    <row r="253" spans="1:3" x14ac:dyDescent="0.35">
      <c r="A253" s="28">
        <v>100023337</v>
      </c>
      <c r="B253" s="28">
        <v>107.9</v>
      </c>
      <c r="C253" s="28">
        <v>140</v>
      </c>
    </row>
    <row r="254" spans="1:3" x14ac:dyDescent="0.35">
      <c r="A254" s="28">
        <v>100020897</v>
      </c>
      <c r="B254" s="28">
        <v>107.9</v>
      </c>
      <c r="C254" s="28">
        <v>140</v>
      </c>
    </row>
    <row r="255" spans="1:3" x14ac:dyDescent="0.35">
      <c r="A255" s="28">
        <v>100020894</v>
      </c>
      <c r="B255" s="28">
        <v>107.9</v>
      </c>
      <c r="C255" s="28">
        <v>140</v>
      </c>
    </row>
    <row r="256" spans="1:3" x14ac:dyDescent="0.35">
      <c r="A256" s="28">
        <v>100020893</v>
      </c>
      <c r="B256" s="28">
        <v>107.9</v>
      </c>
      <c r="C256" s="28">
        <v>140</v>
      </c>
    </row>
    <row r="257" spans="1:3" x14ac:dyDescent="0.35">
      <c r="A257" s="28">
        <v>100020892</v>
      </c>
      <c r="B257" s="28">
        <v>107.9</v>
      </c>
      <c r="C257" s="28">
        <v>140</v>
      </c>
    </row>
    <row r="258" spans="1:3" x14ac:dyDescent="0.35">
      <c r="A258" s="28">
        <v>100020890</v>
      </c>
      <c r="B258" s="28">
        <v>107.9</v>
      </c>
      <c r="C258" s="28">
        <v>140</v>
      </c>
    </row>
    <row r="259" spans="1:3" x14ac:dyDescent="0.35">
      <c r="A259" s="28">
        <v>100020888</v>
      </c>
      <c r="B259" s="28">
        <v>107.90000000000002</v>
      </c>
      <c r="C259" s="28">
        <v>140</v>
      </c>
    </row>
    <row r="260" spans="1:3" x14ac:dyDescent="0.35">
      <c r="A260" s="28">
        <v>100020886</v>
      </c>
      <c r="B260" s="28">
        <v>107.9</v>
      </c>
      <c r="C260" s="28">
        <v>46</v>
      </c>
    </row>
    <row r="261" spans="1:3" x14ac:dyDescent="0.35">
      <c r="A261" s="28">
        <v>100020885</v>
      </c>
      <c r="B261" s="28">
        <v>107.9</v>
      </c>
      <c r="C261" s="28">
        <v>140</v>
      </c>
    </row>
    <row r="262" spans="1:3" x14ac:dyDescent="0.35">
      <c r="A262" s="28">
        <v>100020883</v>
      </c>
      <c r="B262" s="28">
        <v>107.9</v>
      </c>
      <c r="C262" s="28">
        <v>140</v>
      </c>
    </row>
    <row r="263" spans="1:3" x14ac:dyDescent="0.35">
      <c r="A263" s="28">
        <v>100020882</v>
      </c>
      <c r="B263" s="28">
        <v>107.90000000000002</v>
      </c>
      <c r="C263" s="28">
        <v>140</v>
      </c>
    </row>
    <row r="264" spans="1:3" x14ac:dyDescent="0.35">
      <c r="A264" s="28">
        <v>100020879</v>
      </c>
      <c r="B264" s="28">
        <v>107.90000000000002</v>
      </c>
      <c r="C264" s="28">
        <v>140</v>
      </c>
    </row>
    <row r="265" spans="1:3" x14ac:dyDescent="0.35">
      <c r="A265" s="28">
        <v>100020880</v>
      </c>
      <c r="B265" s="28">
        <v>107.9</v>
      </c>
      <c r="C265" s="28">
        <v>140</v>
      </c>
    </row>
    <row r="266" spans="1:3" x14ac:dyDescent="0.35">
      <c r="A266" s="28">
        <v>100020881</v>
      </c>
      <c r="B266" s="28">
        <v>107.9</v>
      </c>
      <c r="C266" s="28">
        <v>140</v>
      </c>
    </row>
    <row r="267" spans="1:3" x14ac:dyDescent="0.35">
      <c r="A267" s="28">
        <v>100020878</v>
      </c>
      <c r="B267" s="28">
        <v>107.9</v>
      </c>
      <c r="C267" s="28">
        <v>46</v>
      </c>
    </row>
    <row r="268" spans="1:3" x14ac:dyDescent="0.35">
      <c r="A268" s="28">
        <v>100020877</v>
      </c>
      <c r="B268" s="28">
        <v>107.90000000000002</v>
      </c>
      <c r="C268" s="28">
        <v>140</v>
      </c>
    </row>
    <row r="269" spans="1:3" x14ac:dyDescent="0.35">
      <c r="A269" s="28">
        <v>100020875</v>
      </c>
      <c r="B269" s="28">
        <v>107.9</v>
      </c>
      <c r="C269" s="28">
        <v>140</v>
      </c>
    </row>
    <row r="270" spans="1:3" x14ac:dyDescent="0.35">
      <c r="A270" s="28">
        <v>100020874</v>
      </c>
      <c r="B270" s="28">
        <v>107.90000000000002</v>
      </c>
      <c r="C270" s="28">
        <v>140</v>
      </c>
    </row>
    <row r="271" spans="1:3" x14ac:dyDescent="0.35">
      <c r="A271" s="28">
        <v>100020873</v>
      </c>
      <c r="B271" s="28">
        <v>107.90000000000002</v>
      </c>
      <c r="C271" s="28">
        <v>140</v>
      </c>
    </row>
    <row r="272" spans="1:3" x14ac:dyDescent="0.35">
      <c r="A272" s="28">
        <v>100020871</v>
      </c>
      <c r="B272" s="28">
        <v>107.9</v>
      </c>
      <c r="C272" s="28">
        <v>140</v>
      </c>
    </row>
    <row r="273" spans="1:3" x14ac:dyDescent="0.35">
      <c r="A273" s="28">
        <v>100020899</v>
      </c>
      <c r="B273" s="28">
        <v>76.299999999999983</v>
      </c>
      <c r="C273" s="28">
        <v>99</v>
      </c>
    </row>
    <row r="274" spans="1:3" x14ac:dyDescent="0.35">
      <c r="A274" s="28">
        <v>100020898</v>
      </c>
      <c r="B274" s="28">
        <v>76.3</v>
      </c>
      <c r="C274" s="28">
        <v>99</v>
      </c>
    </row>
    <row r="275" spans="1:3" x14ac:dyDescent="0.35">
      <c r="A275" s="28">
        <v>100022784</v>
      </c>
      <c r="B275" s="28">
        <v>76.299999999999983</v>
      </c>
      <c r="C275" s="28">
        <v>99</v>
      </c>
    </row>
    <row r="276" spans="1:3" x14ac:dyDescent="0.35">
      <c r="A276" s="28">
        <v>101000084</v>
      </c>
      <c r="B276" s="28">
        <v>115.59999999999998</v>
      </c>
      <c r="C276" s="28">
        <v>150</v>
      </c>
    </row>
    <row r="277" spans="1:3" x14ac:dyDescent="0.35">
      <c r="A277" s="28">
        <v>100025449</v>
      </c>
      <c r="B277" s="28">
        <v>54.37</v>
      </c>
      <c r="C277" s="28">
        <v>80</v>
      </c>
    </row>
    <row r="278" spans="1:3" x14ac:dyDescent="0.35">
      <c r="A278" s="28">
        <v>100023684</v>
      </c>
      <c r="B278" s="28">
        <v>55.149999999999984</v>
      </c>
      <c r="C278" s="28">
        <v>85</v>
      </c>
    </row>
    <row r="279" spans="1:3" x14ac:dyDescent="0.35">
      <c r="A279" s="28">
        <v>100023683</v>
      </c>
      <c r="B279" s="28">
        <v>55.149999999999984</v>
      </c>
      <c r="C279" s="28">
        <v>85</v>
      </c>
    </row>
    <row r="280" spans="1:3" x14ac:dyDescent="0.35">
      <c r="A280" s="28">
        <v>100023680</v>
      </c>
      <c r="B280" s="28">
        <v>55.149999999999984</v>
      </c>
      <c r="C280" s="28">
        <v>85</v>
      </c>
    </row>
    <row r="281" spans="1:3" x14ac:dyDescent="0.35">
      <c r="A281" s="28">
        <v>100014678</v>
      </c>
      <c r="B281" s="28">
        <v>38.029999999999987</v>
      </c>
      <c r="C281" s="28">
        <v>71</v>
      </c>
    </row>
    <row r="282" spans="1:3" x14ac:dyDescent="0.35">
      <c r="A282" s="28">
        <v>100019228</v>
      </c>
      <c r="B282" s="28">
        <v>49.090000000000018</v>
      </c>
      <c r="C282" s="28">
        <v>73</v>
      </c>
    </row>
    <row r="283" spans="1:3" x14ac:dyDescent="0.35">
      <c r="A283" s="28">
        <v>100019050</v>
      </c>
      <c r="B283" s="28">
        <v>45</v>
      </c>
      <c r="C283" s="28" t="e">
        <v>#N/A</v>
      </c>
    </row>
    <row r="284" spans="1:3" x14ac:dyDescent="0.35">
      <c r="A284" s="28">
        <v>100020839</v>
      </c>
      <c r="B284" s="28">
        <v>50</v>
      </c>
      <c r="C284" s="28">
        <v>96</v>
      </c>
    </row>
    <row r="285" spans="1:3" x14ac:dyDescent="0.35">
      <c r="A285" s="28">
        <v>100019232</v>
      </c>
      <c r="B285" s="28">
        <v>49.090000000000018</v>
      </c>
      <c r="C285" s="28">
        <v>73</v>
      </c>
    </row>
    <row r="286" spans="1:3" x14ac:dyDescent="0.35">
      <c r="A286" s="28">
        <v>100019051</v>
      </c>
      <c r="B286" s="28">
        <v>45</v>
      </c>
      <c r="C286" s="28" t="e">
        <v>#N/A</v>
      </c>
    </row>
    <row r="287" spans="1:3" x14ac:dyDescent="0.35">
      <c r="A287" s="28">
        <v>100019958</v>
      </c>
      <c r="B287" s="28">
        <v>52.45000000000001</v>
      </c>
      <c r="C287" s="28">
        <v>96</v>
      </c>
    </row>
    <row r="288" spans="1:3" x14ac:dyDescent="0.35">
      <c r="A288" s="28">
        <v>100020528</v>
      </c>
      <c r="B288" s="28">
        <v>52.45000000000001</v>
      </c>
      <c r="C288" s="28">
        <v>96</v>
      </c>
    </row>
    <row r="289" spans="1:3" x14ac:dyDescent="0.35">
      <c r="A289" s="28">
        <v>100014061</v>
      </c>
      <c r="B289" s="28">
        <v>50</v>
      </c>
      <c r="C289" s="28" t="e">
        <v>#N/A</v>
      </c>
    </row>
    <row r="290" spans="1:3" x14ac:dyDescent="0.35">
      <c r="A290" s="28">
        <v>100080991</v>
      </c>
      <c r="B290" s="28">
        <v>50</v>
      </c>
      <c r="C290" s="28" t="e">
        <v>#N/A</v>
      </c>
    </row>
    <row r="291" spans="1:3" x14ac:dyDescent="0.35">
      <c r="A291" s="28">
        <v>100019959</v>
      </c>
      <c r="B291" s="28">
        <v>52.45000000000001</v>
      </c>
      <c r="C291" s="28">
        <v>96</v>
      </c>
    </row>
    <row r="292" spans="1:3" x14ac:dyDescent="0.35">
      <c r="A292" s="28">
        <v>100010175</v>
      </c>
      <c r="B292" s="28">
        <v>49.76</v>
      </c>
      <c r="C292" s="28" t="e">
        <v>#N/A</v>
      </c>
    </row>
    <row r="293" spans="1:3" x14ac:dyDescent="0.35">
      <c r="A293" s="28">
        <v>100006386</v>
      </c>
      <c r="B293" s="28">
        <v>52.45</v>
      </c>
      <c r="C293" s="28" t="e">
        <v>#N/A</v>
      </c>
    </row>
    <row r="294" spans="1:3" x14ac:dyDescent="0.35">
      <c r="A294" s="28">
        <v>100080878</v>
      </c>
      <c r="B294" s="28">
        <v>50.43</v>
      </c>
      <c r="C294" s="28">
        <v>75</v>
      </c>
    </row>
    <row r="295" spans="1:3" x14ac:dyDescent="0.35">
      <c r="A295" s="28">
        <v>100023316</v>
      </c>
      <c r="B295" s="28">
        <v>52.45000000000001</v>
      </c>
      <c r="C295" s="28">
        <v>73</v>
      </c>
    </row>
    <row r="296" spans="1:3" x14ac:dyDescent="0.35">
      <c r="A296" s="28">
        <v>100025444</v>
      </c>
      <c r="B296" s="28">
        <v>64.549999999999983</v>
      </c>
      <c r="C296" s="28">
        <v>96</v>
      </c>
    </row>
    <row r="297" spans="1:3" x14ac:dyDescent="0.35">
      <c r="A297" s="28">
        <v>100080892</v>
      </c>
      <c r="B297" s="28">
        <v>50.43</v>
      </c>
      <c r="C297" s="28">
        <v>75</v>
      </c>
    </row>
    <row r="298" spans="1:3" x14ac:dyDescent="0.35">
      <c r="A298" s="28">
        <v>100023314</v>
      </c>
      <c r="B298" s="28">
        <v>45</v>
      </c>
      <c r="C298" s="28" t="e">
        <v>#N/A</v>
      </c>
    </row>
    <row r="299" spans="1:3" x14ac:dyDescent="0.35">
      <c r="A299" s="28">
        <v>100025443</v>
      </c>
      <c r="B299" s="28">
        <v>64.549999999999983</v>
      </c>
      <c r="C299" s="28">
        <v>96</v>
      </c>
    </row>
    <row r="300" spans="1:3" x14ac:dyDescent="0.35">
      <c r="A300" s="28">
        <v>100013594</v>
      </c>
      <c r="B300" s="28">
        <v>64.55</v>
      </c>
      <c r="C300" s="28">
        <v>96</v>
      </c>
    </row>
    <row r="301" spans="1:3" x14ac:dyDescent="0.35">
      <c r="A301" s="28">
        <v>100015341</v>
      </c>
      <c r="B301" s="28">
        <v>64.549999999999983</v>
      </c>
      <c r="C301" s="28">
        <v>96</v>
      </c>
    </row>
    <row r="302" spans="1:3" x14ac:dyDescent="0.35">
      <c r="A302" s="28">
        <v>100025445</v>
      </c>
      <c r="B302" s="28">
        <v>64.549999999999983</v>
      </c>
      <c r="C302" s="28">
        <v>96</v>
      </c>
    </row>
    <row r="303" spans="1:3" x14ac:dyDescent="0.35">
      <c r="A303" s="28">
        <v>100021888</v>
      </c>
      <c r="B303" s="28">
        <v>52.45000000000001</v>
      </c>
      <c r="C303" s="28">
        <v>96</v>
      </c>
    </row>
    <row r="304" spans="1:3" x14ac:dyDescent="0.35">
      <c r="A304" s="28">
        <v>100021889</v>
      </c>
      <c r="B304" s="28">
        <v>52.45000000000001</v>
      </c>
      <c r="C304" s="28">
        <v>67</v>
      </c>
    </row>
    <row r="305" spans="1:3" x14ac:dyDescent="0.35">
      <c r="A305" s="28">
        <v>100021887</v>
      </c>
      <c r="B305" s="28">
        <v>52.45000000000001</v>
      </c>
      <c r="C305" s="28">
        <v>78</v>
      </c>
    </row>
    <row r="306" spans="1:3" x14ac:dyDescent="0.35">
      <c r="A306" s="28">
        <v>100021886</v>
      </c>
      <c r="B306" s="28">
        <v>52.45000000000001</v>
      </c>
      <c r="C306" s="28">
        <v>61.230769230769234</v>
      </c>
    </row>
    <row r="307" spans="1:3" x14ac:dyDescent="0.35">
      <c r="A307" s="28">
        <v>100025446</v>
      </c>
      <c r="B307" s="28">
        <v>64.549999999999983</v>
      </c>
      <c r="C307" s="28">
        <v>96</v>
      </c>
    </row>
    <row r="308" spans="1:3" x14ac:dyDescent="0.35">
      <c r="A308" s="28">
        <v>100025284</v>
      </c>
      <c r="B308" s="28">
        <v>64.549999999999983</v>
      </c>
      <c r="C308" s="28">
        <v>96</v>
      </c>
    </row>
    <row r="309" spans="1:3" x14ac:dyDescent="0.35">
      <c r="A309" s="28">
        <v>100025283</v>
      </c>
      <c r="B309" s="28">
        <v>49.090000000000018</v>
      </c>
      <c r="C309" s="28">
        <v>73</v>
      </c>
    </row>
    <row r="310" spans="1:3" x14ac:dyDescent="0.35">
      <c r="A310" s="28">
        <v>100010317</v>
      </c>
      <c r="B310" s="28">
        <v>50</v>
      </c>
      <c r="C310" s="28" t="e">
        <v>#N/A</v>
      </c>
    </row>
    <row r="311" spans="1:3" x14ac:dyDescent="0.35">
      <c r="A311" s="28">
        <v>100080803</v>
      </c>
      <c r="B311" s="28">
        <v>45</v>
      </c>
      <c r="C311" s="28" t="e">
        <v>#N/A</v>
      </c>
    </row>
    <row r="312" spans="1:3" x14ac:dyDescent="0.35">
      <c r="A312" s="28">
        <v>100080834</v>
      </c>
      <c r="B312" s="28">
        <v>45</v>
      </c>
      <c r="C312" s="28" t="e">
        <v>#N/A</v>
      </c>
    </row>
    <row r="313" spans="1:3" x14ac:dyDescent="0.35">
      <c r="A313" s="28">
        <v>100080891</v>
      </c>
      <c r="B313" s="28">
        <v>45</v>
      </c>
      <c r="C313" s="28" t="e">
        <v>#N/A</v>
      </c>
    </row>
    <row r="314" spans="1:3" x14ac:dyDescent="0.35">
      <c r="A314" s="28">
        <v>100080877</v>
      </c>
      <c r="B314" s="28">
        <v>45</v>
      </c>
      <c r="C314" s="28" t="e">
        <v>#N/A</v>
      </c>
    </row>
    <row r="315" spans="1:3" x14ac:dyDescent="0.35">
      <c r="A315" s="28">
        <v>100080806</v>
      </c>
      <c r="B315" s="28">
        <v>45</v>
      </c>
      <c r="C315" s="28" t="e">
        <v>#N/A</v>
      </c>
    </row>
    <row r="316" spans="1:3" x14ac:dyDescent="0.35">
      <c r="A316" s="28">
        <v>100080888</v>
      </c>
      <c r="B316" s="28">
        <v>45</v>
      </c>
      <c r="C316" s="28" t="e">
        <v>#N/A</v>
      </c>
    </row>
    <row r="317" spans="1:3" x14ac:dyDescent="0.35">
      <c r="A317" s="28">
        <v>100015215</v>
      </c>
      <c r="B317" s="28">
        <v>52.45000000000001</v>
      </c>
      <c r="C317" s="28">
        <v>73</v>
      </c>
    </row>
    <row r="318" spans="1:3" x14ac:dyDescent="0.35">
      <c r="A318" s="28">
        <v>100011743</v>
      </c>
      <c r="B318" s="28">
        <v>49.76</v>
      </c>
      <c r="C318" s="28" t="e">
        <v>#N/A</v>
      </c>
    </row>
    <row r="319" spans="1:3" x14ac:dyDescent="0.35">
      <c r="A319" s="28">
        <v>100023315</v>
      </c>
      <c r="B319" s="28">
        <v>52.45000000000001</v>
      </c>
      <c r="C319" s="28">
        <v>73</v>
      </c>
    </row>
    <row r="320" spans="1:3" x14ac:dyDescent="0.35">
      <c r="A320" s="28">
        <v>100025442</v>
      </c>
      <c r="B320" s="28">
        <v>64.549999999999983</v>
      </c>
      <c r="C320" s="28">
        <v>96</v>
      </c>
    </row>
    <row r="321" spans="1:3" x14ac:dyDescent="0.35">
      <c r="A321" s="28">
        <v>100025448</v>
      </c>
      <c r="B321" s="28">
        <v>49.090000000000018</v>
      </c>
      <c r="C321" s="28">
        <v>73</v>
      </c>
    </row>
    <row r="322" spans="1:3" x14ac:dyDescent="0.35">
      <c r="A322" s="28">
        <v>100024884</v>
      </c>
      <c r="B322" s="28">
        <v>64.549999999999983</v>
      </c>
      <c r="C322" s="28">
        <v>96</v>
      </c>
    </row>
    <row r="323" spans="1:3" x14ac:dyDescent="0.35">
      <c r="A323" s="28">
        <v>100024885</v>
      </c>
      <c r="B323" s="28">
        <v>64.549999999999983</v>
      </c>
      <c r="C323" s="28">
        <v>96</v>
      </c>
    </row>
    <row r="324" spans="1:3" x14ac:dyDescent="0.35">
      <c r="A324" s="28">
        <v>100024888</v>
      </c>
      <c r="B324" s="28">
        <v>64.549999999999983</v>
      </c>
      <c r="C324" s="28">
        <v>96</v>
      </c>
    </row>
    <row r="325" spans="1:3" x14ac:dyDescent="0.35">
      <c r="A325" s="28">
        <v>100024886</v>
      </c>
      <c r="B325" s="28">
        <v>64.549999999999983</v>
      </c>
      <c r="C325" s="28">
        <v>96</v>
      </c>
    </row>
    <row r="326" spans="1:3" x14ac:dyDescent="0.35">
      <c r="A326" s="28">
        <v>100024887</v>
      </c>
      <c r="B326" s="28">
        <v>64.549999999999983</v>
      </c>
      <c r="C326" s="28">
        <v>96</v>
      </c>
    </row>
    <row r="327" spans="1:3" x14ac:dyDescent="0.35">
      <c r="A327" s="28">
        <v>100024883</v>
      </c>
      <c r="B327" s="28">
        <v>64.549999999999983</v>
      </c>
      <c r="C327" s="28">
        <v>96</v>
      </c>
    </row>
    <row r="328" spans="1:3" x14ac:dyDescent="0.35">
      <c r="A328" s="28">
        <v>100024882</v>
      </c>
      <c r="B328" s="28">
        <v>64.549999999999983</v>
      </c>
      <c r="C328" s="28">
        <v>96</v>
      </c>
    </row>
    <row r="329" spans="1:3" x14ac:dyDescent="0.35">
      <c r="A329" s="28">
        <v>100019052</v>
      </c>
      <c r="B329" s="28">
        <v>59.84</v>
      </c>
      <c r="C329" s="28">
        <v>89</v>
      </c>
    </row>
    <row r="330" spans="1:3" x14ac:dyDescent="0.35">
      <c r="A330" s="28">
        <v>100080808</v>
      </c>
      <c r="B330" s="28">
        <v>42.840000000000011</v>
      </c>
      <c r="C330" s="28">
        <v>96</v>
      </c>
    </row>
    <row r="331" spans="1:3" x14ac:dyDescent="0.35">
      <c r="A331" s="28">
        <v>100020770</v>
      </c>
      <c r="B331" s="28">
        <v>53</v>
      </c>
      <c r="C331" s="28">
        <v>96</v>
      </c>
    </row>
    <row r="332" spans="1:3" x14ac:dyDescent="0.35">
      <c r="A332" s="28">
        <v>100024301</v>
      </c>
      <c r="B332" s="28">
        <v>49.649999999999984</v>
      </c>
      <c r="C332" s="28">
        <v>96</v>
      </c>
    </row>
    <row r="333" spans="1:3" x14ac:dyDescent="0.35">
      <c r="A333" s="28">
        <v>100025452</v>
      </c>
      <c r="B333" s="28">
        <v>54.37</v>
      </c>
      <c r="C333" s="28">
        <v>80</v>
      </c>
    </row>
    <row r="334" spans="1:3" x14ac:dyDescent="0.35">
      <c r="A334" s="28">
        <v>100024303</v>
      </c>
      <c r="B334" s="28">
        <v>49.649999999999984</v>
      </c>
      <c r="C334" s="28">
        <v>96</v>
      </c>
    </row>
    <row r="335" spans="1:3" x14ac:dyDescent="0.35">
      <c r="A335" s="28">
        <v>100024306</v>
      </c>
      <c r="B335" s="28">
        <v>49.649999999999984</v>
      </c>
      <c r="C335" s="28">
        <v>96</v>
      </c>
    </row>
    <row r="336" spans="1:3" x14ac:dyDescent="0.35">
      <c r="A336" s="28">
        <v>100025451</v>
      </c>
      <c r="B336" s="28">
        <v>54.37</v>
      </c>
      <c r="C336" s="28">
        <v>80</v>
      </c>
    </row>
    <row r="337" spans="1:3" x14ac:dyDescent="0.35">
      <c r="A337" s="28">
        <v>100024305</v>
      </c>
      <c r="B337" s="28">
        <v>49.649999999999984</v>
      </c>
      <c r="C337" s="28">
        <v>96</v>
      </c>
    </row>
    <row r="338" spans="1:3" x14ac:dyDescent="0.35">
      <c r="A338" s="28">
        <v>100025450</v>
      </c>
      <c r="B338" s="28">
        <v>54.37</v>
      </c>
      <c r="C338" s="28">
        <v>80</v>
      </c>
    </row>
    <row r="339" spans="1:3" x14ac:dyDescent="0.35">
      <c r="A339" s="28">
        <v>100022332</v>
      </c>
      <c r="B339" s="28">
        <v>37.300000000000004</v>
      </c>
      <c r="C339" s="28">
        <v>71</v>
      </c>
    </row>
    <row r="340" spans="1:3" x14ac:dyDescent="0.35">
      <c r="A340" s="28">
        <v>100024304</v>
      </c>
      <c r="B340" s="28">
        <v>49.649999999999984</v>
      </c>
      <c r="C340" s="28">
        <v>96</v>
      </c>
    </row>
    <row r="341" spans="1:3" x14ac:dyDescent="0.35">
      <c r="A341" s="28">
        <v>100022331</v>
      </c>
      <c r="B341" s="28">
        <v>37.300000000000004</v>
      </c>
      <c r="C341" s="28">
        <v>71</v>
      </c>
    </row>
    <row r="342" spans="1:3" x14ac:dyDescent="0.35">
      <c r="A342" s="28">
        <v>100019003</v>
      </c>
      <c r="B342" s="28">
        <v>50</v>
      </c>
      <c r="C342" s="28">
        <v>96</v>
      </c>
    </row>
    <row r="343" spans="1:3" x14ac:dyDescent="0.35">
      <c r="A343" s="28">
        <v>100006296</v>
      </c>
      <c r="B343" s="28">
        <v>46.670000000000009</v>
      </c>
      <c r="C343" s="28">
        <v>66</v>
      </c>
    </row>
    <row r="344" spans="1:3" x14ac:dyDescent="0.35">
      <c r="A344" s="28">
        <v>100022139</v>
      </c>
      <c r="B344" s="28">
        <v>46.26</v>
      </c>
      <c r="C344" s="28">
        <v>96</v>
      </c>
    </row>
    <row r="345" spans="1:3" x14ac:dyDescent="0.35">
      <c r="A345" s="28">
        <v>100022845</v>
      </c>
      <c r="B345" s="28">
        <v>46.230000000000011</v>
      </c>
      <c r="C345" s="28">
        <v>96</v>
      </c>
    </row>
    <row r="346" spans="1:3" x14ac:dyDescent="0.35">
      <c r="A346" s="28">
        <v>100023891</v>
      </c>
      <c r="B346" s="28">
        <v>49.639999999999993</v>
      </c>
      <c r="C346" s="28">
        <v>96</v>
      </c>
    </row>
    <row r="347" spans="1:3" x14ac:dyDescent="0.35">
      <c r="A347" s="28">
        <v>100022968</v>
      </c>
      <c r="B347" s="28">
        <v>49.639999999999993</v>
      </c>
      <c r="C347" s="28">
        <v>96</v>
      </c>
    </row>
    <row r="348" spans="1:3" x14ac:dyDescent="0.35">
      <c r="A348" s="28">
        <v>100010332</v>
      </c>
      <c r="B348" s="28">
        <v>50</v>
      </c>
      <c r="C348" s="28" t="e">
        <v>#N/A</v>
      </c>
    </row>
    <row r="349" spans="1:3" x14ac:dyDescent="0.35">
      <c r="A349" s="28">
        <v>100006294</v>
      </c>
      <c r="B349" s="28">
        <v>46.670000000000009</v>
      </c>
      <c r="C349" s="28">
        <v>66</v>
      </c>
    </row>
    <row r="350" spans="1:3" x14ac:dyDescent="0.35">
      <c r="A350" s="28">
        <v>100018586</v>
      </c>
      <c r="B350" s="28">
        <v>31.709999999999997</v>
      </c>
      <c r="C350" s="28">
        <v>45</v>
      </c>
    </row>
    <row r="351" spans="1:3" x14ac:dyDescent="0.35">
      <c r="A351" s="28">
        <v>100080990</v>
      </c>
      <c r="B351" s="28">
        <v>50</v>
      </c>
      <c r="C351" s="28" t="e">
        <v>#N/A</v>
      </c>
    </row>
    <row r="352" spans="1:3" x14ac:dyDescent="0.35">
      <c r="A352" s="28">
        <v>100021422</v>
      </c>
      <c r="B352" s="28">
        <v>49.56</v>
      </c>
      <c r="C352" s="28">
        <v>103</v>
      </c>
    </row>
    <row r="353" spans="1:3" x14ac:dyDescent="0.35">
      <c r="A353" s="28">
        <v>100019696</v>
      </c>
      <c r="B353" s="28">
        <v>50</v>
      </c>
      <c r="C353" s="28" t="e">
        <v>#N/A</v>
      </c>
    </row>
    <row r="354" spans="1:3" x14ac:dyDescent="0.35">
      <c r="A354" s="28">
        <v>100015219</v>
      </c>
      <c r="B354" s="28">
        <v>45</v>
      </c>
      <c r="C354" s="28" t="e">
        <v>#N/A</v>
      </c>
    </row>
    <row r="355" spans="1:3" x14ac:dyDescent="0.35">
      <c r="A355" s="28">
        <v>100019698</v>
      </c>
      <c r="B355" s="28">
        <v>50</v>
      </c>
      <c r="C355" s="28" t="e">
        <v>#N/A</v>
      </c>
    </row>
    <row r="356" spans="1:3" x14ac:dyDescent="0.35">
      <c r="A356" s="28">
        <v>100021413</v>
      </c>
      <c r="B356" s="28">
        <v>49.56</v>
      </c>
      <c r="C356" s="28">
        <v>103</v>
      </c>
    </row>
    <row r="357" spans="1:3" x14ac:dyDescent="0.35">
      <c r="A357" s="28">
        <v>100021421</v>
      </c>
      <c r="B357" s="28">
        <v>49.56</v>
      </c>
      <c r="C357" s="28">
        <v>103</v>
      </c>
    </row>
    <row r="358" spans="1:3" x14ac:dyDescent="0.35">
      <c r="A358" s="28">
        <v>100021415</v>
      </c>
      <c r="B358" s="28">
        <v>49.56</v>
      </c>
      <c r="C358" s="28">
        <v>103</v>
      </c>
    </row>
    <row r="359" spans="1:3" x14ac:dyDescent="0.35">
      <c r="A359" s="28">
        <v>100021411</v>
      </c>
      <c r="B359" s="28">
        <v>49.56</v>
      </c>
      <c r="C359" s="28">
        <v>103</v>
      </c>
    </row>
    <row r="360" spans="1:3" x14ac:dyDescent="0.35">
      <c r="A360" s="28">
        <v>100021409</v>
      </c>
      <c r="B360" s="28">
        <v>49.56</v>
      </c>
      <c r="C360" s="28">
        <v>103</v>
      </c>
    </row>
    <row r="361" spans="1:3" x14ac:dyDescent="0.35">
      <c r="A361" s="28">
        <v>100021407</v>
      </c>
      <c r="B361" s="28">
        <v>49.56</v>
      </c>
      <c r="C361" s="28">
        <v>103</v>
      </c>
    </row>
    <row r="362" spans="1:3" x14ac:dyDescent="0.35">
      <c r="A362" s="28">
        <v>100021418</v>
      </c>
      <c r="B362" s="28">
        <v>49.56</v>
      </c>
      <c r="C362" s="28">
        <v>103</v>
      </c>
    </row>
    <row r="363" spans="1:3" x14ac:dyDescent="0.35">
      <c r="A363" s="28">
        <v>100022334</v>
      </c>
      <c r="B363" s="28">
        <v>49.56</v>
      </c>
      <c r="C363" s="28" t="e">
        <v>#N/A</v>
      </c>
    </row>
    <row r="364" spans="1:3" x14ac:dyDescent="0.35">
      <c r="A364" s="28">
        <v>100020135</v>
      </c>
      <c r="B364" s="28">
        <v>45.040000000000013</v>
      </c>
      <c r="C364" s="28">
        <v>96</v>
      </c>
    </row>
    <row r="365" spans="1:3" x14ac:dyDescent="0.35">
      <c r="A365" s="28">
        <v>100020134</v>
      </c>
      <c r="B365" s="28">
        <v>45.04</v>
      </c>
      <c r="C365" s="28">
        <v>103</v>
      </c>
    </row>
    <row r="366" spans="1:3" x14ac:dyDescent="0.35">
      <c r="A366" s="28">
        <v>100020136</v>
      </c>
      <c r="B366" s="28">
        <v>45.04</v>
      </c>
      <c r="C366" s="28">
        <v>96</v>
      </c>
    </row>
    <row r="367" spans="1:3" x14ac:dyDescent="0.35">
      <c r="A367" s="28">
        <v>100019578</v>
      </c>
      <c r="B367" s="28">
        <v>45.04</v>
      </c>
      <c r="C367" s="28" t="e">
        <v>#N/A</v>
      </c>
    </row>
    <row r="368" spans="1:3" x14ac:dyDescent="0.35">
      <c r="A368" s="28">
        <v>100020724</v>
      </c>
      <c r="B368" s="28">
        <v>42.840000000000011</v>
      </c>
      <c r="C368" s="28">
        <v>96</v>
      </c>
    </row>
    <row r="369" spans="1:3" x14ac:dyDescent="0.35">
      <c r="A369" s="28">
        <v>100020725</v>
      </c>
      <c r="B369" s="28">
        <v>42.840000000000011</v>
      </c>
      <c r="C369" s="28">
        <v>96</v>
      </c>
    </row>
    <row r="370" spans="1:3" x14ac:dyDescent="0.35">
      <c r="A370" s="28">
        <v>100020726</v>
      </c>
      <c r="B370" s="28">
        <v>42.840000000000011</v>
      </c>
      <c r="C370" s="28">
        <v>96</v>
      </c>
    </row>
    <row r="371" spans="1:3" x14ac:dyDescent="0.35">
      <c r="A371" s="28">
        <v>100019576</v>
      </c>
      <c r="B371" s="28">
        <v>45.04</v>
      </c>
      <c r="C371" s="28" t="e">
        <v>#N/A</v>
      </c>
    </row>
    <row r="372" spans="1:3" x14ac:dyDescent="0.35">
      <c r="A372" s="28">
        <v>100020429</v>
      </c>
      <c r="B372" s="28">
        <v>45.04</v>
      </c>
      <c r="C372" s="28">
        <v>96</v>
      </c>
    </row>
    <row r="373" spans="1:3" x14ac:dyDescent="0.35">
      <c r="A373" s="28">
        <v>100021091</v>
      </c>
      <c r="B373" s="28">
        <v>42.840000000000011</v>
      </c>
      <c r="C373" s="28">
        <v>96</v>
      </c>
    </row>
    <row r="374" spans="1:3" x14ac:dyDescent="0.35">
      <c r="A374" s="28">
        <v>100022138</v>
      </c>
      <c r="B374" s="28">
        <v>46.26</v>
      </c>
      <c r="C374" s="28">
        <v>96</v>
      </c>
    </row>
    <row r="375" spans="1:3" x14ac:dyDescent="0.35">
      <c r="A375" s="28">
        <v>100022849</v>
      </c>
      <c r="B375" s="28">
        <v>46.230000000000011</v>
      </c>
      <c r="C375" s="28">
        <v>96</v>
      </c>
    </row>
    <row r="376" spans="1:3" x14ac:dyDescent="0.35">
      <c r="A376" s="28">
        <v>100023889</v>
      </c>
      <c r="B376" s="28">
        <v>47.579999999999991</v>
      </c>
      <c r="C376" s="28">
        <v>96</v>
      </c>
    </row>
    <row r="377" spans="1:3" x14ac:dyDescent="0.35">
      <c r="A377" s="28">
        <v>100022276</v>
      </c>
      <c r="B377" s="28">
        <v>49.639999999999993</v>
      </c>
      <c r="C377" s="28">
        <v>96</v>
      </c>
    </row>
    <row r="378" spans="1:3" x14ac:dyDescent="0.35">
      <c r="A378" s="28">
        <v>100023362</v>
      </c>
      <c r="B378" s="28">
        <v>46.670000000000009</v>
      </c>
      <c r="C378" s="28">
        <v>66</v>
      </c>
    </row>
    <row r="379" spans="1:3" x14ac:dyDescent="0.35">
      <c r="A379" s="28">
        <v>100020137</v>
      </c>
      <c r="B379" s="28">
        <v>47.63</v>
      </c>
      <c r="C379" s="28">
        <v>47</v>
      </c>
    </row>
    <row r="380" spans="1:3" x14ac:dyDescent="0.35">
      <c r="A380" s="28">
        <v>100080937</v>
      </c>
      <c r="B380" s="28">
        <v>45</v>
      </c>
      <c r="C380" s="28" t="e">
        <v>#N/A</v>
      </c>
    </row>
    <row r="381" spans="1:3" x14ac:dyDescent="0.35">
      <c r="A381" s="28">
        <v>100080829</v>
      </c>
      <c r="B381" s="28">
        <v>45</v>
      </c>
      <c r="C381" s="28" t="e">
        <v>#N/A</v>
      </c>
    </row>
    <row r="382" spans="1:3" x14ac:dyDescent="0.35">
      <c r="A382" s="28">
        <v>100007987</v>
      </c>
      <c r="B382" s="28">
        <v>45</v>
      </c>
      <c r="C382" s="28" t="e">
        <v>#N/A</v>
      </c>
    </row>
    <row r="383" spans="1:3" x14ac:dyDescent="0.35">
      <c r="A383" s="28">
        <v>100080029</v>
      </c>
      <c r="B383" s="28">
        <v>45.04</v>
      </c>
      <c r="C383" s="28">
        <v>22.5</v>
      </c>
    </row>
    <row r="384" spans="1:3" x14ac:dyDescent="0.35">
      <c r="A384" s="28">
        <v>100007989</v>
      </c>
      <c r="B384" s="28">
        <v>45</v>
      </c>
      <c r="C384" s="28" t="e">
        <v>#N/A</v>
      </c>
    </row>
    <row r="385" spans="1:3" x14ac:dyDescent="0.35">
      <c r="A385" s="28">
        <v>100080420</v>
      </c>
      <c r="B385" s="28">
        <v>45</v>
      </c>
      <c r="C385" s="28" t="e">
        <v>#N/A</v>
      </c>
    </row>
    <row r="386" spans="1:3" x14ac:dyDescent="0.35">
      <c r="A386" s="28">
        <v>100080769</v>
      </c>
      <c r="B386" s="28">
        <v>45</v>
      </c>
      <c r="C386" s="28" t="e">
        <v>#N/A</v>
      </c>
    </row>
    <row r="387" spans="1:3" x14ac:dyDescent="0.35">
      <c r="A387" s="28">
        <v>100080797</v>
      </c>
      <c r="B387" s="28">
        <v>45</v>
      </c>
      <c r="C387" s="28" t="e">
        <v>#N/A</v>
      </c>
    </row>
    <row r="388" spans="1:3" x14ac:dyDescent="0.35">
      <c r="A388" s="28">
        <v>100022848</v>
      </c>
      <c r="B388" s="28">
        <v>46.230000000000011</v>
      </c>
      <c r="C388" s="28">
        <v>96</v>
      </c>
    </row>
    <row r="389" spans="1:3" x14ac:dyDescent="0.35">
      <c r="A389" s="28">
        <v>101000061</v>
      </c>
      <c r="B389" s="28">
        <v>37.300000000000004</v>
      </c>
      <c r="C389" s="28">
        <v>71</v>
      </c>
    </row>
    <row r="390" spans="1:3" x14ac:dyDescent="0.35">
      <c r="A390" s="28">
        <v>100022137</v>
      </c>
      <c r="B390" s="28">
        <v>46.26</v>
      </c>
      <c r="C390" s="28">
        <v>96</v>
      </c>
    </row>
    <row r="391" spans="1:3" x14ac:dyDescent="0.35">
      <c r="A391" s="28">
        <v>100023892</v>
      </c>
      <c r="B391" s="28">
        <v>49.639999999999993</v>
      </c>
      <c r="C391" s="28">
        <v>96</v>
      </c>
    </row>
    <row r="392" spans="1:3" x14ac:dyDescent="0.35">
      <c r="A392" s="28">
        <v>100022846</v>
      </c>
      <c r="B392" s="28">
        <v>46.230000000000011</v>
      </c>
      <c r="C392" s="28">
        <v>96</v>
      </c>
    </row>
    <row r="393" spans="1:3" x14ac:dyDescent="0.35">
      <c r="A393" s="28">
        <v>100022136</v>
      </c>
      <c r="B393" s="28">
        <v>46.26</v>
      </c>
      <c r="C393" s="28">
        <v>96</v>
      </c>
    </row>
    <row r="394" spans="1:3" x14ac:dyDescent="0.35">
      <c r="A394" s="28">
        <v>100022847</v>
      </c>
      <c r="B394" s="28">
        <v>46.230000000000011</v>
      </c>
      <c r="C394" s="28">
        <v>96</v>
      </c>
    </row>
    <row r="395" spans="1:3" x14ac:dyDescent="0.35">
      <c r="A395" s="28">
        <v>100022134</v>
      </c>
      <c r="B395" s="28">
        <v>46.26</v>
      </c>
      <c r="C395" s="28">
        <v>96</v>
      </c>
    </row>
    <row r="396" spans="1:3" x14ac:dyDescent="0.35">
      <c r="A396" s="28">
        <v>100007424</v>
      </c>
      <c r="B396" s="28">
        <v>50</v>
      </c>
      <c r="C396" s="28" t="e">
        <v>#N/A</v>
      </c>
    </row>
    <row r="397" spans="1:3" x14ac:dyDescent="0.35">
      <c r="A397" s="28">
        <v>100015222</v>
      </c>
      <c r="B397" s="28">
        <v>53.26</v>
      </c>
      <c r="C397" s="28" t="e">
        <v>#N/A</v>
      </c>
    </row>
    <row r="398" spans="1:3" x14ac:dyDescent="0.35">
      <c r="A398" s="28">
        <v>100023361</v>
      </c>
      <c r="B398" s="28">
        <v>46.670000000000009</v>
      </c>
      <c r="C398" s="28">
        <v>66</v>
      </c>
    </row>
    <row r="399" spans="1:3" x14ac:dyDescent="0.35">
      <c r="A399" s="28">
        <v>100080977</v>
      </c>
      <c r="B399" s="28">
        <v>50</v>
      </c>
      <c r="C399" s="28" t="e">
        <v>#N/A</v>
      </c>
    </row>
    <row r="400" spans="1:3" x14ac:dyDescent="0.35">
      <c r="A400" s="28">
        <v>100023423</v>
      </c>
      <c r="B400" s="28">
        <v>54.96</v>
      </c>
      <c r="C400" s="28">
        <v>85</v>
      </c>
    </row>
    <row r="401" spans="1:3" x14ac:dyDescent="0.35">
      <c r="A401" s="28">
        <v>100023422</v>
      </c>
      <c r="B401" s="28">
        <v>54.96</v>
      </c>
      <c r="C401" s="28">
        <v>85</v>
      </c>
    </row>
    <row r="402" spans="1:3" x14ac:dyDescent="0.35">
      <c r="A402" s="28">
        <v>100023424</v>
      </c>
      <c r="B402" s="28">
        <v>54.96</v>
      </c>
      <c r="C402" s="28">
        <v>85</v>
      </c>
    </row>
    <row r="403" spans="1:3" x14ac:dyDescent="0.35">
      <c r="A403" s="28">
        <v>100023426</v>
      </c>
      <c r="B403" s="28">
        <v>57.54</v>
      </c>
      <c r="C403" s="28">
        <v>89</v>
      </c>
    </row>
    <row r="404" spans="1:3" x14ac:dyDescent="0.35">
      <c r="A404" s="28">
        <v>100019548</v>
      </c>
      <c r="B404" s="28">
        <v>50.429999999999993</v>
      </c>
      <c r="C404" s="28">
        <v>78</v>
      </c>
    </row>
    <row r="405" spans="1:3" x14ac:dyDescent="0.35">
      <c r="A405" s="28">
        <v>100019549</v>
      </c>
      <c r="B405" s="28">
        <v>50.429999999999993</v>
      </c>
      <c r="C405" s="28">
        <v>78</v>
      </c>
    </row>
    <row r="406" spans="1:3" x14ac:dyDescent="0.35">
      <c r="A406" s="28">
        <v>100007451</v>
      </c>
      <c r="B406" s="28">
        <v>50</v>
      </c>
      <c r="C406" s="28" t="e">
        <v>#N/A</v>
      </c>
    </row>
    <row r="407" spans="1:3" x14ac:dyDescent="0.35">
      <c r="A407" s="28">
        <v>100023714</v>
      </c>
      <c r="B407" s="28">
        <v>45.909999999999982</v>
      </c>
      <c r="C407" s="28">
        <v>87</v>
      </c>
    </row>
    <row r="408" spans="1:3" x14ac:dyDescent="0.35">
      <c r="A408" s="28">
        <v>100017662</v>
      </c>
      <c r="B408" s="28">
        <v>42.67</v>
      </c>
      <c r="C408" s="28">
        <v>66</v>
      </c>
    </row>
    <row r="409" spans="1:3" x14ac:dyDescent="0.35">
      <c r="A409" s="28">
        <v>100011378</v>
      </c>
      <c r="B409" s="28">
        <v>54.96</v>
      </c>
      <c r="C409" s="28" t="e">
        <v>#N/A</v>
      </c>
    </row>
    <row r="410" spans="1:3" x14ac:dyDescent="0.35">
      <c r="A410" s="28">
        <v>100011380</v>
      </c>
      <c r="B410" s="28">
        <v>54.96</v>
      </c>
      <c r="C410" s="28" t="e">
        <v>#N/A</v>
      </c>
    </row>
    <row r="411" spans="1:3" x14ac:dyDescent="0.35">
      <c r="A411" s="28">
        <v>100018747</v>
      </c>
      <c r="B411" s="28">
        <v>45</v>
      </c>
      <c r="C411" s="28">
        <v>96</v>
      </c>
    </row>
    <row r="412" spans="1:3" x14ac:dyDescent="0.35">
      <c r="A412" s="28">
        <v>100018748</v>
      </c>
      <c r="B412" s="28">
        <v>50.429999999999993</v>
      </c>
      <c r="C412" s="28">
        <v>59</v>
      </c>
    </row>
    <row r="413" spans="1:3" x14ac:dyDescent="0.35">
      <c r="A413" s="28">
        <v>100008777</v>
      </c>
      <c r="B413" s="28">
        <v>50</v>
      </c>
      <c r="C413" s="28" t="e">
        <v>#N/A</v>
      </c>
    </row>
    <row r="414" spans="1:3" x14ac:dyDescent="0.35">
      <c r="A414" s="28">
        <v>100080954</v>
      </c>
      <c r="B414" s="28">
        <v>50</v>
      </c>
      <c r="C414" s="28" t="e">
        <v>#N/A</v>
      </c>
    </row>
    <row r="415" spans="1:3" x14ac:dyDescent="0.35">
      <c r="A415" s="28">
        <v>100013301</v>
      </c>
      <c r="B415" s="28">
        <v>50</v>
      </c>
      <c r="C415" s="28" t="e">
        <v>#N/A</v>
      </c>
    </row>
    <row r="416" spans="1:3" x14ac:dyDescent="0.35">
      <c r="A416" s="28">
        <v>100015645</v>
      </c>
      <c r="B416" s="28">
        <v>54.96</v>
      </c>
      <c r="C416" s="28">
        <v>85</v>
      </c>
    </row>
    <row r="417" spans="1:3" x14ac:dyDescent="0.35">
      <c r="A417" s="28">
        <v>100015174</v>
      </c>
      <c r="B417" s="28">
        <v>54.96</v>
      </c>
      <c r="C417" s="28">
        <v>85</v>
      </c>
    </row>
    <row r="418" spans="1:3" x14ac:dyDescent="0.35">
      <c r="A418" s="28">
        <v>100015648</v>
      </c>
      <c r="B418" s="28">
        <v>50.429999999999993</v>
      </c>
      <c r="C418" s="28">
        <v>78</v>
      </c>
    </row>
    <row r="419" spans="1:3" x14ac:dyDescent="0.35">
      <c r="A419" s="28">
        <v>100017624</v>
      </c>
      <c r="B419" s="28">
        <v>51.72000000000002</v>
      </c>
      <c r="C419" s="28">
        <v>80</v>
      </c>
    </row>
    <row r="420" spans="1:3" x14ac:dyDescent="0.35">
      <c r="A420" s="28">
        <v>100008441</v>
      </c>
      <c r="B420" s="28">
        <v>50</v>
      </c>
      <c r="C420" s="28" t="e">
        <v>#N/A</v>
      </c>
    </row>
    <row r="421" spans="1:3" x14ac:dyDescent="0.35">
      <c r="A421" s="28">
        <v>100010934</v>
      </c>
      <c r="B421" s="28">
        <v>54.96</v>
      </c>
      <c r="C421" s="28" t="e">
        <v>#N/A</v>
      </c>
    </row>
    <row r="422" spans="1:3" x14ac:dyDescent="0.35">
      <c r="A422" s="28">
        <v>900000012</v>
      </c>
      <c r="B422" s="28">
        <v>50</v>
      </c>
      <c r="C422" s="28" t="e">
        <v>#N/A</v>
      </c>
    </row>
    <row r="423" spans="1:3" x14ac:dyDescent="0.35">
      <c r="A423" s="28">
        <v>100020228</v>
      </c>
      <c r="B423" s="28">
        <v>1028.0599999999997</v>
      </c>
      <c r="C423" s="28">
        <v>1194</v>
      </c>
    </row>
    <row r="424" spans="1:3" x14ac:dyDescent="0.35">
      <c r="A424" s="28">
        <v>100017011</v>
      </c>
      <c r="B424" s="28">
        <v>50</v>
      </c>
      <c r="C424" s="28">
        <v>80</v>
      </c>
    </row>
    <row r="425" spans="1:3" x14ac:dyDescent="0.35">
      <c r="A425" s="28">
        <v>100021272</v>
      </c>
      <c r="B425" s="28">
        <v>26.780000000000005</v>
      </c>
      <c r="C425" s="28">
        <v>36</v>
      </c>
    </row>
    <row r="426" spans="1:3" x14ac:dyDescent="0.35">
      <c r="A426" s="28">
        <v>100018398</v>
      </c>
      <c r="B426" s="28">
        <v>50</v>
      </c>
      <c r="C426" s="28" t="e">
        <v>#N/A</v>
      </c>
    </row>
    <row r="427" spans="1:3" x14ac:dyDescent="0.35">
      <c r="A427" s="28">
        <v>100020901</v>
      </c>
      <c r="B427" s="28">
        <v>1028.0599999999997</v>
      </c>
      <c r="C427" s="28" t="e">
        <v>#N/A</v>
      </c>
    </row>
    <row r="428" spans="1:3" x14ac:dyDescent="0.35">
      <c r="A428" s="28">
        <v>100020906</v>
      </c>
      <c r="B428" s="28">
        <v>1028.0599999999997</v>
      </c>
      <c r="C428" s="28" t="e">
        <v>#N/A</v>
      </c>
    </row>
    <row r="429" spans="1:3" x14ac:dyDescent="0.35">
      <c r="A429" s="28">
        <v>100020904</v>
      </c>
      <c r="B429" s="28">
        <v>1028.0599999999997</v>
      </c>
      <c r="C429" s="28" t="e">
        <v>#N/A</v>
      </c>
    </row>
    <row r="430" spans="1:3" x14ac:dyDescent="0.35">
      <c r="A430" s="28">
        <v>100020905</v>
      </c>
      <c r="B430" s="28">
        <v>1028.0599999999997</v>
      </c>
      <c r="C430" s="28" t="e">
        <v>#N/A</v>
      </c>
    </row>
    <row r="431" spans="1:3" x14ac:dyDescent="0.35">
      <c r="A431" s="28">
        <v>100020177</v>
      </c>
      <c r="B431" s="28">
        <v>1028.06</v>
      </c>
      <c r="C431" s="28">
        <v>1399</v>
      </c>
    </row>
    <row r="432" spans="1:3" x14ac:dyDescent="0.35">
      <c r="A432" s="28">
        <v>100020178</v>
      </c>
      <c r="B432" s="28">
        <v>1028.06</v>
      </c>
      <c r="C432" s="28">
        <v>1399</v>
      </c>
    </row>
    <row r="433" spans="1:3" x14ac:dyDescent="0.35">
      <c r="A433" s="28">
        <v>100020179</v>
      </c>
      <c r="B433" s="28">
        <v>1028.06</v>
      </c>
      <c r="C433" s="28">
        <v>1399</v>
      </c>
    </row>
    <row r="434" spans="1:3" x14ac:dyDescent="0.35">
      <c r="A434" s="28">
        <v>100020992</v>
      </c>
      <c r="B434" s="28">
        <v>50</v>
      </c>
      <c r="C434" s="28" t="e">
        <v>#N/A</v>
      </c>
    </row>
    <row r="435" spans="1:3" x14ac:dyDescent="0.35">
      <c r="A435" s="28">
        <v>100015421</v>
      </c>
      <c r="B435" s="28">
        <v>51.649999999999984</v>
      </c>
      <c r="C435" s="28">
        <v>85</v>
      </c>
    </row>
    <row r="436" spans="1:3" x14ac:dyDescent="0.35">
      <c r="A436" s="28">
        <v>100015420</v>
      </c>
      <c r="B436" s="28">
        <v>51.649999999999984</v>
      </c>
      <c r="C436" s="28">
        <v>85</v>
      </c>
    </row>
    <row r="437" spans="1:3" x14ac:dyDescent="0.35">
      <c r="A437" s="28">
        <v>100015419</v>
      </c>
      <c r="B437" s="28">
        <v>51.649999999999984</v>
      </c>
      <c r="C437" s="28">
        <v>85</v>
      </c>
    </row>
    <row r="438" spans="1:3" x14ac:dyDescent="0.35">
      <c r="A438" s="28">
        <v>100018638</v>
      </c>
      <c r="B438" s="28">
        <v>51.649999999999984</v>
      </c>
      <c r="C438" s="28">
        <v>85</v>
      </c>
    </row>
    <row r="439" spans="1:3" x14ac:dyDescent="0.35">
      <c r="A439" s="28">
        <v>100015418</v>
      </c>
      <c r="B439" s="28">
        <v>51.649999999999984</v>
      </c>
      <c r="C439" s="28">
        <v>85</v>
      </c>
    </row>
    <row r="440" spans="1:3" x14ac:dyDescent="0.35">
      <c r="A440" s="28">
        <v>100018639</v>
      </c>
      <c r="B440" s="28">
        <v>51.649999999999984</v>
      </c>
      <c r="C440" s="28">
        <v>85</v>
      </c>
    </row>
    <row r="441" spans="1:3" x14ac:dyDescent="0.35">
      <c r="A441" s="28">
        <v>100017980</v>
      </c>
      <c r="B441" s="28">
        <v>51.649999999999984</v>
      </c>
      <c r="C441" s="28">
        <v>85</v>
      </c>
    </row>
    <row r="442" spans="1:3" x14ac:dyDescent="0.35">
      <c r="A442" s="28">
        <v>100015417</v>
      </c>
      <c r="B442" s="28">
        <v>51.649999999999984</v>
      </c>
      <c r="C442" s="28">
        <v>85</v>
      </c>
    </row>
    <row r="443" spans="1:3" x14ac:dyDescent="0.35">
      <c r="A443" s="28">
        <v>100022970</v>
      </c>
      <c r="B443" s="28">
        <v>51.649999999999984</v>
      </c>
      <c r="C443" s="28">
        <v>85</v>
      </c>
    </row>
    <row r="444" spans="1:3" x14ac:dyDescent="0.35">
      <c r="A444" s="28">
        <v>100015416</v>
      </c>
      <c r="B444" s="28">
        <v>51.649999999999984</v>
      </c>
      <c r="C444" s="28">
        <v>85</v>
      </c>
    </row>
    <row r="445" spans="1:3" x14ac:dyDescent="0.35">
      <c r="A445" s="28">
        <v>100021950</v>
      </c>
      <c r="B445" s="28">
        <v>49.49</v>
      </c>
      <c r="C445" s="28">
        <v>72</v>
      </c>
    </row>
    <row r="446" spans="1:3" x14ac:dyDescent="0.35">
      <c r="A446" s="28">
        <v>100012007</v>
      </c>
      <c r="B446" s="28">
        <v>48.11</v>
      </c>
      <c r="C446" s="28" t="e">
        <v>#N/A</v>
      </c>
    </row>
    <row r="447" spans="1:3" x14ac:dyDescent="0.35">
      <c r="A447" s="28">
        <v>100011702</v>
      </c>
      <c r="B447" s="28">
        <v>48.11</v>
      </c>
      <c r="C447" s="28" t="e">
        <v>#N/A</v>
      </c>
    </row>
    <row r="448" spans="1:3" x14ac:dyDescent="0.35">
      <c r="A448" s="28">
        <v>100010267</v>
      </c>
      <c r="B448" s="28">
        <v>48.11</v>
      </c>
      <c r="C448" s="28" t="e">
        <v>#N/A</v>
      </c>
    </row>
    <row r="449" spans="1:3" x14ac:dyDescent="0.35">
      <c r="A449" s="28">
        <v>100012003</v>
      </c>
      <c r="B449" s="28">
        <v>48.11</v>
      </c>
      <c r="C449" s="28" t="e">
        <v>#N/A</v>
      </c>
    </row>
    <row r="450" spans="1:3" x14ac:dyDescent="0.35">
      <c r="A450" s="28">
        <v>100009575</v>
      </c>
      <c r="B450" s="28">
        <v>48.11</v>
      </c>
      <c r="C450" s="28" t="e">
        <v>#N/A</v>
      </c>
    </row>
    <row r="451" spans="1:3" x14ac:dyDescent="0.35">
      <c r="A451" s="28">
        <v>100012005</v>
      </c>
      <c r="B451" s="28">
        <v>48.11</v>
      </c>
      <c r="C451" s="28" t="e">
        <v>#N/A</v>
      </c>
    </row>
    <row r="452" spans="1:3" x14ac:dyDescent="0.35">
      <c r="A452" s="28">
        <v>100011705</v>
      </c>
      <c r="B452" s="28">
        <v>48.11</v>
      </c>
      <c r="C452" s="28" t="e">
        <v>#N/A</v>
      </c>
    </row>
    <row r="453" spans="1:3" x14ac:dyDescent="0.35">
      <c r="A453" s="28">
        <v>100080984</v>
      </c>
      <c r="B453" s="28">
        <v>48.11</v>
      </c>
      <c r="C453" s="28" t="e">
        <v>#N/A</v>
      </c>
    </row>
    <row r="454" spans="1:3" x14ac:dyDescent="0.35">
      <c r="A454" s="28">
        <v>100012002</v>
      </c>
      <c r="B454" s="28">
        <v>48.11</v>
      </c>
      <c r="C454" s="28" t="e">
        <v>#N/A</v>
      </c>
    </row>
    <row r="455" spans="1:3" x14ac:dyDescent="0.35">
      <c r="A455" s="28">
        <v>100011706</v>
      </c>
      <c r="B455" s="28">
        <v>48.11</v>
      </c>
      <c r="C455" s="28" t="e">
        <v>#N/A</v>
      </c>
    </row>
    <row r="456" spans="1:3" x14ac:dyDescent="0.35">
      <c r="A456" s="28">
        <v>100080976</v>
      </c>
      <c r="B456" s="28">
        <v>48.11</v>
      </c>
      <c r="C456" s="28" t="e">
        <v>#N/A</v>
      </c>
    </row>
    <row r="457" spans="1:3" x14ac:dyDescent="0.35">
      <c r="A457" s="28">
        <v>100080951</v>
      </c>
      <c r="B457" s="28">
        <v>48.11</v>
      </c>
      <c r="C457" s="28" t="e">
        <v>#N/A</v>
      </c>
    </row>
    <row r="458" spans="1:3" x14ac:dyDescent="0.35">
      <c r="A458" s="28">
        <v>100080869</v>
      </c>
      <c r="B458" s="28">
        <v>48.11</v>
      </c>
      <c r="C458" s="28" t="e">
        <v>#N/A</v>
      </c>
    </row>
    <row r="459" spans="1:3" x14ac:dyDescent="0.35">
      <c r="A459" s="28">
        <v>100005287</v>
      </c>
      <c r="B459" s="28">
        <v>59.22</v>
      </c>
      <c r="C459" s="28" t="e">
        <v>#N/A</v>
      </c>
    </row>
    <row r="460" spans="1:3" x14ac:dyDescent="0.35">
      <c r="A460" s="28">
        <v>100012006</v>
      </c>
      <c r="B460" s="28">
        <v>48.11</v>
      </c>
      <c r="C460" s="28" t="e">
        <v>#N/A</v>
      </c>
    </row>
    <row r="461" spans="1:3" x14ac:dyDescent="0.35">
      <c r="A461" s="28">
        <v>100011704</v>
      </c>
      <c r="B461" s="28">
        <v>48.11</v>
      </c>
      <c r="C461" s="28" t="e">
        <v>#N/A</v>
      </c>
    </row>
    <row r="462" spans="1:3" x14ac:dyDescent="0.35">
      <c r="A462" s="28">
        <v>100011708</v>
      </c>
      <c r="B462" s="28">
        <v>48.11</v>
      </c>
      <c r="C462" s="28" t="e">
        <v>#N/A</v>
      </c>
    </row>
    <row r="463" spans="1:3" x14ac:dyDescent="0.35">
      <c r="A463" s="28">
        <v>100008186</v>
      </c>
      <c r="B463" s="28">
        <v>26.33</v>
      </c>
      <c r="C463" s="28" t="e">
        <v>#N/A</v>
      </c>
    </row>
    <row r="464" spans="1:3" x14ac:dyDescent="0.35">
      <c r="A464" s="28">
        <v>100011671</v>
      </c>
      <c r="B464" s="28">
        <v>46.67</v>
      </c>
      <c r="C464" s="28">
        <v>71</v>
      </c>
    </row>
    <row r="465" spans="1:3" x14ac:dyDescent="0.35">
      <c r="A465" s="28">
        <v>100018204</v>
      </c>
      <c r="B465" s="28">
        <v>46.67</v>
      </c>
      <c r="C465" s="28" t="e">
        <v>#N/A</v>
      </c>
    </row>
    <row r="466" spans="1:3" x14ac:dyDescent="0.35">
      <c r="A466" s="28">
        <v>100018203</v>
      </c>
      <c r="B466" s="28">
        <v>46.67</v>
      </c>
      <c r="C466" s="28" t="e">
        <v>#N/A</v>
      </c>
    </row>
    <row r="467" spans="1:3" x14ac:dyDescent="0.35">
      <c r="A467" s="28">
        <v>100004742</v>
      </c>
      <c r="B467" s="28">
        <v>46.67</v>
      </c>
      <c r="C467" s="28" t="e">
        <v>#N/A</v>
      </c>
    </row>
    <row r="468" spans="1:3" x14ac:dyDescent="0.35">
      <c r="A468" s="28">
        <v>100080980</v>
      </c>
      <c r="B468" s="28">
        <v>26.33</v>
      </c>
      <c r="C468" s="28" t="e">
        <v>#N/A</v>
      </c>
    </row>
    <row r="469" spans="1:3" x14ac:dyDescent="0.35">
      <c r="A469" s="28">
        <v>100012202</v>
      </c>
      <c r="B469" s="28">
        <v>26.33</v>
      </c>
      <c r="C469" s="28" t="e">
        <v>#N/A</v>
      </c>
    </row>
    <row r="470" spans="1:3" x14ac:dyDescent="0.35">
      <c r="A470" s="28">
        <v>100011674</v>
      </c>
      <c r="B470" s="28">
        <v>26.33</v>
      </c>
      <c r="C470" s="28" t="e">
        <v>#N/A</v>
      </c>
    </row>
    <row r="471" spans="1:3" x14ac:dyDescent="0.35">
      <c r="A471" s="28">
        <v>100011678</v>
      </c>
      <c r="B471" s="28">
        <v>26.33</v>
      </c>
      <c r="C471" s="28" t="e">
        <v>#N/A</v>
      </c>
    </row>
    <row r="472" spans="1:3" x14ac:dyDescent="0.35">
      <c r="A472" s="28">
        <v>100018490</v>
      </c>
      <c r="B472" s="28">
        <v>26.33</v>
      </c>
      <c r="C472" s="28" t="e">
        <v>#N/A</v>
      </c>
    </row>
    <row r="473" spans="1:3" x14ac:dyDescent="0.35">
      <c r="A473" s="28">
        <v>100014571</v>
      </c>
      <c r="B473" s="28">
        <v>46.67</v>
      </c>
      <c r="C473" s="28">
        <v>78</v>
      </c>
    </row>
    <row r="474" spans="1:3" x14ac:dyDescent="0.35">
      <c r="A474" s="28">
        <v>100013983</v>
      </c>
      <c r="B474" s="28">
        <v>50.850000000000016</v>
      </c>
      <c r="C474" s="28">
        <v>72.5</v>
      </c>
    </row>
    <row r="475" spans="1:3" x14ac:dyDescent="0.35">
      <c r="A475" s="28">
        <v>100013785</v>
      </c>
      <c r="B475" s="28">
        <v>26.33</v>
      </c>
      <c r="C475" s="28" t="e">
        <v>#N/A</v>
      </c>
    </row>
    <row r="476" spans="1:3" x14ac:dyDescent="0.35">
      <c r="A476" s="28">
        <v>100013982</v>
      </c>
      <c r="B476" s="28">
        <v>50.85</v>
      </c>
      <c r="C476" s="28">
        <v>72</v>
      </c>
    </row>
    <row r="477" spans="1:3" x14ac:dyDescent="0.35">
      <c r="A477" s="28">
        <v>100008185</v>
      </c>
      <c r="B477" s="28">
        <v>26.33</v>
      </c>
      <c r="C477" s="28" t="e">
        <v>#N/A</v>
      </c>
    </row>
    <row r="478" spans="1:3" x14ac:dyDescent="0.35">
      <c r="A478" s="28">
        <v>100080979</v>
      </c>
      <c r="B478" s="28">
        <v>26.33</v>
      </c>
      <c r="C478" s="28" t="e">
        <v>#N/A</v>
      </c>
    </row>
    <row r="479" spans="1:3" x14ac:dyDescent="0.35">
      <c r="A479" s="28">
        <v>100021797</v>
      </c>
      <c r="B479" s="28">
        <v>43.860000000000007</v>
      </c>
      <c r="C479" s="28">
        <v>62</v>
      </c>
    </row>
    <row r="480" spans="1:3" x14ac:dyDescent="0.35">
      <c r="A480" s="28">
        <v>100019960</v>
      </c>
      <c r="B480" s="28">
        <v>37.840000000000003</v>
      </c>
      <c r="C480" s="28">
        <v>53</v>
      </c>
    </row>
    <row r="481" spans="1:3" x14ac:dyDescent="0.35">
      <c r="A481" s="28">
        <v>100019961</v>
      </c>
      <c r="B481" s="28">
        <v>46.67</v>
      </c>
      <c r="C481" s="28" t="e">
        <v>#N/A</v>
      </c>
    </row>
    <row r="482" spans="1:3" x14ac:dyDescent="0.35">
      <c r="A482" s="28">
        <v>100014579</v>
      </c>
      <c r="B482" s="28">
        <v>26.33</v>
      </c>
      <c r="C482" s="28" t="e">
        <v>#N/A</v>
      </c>
    </row>
    <row r="483" spans="1:3" x14ac:dyDescent="0.35">
      <c r="A483" s="28">
        <v>100080958</v>
      </c>
      <c r="B483" s="28">
        <v>26.33</v>
      </c>
      <c r="C483" s="28" t="e">
        <v>#N/A</v>
      </c>
    </row>
    <row r="484" spans="1:3" x14ac:dyDescent="0.35">
      <c r="A484" s="28">
        <v>100080961</v>
      </c>
      <c r="B484" s="28">
        <v>26.33</v>
      </c>
      <c r="C484" s="28" t="e">
        <v>#N/A</v>
      </c>
    </row>
    <row r="485" spans="1:3" x14ac:dyDescent="0.35">
      <c r="A485" s="28">
        <v>100012203</v>
      </c>
      <c r="B485" s="28">
        <v>26.33</v>
      </c>
      <c r="C485" s="28" t="e">
        <v>#N/A</v>
      </c>
    </row>
    <row r="486" spans="1:3" x14ac:dyDescent="0.35">
      <c r="A486" s="28">
        <v>100011673</v>
      </c>
      <c r="B486" s="28">
        <v>46.67</v>
      </c>
      <c r="C486" s="28">
        <v>66</v>
      </c>
    </row>
    <row r="487" spans="1:3" x14ac:dyDescent="0.35">
      <c r="A487" s="28">
        <v>100008184</v>
      </c>
      <c r="B487" s="28">
        <v>26.33</v>
      </c>
      <c r="C487" s="28" t="e">
        <v>#N/A</v>
      </c>
    </row>
    <row r="488" spans="1:3" x14ac:dyDescent="0.35">
      <c r="A488" s="28">
        <v>100011677</v>
      </c>
      <c r="B488" s="28">
        <v>26.33</v>
      </c>
      <c r="C488" s="28">
        <v>37</v>
      </c>
    </row>
    <row r="489" spans="1:3" x14ac:dyDescent="0.35">
      <c r="A489" s="28">
        <v>100014850</v>
      </c>
      <c r="B489" s="28">
        <v>37.869999999999997</v>
      </c>
      <c r="C489" s="28">
        <v>96</v>
      </c>
    </row>
    <row r="490" spans="1:3" x14ac:dyDescent="0.35">
      <c r="A490" s="28">
        <v>100022996</v>
      </c>
      <c r="B490" s="28">
        <v>31.204000000000004</v>
      </c>
      <c r="C490" s="28">
        <v>70</v>
      </c>
    </row>
    <row r="491" spans="1:3" x14ac:dyDescent="0.35">
      <c r="A491" s="28">
        <v>100025152</v>
      </c>
      <c r="B491" s="28">
        <v>55.24</v>
      </c>
      <c r="C491" s="28">
        <v>96</v>
      </c>
    </row>
    <row r="492" spans="1:3" x14ac:dyDescent="0.35">
      <c r="A492" s="28">
        <v>100025162</v>
      </c>
      <c r="B492" s="28">
        <v>47.472499999999982</v>
      </c>
      <c r="C492" s="28">
        <v>78</v>
      </c>
    </row>
    <row r="493" spans="1:3" x14ac:dyDescent="0.35">
      <c r="A493" s="28">
        <v>100022995</v>
      </c>
      <c r="B493" s="28">
        <v>31.522499999999997</v>
      </c>
      <c r="C493" s="28">
        <v>79</v>
      </c>
    </row>
    <row r="494" spans="1:3" x14ac:dyDescent="0.35">
      <c r="A494" s="28">
        <v>100021813</v>
      </c>
      <c r="B494" s="28">
        <v>54.092999999999996</v>
      </c>
      <c r="C494" s="28">
        <v>96</v>
      </c>
    </row>
    <row r="495" spans="1:3" x14ac:dyDescent="0.35">
      <c r="A495" s="28">
        <v>100080898</v>
      </c>
      <c r="B495" s="28">
        <v>47.149000000000001</v>
      </c>
      <c r="C495" s="28">
        <v>87</v>
      </c>
    </row>
    <row r="496" spans="1:3" x14ac:dyDescent="0.35">
      <c r="A496" s="28">
        <v>100012957</v>
      </c>
      <c r="B496" s="28">
        <v>61.532000000000004</v>
      </c>
      <c r="C496" s="28">
        <v>103</v>
      </c>
    </row>
    <row r="497" spans="1:3" x14ac:dyDescent="0.35">
      <c r="A497" s="28">
        <v>100022971</v>
      </c>
      <c r="B497" s="28">
        <v>46.487499999999997</v>
      </c>
      <c r="C497" s="28">
        <v>96</v>
      </c>
    </row>
    <row r="498" spans="1:3" x14ac:dyDescent="0.35">
      <c r="A498" s="28">
        <v>100080015</v>
      </c>
      <c r="B498" s="28">
        <v>50</v>
      </c>
      <c r="C498" s="28" t="e">
        <v>#N/A</v>
      </c>
    </row>
    <row r="499" spans="1:3" x14ac:dyDescent="0.35">
      <c r="A499" s="28">
        <v>100020727</v>
      </c>
      <c r="B499" s="28">
        <v>51.649999999999984</v>
      </c>
      <c r="C499" s="28">
        <v>78</v>
      </c>
    </row>
    <row r="500" spans="1:3" x14ac:dyDescent="0.35">
      <c r="A500" s="28">
        <v>100022210</v>
      </c>
      <c r="B500" s="28">
        <v>51.649999999999984</v>
      </c>
      <c r="C500" s="28">
        <v>78</v>
      </c>
    </row>
    <row r="501" spans="1:3" x14ac:dyDescent="0.35">
      <c r="A501" s="28">
        <v>100020728</v>
      </c>
      <c r="B501" s="28">
        <v>51.649999999999984</v>
      </c>
      <c r="C501" s="28">
        <v>78</v>
      </c>
    </row>
    <row r="502" spans="1:3" x14ac:dyDescent="0.35">
      <c r="A502" s="28">
        <v>100020729</v>
      </c>
      <c r="B502" s="28">
        <v>51.649999999999984</v>
      </c>
      <c r="C502" s="28">
        <v>78</v>
      </c>
    </row>
    <row r="503" spans="1:3" x14ac:dyDescent="0.35">
      <c r="A503" s="28">
        <v>100015187</v>
      </c>
      <c r="B503" s="28">
        <v>62</v>
      </c>
      <c r="C503" s="28">
        <v>106</v>
      </c>
    </row>
    <row r="504" spans="1:3" x14ac:dyDescent="0.35">
      <c r="A504" s="28">
        <v>100014718</v>
      </c>
      <c r="B504" s="28">
        <v>39.56</v>
      </c>
      <c r="C504" s="28">
        <v>58</v>
      </c>
    </row>
    <row r="505" spans="1:3" x14ac:dyDescent="0.35">
      <c r="A505" s="28">
        <v>100080033</v>
      </c>
      <c r="B505" s="28">
        <v>73.099999999999994</v>
      </c>
      <c r="C505" s="28">
        <v>60</v>
      </c>
    </row>
    <row r="506" spans="1:3" x14ac:dyDescent="0.35">
      <c r="A506" s="28">
        <v>100080862</v>
      </c>
      <c r="B506" s="28">
        <v>39.559999999999995</v>
      </c>
      <c r="C506" s="28">
        <v>58.153846153846153</v>
      </c>
    </row>
    <row r="507" spans="1:3" x14ac:dyDescent="0.35">
      <c r="A507" s="28">
        <v>100080439</v>
      </c>
      <c r="B507" s="28">
        <v>73.099999999999994</v>
      </c>
      <c r="C507" s="28">
        <v>99</v>
      </c>
    </row>
    <row r="508" spans="1:3" x14ac:dyDescent="0.35">
      <c r="A508" s="28">
        <v>100080861</v>
      </c>
      <c r="B508" s="28">
        <v>73.099999999999994</v>
      </c>
      <c r="C508" s="28">
        <v>99</v>
      </c>
    </row>
    <row r="509" spans="1:3" x14ac:dyDescent="0.35">
      <c r="A509" s="28">
        <v>100080031</v>
      </c>
      <c r="B509" s="28">
        <v>73.099999999999994</v>
      </c>
      <c r="C509" s="28">
        <v>99</v>
      </c>
    </row>
    <row r="510" spans="1:3" x14ac:dyDescent="0.35">
      <c r="A510" s="28">
        <v>100080926</v>
      </c>
      <c r="B510" s="28">
        <v>48.195</v>
      </c>
      <c r="C510" s="28">
        <v>78</v>
      </c>
    </row>
    <row r="511" spans="1:3" x14ac:dyDescent="0.35">
      <c r="A511" s="28">
        <v>100014243</v>
      </c>
      <c r="B511" s="28">
        <v>48.195</v>
      </c>
      <c r="C511" s="28" t="e">
        <v>#N/A</v>
      </c>
    </row>
    <row r="512" spans="1:3" x14ac:dyDescent="0.35">
      <c r="A512" s="28">
        <v>100026143</v>
      </c>
      <c r="B512" s="28">
        <v>60.120000000000005</v>
      </c>
      <c r="C512" s="28">
        <v>85</v>
      </c>
    </row>
    <row r="513" spans="1:3" x14ac:dyDescent="0.35">
      <c r="A513" s="28">
        <v>100024418</v>
      </c>
      <c r="B513" s="28">
        <v>61.659999999999975</v>
      </c>
      <c r="C513" s="28">
        <v>80</v>
      </c>
    </row>
    <row r="514" spans="1:3" x14ac:dyDescent="0.35">
      <c r="A514" s="28">
        <v>100026302</v>
      </c>
      <c r="B514" s="28">
        <v>61.659999999999975</v>
      </c>
      <c r="C514" s="28">
        <v>80</v>
      </c>
    </row>
    <row r="515" spans="1:3" x14ac:dyDescent="0.35">
      <c r="A515" s="28">
        <v>100025296</v>
      </c>
      <c r="B515" s="28">
        <v>80.919999999999987</v>
      </c>
      <c r="C515" s="28">
        <v>105</v>
      </c>
    </row>
    <row r="516" spans="1:3" x14ac:dyDescent="0.35">
      <c r="A516" s="28">
        <v>100026069</v>
      </c>
      <c r="B516" s="28">
        <v>80.919999999999987</v>
      </c>
      <c r="C516" s="28">
        <v>105</v>
      </c>
    </row>
    <row r="517" spans="1:3" x14ac:dyDescent="0.35">
      <c r="A517" s="28">
        <v>100024415</v>
      </c>
      <c r="B517" s="28">
        <v>61.659999999999975</v>
      </c>
      <c r="C517" s="28">
        <v>80</v>
      </c>
    </row>
    <row r="518" spans="1:3" x14ac:dyDescent="0.35">
      <c r="A518" s="28">
        <v>100026074</v>
      </c>
      <c r="B518" s="28">
        <v>61.659999999999975</v>
      </c>
      <c r="C518" s="28">
        <v>80</v>
      </c>
    </row>
    <row r="519" spans="1:3" x14ac:dyDescent="0.35">
      <c r="A519" s="28">
        <v>100024416</v>
      </c>
      <c r="B519" s="28">
        <v>61.659999999999975</v>
      </c>
      <c r="C519" s="28">
        <v>80</v>
      </c>
    </row>
    <row r="520" spans="1:3" x14ac:dyDescent="0.35">
      <c r="A520" s="28">
        <v>100026304</v>
      </c>
      <c r="B520" s="28">
        <v>61.659999999999975</v>
      </c>
      <c r="C520" s="28">
        <v>80</v>
      </c>
    </row>
    <row r="521" spans="1:3" x14ac:dyDescent="0.35">
      <c r="A521" s="28">
        <v>100026383</v>
      </c>
      <c r="B521" s="28">
        <v>60.120000000000005</v>
      </c>
      <c r="C521" s="28">
        <v>85</v>
      </c>
    </row>
    <row r="522" spans="1:3" x14ac:dyDescent="0.35">
      <c r="A522" s="28">
        <v>100025292</v>
      </c>
      <c r="B522" s="28">
        <v>80.919999999999987</v>
      </c>
      <c r="C522" s="28">
        <v>105</v>
      </c>
    </row>
    <row r="523" spans="1:3" x14ac:dyDescent="0.35">
      <c r="A523" s="28">
        <v>100025895</v>
      </c>
      <c r="B523" s="28">
        <v>61.659999999999975</v>
      </c>
      <c r="C523" s="28">
        <v>80</v>
      </c>
    </row>
    <row r="524" spans="1:3" x14ac:dyDescent="0.35">
      <c r="A524" s="28">
        <v>100026382</v>
      </c>
      <c r="B524" s="28">
        <v>52.26</v>
      </c>
      <c r="C524" s="28">
        <v>76</v>
      </c>
    </row>
    <row r="525" spans="1:3" x14ac:dyDescent="0.35">
      <c r="A525" s="28">
        <v>100026305</v>
      </c>
      <c r="B525" s="28">
        <v>61.659999999999975</v>
      </c>
      <c r="C525" s="28">
        <v>80</v>
      </c>
    </row>
    <row r="526" spans="1:3" x14ac:dyDescent="0.35">
      <c r="A526" s="28">
        <v>100026380</v>
      </c>
      <c r="B526" s="28">
        <v>52.26</v>
      </c>
      <c r="C526" s="28">
        <v>76</v>
      </c>
    </row>
    <row r="527" spans="1:3" x14ac:dyDescent="0.35">
      <c r="A527" s="28">
        <v>100011672</v>
      </c>
      <c r="B527" s="28">
        <v>52.26</v>
      </c>
      <c r="C527" s="28">
        <v>76</v>
      </c>
    </row>
    <row r="528" spans="1:3" x14ac:dyDescent="0.35">
      <c r="A528" s="28">
        <v>100026471</v>
      </c>
      <c r="B528" s="28">
        <v>330.81</v>
      </c>
      <c r="C528" s="28">
        <v>599</v>
      </c>
    </row>
    <row r="529" spans="1:3" x14ac:dyDescent="0.35">
      <c r="A529" s="28">
        <v>100026467</v>
      </c>
      <c r="B529" s="28">
        <v>554.95000000000005</v>
      </c>
      <c r="C529" s="28">
        <v>999</v>
      </c>
    </row>
    <row r="530" spans="1:3" x14ac:dyDescent="0.35">
      <c r="A530" s="28">
        <v>100026473</v>
      </c>
      <c r="B530" s="28">
        <v>330.81</v>
      </c>
      <c r="C530" s="28">
        <v>599</v>
      </c>
    </row>
    <row r="531" spans="1:3" x14ac:dyDescent="0.35">
      <c r="A531" s="28">
        <v>100026616</v>
      </c>
      <c r="B531" s="28">
        <v>554.95000000000005</v>
      </c>
      <c r="C531" s="28">
        <v>999</v>
      </c>
    </row>
    <row r="532" spans="1:3" x14ac:dyDescent="0.35">
      <c r="A532" s="28">
        <v>100026687</v>
      </c>
      <c r="B532" s="28">
        <v>65.900000000000006</v>
      </c>
      <c r="C532" s="28">
        <v>98</v>
      </c>
    </row>
    <row r="533" spans="1:3" x14ac:dyDescent="0.35">
      <c r="A533" s="28">
        <v>100026688</v>
      </c>
      <c r="B533" s="28">
        <v>65.900000000000006</v>
      </c>
      <c r="C533" s="28">
        <v>98</v>
      </c>
    </row>
    <row r="534" spans="1:3" x14ac:dyDescent="0.35">
      <c r="A534" s="28">
        <v>100026689</v>
      </c>
      <c r="B534" s="28">
        <v>65.900000000000006</v>
      </c>
      <c r="C534" s="28">
        <v>98</v>
      </c>
    </row>
    <row r="535" spans="1:3" x14ac:dyDescent="0.35">
      <c r="A535" s="28">
        <v>100026690</v>
      </c>
      <c r="B535" s="28">
        <v>65.900000000000006</v>
      </c>
      <c r="C535" s="28">
        <v>98</v>
      </c>
    </row>
    <row r="536" spans="1:3" x14ac:dyDescent="0.35">
      <c r="A536" s="28">
        <v>100026691</v>
      </c>
      <c r="B536" s="28">
        <v>65.900000000000006</v>
      </c>
      <c r="C536" s="28">
        <v>98</v>
      </c>
    </row>
    <row r="537" spans="1:3" x14ac:dyDescent="0.35">
      <c r="A537" s="28">
        <v>100026692</v>
      </c>
      <c r="B537" s="28">
        <v>65.900000000000006</v>
      </c>
      <c r="C537" s="28">
        <v>98</v>
      </c>
    </row>
    <row r="538" spans="1:3" x14ac:dyDescent="0.35">
      <c r="A538" s="28">
        <v>100026676</v>
      </c>
      <c r="B538" s="28">
        <v>65.900000000000006</v>
      </c>
      <c r="C538" s="28">
        <v>98</v>
      </c>
    </row>
    <row r="539" spans="1:3" x14ac:dyDescent="0.35">
      <c r="A539" s="28">
        <v>100026677</v>
      </c>
      <c r="B539" s="28">
        <v>65.900000000000006</v>
      </c>
      <c r="C539" s="28">
        <v>98</v>
      </c>
    </row>
    <row r="540" spans="1:3" x14ac:dyDescent="0.35">
      <c r="A540" s="28">
        <v>100026678</v>
      </c>
      <c r="B540" s="28">
        <v>65.900000000000006</v>
      </c>
      <c r="C540" s="28">
        <v>98</v>
      </c>
    </row>
    <row r="541" spans="1:3" x14ac:dyDescent="0.35">
      <c r="A541" s="28">
        <v>100026679</v>
      </c>
      <c r="B541" s="28">
        <v>65.900000000000006</v>
      </c>
      <c r="C541" s="28">
        <v>98</v>
      </c>
    </row>
    <row r="542" spans="1:3" x14ac:dyDescent="0.35">
      <c r="A542" s="28">
        <v>100026680</v>
      </c>
      <c r="B542" s="28">
        <v>65.900000000000006</v>
      </c>
      <c r="C542" s="28">
        <v>98</v>
      </c>
    </row>
    <row r="543" spans="1:3" x14ac:dyDescent="0.35">
      <c r="A543" s="28">
        <v>100026684</v>
      </c>
      <c r="B543" s="28">
        <v>51.1</v>
      </c>
      <c r="C543" s="28">
        <v>76</v>
      </c>
    </row>
    <row r="544" spans="1:3" x14ac:dyDescent="0.35">
      <c r="A544" s="28">
        <v>100026681</v>
      </c>
      <c r="B544" s="28">
        <v>53.72</v>
      </c>
      <c r="C544" s="28">
        <v>82</v>
      </c>
    </row>
    <row r="545" spans="1:3" x14ac:dyDescent="0.35">
      <c r="A545" s="28">
        <v>100026682</v>
      </c>
      <c r="B545" s="28">
        <v>33.409999999999997</v>
      </c>
      <c r="C545" s="28">
        <v>51</v>
      </c>
    </row>
    <row r="546" spans="1:3" x14ac:dyDescent="0.35">
      <c r="A546" s="28">
        <v>100026683</v>
      </c>
      <c r="B546" s="28">
        <v>53.72</v>
      </c>
      <c r="C546" s="28">
        <v>82</v>
      </c>
    </row>
    <row r="547" spans="1:3" x14ac:dyDescent="0.35">
      <c r="A547" s="28">
        <v>100026685</v>
      </c>
      <c r="B547" s="28">
        <v>52.26</v>
      </c>
      <c r="C547" s="28">
        <v>76</v>
      </c>
    </row>
    <row r="548" spans="1:3" x14ac:dyDescent="0.35">
      <c r="A548" s="28">
        <v>100080354</v>
      </c>
      <c r="B548" s="28">
        <v>6.78</v>
      </c>
      <c r="C548" s="28">
        <v>10.5</v>
      </c>
    </row>
    <row r="549" spans="1:3" x14ac:dyDescent="0.35">
      <c r="A549" s="28">
        <v>100080382</v>
      </c>
      <c r="B549" s="28">
        <v>7.9099999999999975</v>
      </c>
      <c r="C549" s="28">
        <v>20</v>
      </c>
    </row>
    <row r="550" spans="1:3" x14ac:dyDescent="0.35">
      <c r="A550" s="28">
        <v>100013782</v>
      </c>
      <c r="B550" s="28">
        <v>26.33</v>
      </c>
      <c r="C550" s="28" t="e">
        <v>#N/A</v>
      </c>
    </row>
    <row r="551" spans="1:3" x14ac:dyDescent="0.35">
      <c r="A551" s="28">
        <v>100024718</v>
      </c>
      <c r="B551" s="28">
        <v>115.59999999999998</v>
      </c>
      <c r="C551" s="28">
        <v>150</v>
      </c>
    </row>
    <row r="552" spans="1:3" x14ac:dyDescent="0.35">
      <c r="A552" s="28">
        <v>101000060</v>
      </c>
      <c r="B552" s="28">
        <v>37.299999999999997</v>
      </c>
      <c r="C552" s="28">
        <v>103</v>
      </c>
    </row>
    <row r="553" spans="1:3" x14ac:dyDescent="0.35">
      <c r="A553" s="28">
        <v>100017238</v>
      </c>
      <c r="B553" s="28">
        <v>38.18</v>
      </c>
      <c r="C553" s="28">
        <v>38.135000000000005</v>
      </c>
    </row>
    <row r="554" spans="1:3" x14ac:dyDescent="0.35">
      <c r="A554" s="28">
        <v>100024719</v>
      </c>
      <c r="B554" s="28">
        <v>246.62</v>
      </c>
      <c r="C554" s="28">
        <v>320</v>
      </c>
    </row>
    <row r="555" spans="1:3" x14ac:dyDescent="0.35">
      <c r="A555" s="28">
        <v>100026614</v>
      </c>
      <c r="B555" s="28">
        <v>66.680000000000007</v>
      </c>
      <c r="C555" s="28">
        <v>98</v>
      </c>
    </row>
    <row r="556" spans="1:3" x14ac:dyDescent="0.35">
      <c r="A556" s="28">
        <v>100027095</v>
      </c>
      <c r="B556" s="28">
        <v>52.26</v>
      </c>
      <c r="C556" s="28">
        <v>76</v>
      </c>
    </row>
    <row r="557" spans="1:3" x14ac:dyDescent="0.35">
      <c r="A557" s="28">
        <v>100027096</v>
      </c>
      <c r="B557" s="28">
        <v>47.17</v>
      </c>
      <c r="C557" s="28">
        <v>85</v>
      </c>
    </row>
    <row r="558" spans="1:3" x14ac:dyDescent="0.35">
      <c r="A558" s="28">
        <v>100027097</v>
      </c>
      <c r="B558" s="28">
        <v>47.17</v>
      </c>
      <c r="C558" s="28">
        <v>85</v>
      </c>
    </row>
    <row r="559" spans="1:3" x14ac:dyDescent="0.35">
      <c r="A559" s="28">
        <v>100027103</v>
      </c>
      <c r="B559" s="28">
        <v>65.510000000000005</v>
      </c>
      <c r="C559" s="28">
        <v>85</v>
      </c>
    </row>
    <row r="560" spans="1:3" x14ac:dyDescent="0.35">
      <c r="A560" s="28">
        <v>100027104</v>
      </c>
      <c r="B560" s="28">
        <v>65.510000000000005</v>
      </c>
      <c r="C560" s="28">
        <v>85</v>
      </c>
    </row>
    <row r="561" spans="1:3" x14ac:dyDescent="0.35">
      <c r="A561" s="28">
        <v>100027105</v>
      </c>
      <c r="B561" s="28">
        <v>65.510000000000005</v>
      </c>
      <c r="C561" s="28">
        <v>85</v>
      </c>
    </row>
    <row r="562" spans="1:3" x14ac:dyDescent="0.35">
      <c r="A562" s="28">
        <v>100027106</v>
      </c>
      <c r="B562" s="28">
        <v>65.510000000000005</v>
      </c>
      <c r="C562" s="28">
        <v>85</v>
      </c>
    </row>
    <row r="563" spans="1:3" x14ac:dyDescent="0.35">
      <c r="A563" s="28">
        <v>100027098</v>
      </c>
      <c r="B563" s="28">
        <v>53.18</v>
      </c>
      <c r="C563" s="28">
        <v>69</v>
      </c>
    </row>
    <row r="564" spans="1:3" x14ac:dyDescent="0.35">
      <c r="A564" s="28">
        <v>100027099</v>
      </c>
      <c r="B564" s="28">
        <v>65.510000000000005</v>
      </c>
      <c r="C564" s="28">
        <v>85</v>
      </c>
    </row>
    <row r="565" spans="1:3" x14ac:dyDescent="0.35">
      <c r="A565" s="28">
        <v>100027102</v>
      </c>
      <c r="B565" s="28">
        <v>65.510000000000005</v>
      </c>
      <c r="C565" s="28">
        <v>85</v>
      </c>
    </row>
    <row r="566" spans="1:3" x14ac:dyDescent="0.35">
      <c r="A566" s="28">
        <v>100017183</v>
      </c>
      <c r="B566" s="28">
        <v>32</v>
      </c>
      <c r="C566" s="28" t="e">
        <v>#N/A</v>
      </c>
    </row>
    <row r="567" spans="1:3" x14ac:dyDescent="0.35">
      <c r="A567" s="28">
        <v>100080894</v>
      </c>
      <c r="B567" s="28">
        <v>0</v>
      </c>
      <c r="C567" s="28">
        <v>0</v>
      </c>
    </row>
    <row r="568" spans="1:3" x14ac:dyDescent="0.35">
      <c r="A568" s="28">
        <v>100011675</v>
      </c>
      <c r="B568" s="28">
        <v>26.33</v>
      </c>
      <c r="C568" s="28">
        <v>37</v>
      </c>
    </row>
    <row r="569" spans="1:3" x14ac:dyDescent="0.35">
      <c r="A569" s="28">
        <v>100009363</v>
      </c>
      <c r="B569" s="28">
        <v>24.700199999999999</v>
      </c>
      <c r="C569" s="28">
        <v>35</v>
      </c>
    </row>
    <row r="570" spans="1:3" x14ac:dyDescent="0.35">
      <c r="A570" s="28">
        <v>100009365</v>
      </c>
      <c r="B570" s="28">
        <v>38.819000000000003</v>
      </c>
      <c r="C570" s="28">
        <v>55</v>
      </c>
    </row>
    <row r="571" spans="1:3" x14ac:dyDescent="0.35">
      <c r="A571" s="28">
        <v>100080406</v>
      </c>
      <c r="B571" s="28">
        <v>29.6</v>
      </c>
      <c r="C571" s="28">
        <v>40</v>
      </c>
    </row>
    <row r="572" spans="1:3" x14ac:dyDescent="0.35">
      <c r="A572" s="28">
        <v>100011025</v>
      </c>
      <c r="B572" s="28">
        <v>0</v>
      </c>
      <c r="C572" s="28">
        <v>0</v>
      </c>
    </row>
    <row r="573" spans="1:3" x14ac:dyDescent="0.35">
      <c r="A573" s="28">
        <v>100013300</v>
      </c>
      <c r="B573" s="28">
        <v>50.43</v>
      </c>
      <c r="C573" s="28">
        <v>78</v>
      </c>
    </row>
    <row r="574" spans="1:3" x14ac:dyDescent="0.35">
      <c r="A574" s="28">
        <v>100016260</v>
      </c>
      <c r="B574" s="28">
        <v>52.91</v>
      </c>
      <c r="C574" s="28">
        <v>98</v>
      </c>
    </row>
    <row r="575" spans="1:3" x14ac:dyDescent="0.35">
      <c r="A575" s="28">
        <v>100016041</v>
      </c>
      <c r="B575" s="28">
        <v>0</v>
      </c>
      <c r="C575" s="28">
        <v>0</v>
      </c>
    </row>
    <row r="576" spans="1:3" x14ac:dyDescent="0.35">
      <c r="A576" s="28">
        <v>100080949</v>
      </c>
      <c r="B576" s="28">
        <v>66</v>
      </c>
      <c r="C576" s="28">
        <v>100</v>
      </c>
    </row>
    <row r="577" spans="1:3" x14ac:dyDescent="0.35">
      <c r="A577" s="28">
        <v>100015384</v>
      </c>
      <c r="B577" s="28">
        <v>52</v>
      </c>
      <c r="C577" s="28">
        <v>90</v>
      </c>
    </row>
    <row r="578" spans="1:3" x14ac:dyDescent="0.35">
      <c r="A578" s="28">
        <v>100024717</v>
      </c>
      <c r="B578" s="28">
        <v>246.62</v>
      </c>
      <c r="C578" s="28">
        <v>150</v>
      </c>
    </row>
    <row r="579" spans="1:3" x14ac:dyDescent="0.35">
      <c r="A579" s="28">
        <v>100024723</v>
      </c>
      <c r="B579" s="28">
        <v>246.62</v>
      </c>
      <c r="C579" s="28">
        <v>320</v>
      </c>
    </row>
    <row r="580" spans="1:3" x14ac:dyDescent="0.35">
      <c r="A580" s="28">
        <v>100024893</v>
      </c>
      <c r="B580" s="28">
        <v>246.62</v>
      </c>
      <c r="C580" s="28">
        <v>150</v>
      </c>
    </row>
    <row r="581" spans="1:3" x14ac:dyDescent="0.35">
      <c r="A581" s="28">
        <v>100027108</v>
      </c>
      <c r="B581" s="28">
        <v>28.01</v>
      </c>
      <c r="C581" s="28">
        <v>50</v>
      </c>
    </row>
    <row r="582" spans="1:3" x14ac:dyDescent="0.35">
      <c r="A582" s="28">
        <v>100027109</v>
      </c>
      <c r="B582" s="28">
        <v>28.01</v>
      </c>
      <c r="C582" s="28">
        <v>50</v>
      </c>
    </row>
    <row r="583" spans="1:3" x14ac:dyDescent="0.35">
      <c r="A583" s="28">
        <v>100027110</v>
      </c>
      <c r="B583" s="28">
        <v>28.01</v>
      </c>
      <c r="C583" s="28">
        <v>50</v>
      </c>
    </row>
    <row r="584" spans="1:3" x14ac:dyDescent="0.35">
      <c r="A584" s="28">
        <v>100027111</v>
      </c>
      <c r="B584" s="28">
        <v>28.01</v>
      </c>
      <c r="C584" s="28">
        <v>50</v>
      </c>
    </row>
    <row r="585" spans="1:3" x14ac:dyDescent="0.35">
      <c r="A585" s="28">
        <v>100027324</v>
      </c>
      <c r="B585" s="28">
        <v>36.31</v>
      </c>
      <c r="C585" s="28">
        <v>54</v>
      </c>
    </row>
    <row r="586" spans="1:3" x14ac:dyDescent="0.35">
      <c r="A586">
        <v>100027323</v>
      </c>
      <c r="B586" s="28">
        <v>36.31</v>
      </c>
      <c r="C586" s="28">
        <v>54</v>
      </c>
    </row>
    <row r="587" spans="1:3" x14ac:dyDescent="0.35">
      <c r="A587" s="6">
        <v>100027462</v>
      </c>
      <c r="B587" s="28">
        <v>65.510000000000005</v>
      </c>
      <c r="C587" s="28">
        <v>85</v>
      </c>
    </row>
    <row r="588" spans="1:3" x14ac:dyDescent="0.35">
      <c r="A588" s="6">
        <v>100027464</v>
      </c>
      <c r="B588" s="28">
        <v>65.510000000000005</v>
      </c>
      <c r="C588" s="28">
        <v>85</v>
      </c>
    </row>
    <row r="589" spans="1:3" x14ac:dyDescent="0.35">
      <c r="A589" s="6">
        <v>100027603</v>
      </c>
      <c r="B589" s="28">
        <v>65.510000000000005</v>
      </c>
      <c r="C589" s="28">
        <v>85</v>
      </c>
    </row>
  </sheetData>
  <conditionalFormatting sqref="A1:A584">
    <cfRule type="duplicateValues" dxfId="1" priority="1"/>
  </conditionalFormatting>
  <conditionalFormatting sqref="A1:A586">
    <cfRule type="duplicateValues" dxfId="0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433B6-B21C-4CF3-A79D-B4440E8C748E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06FBB-ED11-41C0-A6F6-FFE4FABC37FF}">
  <sheetPr filterMode="1"/>
  <dimension ref="A1:E370"/>
  <sheetViews>
    <sheetView zoomScale="80" zoomScaleNormal="80" workbookViewId="0">
      <selection activeCell="D306" sqref="D306:D360"/>
    </sheetView>
  </sheetViews>
  <sheetFormatPr baseColWidth="10" defaultRowHeight="14.5" x14ac:dyDescent="0.35"/>
  <cols>
    <col min="1" max="2" width="15" bestFit="1" customWidth="1"/>
    <col min="3" max="3" width="49.26953125" bestFit="1" customWidth="1"/>
    <col min="4" max="4" width="12.54296875" bestFit="1" customWidth="1"/>
  </cols>
  <sheetData>
    <row r="1" spans="1:5" ht="48" x14ac:dyDescent="0.35">
      <c r="A1" s="20" t="s">
        <v>572</v>
      </c>
      <c r="B1" s="20" t="s">
        <v>1</v>
      </c>
      <c r="C1" s="20" t="s">
        <v>2</v>
      </c>
      <c r="D1" s="20" t="s">
        <v>686</v>
      </c>
    </row>
    <row r="2" spans="1:5" ht="16" hidden="1" x14ac:dyDescent="0.35">
      <c r="A2" s="21">
        <v>100021813</v>
      </c>
      <c r="B2" s="22">
        <v>7503023959506</v>
      </c>
      <c r="C2" s="21" t="s">
        <v>219</v>
      </c>
      <c r="D2" s="23" t="s">
        <v>687</v>
      </c>
      <c r="E2" t="s">
        <v>588</v>
      </c>
    </row>
    <row r="3" spans="1:5" ht="16" hidden="1" x14ac:dyDescent="0.35">
      <c r="A3" s="21">
        <v>100021813</v>
      </c>
      <c r="B3" s="22">
        <v>7503023959506</v>
      </c>
      <c r="C3" s="21" t="s">
        <v>219</v>
      </c>
      <c r="D3" s="23" t="s">
        <v>688</v>
      </c>
      <c r="E3" t="s">
        <v>588</v>
      </c>
    </row>
    <row r="4" spans="1:5" ht="16" hidden="1" x14ac:dyDescent="0.35">
      <c r="A4" s="21">
        <v>100021813</v>
      </c>
      <c r="B4" s="22">
        <v>7503023959506</v>
      </c>
      <c r="C4" s="21" t="s">
        <v>219</v>
      </c>
      <c r="D4" s="23" t="s">
        <v>656</v>
      </c>
      <c r="E4" t="s">
        <v>588</v>
      </c>
    </row>
    <row r="5" spans="1:5" ht="16" hidden="1" x14ac:dyDescent="0.35">
      <c r="A5" s="21">
        <v>100021813</v>
      </c>
      <c r="B5" s="22">
        <v>7503023959506</v>
      </c>
      <c r="C5" s="21" t="s">
        <v>219</v>
      </c>
      <c r="D5" s="23" t="s">
        <v>689</v>
      </c>
      <c r="E5" t="s">
        <v>588</v>
      </c>
    </row>
    <row r="6" spans="1:5" ht="16" hidden="1" x14ac:dyDescent="0.35">
      <c r="A6" s="21">
        <v>100021813</v>
      </c>
      <c r="B6" s="22">
        <v>7503023959506</v>
      </c>
      <c r="C6" s="21" t="s">
        <v>219</v>
      </c>
      <c r="D6" s="23" t="s">
        <v>690</v>
      </c>
      <c r="E6" t="s">
        <v>588</v>
      </c>
    </row>
    <row r="7" spans="1:5" ht="16" hidden="1" x14ac:dyDescent="0.35">
      <c r="A7" s="21">
        <v>100021813</v>
      </c>
      <c r="B7" s="22">
        <v>7503023959506</v>
      </c>
      <c r="C7" s="21" t="s">
        <v>219</v>
      </c>
      <c r="D7" s="23" t="s">
        <v>691</v>
      </c>
      <c r="E7" t="s">
        <v>588</v>
      </c>
    </row>
    <row r="8" spans="1:5" ht="16" hidden="1" x14ac:dyDescent="0.35">
      <c r="A8" s="21">
        <v>100021813</v>
      </c>
      <c r="B8" s="22">
        <v>7503023959506</v>
      </c>
      <c r="C8" s="21" t="s">
        <v>219</v>
      </c>
      <c r="D8" s="23" t="s">
        <v>692</v>
      </c>
      <c r="E8" t="s">
        <v>588</v>
      </c>
    </row>
    <row r="9" spans="1:5" ht="16" hidden="1" x14ac:dyDescent="0.35">
      <c r="A9" s="21">
        <v>100021813</v>
      </c>
      <c r="B9" s="22">
        <v>7503023959506</v>
      </c>
      <c r="C9" s="21" t="s">
        <v>219</v>
      </c>
      <c r="D9" s="23" t="s">
        <v>693</v>
      </c>
      <c r="E9" t="s">
        <v>588</v>
      </c>
    </row>
    <row r="10" spans="1:5" ht="16" hidden="1" x14ac:dyDescent="0.35">
      <c r="A10" s="21">
        <v>100021813</v>
      </c>
      <c r="B10" s="22">
        <v>7503023959506</v>
      </c>
      <c r="C10" s="21" t="s">
        <v>219</v>
      </c>
      <c r="D10" s="23" t="s">
        <v>694</v>
      </c>
      <c r="E10" t="s">
        <v>588</v>
      </c>
    </row>
    <row r="11" spans="1:5" ht="16" hidden="1" x14ac:dyDescent="0.35">
      <c r="A11" s="21">
        <v>100021813</v>
      </c>
      <c r="B11" s="22">
        <v>7503023959506</v>
      </c>
      <c r="C11" s="21" t="s">
        <v>219</v>
      </c>
      <c r="D11" s="23" t="s">
        <v>695</v>
      </c>
      <c r="E11" t="s">
        <v>588</v>
      </c>
    </row>
    <row r="12" spans="1:5" ht="16" hidden="1" x14ac:dyDescent="0.35">
      <c r="A12" s="21">
        <v>100021813</v>
      </c>
      <c r="B12" s="22">
        <v>7503023959506</v>
      </c>
      <c r="C12" s="21" t="s">
        <v>219</v>
      </c>
      <c r="D12" s="23" t="s">
        <v>696</v>
      </c>
      <c r="E12" t="s">
        <v>588</v>
      </c>
    </row>
    <row r="13" spans="1:5" ht="16" hidden="1" x14ac:dyDescent="0.35">
      <c r="A13" s="21">
        <v>100021813</v>
      </c>
      <c r="B13" s="22">
        <v>7503023959506</v>
      </c>
      <c r="C13" s="21" t="s">
        <v>219</v>
      </c>
      <c r="D13" s="23" t="s">
        <v>697</v>
      </c>
      <c r="E13" t="s">
        <v>588</v>
      </c>
    </row>
    <row r="14" spans="1:5" ht="16" hidden="1" x14ac:dyDescent="0.35">
      <c r="A14" s="21">
        <v>100021813</v>
      </c>
      <c r="B14" s="22">
        <v>7503023959506</v>
      </c>
      <c r="C14" s="21" t="s">
        <v>219</v>
      </c>
      <c r="D14" s="23" t="s">
        <v>698</v>
      </c>
      <c r="E14" t="s">
        <v>588</v>
      </c>
    </row>
    <row r="15" spans="1:5" ht="16" hidden="1" x14ac:dyDescent="0.35">
      <c r="A15" s="21">
        <v>100021813</v>
      </c>
      <c r="B15" s="22">
        <v>7503023959506</v>
      </c>
      <c r="C15" s="21" t="s">
        <v>219</v>
      </c>
      <c r="D15" s="23" t="s">
        <v>657</v>
      </c>
      <c r="E15" t="s">
        <v>588</v>
      </c>
    </row>
    <row r="16" spans="1:5" ht="16" hidden="1" x14ac:dyDescent="0.35">
      <c r="A16" s="21">
        <v>100021813</v>
      </c>
      <c r="B16" s="22">
        <v>7503023959506</v>
      </c>
      <c r="C16" s="21" t="s">
        <v>219</v>
      </c>
      <c r="D16" s="23" t="s">
        <v>699</v>
      </c>
      <c r="E16" t="s">
        <v>588</v>
      </c>
    </row>
    <row r="17" spans="1:5" ht="16" hidden="1" x14ac:dyDescent="0.35">
      <c r="A17" s="21">
        <v>100021814</v>
      </c>
      <c r="B17" s="22">
        <v>7503023959490</v>
      </c>
      <c r="C17" s="21" t="s">
        <v>217</v>
      </c>
      <c r="D17" s="23" t="s">
        <v>687</v>
      </c>
      <c r="E17" t="s">
        <v>588</v>
      </c>
    </row>
    <row r="18" spans="1:5" ht="16" hidden="1" x14ac:dyDescent="0.35">
      <c r="A18" s="21">
        <v>100021814</v>
      </c>
      <c r="B18" s="22">
        <v>7503023959490</v>
      </c>
      <c r="C18" s="21" t="s">
        <v>217</v>
      </c>
      <c r="D18" s="23" t="s">
        <v>688</v>
      </c>
      <c r="E18" t="s">
        <v>588</v>
      </c>
    </row>
    <row r="19" spans="1:5" ht="16" hidden="1" x14ac:dyDescent="0.35">
      <c r="A19" s="21">
        <v>100021814</v>
      </c>
      <c r="B19" s="22">
        <v>7503023959490</v>
      </c>
      <c r="C19" s="21" t="s">
        <v>217</v>
      </c>
      <c r="D19" s="23" t="s">
        <v>656</v>
      </c>
      <c r="E19" t="s">
        <v>588</v>
      </c>
    </row>
    <row r="20" spans="1:5" ht="16" hidden="1" x14ac:dyDescent="0.35">
      <c r="A20" s="21">
        <v>100021814</v>
      </c>
      <c r="B20" s="22">
        <v>7503023959490</v>
      </c>
      <c r="C20" s="21" t="s">
        <v>217</v>
      </c>
      <c r="D20" s="23" t="s">
        <v>689</v>
      </c>
      <c r="E20" t="s">
        <v>588</v>
      </c>
    </row>
    <row r="21" spans="1:5" ht="16" hidden="1" x14ac:dyDescent="0.35">
      <c r="A21" s="21">
        <v>100021814</v>
      </c>
      <c r="B21" s="22">
        <v>7503023959490</v>
      </c>
      <c r="C21" s="21" t="s">
        <v>217</v>
      </c>
      <c r="D21" s="23" t="s">
        <v>690</v>
      </c>
      <c r="E21" t="s">
        <v>588</v>
      </c>
    </row>
    <row r="22" spans="1:5" ht="16" hidden="1" x14ac:dyDescent="0.35">
      <c r="A22" s="21">
        <v>100021814</v>
      </c>
      <c r="B22" s="22">
        <v>7503023959490</v>
      </c>
      <c r="C22" s="21" t="s">
        <v>217</v>
      </c>
      <c r="D22" s="23" t="s">
        <v>691</v>
      </c>
      <c r="E22" t="s">
        <v>588</v>
      </c>
    </row>
    <row r="23" spans="1:5" ht="16" hidden="1" x14ac:dyDescent="0.35">
      <c r="A23" s="21">
        <v>100021814</v>
      </c>
      <c r="B23" s="22">
        <v>7503023959490</v>
      </c>
      <c r="C23" s="21" t="s">
        <v>217</v>
      </c>
      <c r="D23" s="23" t="s">
        <v>692</v>
      </c>
      <c r="E23" t="s">
        <v>588</v>
      </c>
    </row>
    <row r="24" spans="1:5" ht="16" hidden="1" x14ac:dyDescent="0.35">
      <c r="A24" s="21">
        <v>100021814</v>
      </c>
      <c r="B24" s="22">
        <v>7503023959490</v>
      </c>
      <c r="C24" s="21" t="s">
        <v>217</v>
      </c>
      <c r="D24" s="23" t="s">
        <v>693</v>
      </c>
      <c r="E24" t="s">
        <v>588</v>
      </c>
    </row>
    <row r="25" spans="1:5" ht="16" hidden="1" x14ac:dyDescent="0.35">
      <c r="A25" s="21">
        <v>100021814</v>
      </c>
      <c r="B25" s="22">
        <v>7503023959490</v>
      </c>
      <c r="C25" s="21" t="s">
        <v>217</v>
      </c>
      <c r="D25" s="23" t="s">
        <v>694</v>
      </c>
      <c r="E25" t="s">
        <v>588</v>
      </c>
    </row>
    <row r="26" spans="1:5" ht="16" hidden="1" x14ac:dyDescent="0.35">
      <c r="A26" s="21">
        <v>100021814</v>
      </c>
      <c r="B26" s="22">
        <v>7503023959490</v>
      </c>
      <c r="C26" s="21" t="s">
        <v>217</v>
      </c>
      <c r="D26" s="23" t="s">
        <v>695</v>
      </c>
      <c r="E26" t="s">
        <v>588</v>
      </c>
    </row>
    <row r="27" spans="1:5" ht="16" hidden="1" x14ac:dyDescent="0.35">
      <c r="A27" s="21">
        <v>100021814</v>
      </c>
      <c r="B27" s="22">
        <v>7503023959490</v>
      </c>
      <c r="C27" s="21" t="s">
        <v>217</v>
      </c>
      <c r="D27" s="23" t="s">
        <v>696</v>
      </c>
      <c r="E27" t="s">
        <v>588</v>
      </c>
    </row>
    <row r="28" spans="1:5" ht="16" hidden="1" x14ac:dyDescent="0.35">
      <c r="A28" s="21">
        <v>100021814</v>
      </c>
      <c r="B28" s="22">
        <v>7503023959490</v>
      </c>
      <c r="C28" s="21" t="s">
        <v>217</v>
      </c>
      <c r="D28" s="23" t="s">
        <v>697</v>
      </c>
      <c r="E28" t="s">
        <v>588</v>
      </c>
    </row>
    <row r="29" spans="1:5" ht="16" hidden="1" x14ac:dyDescent="0.35">
      <c r="A29" s="21">
        <v>100021814</v>
      </c>
      <c r="B29" s="22">
        <v>7503023959490</v>
      </c>
      <c r="C29" s="21" t="s">
        <v>217</v>
      </c>
      <c r="D29" s="23" t="s">
        <v>698</v>
      </c>
      <c r="E29" t="s">
        <v>588</v>
      </c>
    </row>
    <row r="30" spans="1:5" ht="16" hidden="1" x14ac:dyDescent="0.35">
      <c r="A30" s="21">
        <v>100021814</v>
      </c>
      <c r="B30" s="22">
        <v>7503023959490</v>
      </c>
      <c r="C30" s="21" t="s">
        <v>217</v>
      </c>
      <c r="D30" s="23" t="s">
        <v>657</v>
      </c>
      <c r="E30" t="s">
        <v>588</v>
      </c>
    </row>
    <row r="31" spans="1:5" ht="16" hidden="1" x14ac:dyDescent="0.35">
      <c r="A31" s="21">
        <v>100021814</v>
      </c>
      <c r="B31" s="22">
        <v>7503023959490</v>
      </c>
      <c r="C31" s="21" t="s">
        <v>217</v>
      </c>
      <c r="D31" s="23" t="s">
        <v>699</v>
      </c>
      <c r="E31" t="s">
        <v>588</v>
      </c>
    </row>
    <row r="32" spans="1:5" ht="16" hidden="1" x14ac:dyDescent="0.35">
      <c r="A32" s="21">
        <v>100025152</v>
      </c>
      <c r="B32" s="22">
        <v>7503023959629</v>
      </c>
      <c r="C32" s="21" t="s">
        <v>221</v>
      </c>
      <c r="D32" s="23" t="s">
        <v>687</v>
      </c>
      <c r="E32" t="s">
        <v>588</v>
      </c>
    </row>
    <row r="33" spans="1:5" ht="16" hidden="1" x14ac:dyDescent="0.35">
      <c r="A33" s="21">
        <v>100025152</v>
      </c>
      <c r="B33" s="22">
        <v>7503023959629</v>
      </c>
      <c r="C33" s="21" t="s">
        <v>221</v>
      </c>
      <c r="D33" s="23" t="s">
        <v>688</v>
      </c>
      <c r="E33" t="s">
        <v>588</v>
      </c>
    </row>
    <row r="34" spans="1:5" ht="16" hidden="1" x14ac:dyDescent="0.35">
      <c r="A34" s="21">
        <v>100025152</v>
      </c>
      <c r="B34" s="22">
        <v>7503023959629</v>
      </c>
      <c r="C34" s="21" t="s">
        <v>221</v>
      </c>
      <c r="D34" s="23" t="s">
        <v>656</v>
      </c>
      <c r="E34" t="s">
        <v>588</v>
      </c>
    </row>
    <row r="35" spans="1:5" ht="16" hidden="1" x14ac:dyDescent="0.35">
      <c r="A35" s="21">
        <v>100025152</v>
      </c>
      <c r="B35" s="22">
        <v>7503023959629</v>
      </c>
      <c r="C35" s="21" t="s">
        <v>221</v>
      </c>
      <c r="D35" s="23" t="s">
        <v>689</v>
      </c>
      <c r="E35" t="s">
        <v>588</v>
      </c>
    </row>
    <row r="36" spans="1:5" ht="16" hidden="1" x14ac:dyDescent="0.35">
      <c r="A36" s="21">
        <v>100025152</v>
      </c>
      <c r="B36" s="22">
        <v>7503023959629</v>
      </c>
      <c r="C36" s="21" t="s">
        <v>221</v>
      </c>
      <c r="D36" s="23" t="s">
        <v>690</v>
      </c>
      <c r="E36" t="s">
        <v>588</v>
      </c>
    </row>
    <row r="37" spans="1:5" ht="16" hidden="1" x14ac:dyDescent="0.35">
      <c r="A37" s="21">
        <v>100025152</v>
      </c>
      <c r="B37" s="22">
        <v>7503023959629</v>
      </c>
      <c r="C37" s="21" t="s">
        <v>221</v>
      </c>
      <c r="D37" s="23" t="s">
        <v>691</v>
      </c>
      <c r="E37" t="s">
        <v>588</v>
      </c>
    </row>
    <row r="38" spans="1:5" ht="16" hidden="1" x14ac:dyDescent="0.35">
      <c r="A38" s="21">
        <v>100025152</v>
      </c>
      <c r="B38" s="22">
        <v>7503023959629</v>
      </c>
      <c r="C38" s="21" t="s">
        <v>221</v>
      </c>
      <c r="D38" s="23" t="s">
        <v>692</v>
      </c>
      <c r="E38" t="s">
        <v>588</v>
      </c>
    </row>
    <row r="39" spans="1:5" ht="16" hidden="1" x14ac:dyDescent="0.35">
      <c r="A39" s="21">
        <v>100025152</v>
      </c>
      <c r="B39" s="22">
        <v>7503023959629</v>
      </c>
      <c r="C39" s="21" t="s">
        <v>221</v>
      </c>
      <c r="D39" s="23" t="s">
        <v>693</v>
      </c>
      <c r="E39" t="s">
        <v>588</v>
      </c>
    </row>
    <row r="40" spans="1:5" ht="16" hidden="1" x14ac:dyDescent="0.35">
      <c r="A40" s="21">
        <v>100025152</v>
      </c>
      <c r="B40" s="22">
        <v>7503023959629</v>
      </c>
      <c r="C40" s="21" t="s">
        <v>221</v>
      </c>
      <c r="D40" s="23" t="s">
        <v>694</v>
      </c>
      <c r="E40" t="s">
        <v>588</v>
      </c>
    </row>
    <row r="41" spans="1:5" ht="16" hidden="1" x14ac:dyDescent="0.35">
      <c r="A41" s="21">
        <v>100025152</v>
      </c>
      <c r="B41" s="22">
        <v>7503023959629</v>
      </c>
      <c r="C41" s="21" t="s">
        <v>221</v>
      </c>
      <c r="D41" s="23" t="s">
        <v>695</v>
      </c>
      <c r="E41" t="s">
        <v>588</v>
      </c>
    </row>
    <row r="42" spans="1:5" ht="16" hidden="1" x14ac:dyDescent="0.35">
      <c r="A42" s="21">
        <v>100025152</v>
      </c>
      <c r="B42" s="22">
        <v>7503023959629</v>
      </c>
      <c r="C42" s="21" t="s">
        <v>221</v>
      </c>
      <c r="D42" s="23" t="s">
        <v>696</v>
      </c>
      <c r="E42" t="s">
        <v>588</v>
      </c>
    </row>
    <row r="43" spans="1:5" ht="16" hidden="1" x14ac:dyDescent="0.35">
      <c r="A43" s="21">
        <v>100025152</v>
      </c>
      <c r="B43" s="22">
        <v>7503023959629</v>
      </c>
      <c r="C43" s="21" t="s">
        <v>221</v>
      </c>
      <c r="D43" s="23" t="s">
        <v>697</v>
      </c>
      <c r="E43" t="s">
        <v>588</v>
      </c>
    </row>
    <row r="44" spans="1:5" ht="16" hidden="1" x14ac:dyDescent="0.35">
      <c r="A44" s="21">
        <v>100025152</v>
      </c>
      <c r="B44" s="22">
        <v>7503023959629</v>
      </c>
      <c r="C44" s="21" t="s">
        <v>221</v>
      </c>
      <c r="D44" s="23" t="s">
        <v>698</v>
      </c>
      <c r="E44" t="s">
        <v>588</v>
      </c>
    </row>
    <row r="45" spans="1:5" ht="16" hidden="1" x14ac:dyDescent="0.35">
      <c r="A45" s="21">
        <v>100025152</v>
      </c>
      <c r="B45" s="22">
        <v>7503023959629</v>
      </c>
      <c r="C45" s="21" t="s">
        <v>221</v>
      </c>
      <c r="D45" s="23" t="s">
        <v>657</v>
      </c>
      <c r="E45" t="s">
        <v>588</v>
      </c>
    </row>
    <row r="46" spans="1:5" ht="16" hidden="1" x14ac:dyDescent="0.35">
      <c r="A46" s="21">
        <v>100025152</v>
      </c>
      <c r="B46" s="22">
        <v>7503023959629</v>
      </c>
      <c r="C46" s="21" t="s">
        <v>221</v>
      </c>
      <c r="D46" s="23" t="s">
        <v>699</v>
      </c>
      <c r="E46" t="s">
        <v>588</v>
      </c>
    </row>
    <row r="47" spans="1:5" ht="16" hidden="1" x14ac:dyDescent="0.35">
      <c r="A47" s="21">
        <v>100025162</v>
      </c>
      <c r="B47" s="22">
        <v>7503023959452</v>
      </c>
      <c r="C47" s="21" t="s">
        <v>38</v>
      </c>
      <c r="D47" s="23" t="s">
        <v>687</v>
      </c>
      <c r="E47" t="s">
        <v>588</v>
      </c>
    </row>
    <row r="48" spans="1:5" ht="16" hidden="1" x14ac:dyDescent="0.35">
      <c r="A48" s="21">
        <v>100025162</v>
      </c>
      <c r="B48" s="22">
        <v>7503023959452</v>
      </c>
      <c r="C48" s="21" t="s">
        <v>38</v>
      </c>
      <c r="D48" s="23" t="s">
        <v>688</v>
      </c>
      <c r="E48" t="s">
        <v>588</v>
      </c>
    </row>
    <row r="49" spans="1:5" ht="16" hidden="1" x14ac:dyDescent="0.35">
      <c r="A49" s="21">
        <v>100025162</v>
      </c>
      <c r="B49" s="22">
        <v>7503023959452</v>
      </c>
      <c r="C49" s="21" t="s">
        <v>38</v>
      </c>
      <c r="D49" s="23" t="s">
        <v>656</v>
      </c>
      <c r="E49" t="s">
        <v>588</v>
      </c>
    </row>
    <row r="50" spans="1:5" ht="16" hidden="1" x14ac:dyDescent="0.35">
      <c r="A50" s="21">
        <v>100025162</v>
      </c>
      <c r="B50" s="22">
        <v>7503023959452</v>
      </c>
      <c r="C50" s="21" t="s">
        <v>38</v>
      </c>
      <c r="D50" s="23" t="s">
        <v>689</v>
      </c>
      <c r="E50" t="s">
        <v>588</v>
      </c>
    </row>
    <row r="51" spans="1:5" ht="16" hidden="1" x14ac:dyDescent="0.35">
      <c r="A51" s="21">
        <v>100025162</v>
      </c>
      <c r="B51" s="22">
        <v>7503023959452</v>
      </c>
      <c r="C51" s="21" t="s">
        <v>38</v>
      </c>
      <c r="D51" s="23" t="s">
        <v>690</v>
      </c>
      <c r="E51" t="s">
        <v>588</v>
      </c>
    </row>
    <row r="52" spans="1:5" ht="16" hidden="1" x14ac:dyDescent="0.35">
      <c r="A52" s="21">
        <v>100025162</v>
      </c>
      <c r="B52" s="22">
        <v>7503023959452</v>
      </c>
      <c r="C52" s="21" t="s">
        <v>38</v>
      </c>
      <c r="D52" s="23" t="s">
        <v>691</v>
      </c>
      <c r="E52" t="s">
        <v>588</v>
      </c>
    </row>
    <row r="53" spans="1:5" ht="16" hidden="1" x14ac:dyDescent="0.35">
      <c r="A53" s="21">
        <v>100025162</v>
      </c>
      <c r="B53" s="22">
        <v>7503023959452</v>
      </c>
      <c r="C53" s="21" t="s">
        <v>38</v>
      </c>
      <c r="D53" s="23" t="s">
        <v>692</v>
      </c>
      <c r="E53" t="s">
        <v>588</v>
      </c>
    </row>
    <row r="54" spans="1:5" ht="16" hidden="1" x14ac:dyDescent="0.35">
      <c r="A54" s="21">
        <v>100025162</v>
      </c>
      <c r="B54" s="22">
        <v>7503023959452</v>
      </c>
      <c r="C54" s="21" t="s">
        <v>38</v>
      </c>
      <c r="D54" s="23" t="s">
        <v>693</v>
      </c>
      <c r="E54" t="s">
        <v>588</v>
      </c>
    </row>
    <row r="55" spans="1:5" ht="16" hidden="1" x14ac:dyDescent="0.35">
      <c r="A55" s="21">
        <v>100025162</v>
      </c>
      <c r="B55" s="22">
        <v>7503023959452</v>
      </c>
      <c r="C55" s="21" t="s">
        <v>38</v>
      </c>
      <c r="D55" s="23" t="s">
        <v>694</v>
      </c>
      <c r="E55" t="s">
        <v>588</v>
      </c>
    </row>
    <row r="56" spans="1:5" ht="16" hidden="1" x14ac:dyDescent="0.35">
      <c r="A56" s="21">
        <v>100025162</v>
      </c>
      <c r="B56" s="22">
        <v>7503023959452</v>
      </c>
      <c r="C56" s="21" t="s">
        <v>38</v>
      </c>
      <c r="D56" s="23" t="s">
        <v>695</v>
      </c>
      <c r="E56" t="s">
        <v>588</v>
      </c>
    </row>
    <row r="57" spans="1:5" ht="16" hidden="1" x14ac:dyDescent="0.35">
      <c r="A57" s="21">
        <v>100025162</v>
      </c>
      <c r="B57" s="22">
        <v>7503023959452</v>
      </c>
      <c r="C57" s="21" t="s">
        <v>38</v>
      </c>
      <c r="D57" s="23" t="s">
        <v>696</v>
      </c>
      <c r="E57" t="s">
        <v>588</v>
      </c>
    </row>
    <row r="58" spans="1:5" ht="16" hidden="1" x14ac:dyDescent="0.35">
      <c r="A58" s="21">
        <v>100025162</v>
      </c>
      <c r="B58" s="22">
        <v>7503023959452</v>
      </c>
      <c r="C58" s="21" t="s">
        <v>38</v>
      </c>
      <c r="D58" s="23" t="s">
        <v>697</v>
      </c>
      <c r="E58" t="s">
        <v>588</v>
      </c>
    </row>
    <row r="59" spans="1:5" ht="16" hidden="1" x14ac:dyDescent="0.35">
      <c r="A59" s="21">
        <v>100025162</v>
      </c>
      <c r="B59" s="22">
        <v>7503023959452</v>
      </c>
      <c r="C59" s="21" t="s">
        <v>38</v>
      </c>
      <c r="D59" s="23" t="s">
        <v>698</v>
      </c>
      <c r="E59" t="s">
        <v>588</v>
      </c>
    </row>
    <row r="60" spans="1:5" ht="16" hidden="1" x14ac:dyDescent="0.35">
      <c r="A60" s="21">
        <v>100025162</v>
      </c>
      <c r="B60" s="22">
        <v>7503023959452</v>
      </c>
      <c r="C60" s="21" t="s">
        <v>38</v>
      </c>
      <c r="D60" s="23" t="s">
        <v>657</v>
      </c>
      <c r="E60" t="s">
        <v>588</v>
      </c>
    </row>
    <row r="61" spans="1:5" ht="16" hidden="1" x14ac:dyDescent="0.35">
      <c r="A61" s="21">
        <v>100025162</v>
      </c>
      <c r="B61" s="22">
        <v>7503023959452</v>
      </c>
      <c r="C61" s="21" t="s">
        <v>38</v>
      </c>
      <c r="D61" s="23" t="s">
        <v>699</v>
      </c>
      <c r="E61" t="s">
        <v>588</v>
      </c>
    </row>
    <row r="62" spans="1:5" ht="16" hidden="1" x14ac:dyDescent="0.35">
      <c r="A62" s="23">
        <v>100026306</v>
      </c>
      <c r="B62" s="24">
        <v>7503039738584</v>
      </c>
      <c r="C62" s="23" t="s">
        <v>147</v>
      </c>
      <c r="D62" s="23" t="s">
        <v>687</v>
      </c>
      <c r="E62" t="s">
        <v>588</v>
      </c>
    </row>
    <row r="63" spans="1:5" ht="16" hidden="1" x14ac:dyDescent="0.35">
      <c r="A63" s="23">
        <v>100026306</v>
      </c>
      <c r="B63" s="24">
        <v>7503039738584</v>
      </c>
      <c r="C63" s="23" t="s">
        <v>147</v>
      </c>
      <c r="D63" s="23" t="s">
        <v>688</v>
      </c>
      <c r="E63" t="s">
        <v>588</v>
      </c>
    </row>
    <row r="64" spans="1:5" ht="16" hidden="1" x14ac:dyDescent="0.35">
      <c r="A64" s="23">
        <v>100026306</v>
      </c>
      <c r="B64" s="24">
        <v>7503039738584</v>
      </c>
      <c r="C64" s="23" t="s">
        <v>147</v>
      </c>
      <c r="D64" s="23" t="s">
        <v>656</v>
      </c>
      <c r="E64" t="s">
        <v>588</v>
      </c>
    </row>
    <row r="65" spans="1:5" ht="16" hidden="1" x14ac:dyDescent="0.35">
      <c r="A65" s="23">
        <v>100026306</v>
      </c>
      <c r="B65" s="24">
        <v>7503039738584</v>
      </c>
      <c r="C65" s="23" t="s">
        <v>147</v>
      </c>
      <c r="D65" s="23" t="s">
        <v>689</v>
      </c>
      <c r="E65" t="s">
        <v>588</v>
      </c>
    </row>
    <row r="66" spans="1:5" ht="16" hidden="1" x14ac:dyDescent="0.35">
      <c r="A66" s="23">
        <v>100026306</v>
      </c>
      <c r="B66" s="24">
        <v>7503039738584</v>
      </c>
      <c r="C66" s="23" t="s">
        <v>147</v>
      </c>
      <c r="D66" s="23" t="s">
        <v>690</v>
      </c>
      <c r="E66" t="s">
        <v>588</v>
      </c>
    </row>
    <row r="67" spans="1:5" ht="16" hidden="1" x14ac:dyDescent="0.35">
      <c r="A67" s="23">
        <v>100026306</v>
      </c>
      <c r="B67" s="24">
        <v>7503039738584</v>
      </c>
      <c r="C67" s="23" t="s">
        <v>147</v>
      </c>
      <c r="D67" s="23" t="s">
        <v>691</v>
      </c>
      <c r="E67" t="s">
        <v>588</v>
      </c>
    </row>
    <row r="68" spans="1:5" ht="16" hidden="1" x14ac:dyDescent="0.35">
      <c r="A68" s="23">
        <v>100026306</v>
      </c>
      <c r="B68" s="24">
        <v>7503039738584</v>
      </c>
      <c r="C68" s="23" t="s">
        <v>147</v>
      </c>
      <c r="D68" s="23" t="s">
        <v>692</v>
      </c>
      <c r="E68" t="s">
        <v>588</v>
      </c>
    </row>
    <row r="69" spans="1:5" ht="16" hidden="1" x14ac:dyDescent="0.35">
      <c r="A69" s="23">
        <v>100026306</v>
      </c>
      <c r="B69" s="24">
        <v>7503039738584</v>
      </c>
      <c r="C69" s="23" t="s">
        <v>147</v>
      </c>
      <c r="D69" s="23" t="s">
        <v>693</v>
      </c>
      <c r="E69" t="s">
        <v>588</v>
      </c>
    </row>
    <row r="70" spans="1:5" ht="16" hidden="1" x14ac:dyDescent="0.35">
      <c r="A70" s="23">
        <v>100026306</v>
      </c>
      <c r="B70" s="24">
        <v>7503039738584</v>
      </c>
      <c r="C70" s="23" t="s">
        <v>147</v>
      </c>
      <c r="D70" s="23" t="s">
        <v>694</v>
      </c>
      <c r="E70" t="s">
        <v>588</v>
      </c>
    </row>
    <row r="71" spans="1:5" ht="16" hidden="1" x14ac:dyDescent="0.35">
      <c r="A71" s="23">
        <v>100026306</v>
      </c>
      <c r="B71" s="24">
        <v>7503039738584</v>
      </c>
      <c r="C71" s="23" t="s">
        <v>147</v>
      </c>
      <c r="D71" s="23" t="s">
        <v>695</v>
      </c>
      <c r="E71" t="s">
        <v>588</v>
      </c>
    </row>
    <row r="72" spans="1:5" ht="16" hidden="1" x14ac:dyDescent="0.35">
      <c r="A72" s="23">
        <v>100026306</v>
      </c>
      <c r="B72" s="24">
        <v>7503039738584</v>
      </c>
      <c r="C72" s="23" t="s">
        <v>147</v>
      </c>
      <c r="D72" s="23" t="s">
        <v>696</v>
      </c>
      <c r="E72" t="s">
        <v>588</v>
      </c>
    </row>
    <row r="73" spans="1:5" ht="16" hidden="1" x14ac:dyDescent="0.35">
      <c r="A73" s="23">
        <v>100026306</v>
      </c>
      <c r="B73" s="24">
        <v>7503039738584</v>
      </c>
      <c r="C73" s="23" t="s">
        <v>147</v>
      </c>
      <c r="D73" s="23" t="s">
        <v>697</v>
      </c>
      <c r="E73" t="s">
        <v>588</v>
      </c>
    </row>
    <row r="74" spans="1:5" ht="16" hidden="1" x14ac:dyDescent="0.35">
      <c r="A74" s="23">
        <v>100026306</v>
      </c>
      <c r="B74" s="24">
        <v>7503039738584</v>
      </c>
      <c r="C74" s="23" t="s">
        <v>147</v>
      </c>
      <c r="D74" s="23" t="s">
        <v>698</v>
      </c>
      <c r="E74" t="s">
        <v>588</v>
      </c>
    </row>
    <row r="75" spans="1:5" ht="16" hidden="1" x14ac:dyDescent="0.35">
      <c r="A75" s="23">
        <v>100026306</v>
      </c>
      <c r="B75" s="24">
        <v>7503039738584</v>
      </c>
      <c r="C75" s="23" t="s">
        <v>147</v>
      </c>
      <c r="D75" s="23" t="s">
        <v>657</v>
      </c>
      <c r="E75" t="s">
        <v>588</v>
      </c>
    </row>
    <row r="76" spans="1:5" ht="16" hidden="1" x14ac:dyDescent="0.35">
      <c r="A76" s="23">
        <v>100026306</v>
      </c>
      <c r="B76" s="24">
        <v>7503039738584</v>
      </c>
      <c r="C76" s="23" t="s">
        <v>147</v>
      </c>
      <c r="D76" s="23" t="s">
        <v>699</v>
      </c>
      <c r="E76" t="s">
        <v>588</v>
      </c>
    </row>
    <row r="77" spans="1:5" ht="16" hidden="1" x14ac:dyDescent="0.35">
      <c r="A77" s="23">
        <v>100026305</v>
      </c>
      <c r="B77" s="24">
        <v>7503039738577</v>
      </c>
      <c r="C77" s="23" t="s">
        <v>566</v>
      </c>
      <c r="D77" s="23" t="s">
        <v>687</v>
      </c>
      <c r="E77" t="s">
        <v>588</v>
      </c>
    </row>
    <row r="78" spans="1:5" ht="16" hidden="1" x14ac:dyDescent="0.35">
      <c r="A78" s="23">
        <v>100026305</v>
      </c>
      <c r="B78" s="24">
        <v>7503039738577</v>
      </c>
      <c r="C78" s="23" t="s">
        <v>566</v>
      </c>
      <c r="D78" s="23" t="s">
        <v>688</v>
      </c>
      <c r="E78" t="s">
        <v>588</v>
      </c>
    </row>
    <row r="79" spans="1:5" ht="16" hidden="1" x14ac:dyDescent="0.35">
      <c r="A79" s="23">
        <v>100026305</v>
      </c>
      <c r="B79" s="24">
        <v>7503039738577</v>
      </c>
      <c r="C79" s="23" t="s">
        <v>566</v>
      </c>
      <c r="D79" s="23" t="s">
        <v>656</v>
      </c>
      <c r="E79" t="s">
        <v>588</v>
      </c>
    </row>
    <row r="80" spans="1:5" ht="16" hidden="1" x14ac:dyDescent="0.35">
      <c r="A80" s="23">
        <v>100026305</v>
      </c>
      <c r="B80" s="24">
        <v>7503039738577</v>
      </c>
      <c r="C80" s="23" t="s">
        <v>566</v>
      </c>
      <c r="D80" s="23" t="s">
        <v>689</v>
      </c>
      <c r="E80" t="s">
        <v>588</v>
      </c>
    </row>
    <row r="81" spans="1:5" ht="16" hidden="1" x14ac:dyDescent="0.35">
      <c r="A81" s="23">
        <v>100026305</v>
      </c>
      <c r="B81" s="24">
        <v>7503039738577</v>
      </c>
      <c r="C81" s="23" t="s">
        <v>566</v>
      </c>
      <c r="D81" s="23" t="s">
        <v>690</v>
      </c>
      <c r="E81" t="s">
        <v>588</v>
      </c>
    </row>
    <row r="82" spans="1:5" ht="16" hidden="1" x14ac:dyDescent="0.35">
      <c r="A82" s="23">
        <v>100026305</v>
      </c>
      <c r="B82" s="24">
        <v>7503039738577</v>
      </c>
      <c r="C82" s="23" t="s">
        <v>566</v>
      </c>
      <c r="D82" s="23" t="s">
        <v>691</v>
      </c>
      <c r="E82" t="s">
        <v>588</v>
      </c>
    </row>
    <row r="83" spans="1:5" ht="16" hidden="1" x14ac:dyDescent="0.35">
      <c r="A83" s="23">
        <v>100026305</v>
      </c>
      <c r="B83" s="24">
        <v>7503039738577</v>
      </c>
      <c r="C83" s="23" t="s">
        <v>566</v>
      </c>
      <c r="D83" s="23" t="s">
        <v>692</v>
      </c>
      <c r="E83" t="s">
        <v>588</v>
      </c>
    </row>
    <row r="84" spans="1:5" ht="16" hidden="1" x14ac:dyDescent="0.35">
      <c r="A84" s="23">
        <v>100026305</v>
      </c>
      <c r="B84" s="24">
        <v>7503039738577</v>
      </c>
      <c r="C84" s="23" t="s">
        <v>566</v>
      </c>
      <c r="D84" s="23" t="s">
        <v>693</v>
      </c>
      <c r="E84" t="s">
        <v>588</v>
      </c>
    </row>
    <row r="85" spans="1:5" ht="16" hidden="1" x14ac:dyDescent="0.35">
      <c r="A85" s="23">
        <v>100026305</v>
      </c>
      <c r="B85" s="24">
        <v>7503039738577</v>
      </c>
      <c r="C85" s="23" t="s">
        <v>566</v>
      </c>
      <c r="D85" s="23" t="s">
        <v>694</v>
      </c>
      <c r="E85" t="s">
        <v>588</v>
      </c>
    </row>
    <row r="86" spans="1:5" ht="16" hidden="1" x14ac:dyDescent="0.35">
      <c r="A86" s="23">
        <v>100026305</v>
      </c>
      <c r="B86" s="24">
        <v>7503039738577</v>
      </c>
      <c r="C86" s="23" t="s">
        <v>566</v>
      </c>
      <c r="D86" s="23" t="s">
        <v>695</v>
      </c>
      <c r="E86" t="s">
        <v>588</v>
      </c>
    </row>
    <row r="87" spans="1:5" ht="16" hidden="1" x14ac:dyDescent="0.35">
      <c r="A87" s="23">
        <v>100026305</v>
      </c>
      <c r="B87" s="24">
        <v>7503039738577</v>
      </c>
      <c r="C87" s="23" t="s">
        <v>566</v>
      </c>
      <c r="D87" s="23" t="s">
        <v>696</v>
      </c>
      <c r="E87" t="s">
        <v>588</v>
      </c>
    </row>
    <row r="88" spans="1:5" ht="16" hidden="1" x14ac:dyDescent="0.35">
      <c r="A88" s="23">
        <v>100026305</v>
      </c>
      <c r="B88" s="24">
        <v>7503039738577</v>
      </c>
      <c r="C88" s="23" t="s">
        <v>566</v>
      </c>
      <c r="D88" s="23" t="s">
        <v>697</v>
      </c>
      <c r="E88" t="s">
        <v>588</v>
      </c>
    </row>
    <row r="89" spans="1:5" ht="16" hidden="1" x14ac:dyDescent="0.35">
      <c r="A89" s="23">
        <v>100026305</v>
      </c>
      <c r="B89" s="24">
        <v>7503039738577</v>
      </c>
      <c r="C89" s="23" t="s">
        <v>566</v>
      </c>
      <c r="D89" s="23" t="s">
        <v>698</v>
      </c>
      <c r="E89" t="s">
        <v>588</v>
      </c>
    </row>
    <row r="90" spans="1:5" ht="16" hidden="1" x14ac:dyDescent="0.35">
      <c r="A90" s="23">
        <v>100026305</v>
      </c>
      <c r="B90" s="24">
        <v>7503039738577</v>
      </c>
      <c r="C90" s="23" t="s">
        <v>566</v>
      </c>
      <c r="D90" s="23" t="s">
        <v>657</v>
      </c>
      <c r="E90" t="s">
        <v>588</v>
      </c>
    </row>
    <row r="91" spans="1:5" ht="16" hidden="1" x14ac:dyDescent="0.35">
      <c r="A91" s="23">
        <v>100026305</v>
      </c>
      <c r="B91" s="24">
        <v>7503039738577</v>
      </c>
      <c r="C91" s="23" t="s">
        <v>566</v>
      </c>
      <c r="D91" s="23" t="s">
        <v>699</v>
      </c>
      <c r="E91" t="s">
        <v>588</v>
      </c>
    </row>
    <row r="92" spans="1:5" ht="16" hidden="1" x14ac:dyDescent="0.35">
      <c r="A92" s="23">
        <v>100026302</v>
      </c>
      <c r="B92" s="24">
        <v>7503039738553</v>
      </c>
      <c r="C92" s="23" t="s">
        <v>555</v>
      </c>
      <c r="D92" s="23" t="s">
        <v>687</v>
      </c>
      <c r="E92" t="s">
        <v>588</v>
      </c>
    </row>
    <row r="93" spans="1:5" ht="16" hidden="1" x14ac:dyDescent="0.35">
      <c r="A93" s="23">
        <v>100026302</v>
      </c>
      <c r="B93" s="24">
        <v>7503039738553</v>
      </c>
      <c r="C93" s="23" t="s">
        <v>555</v>
      </c>
      <c r="D93" s="23" t="s">
        <v>688</v>
      </c>
      <c r="E93" t="s">
        <v>588</v>
      </c>
    </row>
    <row r="94" spans="1:5" ht="16" hidden="1" x14ac:dyDescent="0.35">
      <c r="A94" s="23">
        <v>100026302</v>
      </c>
      <c r="B94" s="24">
        <v>7503039738553</v>
      </c>
      <c r="C94" s="23" t="s">
        <v>555</v>
      </c>
      <c r="D94" s="23" t="s">
        <v>656</v>
      </c>
      <c r="E94" t="s">
        <v>588</v>
      </c>
    </row>
    <row r="95" spans="1:5" ht="16" hidden="1" x14ac:dyDescent="0.35">
      <c r="A95" s="23">
        <v>100026302</v>
      </c>
      <c r="B95" s="24">
        <v>7503039738553</v>
      </c>
      <c r="C95" s="23" t="s">
        <v>555</v>
      </c>
      <c r="D95" s="23" t="s">
        <v>689</v>
      </c>
      <c r="E95" t="s">
        <v>588</v>
      </c>
    </row>
    <row r="96" spans="1:5" ht="16" hidden="1" x14ac:dyDescent="0.35">
      <c r="A96" s="23">
        <v>100026302</v>
      </c>
      <c r="B96" s="24">
        <v>7503039738553</v>
      </c>
      <c r="C96" s="23" t="s">
        <v>555</v>
      </c>
      <c r="D96" s="23" t="s">
        <v>690</v>
      </c>
      <c r="E96" t="s">
        <v>588</v>
      </c>
    </row>
    <row r="97" spans="1:5" ht="16" hidden="1" x14ac:dyDescent="0.35">
      <c r="A97" s="23">
        <v>100026302</v>
      </c>
      <c r="B97" s="24">
        <v>7503039738553</v>
      </c>
      <c r="C97" s="23" t="s">
        <v>555</v>
      </c>
      <c r="D97" s="23" t="s">
        <v>691</v>
      </c>
      <c r="E97" t="s">
        <v>588</v>
      </c>
    </row>
    <row r="98" spans="1:5" ht="16" hidden="1" x14ac:dyDescent="0.35">
      <c r="A98" s="23">
        <v>100026302</v>
      </c>
      <c r="B98" s="24">
        <v>7503039738553</v>
      </c>
      <c r="C98" s="23" t="s">
        <v>555</v>
      </c>
      <c r="D98" s="23" t="s">
        <v>692</v>
      </c>
      <c r="E98" t="s">
        <v>588</v>
      </c>
    </row>
    <row r="99" spans="1:5" ht="16" hidden="1" x14ac:dyDescent="0.35">
      <c r="A99" s="23">
        <v>100026302</v>
      </c>
      <c r="B99" s="24">
        <v>7503039738553</v>
      </c>
      <c r="C99" s="23" t="s">
        <v>555</v>
      </c>
      <c r="D99" s="23" t="s">
        <v>693</v>
      </c>
      <c r="E99" t="s">
        <v>588</v>
      </c>
    </row>
    <row r="100" spans="1:5" ht="16" hidden="1" x14ac:dyDescent="0.35">
      <c r="A100" s="23">
        <v>100026302</v>
      </c>
      <c r="B100" s="24">
        <v>7503039738553</v>
      </c>
      <c r="C100" s="23" t="s">
        <v>555</v>
      </c>
      <c r="D100" s="23" t="s">
        <v>694</v>
      </c>
      <c r="E100" t="s">
        <v>588</v>
      </c>
    </row>
    <row r="101" spans="1:5" ht="16" hidden="1" x14ac:dyDescent="0.35">
      <c r="A101" s="23">
        <v>100026302</v>
      </c>
      <c r="B101" s="24">
        <v>7503039738553</v>
      </c>
      <c r="C101" s="23" t="s">
        <v>555</v>
      </c>
      <c r="D101" s="23" t="s">
        <v>695</v>
      </c>
      <c r="E101" t="s">
        <v>588</v>
      </c>
    </row>
    <row r="102" spans="1:5" ht="16" hidden="1" x14ac:dyDescent="0.35">
      <c r="A102" s="23">
        <v>100026302</v>
      </c>
      <c r="B102" s="24">
        <v>7503039738553</v>
      </c>
      <c r="C102" s="23" t="s">
        <v>555</v>
      </c>
      <c r="D102" s="23" t="s">
        <v>696</v>
      </c>
      <c r="E102" t="s">
        <v>588</v>
      </c>
    </row>
    <row r="103" spans="1:5" ht="16" hidden="1" x14ac:dyDescent="0.35">
      <c r="A103" s="23">
        <v>100026302</v>
      </c>
      <c r="B103" s="24">
        <v>7503039738553</v>
      </c>
      <c r="C103" s="23" t="s">
        <v>555</v>
      </c>
      <c r="D103" s="23" t="s">
        <v>697</v>
      </c>
      <c r="E103" t="s">
        <v>588</v>
      </c>
    </row>
    <row r="104" spans="1:5" ht="16" hidden="1" x14ac:dyDescent="0.35">
      <c r="A104" s="23">
        <v>100026302</v>
      </c>
      <c r="B104" s="24">
        <v>7503039738553</v>
      </c>
      <c r="C104" s="23" t="s">
        <v>555</v>
      </c>
      <c r="D104" s="23" t="s">
        <v>698</v>
      </c>
      <c r="E104" t="s">
        <v>588</v>
      </c>
    </row>
    <row r="105" spans="1:5" ht="16" hidden="1" x14ac:dyDescent="0.35">
      <c r="A105" s="23">
        <v>100026302</v>
      </c>
      <c r="B105" s="24">
        <v>7503039738553</v>
      </c>
      <c r="C105" s="23" t="s">
        <v>555</v>
      </c>
      <c r="D105" s="23" t="s">
        <v>657</v>
      </c>
      <c r="E105" t="s">
        <v>588</v>
      </c>
    </row>
    <row r="106" spans="1:5" ht="16" hidden="1" x14ac:dyDescent="0.35">
      <c r="A106" s="23">
        <v>100026302</v>
      </c>
      <c r="B106" s="24">
        <v>7503039738553</v>
      </c>
      <c r="C106" s="23" t="s">
        <v>555</v>
      </c>
      <c r="D106" s="23" t="s">
        <v>699</v>
      </c>
      <c r="E106" t="s">
        <v>588</v>
      </c>
    </row>
    <row r="107" spans="1:5" ht="16" hidden="1" x14ac:dyDescent="0.35">
      <c r="A107" s="23">
        <v>100026301</v>
      </c>
      <c r="B107" s="24">
        <v>7503039738546</v>
      </c>
      <c r="C107" s="23" t="s">
        <v>191</v>
      </c>
      <c r="D107" s="23" t="s">
        <v>687</v>
      </c>
      <c r="E107" t="s">
        <v>588</v>
      </c>
    </row>
    <row r="108" spans="1:5" ht="16" hidden="1" x14ac:dyDescent="0.35">
      <c r="A108" s="23">
        <v>100026301</v>
      </c>
      <c r="B108" s="24">
        <v>7503039738546</v>
      </c>
      <c r="C108" s="23" t="s">
        <v>191</v>
      </c>
      <c r="D108" s="23" t="s">
        <v>688</v>
      </c>
      <c r="E108" t="s">
        <v>588</v>
      </c>
    </row>
    <row r="109" spans="1:5" ht="16" hidden="1" x14ac:dyDescent="0.35">
      <c r="A109" s="23">
        <v>100026301</v>
      </c>
      <c r="B109" s="24">
        <v>7503039738546</v>
      </c>
      <c r="C109" s="23" t="s">
        <v>191</v>
      </c>
      <c r="D109" s="23" t="s">
        <v>656</v>
      </c>
      <c r="E109" t="s">
        <v>588</v>
      </c>
    </row>
    <row r="110" spans="1:5" ht="16" hidden="1" x14ac:dyDescent="0.35">
      <c r="A110" s="23">
        <v>100026301</v>
      </c>
      <c r="B110" s="24">
        <v>7503039738546</v>
      </c>
      <c r="C110" s="23" t="s">
        <v>191</v>
      </c>
      <c r="D110" s="23" t="s">
        <v>689</v>
      </c>
      <c r="E110" t="s">
        <v>588</v>
      </c>
    </row>
    <row r="111" spans="1:5" ht="16" hidden="1" x14ac:dyDescent="0.35">
      <c r="A111" s="23">
        <v>100026301</v>
      </c>
      <c r="B111" s="24">
        <v>7503039738546</v>
      </c>
      <c r="C111" s="23" t="s">
        <v>191</v>
      </c>
      <c r="D111" s="23" t="s">
        <v>690</v>
      </c>
      <c r="E111" t="s">
        <v>588</v>
      </c>
    </row>
    <row r="112" spans="1:5" ht="16" hidden="1" x14ac:dyDescent="0.35">
      <c r="A112" s="23">
        <v>100026301</v>
      </c>
      <c r="B112" s="24">
        <v>7503039738546</v>
      </c>
      <c r="C112" s="23" t="s">
        <v>191</v>
      </c>
      <c r="D112" s="23" t="s">
        <v>691</v>
      </c>
      <c r="E112" t="s">
        <v>588</v>
      </c>
    </row>
    <row r="113" spans="1:5" ht="16" hidden="1" x14ac:dyDescent="0.35">
      <c r="A113" s="23">
        <v>100026301</v>
      </c>
      <c r="B113" s="24">
        <v>7503039738546</v>
      </c>
      <c r="C113" s="23" t="s">
        <v>191</v>
      </c>
      <c r="D113" s="23" t="s">
        <v>692</v>
      </c>
      <c r="E113" t="s">
        <v>588</v>
      </c>
    </row>
    <row r="114" spans="1:5" ht="16" hidden="1" x14ac:dyDescent="0.35">
      <c r="A114" s="23">
        <v>100026301</v>
      </c>
      <c r="B114" s="24">
        <v>7503039738546</v>
      </c>
      <c r="C114" s="23" t="s">
        <v>191</v>
      </c>
      <c r="D114" s="23" t="s">
        <v>693</v>
      </c>
      <c r="E114" t="s">
        <v>588</v>
      </c>
    </row>
    <row r="115" spans="1:5" ht="16" hidden="1" x14ac:dyDescent="0.35">
      <c r="A115" s="23">
        <v>100026301</v>
      </c>
      <c r="B115" s="24">
        <v>7503039738546</v>
      </c>
      <c r="C115" s="23" t="s">
        <v>191</v>
      </c>
      <c r="D115" s="23" t="s">
        <v>694</v>
      </c>
      <c r="E115" t="s">
        <v>588</v>
      </c>
    </row>
    <row r="116" spans="1:5" ht="16" hidden="1" x14ac:dyDescent="0.35">
      <c r="A116" s="23">
        <v>100026301</v>
      </c>
      <c r="B116" s="24">
        <v>7503039738546</v>
      </c>
      <c r="C116" s="23" t="s">
        <v>191</v>
      </c>
      <c r="D116" s="23" t="s">
        <v>695</v>
      </c>
      <c r="E116" t="s">
        <v>588</v>
      </c>
    </row>
    <row r="117" spans="1:5" ht="16" hidden="1" x14ac:dyDescent="0.35">
      <c r="A117" s="23">
        <v>100026301</v>
      </c>
      <c r="B117" s="24">
        <v>7503039738546</v>
      </c>
      <c r="C117" s="23" t="s">
        <v>191</v>
      </c>
      <c r="D117" s="23" t="s">
        <v>696</v>
      </c>
      <c r="E117" t="s">
        <v>588</v>
      </c>
    </row>
    <row r="118" spans="1:5" ht="16" hidden="1" x14ac:dyDescent="0.35">
      <c r="A118" s="23">
        <v>100026301</v>
      </c>
      <c r="B118" s="24">
        <v>7503039738546</v>
      </c>
      <c r="C118" s="23" t="s">
        <v>191</v>
      </c>
      <c r="D118" s="23" t="s">
        <v>697</v>
      </c>
      <c r="E118" t="s">
        <v>588</v>
      </c>
    </row>
    <row r="119" spans="1:5" ht="16" hidden="1" x14ac:dyDescent="0.35">
      <c r="A119" s="23">
        <v>100026301</v>
      </c>
      <c r="B119" s="24">
        <v>7503039738546</v>
      </c>
      <c r="C119" s="23" t="s">
        <v>191</v>
      </c>
      <c r="D119" s="23" t="s">
        <v>698</v>
      </c>
      <c r="E119" t="s">
        <v>588</v>
      </c>
    </row>
    <row r="120" spans="1:5" ht="16" hidden="1" x14ac:dyDescent="0.35">
      <c r="A120" s="23">
        <v>100026301</v>
      </c>
      <c r="B120" s="24">
        <v>7503039738546</v>
      </c>
      <c r="C120" s="23" t="s">
        <v>191</v>
      </c>
      <c r="D120" s="23" t="s">
        <v>657</v>
      </c>
      <c r="E120" t="s">
        <v>588</v>
      </c>
    </row>
    <row r="121" spans="1:5" ht="16" hidden="1" x14ac:dyDescent="0.35">
      <c r="A121" s="23">
        <v>100026301</v>
      </c>
      <c r="B121" s="24">
        <v>7503039738546</v>
      </c>
      <c r="C121" s="23" t="s">
        <v>191</v>
      </c>
      <c r="D121" s="23" t="s">
        <v>699</v>
      </c>
      <c r="E121" t="s">
        <v>588</v>
      </c>
    </row>
    <row r="122" spans="1:5" ht="16" hidden="1" x14ac:dyDescent="0.35">
      <c r="A122" s="23">
        <v>100026300</v>
      </c>
      <c r="B122" s="24">
        <v>7503039738539</v>
      </c>
      <c r="C122" s="23" t="s">
        <v>196</v>
      </c>
      <c r="D122" s="23" t="s">
        <v>687</v>
      </c>
      <c r="E122" t="s">
        <v>588</v>
      </c>
    </row>
    <row r="123" spans="1:5" ht="16" hidden="1" x14ac:dyDescent="0.35">
      <c r="A123" s="23">
        <v>100026300</v>
      </c>
      <c r="B123" s="24">
        <v>7503039738539</v>
      </c>
      <c r="C123" s="23" t="s">
        <v>196</v>
      </c>
      <c r="D123" s="23" t="s">
        <v>688</v>
      </c>
      <c r="E123" t="s">
        <v>588</v>
      </c>
    </row>
    <row r="124" spans="1:5" ht="16" hidden="1" x14ac:dyDescent="0.35">
      <c r="A124" s="23">
        <v>100026300</v>
      </c>
      <c r="B124" s="24">
        <v>7503039738539</v>
      </c>
      <c r="C124" s="23" t="s">
        <v>196</v>
      </c>
      <c r="D124" s="23" t="s">
        <v>656</v>
      </c>
      <c r="E124" t="s">
        <v>588</v>
      </c>
    </row>
    <row r="125" spans="1:5" ht="16" hidden="1" x14ac:dyDescent="0.35">
      <c r="A125" s="23">
        <v>100026300</v>
      </c>
      <c r="B125" s="24">
        <v>7503039738539</v>
      </c>
      <c r="C125" s="23" t="s">
        <v>196</v>
      </c>
      <c r="D125" s="23" t="s">
        <v>689</v>
      </c>
      <c r="E125" t="s">
        <v>588</v>
      </c>
    </row>
    <row r="126" spans="1:5" ht="16" hidden="1" x14ac:dyDescent="0.35">
      <c r="A126" s="23">
        <v>100026300</v>
      </c>
      <c r="B126" s="24">
        <v>7503039738539</v>
      </c>
      <c r="C126" s="23" t="s">
        <v>196</v>
      </c>
      <c r="D126" s="23" t="s">
        <v>690</v>
      </c>
      <c r="E126" t="s">
        <v>588</v>
      </c>
    </row>
    <row r="127" spans="1:5" ht="16" hidden="1" x14ac:dyDescent="0.35">
      <c r="A127" s="23">
        <v>100026300</v>
      </c>
      <c r="B127" s="24">
        <v>7503039738539</v>
      </c>
      <c r="C127" s="23" t="s">
        <v>196</v>
      </c>
      <c r="D127" s="23" t="s">
        <v>691</v>
      </c>
      <c r="E127" t="s">
        <v>588</v>
      </c>
    </row>
    <row r="128" spans="1:5" ht="16" hidden="1" x14ac:dyDescent="0.35">
      <c r="A128" s="23">
        <v>100026300</v>
      </c>
      <c r="B128" s="24">
        <v>7503039738539</v>
      </c>
      <c r="C128" s="23" t="s">
        <v>196</v>
      </c>
      <c r="D128" s="23" t="s">
        <v>692</v>
      </c>
      <c r="E128" t="s">
        <v>588</v>
      </c>
    </row>
    <row r="129" spans="1:5" ht="16" hidden="1" x14ac:dyDescent="0.35">
      <c r="A129" s="23">
        <v>100026300</v>
      </c>
      <c r="B129" s="24">
        <v>7503039738539</v>
      </c>
      <c r="C129" s="23" t="s">
        <v>196</v>
      </c>
      <c r="D129" s="23" t="s">
        <v>693</v>
      </c>
      <c r="E129" t="s">
        <v>588</v>
      </c>
    </row>
    <row r="130" spans="1:5" ht="16" hidden="1" x14ac:dyDescent="0.35">
      <c r="A130" s="23">
        <v>100026300</v>
      </c>
      <c r="B130" s="24">
        <v>7503039738539</v>
      </c>
      <c r="C130" s="23" t="s">
        <v>196</v>
      </c>
      <c r="D130" s="23" t="s">
        <v>694</v>
      </c>
      <c r="E130" t="s">
        <v>588</v>
      </c>
    </row>
    <row r="131" spans="1:5" ht="16" hidden="1" x14ac:dyDescent="0.35">
      <c r="A131" s="23">
        <v>100026300</v>
      </c>
      <c r="B131" s="24">
        <v>7503039738539</v>
      </c>
      <c r="C131" s="23" t="s">
        <v>196</v>
      </c>
      <c r="D131" s="23" t="s">
        <v>695</v>
      </c>
      <c r="E131" t="s">
        <v>588</v>
      </c>
    </row>
    <row r="132" spans="1:5" ht="16" hidden="1" x14ac:dyDescent="0.35">
      <c r="A132" s="23">
        <v>100026300</v>
      </c>
      <c r="B132" s="24">
        <v>7503039738539</v>
      </c>
      <c r="C132" s="23" t="s">
        <v>196</v>
      </c>
      <c r="D132" s="23" t="s">
        <v>696</v>
      </c>
      <c r="E132" t="s">
        <v>588</v>
      </c>
    </row>
    <row r="133" spans="1:5" ht="16" hidden="1" x14ac:dyDescent="0.35">
      <c r="A133" s="23">
        <v>100026300</v>
      </c>
      <c r="B133" s="24">
        <v>7503039738539</v>
      </c>
      <c r="C133" s="23" t="s">
        <v>196</v>
      </c>
      <c r="D133" s="23" t="s">
        <v>697</v>
      </c>
      <c r="E133" t="s">
        <v>588</v>
      </c>
    </row>
    <row r="134" spans="1:5" ht="16" hidden="1" x14ac:dyDescent="0.35">
      <c r="A134" s="23">
        <v>100026300</v>
      </c>
      <c r="B134" s="24">
        <v>7503039738539</v>
      </c>
      <c r="C134" s="23" t="s">
        <v>196</v>
      </c>
      <c r="D134" s="23" t="s">
        <v>698</v>
      </c>
      <c r="E134" t="s">
        <v>588</v>
      </c>
    </row>
    <row r="135" spans="1:5" ht="16" hidden="1" x14ac:dyDescent="0.35">
      <c r="A135" s="23">
        <v>100026300</v>
      </c>
      <c r="B135" s="24">
        <v>7503039738539</v>
      </c>
      <c r="C135" s="23" t="s">
        <v>196</v>
      </c>
      <c r="D135" s="23" t="s">
        <v>657</v>
      </c>
      <c r="E135" t="s">
        <v>588</v>
      </c>
    </row>
    <row r="136" spans="1:5" ht="16" hidden="1" x14ac:dyDescent="0.35">
      <c r="A136" s="23">
        <v>100026300</v>
      </c>
      <c r="B136" s="24">
        <v>7503039738539</v>
      </c>
      <c r="C136" s="23" t="s">
        <v>196</v>
      </c>
      <c r="D136" s="23" t="s">
        <v>699</v>
      </c>
      <c r="E136" t="s">
        <v>588</v>
      </c>
    </row>
    <row r="137" spans="1:5" ht="16" hidden="1" x14ac:dyDescent="0.35">
      <c r="A137" s="23">
        <v>100026307</v>
      </c>
      <c r="B137" s="24">
        <v>7503039738591</v>
      </c>
      <c r="C137" s="23" t="s">
        <v>199</v>
      </c>
      <c r="D137" s="23" t="s">
        <v>687</v>
      </c>
      <c r="E137" t="s">
        <v>588</v>
      </c>
    </row>
    <row r="138" spans="1:5" ht="16" hidden="1" x14ac:dyDescent="0.35">
      <c r="A138" s="23">
        <v>100026307</v>
      </c>
      <c r="B138" s="24">
        <v>7503039738591</v>
      </c>
      <c r="C138" s="23" t="s">
        <v>199</v>
      </c>
      <c r="D138" s="23" t="s">
        <v>688</v>
      </c>
      <c r="E138" t="s">
        <v>588</v>
      </c>
    </row>
    <row r="139" spans="1:5" ht="16" hidden="1" x14ac:dyDescent="0.35">
      <c r="A139" s="23">
        <v>100026307</v>
      </c>
      <c r="B139" s="24">
        <v>7503039738591</v>
      </c>
      <c r="C139" s="23" t="s">
        <v>199</v>
      </c>
      <c r="D139" s="23" t="s">
        <v>656</v>
      </c>
      <c r="E139" t="s">
        <v>588</v>
      </c>
    </row>
    <row r="140" spans="1:5" ht="16" hidden="1" x14ac:dyDescent="0.35">
      <c r="A140" s="23">
        <v>100026307</v>
      </c>
      <c r="B140" s="24">
        <v>7503039738591</v>
      </c>
      <c r="C140" s="23" t="s">
        <v>199</v>
      </c>
      <c r="D140" s="23" t="s">
        <v>689</v>
      </c>
      <c r="E140" t="s">
        <v>588</v>
      </c>
    </row>
    <row r="141" spans="1:5" ht="16" hidden="1" x14ac:dyDescent="0.35">
      <c r="A141" s="23">
        <v>100026307</v>
      </c>
      <c r="B141" s="24">
        <v>7503039738591</v>
      </c>
      <c r="C141" s="23" t="s">
        <v>199</v>
      </c>
      <c r="D141" s="23" t="s">
        <v>690</v>
      </c>
      <c r="E141" t="s">
        <v>588</v>
      </c>
    </row>
    <row r="142" spans="1:5" ht="16" hidden="1" x14ac:dyDescent="0.35">
      <c r="A142" s="23">
        <v>100026307</v>
      </c>
      <c r="B142" s="24">
        <v>7503039738591</v>
      </c>
      <c r="C142" s="23" t="s">
        <v>199</v>
      </c>
      <c r="D142" s="23" t="s">
        <v>691</v>
      </c>
      <c r="E142" t="s">
        <v>588</v>
      </c>
    </row>
    <row r="143" spans="1:5" ht="16" hidden="1" x14ac:dyDescent="0.35">
      <c r="A143" s="23">
        <v>100026307</v>
      </c>
      <c r="B143" s="24">
        <v>7503039738591</v>
      </c>
      <c r="C143" s="23" t="s">
        <v>199</v>
      </c>
      <c r="D143" s="23" t="s">
        <v>692</v>
      </c>
      <c r="E143" t="s">
        <v>588</v>
      </c>
    </row>
    <row r="144" spans="1:5" ht="16" hidden="1" x14ac:dyDescent="0.35">
      <c r="A144" s="23">
        <v>100026307</v>
      </c>
      <c r="B144" s="24">
        <v>7503039738591</v>
      </c>
      <c r="C144" s="23" t="s">
        <v>199</v>
      </c>
      <c r="D144" s="23" t="s">
        <v>693</v>
      </c>
      <c r="E144" t="s">
        <v>588</v>
      </c>
    </row>
    <row r="145" spans="1:5" ht="16" hidden="1" x14ac:dyDescent="0.35">
      <c r="A145" s="23">
        <v>100026307</v>
      </c>
      <c r="B145" s="24">
        <v>7503039738591</v>
      </c>
      <c r="C145" s="23" t="s">
        <v>199</v>
      </c>
      <c r="D145" s="23" t="s">
        <v>694</v>
      </c>
      <c r="E145" t="s">
        <v>588</v>
      </c>
    </row>
    <row r="146" spans="1:5" ht="16" hidden="1" x14ac:dyDescent="0.35">
      <c r="A146" s="23">
        <v>100026307</v>
      </c>
      <c r="B146" s="24">
        <v>7503039738591</v>
      </c>
      <c r="C146" s="23" t="s">
        <v>199</v>
      </c>
      <c r="D146" s="23" t="s">
        <v>695</v>
      </c>
      <c r="E146" t="s">
        <v>588</v>
      </c>
    </row>
    <row r="147" spans="1:5" ht="16" hidden="1" x14ac:dyDescent="0.35">
      <c r="A147" s="23">
        <v>100026307</v>
      </c>
      <c r="B147" s="24">
        <v>7503039738591</v>
      </c>
      <c r="C147" s="23" t="s">
        <v>199</v>
      </c>
      <c r="D147" s="23" t="s">
        <v>696</v>
      </c>
      <c r="E147" t="s">
        <v>588</v>
      </c>
    </row>
    <row r="148" spans="1:5" ht="16" hidden="1" x14ac:dyDescent="0.35">
      <c r="A148" s="23">
        <v>100026307</v>
      </c>
      <c r="B148" s="24">
        <v>7503039738591</v>
      </c>
      <c r="C148" s="23" t="s">
        <v>199</v>
      </c>
      <c r="D148" s="23" t="s">
        <v>697</v>
      </c>
      <c r="E148" t="s">
        <v>588</v>
      </c>
    </row>
    <row r="149" spans="1:5" ht="16" hidden="1" x14ac:dyDescent="0.35">
      <c r="A149" s="23">
        <v>100026307</v>
      </c>
      <c r="B149" s="24">
        <v>7503039738591</v>
      </c>
      <c r="C149" s="23" t="s">
        <v>199</v>
      </c>
      <c r="D149" s="23" t="s">
        <v>698</v>
      </c>
      <c r="E149" t="s">
        <v>588</v>
      </c>
    </row>
    <row r="150" spans="1:5" ht="16" hidden="1" x14ac:dyDescent="0.35">
      <c r="A150" s="23">
        <v>100026307</v>
      </c>
      <c r="B150" s="24">
        <v>7503039738591</v>
      </c>
      <c r="C150" s="23" t="s">
        <v>199</v>
      </c>
      <c r="D150" s="23" t="s">
        <v>657</v>
      </c>
      <c r="E150" t="s">
        <v>588</v>
      </c>
    </row>
    <row r="151" spans="1:5" ht="16" hidden="1" x14ac:dyDescent="0.35">
      <c r="A151" s="23">
        <v>100026307</v>
      </c>
      <c r="B151" s="24">
        <v>7503039738591</v>
      </c>
      <c r="C151" s="23" t="s">
        <v>199</v>
      </c>
      <c r="D151" s="23" t="s">
        <v>699</v>
      </c>
      <c r="E151" t="s">
        <v>588</v>
      </c>
    </row>
    <row r="152" spans="1:5" ht="16" hidden="1" x14ac:dyDescent="0.35">
      <c r="A152" s="23">
        <v>100026304</v>
      </c>
      <c r="B152" s="24">
        <v>7503039738560</v>
      </c>
      <c r="C152" s="23" t="s">
        <v>561</v>
      </c>
      <c r="D152" s="23" t="s">
        <v>687</v>
      </c>
      <c r="E152" t="s">
        <v>588</v>
      </c>
    </row>
    <row r="153" spans="1:5" ht="16" hidden="1" x14ac:dyDescent="0.35">
      <c r="A153" s="23">
        <v>100026304</v>
      </c>
      <c r="B153" s="24">
        <v>7503039738560</v>
      </c>
      <c r="C153" s="23" t="s">
        <v>561</v>
      </c>
      <c r="D153" s="23" t="s">
        <v>688</v>
      </c>
      <c r="E153" t="s">
        <v>588</v>
      </c>
    </row>
    <row r="154" spans="1:5" ht="16" hidden="1" x14ac:dyDescent="0.35">
      <c r="A154" s="23">
        <v>100026304</v>
      </c>
      <c r="B154" s="24">
        <v>7503039738560</v>
      </c>
      <c r="C154" s="23" t="s">
        <v>561</v>
      </c>
      <c r="D154" s="23" t="s">
        <v>656</v>
      </c>
      <c r="E154" t="s">
        <v>588</v>
      </c>
    </row>
    <row r="155" spans="1:5" ht="16" hidden="1" x14ac:dyDescent="0.35">
      <c r="A155" s="23">
        <v>100026304</v>
      </c>
      <c r="B155" s="24">
        <v>7503039738560</v>
      </c>
      <c r="C155" s="23" t="s">
        <v>561</v>
      </c>
      <c r="D155" s="23" t="s">
        <v>689</v>
      </c>
      <c r="E155" t="s">
        <v>588</v>
      </c>
    </row>
    <row r="156" spans="1:5" ht="16" hidden="1" x14ac:dyDescent="0.35">
      <c r="A156" s="23">
        <v>100026304</v>
      </c>
      <c r="B156" s="24">
        <v>7503039738560</v>
      </c>
      <c r="C156" s="23" t="s">
        <v>561</v>
      </c>
      <c r="D156" s="23" t="s">
        <v>690</v>
      </c>
      <c r="E156" t="s">
        <v>588</v>
      </c>
    </row>
    <row r="157" spans="1:5" ht="16" hidden="1" x14ac:dyDescent="0.35">
      <c r="A157" s="23">
        <v>100026304</v>
      </c>
      <c r="B157" s="24">
        <v>7503039738560</v>
      </c>
      <c r="C157" s="23" t="s">
        <v>561</v>
      </c>
      <c r="D157" s="23" t="s">
        <v>691</v>
      </c>
      <c r="E157" t="s">
        <v>588</v>
      </c>
    </row>
    <row r="158" spans="1:5" ht="16" hidden="1" x14ac:dyDescent="0.35">
      <c r="A158" s="23">
        <v>100026304</v>
      </c>
      <c r="B158" s="24">
        <v>7503039738560</v>
      </c>
      <c r="C158" s="23" t="s">
        <v>561</v>
      </c>
      <c r="D158" s="23" t="s">
        <v>692</v>
      </c>
      <c r="E158" t="s">
        <v>588</v>
      </c>
    </row>
    <row r="159" spans="1:5" ht="16" hidden="1" x14ac:dyDescent="0.35">
      <c r="A159" s="23">
        <v>100026304</v>
      </c>
      <c r="B159" s="24">
        <v>7503039738560</v>
      </c>
      <c r="C159" s="23" t="s">
        <v>561</v>
      </c>
      <c r="D159" s="23" t="s">
        <v>693</v>
      </c>
      <c r="E159" t="s">
        <v>588</v>
      </c>
    </row>
    <row r="160" spans="1:5" ht="16" hidden="1" x14ac:dyDescent="0.35">
      <c r="A160" s="23">
        <v>100026304</v>
      </c>
      <c r="B160" s="24">
        <v>7503039738560</v>
      </c>
      <c r="C160" s="23" t="s">
        <v>561</v>
      </c>
      <c r="D160" s="23" t="s">
        <v>694</v>
      </c>
      <c r="E160" t="s">
        <v>588</v>
      </c>
    </row>
    <row r="161" spans="1:5" ht="16" hidden="1" x14ac:dyDescent="0.35">
      <c r="A161" s="23">
        <v>100026304</v>
      </c>
      <c r="B161" s="24">
        <v>7503039738560</v>
      </c>
      <c r="C161" s="23" t="s">
        <v>561</v>
      </c>
      <c r="D161" s="23" t="s">
        <v>695</v>
      </c>
      <c r="E161" t="s">
        <v>588</v>
      </c>
    </row>
    <row r="162" spans="1:5" ht="16" hidden="1" x14ac:dyDescent="0.35">
      <c r="A162" s="23">
        <v>100026304</v>
      </c>
      <c r="B162" s="24">
        <v>7503039738560</v>
      </c>
      <c r="C162" s="23" t="s">
        <v>561</v>
      </c>
      <c r="D162" s="23" t="s">
        <v>696</v>
      </c>
      <c r="E162" t="s">
        <v>588</v>
      </c>
    </row>
    <row r="163" spans="1:5" ht="16" hidden="1" x14ac:dyDescent="0.35">
      <c r="A163" s="23">
        <v>100026304</v>
      </c>
      <c r="B163" s="24">
        <v>7503039738560</v>
      </c>
      <c r="C163" s="23" t="s">
        <v>561</v>
      </c>
      <c r="D163" s="23" t="s">
        <v>697</v>
      </c>
      <c r="E163" t="s">
        <v>588</v>
      </c>
    </row>
    <row r="164" spans="1:5" ht="16" hidden="1" x14ac:dyDescent="0.35">
      <c r="A164" s="23">
        <v>100026304</v>
      </c>
      <c r="B164" s="24">
        <v>7503039738560</v>
      </c>
      <c r="C164" s="23" t="s">
        <v>561</v>
      </c>
      <c r="D164" s="23" t="s">
        <v>698</v>
      </c>
      <c r="E164" t="s">
        <v>588</v>
      </c>
    </row>
    <row r="165" spans="1:5" ht="16" hidden="1" x14ac:dyDescent="0.35">
      <c r="A165" s="23">
        <v>100026304</v>
      </c>
      <c r="B165" s="24">
        <v>7503039738560</v>
      </c>
      <c r="C165" s="23" t="s">
        <v>561</v>
      </c>
      <c r="D165" s="23" t="s">
        <v>657</v>
      </c>
      <c r="E165" t="s">
        <v>588</v>
      </c>
    </row>
    <row r="166" spans="1:5" ht="16" hidden="1" x14ac:dyDescent="0.35">
      <c r="A166" s="23">
        <v>100026304</v>
      </c>
      <c r="B166" s="24">
        <v>7503039738560</v>
      </c>
      <c r="C166" s="23" t="s">
        <v>561</v>
      </c>
      <c r="D166" s="23" t="s">
        <v>699</v>
      </c>
      <c r="E166" t="s">
        <v>588</v>
      </c>
    </row>
    <row r="167" spans="1:5" ht="16" hidden="1" x14ac:dyDescent="0.35">
      <c r="A167" s="23">
        <v>100025292</v>
      </c>
      <c r="B167" s="24">
        <v>7503039738386</v>
      </c>
      <c r="C167" s="23" t="s">
        <v>563</v>
      </c>
      <c r="D167" s="23" t="s">
        <v>687</v>
      </c>
      <c r="E167" t="s">
        <v>588</v>
      </c>
    </row>
    <row r="168" spans="1:5" ht="16" hidden="1" x14ac:dyDescent="0.35">
      <c r="A168" s="23">
        <v>100025292</v>
      </c>
      <c r="B168" s="24">
        <v>7503039738386</v>
      </c>
      <c r="C168" s="23" t="s">
        <v>563</v>
      </c>
      <c r="D168" s="23" t="s">
        <v>688</v>
      </c>
      <c r="E168" t="s">
        <v>588</v>
      </c>
    </row>
    <row r="169" spans="1:5" ht="16" hidden="1" x14ac:dyDescent="0.35">
      <c r="A169" s="23">
        <v>100025292</v>
      </c>
      <c r="B169" s="24">
        <v>7503039738386</v>
      </c>
      <c r="C169" s="23" t="s">
        <v>563</v>
      </c>
      <c r="D169" s="23" t="s">
        <v>656</v>
      </c>
      <c r="E169" t="s">
        <v>588</v>
      </c>
    </row>
    <row r="170" spans="1:5" ht="16" hidden="1" x14ac:dyDescent="0.35">
      <c r="A170" s="23">
        <v>100025292</v>
      </c>
      <c r="B170" s="24">
        <v>7503039738386</v>
      </c>
      <c r="C170" s="23" t="s">
        <v>563</v>
      </c>
      <c r="D170" s="23" t="s">
        <v>689</v>
      </c>
      <c r="E170" t="s">
        <v>588</v>
      </c>
    </row>
    <row r="171" spans="1:5" ht="16" hidden="1" x14ac:dyDescent="0.35">
      <c r="A171" s="23">
        <v>100025292</v>
      </c>
      <c r="B171" s="24">
        <v>7503039738386</v>
      </c>
      <c r="C171" s="23" t="s">
        <v>563</v>
      </c>
      <c r="D171" s="23" t="s">
        <v>690</v>
      </c>
      <c r="E171" t="s">
        <v>588</v>
      </c>
    </row>
    <row r="172" spans="1:5" ht="16" hidden="1" x14ac:dyDescent="0.35">
      <c r="A172" s="23">
        <v>100025292</v>
      </c>
      <c r="B172" s="24">
        <v>7503039738386</v>
      </c>
      <c r="C172" s="23" t="s">
        <v>563</v>
      </c>
      <c r="D172" s="23" t="s">
        <v>691</v>
      </c>
      <c r="E172" t="s">
        <v>588</v>
      </c>
    </row>
    <row r="173" spans="1:5" ht="16" hidden="1" x14ac:dyDescent="0.35">
      <c r="A173" s="23">
        <v>100025292</v>
      </c>
      <c r="B173" s="24">
        <v>7503039738386</v>
      </c>
      <c r="C173" s="23" t="s">
        <v>563</v>
      </c>
      <c r="D173" s="23" t="s">
        <v>692</v>
      </c>
      <c r="E173" t="s">
        <v>588</v>
      </c>
    </row>
    <row r="174" spans="1:5" ht="16" hidden="1" x14ac:dyDescent="0.35">
      <c r="A174" s="23">
        <v>100025292</v>
      </c>
      <c r="B174" s="24">
        <v>7503039738386</v>
      </c>
      <c r="C174" s="23" t="s">
        <v>563</v>
      </c>
      <c r="D174" s="23" t="s">
        <v>693</v>
      </c>
      <c r="E174" t="s">
        <v>588</v>
      </c>
    </row>
    <row r="175" spans="1:5" ht="16" hidden="1" x14ac:dyDescent="0.35">
      <c r="A175" s="23">
        <v>100025292</v>
      </c>
      <c r="B175" s="24">
        <v>7503039738386</v>
      </c>
      <c r="C175" s="23" t="s">
        <v>563</v>
      </c>
      <c r="D175" s="23" t="s">
        <v>694</v>
      </c>
      <c r="E175" t="s">
        <v>588</v>
      </c>
    </row>
    <row r="176" spans="1:5" ht="16" hidden="1" x14ac:dyDescent="0.35">
      <c r="A176" s="23">
        <v>100025292</v>
      </c>
      <c r="B176" s="24">
        <v>7503039738386</v>
      </c>
      <c r="C176" s="23" t="s">
        <v>563</v>
      </c>
      <c r="D176" s="23" t="s">
        <v>695</v>
      </c>
      <c r="E176" t="s">
        <v>588</v>
      </c>
    </row>
    <row r="177" spans="1:5" ht="16" hidden="1" x14ac:dyDescent="0.35">
      <c r="A177" s="23">
        <v>100025292</v>
      </c>
      <c r="B177" s="24">
        <v>7503039738386</v>
      </c>
      <c r="C177" s="23" t="s">
        <v>563</v>
      </c>
      <c r="D177" s="23" t="s">
        <v>696</v>
      </c>
      <c r="E177" t="s">
        <v>588</v>
      </c>
    </row>
    <row r="178" spans="1:5" ht="16" hidden="1" x14ac:dyDescent="0.35">
      <c r="A178" s="23">
        <v>100025292</v>
      </c>
      <c r="B178" s="24">
        <v>7503039738386</v>
      </c>
      <c r="C178" s="23" t="s">
        <v>563</v>
      </c>
      <c r="D178" s="23" t="s">
        <v>697</v>
      </c>
      <c r="E178" t="s">
        <v>588</v>
      </c>
    </row>
    <row r="179" spans="1:5" ht="16" hidden="1" x14ac:dyDescent="0.35">
      <c r="A179" s="23">
        <v>100025292</v>
      </c>
      <c r="B179" s="24">
        <v>7503039738386</v>
      </c>
      <c r="C179" s="23" t="s">
        <v>563</v>
      </c>
      <c r="D179" s="23" t="s">
        <v>698</v>
      </c>
      <c r="E179" t="s">
        <v>588</v>
      </c>
    </row>
    <row r="180" spans="1:5" ht="16" hidden="1" x14ac:dyDescent="0.35">
      <c r="A180" s="23">
        <v>100025292</v>
      </c>
      <c r="B180" s="24">
        <v>7503039738386</v>
      </c>
      <c r="C180" s="23" t="s">
        <v>563</v>
      </c>
      <c r="D180" s="23" t="s">
        <v>657</v>
      </c>
      <c r="E180" t="s">
        <v>588</v>
      </c>
    </row>
    <row r="181" spans="1:5" ht="16" hidden="1" x14ac:dyDescent="0.35">
      <c r="A181" s="23">
        <v>100025292</v>
      </c>
      <c r="B181" s="24">
        <v>7503039738386</v>
      </c>
      <c r="C181" s="23" t="s">
        <v>563</v>
      </c>
      <c r="D181" s="23" t="s">
        <v>699</v>
      </c>
      <c r="E181" t="s">
        <v>588</v>
      </c>
    </row>
    <row r="182" spans="1:5" ht="16" hidden="1" x14ac:dyDescent="0.35">
      <c r="A182" s="23">
        <v>100025297</v>
      </c>
      <c r="B182" s="24">
        <v>7503039738393</v>
      </c>
      <c r="C182" s="23" t="s">
        <v>192</v>
      </c>
      <c r="D182" s="23" t="s">
        <v>687</v>
      </c>
      <c r="E182" t="s">
        <v>588</v>
      </c>
    </row>
    <row r="183" spans="1:5" ht="16" hidden="1" x14ac:dyDescent="0.35">
      <c r="A183" s="23">
        <v>100025297</v>
      </c>
      <c r="B183" s="24">
        <v>7503039738393</v>
      </c>
      <c r="C183" s="23" t="s">
        <v>192</v>
      </c>
      <c r="D183" s="23" t="s">
        <v>688</v>
      </c>
      <c r="E183" t="s">
        <v>588</v>
      </c>
    </row>
    <row r="184" spans="1:5" ht="16" hidden="1" x14ac:dyDescent="0.35">
      <c r="A184" s="23">
        <v>100025297</v>
      </c>
      <c r="B184" s="24">
        <v>7503039738393</v>
      </c>
      <c r="C184" s="23" t="s">
        <v>192</v>
      </c>
      <c r="D184" s="23" t="s">
        <v>656</v>
      </c>
      <c r="E184" t="s">
        <v>588</v>
      </c>
    </row>
    <row r="185" spans="1:5" ht="16" hidden="1" x14ac:dyDescent="0.35">
      <c r="A185" s="23">
        <v>100025297</v>
      </c>
      <c r="B185" s="24">
        <v>7503039738393</v>
      </c>
      <c r="C185" s="23" t="s">
        <v>192</v>
      </c>
      <c r="D185" s="23" t="s">
        <v>689</v>
      </c>
      <c r="E185" t="s">
        <v>588</v>
      </c>
    </row>
    <row r="186" spans="1:5" ht="16" hidden="1" x14ac:dyDescent="0.35">
      <c r="A186" s="23">
        <v>100025297</v>
      </c>
      <c r="B186" s="24">
        <v>7503039738393</v>
      </c>
      <c r="C186" s="23" t="s">
        <v>192</v>
      </c>
      <c r="D186" s="23" t="s">
        <v>690</v>
      </c>
      <c r="E186" t="s">
        <v>588</v>
      </c>
    </row>
    <row r="187" spans="1:5" ht="16" hidden="1" x14ac:dyDescent="0.35">
      <c r="A187" s="23">
        <v>100025297</v>
      </c>
      <c r="B187" s="24">
        <v>7503039738393</v>
      </c>
      <c r="C187" s="23" t="s">
        <v>192</v>
      </c>
      <c r="D187" s="23" t="s">
        <v>691</v>
      </c>
      <c r="E187" t="s">
        <v>588</v>
      </c>
    </row>
    <row r="188" spans="1:5" ht="16" hidden="1" x14ac:dyDescent="0.35">
      <c r="A188" s="23">
        <v>100025297</v>
      </c>
      <c r="B188" s="24">
        <v>7503039738393</v>
      </c>
      <c r="C188" s="23" t="s">
        <v>192</v>
      </c>
      <c r="D188" s="23" t="s">
        <v>692</v>
      </c>
      <c r="E188" t="s">
        <v>588</v>
      </c>
    </row>
    <row r="189" spans="1:5" ht="16" hidden="1" x14ac:dyDescent="0.35">
      <c r="A189" s="23">
        <v>100025297</v>
      </c>
      <c r="B189" s="24">
        <v>7503039738393</v>
      </c>
      <c r="C189" s="23" t="s">
        <v>192</v>
      </c>
      <c r="D189" s="23" t="s">
        <v>693</v>
      </c>
      <c r="E189" t="s">
        <v>588</v>
      </c>
    </row>
    <row r="190" spans="1:5" ht="16" hidden="1" x14ac:dyDescent="0.35">
      <c r="A190" s="23">
        <v>100025297</v>
      </c>
      <c r="B190" s="24">
        <v>7503039738393</v>
      </c>
      <c r="C190" s="23" t="s">
        <v>192</v>
      </c>
      <c r="D190" s="23" t="s">
        <v>694</v>
      </c>
      <c r="E190" t="s">
        <v>588</v>
      </c>
    </row>
    <row r="191" spans="1:5" ht="16" hidden="1" x14ac:dyDescent="0.35">
      <c r="A191" s="23">
        <v>100025297</v>
      </c>
      <c r="B191" s="24">
        <v>7503039738393</v>
      </c>
      <c r="C191" s="23" t="s">
        <v>192</v>
      </c>
      <c r="D191" s="23" t="s">
        <v>695</v>
      </c>
      <c r="E191" t="s">
        <v>588</v>
      </c>
    </row>
    <row r="192" spans="1:5" ht="16" hidden="1" x14ac:dyDescent="0.35">
      <c r="A192" s="23">
        <v>100025297</v>
      </c>
      <c r="B192" s="24">
        <v>7503039738393</v>
      </c>
      <c r="C192" s="23" t="s">
        <v>192</v>
      </c>
      <c r="D192" s="23" t="s">
        <v>696</v>
      </c>
      <c r="E192" t="s">
        <v>588</v>
      </c>
    </row>
    <row r="193" spans="1:5" ht="16" hidden="1" x14ac:dyDescent="0.35">
      <c r="A193" s="23">
        <v>100025297</v>
      </c>
      <c r="B193" s="24">
        <v>7503039738393</v>
      </c>
      <c r="C193" s="23" t="s">
        <v>192</v>
      </c>
      <c r="D193" s="23" t="s">
        <v>697</v>
      </c>
      <c r="E193" t="s">
        <v>588</v>
      </c>
    </row>
    <row r="194" spans="1:5" ht="16" hidden="1" x14ac:dyDescent="0.35">
      <c r="A194" s="23">
        <v>100025297</v>
      </c>
      <c r="B194" s="24">
        <v>7503039738393</v>
      </c>
      <c r="C194" s="23" t="s">
        <v>192</v>
      </c>
      <c r="D194" s="23" t="s">
        <v>698</v>
      </c>
      <c r="E194" t="s">
        <v>588</v>
      </c>
    </row>
    <row r="195" spans="1:5" ht="16" hidden="1" x14ac:dyDescent="0.35">
      <c r="A195" s="23">
        <v>100025297</v>
      </c>
      <c r="B195" s="24">
        <v>7503039738393</v>
      </c>
      <c r="C195" s="23" t="s">
        <v>192</v>
      </c>
      <c r="D195" s="23" t="s">
        <v>657</v>
      </c>
      <c r="E195" t="s">
        <v>588</v>
      </c>
    </row>
    <row r="196" spans="1:5" ht="16" hidden="1" x14ac:dyDescent="0.35">
      <c r="A196" s="23">
        <v>100025297</v>
      </c>
      <c r="B196" s="24">
        <v>7503039738393</v>
      </c>
      <c r="C196" s="23" t="s">
        <v>192</v>
      </c>
      <c r="D196" s="23" t="s">
        <v>699</v>
      </c>
      <c r="E196" t="s">
        <v>588</v>
      </c>
    </row>
    <row r="197" spans="1:5" ht="16" hidden="1" x14ac:dyDescent="0.35">
      <c r="A197" s="23">
        <v>100025298</v>
      </c>
      <c r="B197" s="24">
        <v>7503039738416</v>
      </c>
      <c r="C197" s="23" t="s">
        <v>197</v>
      </c>
      <c r="D197" s="23" t="s">
        <v>687</v>
      </c>
      <c r="E197" t="s">
        <v>588</v>
      </c>
    </row>
    <row r="198" spans="1:5" ht="16" hidden="1" x14ac:dyDescent="0.35">
      <c r="A198" s="23">
        <v>100025298</v>
      </c>
      <c r="B198" s="24">
        <v>7503039738416</v>
      </c>
      <c r="C198" s="23" t="s">
        <v>197</v>
      </c>
      <c r="D198" s="23" t="s">
        <v>688</v>
      </c>
      <c r="E198" t="s">
        <v>588</v>
      </c>
    </row>
    <row r="199" spans="1:5" ht="16" hidden="1" x14ac:dyDescent="0.35">
      <c r="A199" s="23">
        <v>100025298</v>
      </c>
      <c r="B199" s="24">
        <v>7503039738416</v>
      </c>
      <c r="C199" s="23" t="s">
        <v>197</v>
      </c>
      <c r="D199" s="23" t="s">
        <v>656</v>
      </c>
      <c r="E199" t="s">
        <v>588</v>
      </c>
    </row>
    <row r="200" spans="1:5" ht="16" hidden="1" x14ac:dyDescent="0.35">
      <c r="A200" s="23">
        <v>100025298</v>
      </c>
      <c r="B200" s="24">
        <v>7503039738416</v>
      </c>
      <c r="C200" s="23" t="s">
        <v>197</v>
      </c>
      <c r="D200" s="23" t="s">
        <v>689</v>
      </c>
      <c r="E200" t="s">
        <v>588</v>
      </c>
    </row>
    <row r="201" spans="1:5" ht="16" hidden="1" x14ac:dyDescent="0.35">
      <c r="A201" s="23">
        <v>100025298</v>
      </c>
      <c r="B201" s="24">
        <v>7503039738416</v>
      </c>
      <c r="C201" s="23" t="s">
        <v>197</v>
      </c>
      <c r="D201" s="23" t="s">
        <v>690</v>
      </c>
      <c r="E201" t="s">
        <v>588</v>
      </c>
    </row>
    <row r="202" spans="1:5" ht="16" hidden="1" x14ac:dyDescent="0.35">
      <c r="A202" s="23">
        <v>100025298</v>
      </c>
      <c r="B202" s="24">
        <v>7503039738416</v>
      </c>
      <c r="C202" s="23" t="s">
        <v>197</v>
      </c>
      <c r="D202" s="23" t="s">
        <v>691</v>
      </c>
      <c r="E202" t="s">
        <v>588</v>
      </c>
    </row>
    <row r="203" spans="1:5" ht="16" hidden="1" x14ac:dyDescent="0.35">
      <c r="A203" s="23">
        <v>100025298</v>
      </c>
      <c r="B203" s="24">
        <v>7503039738416</v>
      </c>
      <c r="C203" s="23" t="s">
        <v>197</v>
      </c>
      <c r="D203" s="23" t="s">
        <v>692</v>
      </c>
      <c r="E203" t="s">
        <v>588</v>
      </c>
    </row>
    <row r="204" spans="1:5" ht="16" hidden="1" x14ac:dyDescent="0.35">
      <c r="A204" s="23">
        <v>100025298</v>
      </c>
      <c r="B204" s="24">
        <v>7503039738416</v>
      </c>
      <c r="C204" s="23" t="s">
        <v>197</v>
      </c>
      <c r="D204" s="23" t="s">
        <v>693</v>
      </c>
      <c r="E204" t="s">
        <v>588</v>
      </c>
    </row>
    <row r="205" spans="1:5" ht="16" hidden="1" x14ac:dyDescent="0.35">
      <c r="A205" s="23">
        <v>100025298</v>
      </c>
      <c r="B205" s="24">
        <v>7503039738416</v>
      </c>
      <c r="C205" s="23" t="s">
        <v>197</v>
      </c>
      <c r="D205" s="23" t="s">
        <v>694</v>
      </c>
      <c r="E205" t="s">
        <v>588</v>
      </c>
    </row>
    <row r="206" spans="1:5" ht="16" hidden="1" x14ac:dyDescent="0.35">
      <c r="A206" s="23">
        <v>100025298</v>
      </c>
      <c r="B206" s="24">
        <v>7503039738416</v>
      </c>
      <c r="C206" s="23" t="s">
        <v>197</v>
      </c>
      <c r="D206" s="23" t="s">
        <v>695</v>
      </c>
      <c r="E206" t="s">
        <v>588</v>
      </c>
    </row>
    <row r="207" spans="1:5" ht="16" hidden="1" x14ac:dyDescent="0.35">
      <c r="A207" s="23">
        <v>100025298</v>
      </c>
      <c r="B207" s="24">
        <v>7503039738416</v>
      </c>
      <c r="C207" s="23" t="s">
        <v>197</v>
      </c>
      <c r="D207" s="23" t="s">
        <v>696</v>
      </c>
      <c r="E207" t="s">
        <v>588</v>
      </c>
    </row>
    <row r="208" spans="1:5" ht="16" hidden="1" x14ac:dyDescent="0.35">
      <c r="A208" s="23">
        <v>100025298</v>
      </c>
      <c r="B208" s="24">
        <v>7503039738416</v>
      </c>
      <c r="C208" s="23" t="s">
        <v>197</v>
      </c>
      <c r="D208" s="23" t="s">
        <v>697</v>
      </c>
      <c r="E208" t="s">
        <v>588</v>
      </c>
    </row>
    <row r="209" spans="1:5" ht="16" hidden="1" x14ac:dyDescent="0.35">
      <c r="A209" s="23">
        <v>100025298</v>
      </c>
      <c r="B209" s="24">
        <v>7503039738416</v>
      </c>
      <c r="C209" s="23" t="s">
        <v>197</v>
      </c>
      <c r="D209" s="23" t="s">
        <v>698</v>
      </c>
      <c r="E209" t="s">
        <v>588</v>
      </c>
    </row>
    <row r="210" spans="1:5" ht="16" hidden="1" x14ac:dyDescent="0.35">
      <c r="A210" s="23">
        <v>100025298</v>
      </c>
      <c r="B210" s="24">
        <v>7503039738416</v>
      </c>
      <c r="C210" s="23" t="s">
        <v>197</v>
      </c>
      <c r="D210" s="23" t="s">
        <v>657</v>
      </c>
      <c r="E210" t="s">
        <v>588</v>
      </c>
    </row>
    <row r="211" spans="1:5" ht="16" hidden="1" x14ac:dyDescent="0.35">
      <c r="A211" s="23">
        <v>100025298</v>
      </c>
      <c r="B211" s="24">
        <v>7503039738416</v>
      </c>
      <c r="C211" s="23" t="s">
        <v>197</v>
      </c>
      <c r="D211" s="23" t="s">
        <v>699</v>
      </c>
      <c r="E211" t="s">
        <v>588</v>
      </c>
    </row>
    <row r="212" spans="1:5" ht="16" hidden="1" x14ac:dyDescent="0.35">
      <c r="A212" s="23">
        <v>100025296</v>
      </c>
      <c r="B212" s="24">
        <v>7503039738409</v>
      </c>
      <c r="C212" s="23" t="s">
        <v>556</v>
      </c>
      <c r="D212" s="23" t="s">
        <v>687</v>
      </c>
      <c r="E212" t="s">
        <v>588</v>
      </c>
    </row>
    <row r="213" spans="1:5" ht="16" hidden="1" x14ac:dyDescent="0.35">
      <c r="A213" s="23">
        <v>100025296</v>
      </c>
      <c r="B213" s="24">
        <v>7503039738409</v>
      </c>
      <c r="C213" s="23" t="s">
        <v>556</v>
      </c>
      <c r="D213" s="23" t="s">
        <v>688</v>
      </c>
      <c r="E213" t="s">
        <v>588</v>
      </c>
    </row>
    <row r="214" spans="1:5" ht="16" hidden="1" x14ac:dyDescent="0.35">
      <c r="A214" s="23">
        <v>100025296</v>
      </c>
      <c r="B214" s="24">
        <v>7503039738409</v>
      </c>
      <c r="C214" s="23" t="s">
        <v>556</v>
      </c>
      <c r="D214" s="23" t="s">
        <v>656</v>
      </c>
      <c r="E214" t="s">
        <v>588</v>
      </c>
    </row>
    <row r="215" spans="1:5" ht="16" hidden="1" x14ac:dyDescent="0.35">
      <c r="A215" s="23">
        <v>100025296</v>
      </c>
      <c r="B215" s="24">
        <v>7503039738409</v>
      </c>
      <c r="C215" s="23" t="s">
        <v>556</v>
      </c>
      <c r="D215" s="23" t="s">
        <v>689</v>
      </c>
      <c r="E215" t="s">
        <v>588</v>
      </c>
    </row>
    <row r="216" spans="1:5" ht="16" hidden="1" x14ac:dyDescent="0.35">
      <c r="A216" s="23">
        <v>100025296</v>
      </c>
      <c r="B216" s="24">
        <v>7503039738409</v>
      </c>
      <c r="C216" s="23" t="s">
        <v>556</v>
      </c>
      <c r="D216" s="23" t="s">
        <v>690</v>
      </c>
      <c r="E216" t="s">
        <v>588</v>
      </c>
    </row>
    <row r="217" spans="1:5" ht="16" hidden="1" x14ac:dyDescent="0.35">
      <c r="A217" s="23">
        <v>100025296</v>
      </c>
      <c r="B217" s="24">
        <v>7503039738409</v>
      </c>
      <c r="C217" s="23" t="s">
        <v>556</v>
      </c>
      <c r="D217" s="23" t="s">
        <v>691</v>
      </c>
      <c r="E217" t="s">
        <v>588</v>
      </c>
    </row>
    <row r="218" spans="1:5" ht="16" hidden="1" x14ac:dyDescent="0.35">
      <c r="A218" s="23">
        <v>100025296</v>
      </c>
      <c r="B218" s="24">
        <v>7503039738409</v>
      </c>
      <c r="C218" s="23" t="s">
        <v>556</v>
      </c>
      <c r="D218" s="23" t="s">
        <v>692</v>
      </c>
      <c r="E218" t="s">
        <v>588</v>
      </c>
    </row>
    <row r="219" spans="1:5" ht="16" hidden="1" x14ac:dyDescent="0.35">
      <c r="A219" s="23">
        <v>100025296</v>
      </c>
      <c r="B219" s="24">
        <v>7503039738409</v>
      </c>
      <c r="C219" s="23" t="s">
        <v>556</v>
      </c>
      <c r="D219" s="23" t="s">
        <v>693</v>
      </c>
      <c r="E219" t="s">
        <v>588</v>
      </c>
    </row>
    <row r="220" spans="1:5" ht="16" hidden="1" x14ac:dyDescent="0.35">
      <c r="A220" s="23">
        <v>100025296</v>
      </c>
      <c r="B220" s="24">
        <v>7503039738409</v>
      </c>
      <c r="C220" s="23" t="s">
        <v>556</v>
      </c>
      <c r="D220" s="23" t="s">
        <v>694</v>
      </c>
      <c r="E220" t="s">
        <v>588</v>
      </c>
    </row>
    <row r="221" spans="1:5" ht="16" hidden="1" x14ac:dyDescent="0.35">
      <c r="A221" s="23">
        <v>100025296</v>
      </c>
      <c r="B221" s="24">
        <v>7503039738409</v>
      </c>
      <c r="C221" s="23" t="s">
        <v>556</v>
      </c>
      <c r="D221" s="23" t="s">
        <v>695</v>
      </c>
      <c r="E221" t="s">
        <v>588</v>
      </c>
    </row>
    <row r="222" spans="1:5" ht="16" hidden="1" x14ac:dyDescent="0.35">
      <c r="A222" s="23">
        <v>100025296</v>
      </c>
      <c r="B222" s="24">
        <v>7503039738409</v>
      </c>
      <c r="C222" s="23" t="s">
        <v>556</v>
      </c>
      <c r="D222" s="23" t="s">
        <v>696</v>
      </c>
      <c r="E222" t="s">
        <v>588</v>
      </c>
    </row>
    <row r="223" spans="1:5" ht="16" hidden="1" x14ac:dyDescent="0.35">
      <c r="A223" s="23">
        <v>100025296</v>
      </c>
      <c r="B223" s="24">
        <v>7503039738409</v>
      </c>
      <c r="C223" s="23" t="s">
        <v>556</v>
      </c>
      <c r="D223" s="23" t="s">
        <v>697</v>
      </c>
      <c r="E223" t="s">
        <v>588</v>
      </c>
    </row>
    <row r="224" spans="1:5" ht="16" hidden="1" x14ac:dyDescent="0.35">
      <c r="A224" s="23">
        <v>100025296</v>
      </c>
      <c r="B224" s="24">
        <v>7503039738409</v>
      </c>
      <c r="C224" s="23" t="s">
        <v>556</v>
      </c>
      <c r="D224" s="23" t="s">
        <v>698</v>
      </c>
      <c r="E224" t="s">
        <v>588</v>
      </c>
    </row>
    <row r="225" spans="1:5" ht="16" hidden="1" x14ac:dyDescent="0.35">
      <c r="A225" s="23">
        <v>100025296</v>
      </c>
      <c r="B225" s="24">
        <v>7503039738409</v>
      </c>
      <c r="C225" s="23" t="s">
        <v>556</v>
      </c>
      <c r="D225" s="23" t="s">
        <v>657</v>
      </c>
      <c r="E225" t="s">
        <v>588</v>
      </c>
    </row>
    <row r="226" spans="1:5" ht="16" hidden="1" x14ac:dyDescent="0.35">
      <c r="A226" s="23">
        <v>100025296</v>
      </c>
      <c r="B226" s="24">
        <v>7503039738409</v>
      </c>
      <c r="C226" s="23" t="s">
        <v>556</v>
      </c>
      <c r="D226" s="23" t="s">
        <v>699</v>
      </c>
      <c r="E226" t="s">
        <v>588</v>
      </c>
    </row>
    <row r="227" spans="1:5" ht="16" hidden="1" x14ac:dyDescent="0.35">
      <c r="A227" s="24">
        <v>7311250044441</v>
      </c>
      <c r="B227" s="24">
        <v>100024400</v>
      </c>
      <c r="C227" s="24" t="s">
        <v>21</v>
      </c>
      <c r="D227" s="23" t="s">
        <v>687</v>
      </c>
      <c r="E227" t="s">
        <v>588</v>
      </c>
    </row>
    <row r="228" spans="1:5" ht="16" hidden="1" x14ac:dyDescent="0.35">
      <c r="A228" s="24">
        <v>7311250044441</v>
      </c>
      <c r="B228" s="24">
        <v>100024400</v>
      </c>
      <c r="C228" s="24" t="s">
        <v>21</v>
      </c>
      <c r="D228" s="23" t="s">
        <v>688</v>
      </c>
      <c r="E228" t="s">
        <v>588</v>
      </c>
    </row>
    <row r="229" spans="1:5" ht="16" hidden="1" x14ac:dyDescent="0.35">
      <c r="A229" s="24">
        <v>7311250044441</v>
      </c>
      <c r="B229" s="24">
        <v>100024400</v>
      </c>
      <c r="C229" s="24" t="s">
        <v>21</v>
      </c>
      <c r="D229" s="23" t="s">
        <v>656</v>
      </c>
      <c r="E229" t="s">
        <v>588</v>
      </c>
    </row>
    <row r="230" spans="1:5" ht="16" hidden="1" x14ac:dyDescent="0.35">
      <c r="A230" s="24">
        <v>7311250044441</v>
      </c>
      <c r="B230" s="24">
        <v>100024400</v>
      </c>
      <c r="C230" s="24" t="s">
        <v>21</v>
      </c>
      <c r="D230" s="23" t="s">
        <v>689</v>
      </c>
      <c r="E230" t="s">
        <v>588</v>
      </c>
    </row>
    <row r="231" spans="1:5" ht="16" hidden="1" x14ac:dyDescent="0.35">
      <c r="A231" s="24">
        <v>7311250044441</v>
      </c>
      <c r="B231" s="24">
        <v>100024400</v>
      </c>
      <c r="C231" s="24" t="s">
        <v>21</v>
      </c>
      <c r="D231" s="23" t="s">
        <v>690</v>
      </c>
      <c r="E231" t="s">
        <v>588</v>
      </c>
    </row>
    <row r="232" spans="1:5" ht="16" hidden="1" x14ac:dyDescent="0.35">
      <c r="A232" s="24">
        <v>7311250044441</v>
      </c>
      <c r="B232" s="24">
        <v>100024400</v>
      </c>
      <c r="C232" s="24" t="s">
        <v>21</v>
      </c>
      <c r="D232" s="23" t="s">
        <v>691</v>
      </c>
      <c r="E232" t="s">
        <v>588</v>
      </c>
    </row>
    <row r="233" spans="1:5" ht="16" hidden="1" x14ac:dyDescent="0.35">
      <c r="A233" s="24">
        <v>7311250044441</v>
      </c>
      <c r="B233" s="24">
        <v>100024400</v>
      </c>
      <c r="C233" s="24" t="s">
        <v>21</v>
      </c>
      <c r="D233" s="23" t="s">
        <v>692</v>
      </c>
      <c r="E233" t="s">
        <v>588</v>
      </c>
    </row>
    <row r="234" spans="1:5" ht="16" hidden="1" x14ac:dyDescent="0.35">
      <c r="A234" s="24">
        <v>7311250044441</v>
      </c>
      <c r="B234" s="24">
        <v>100024400</v>
      </c>
      <c r="C234" s="24" t="s">
        <v>21</v>
      </c>
      <c r="D234" s="23" t="s">
        <v>693</v>
      </c>
      <c r="E234" t="s">
        <v>588</v>
      </c>
    </row>
    <row r="235" spans="1:5" ht="16" hidden="1" x14ac:dyDescent="0.35">
      <c r="A235" s="24">
        <v>7311250044441</v>
      </c>
      <c r="B235" s="24">
        <v>100024400</v>
      </c>
      <c r="C235" s="24" t="s">
        <v>21</v>
      </c>
      <c r="D235" s="23" t="s">
        <v>694</v>
      </c>
      <c r="E235" t="s">
        <v>588</v>
      </c>
    </row>
    <row r="236" spans="1:5" ht="16" hidden="1" x14ac:dyDescent="0.35">
      <c r="A236" s="24">
        <v>7311250044441</v>
      </c>
      <c r="B236" s="24">
        <v>100024400</v>
      </c>
      <c r="C236" s="24" t="s">
        <v>21</v>
      </c>
      <c r="D236" s="23" t="s">
        <v>695</v>
      </c>
      <c r="E236" t="s">
        <v>588</v>
      </c>
    </row>
    <row r="237" spans="1:5" ht="16" hidden="1" x14ac:dyDescent="0.35">
      <c r="A237" s="24">
        <v>7311250044441</v>
      </c>
      <c r="B237" s="24">
        <v>100024400</v>
      </c>
      <c r="C237" s="24" t="s">
        <v>21</v>
      </c>
      <c r="D237" s="23" t="s">
        <v>696</v>
      </c>
      <c r="E237" t="s">
        <v>588</v>
      </c>
    </row>
    <row r="238" spans="1:5" ht="16" hidden="1" x14ac:dyDescent="0.35">
      <c r="A238" s="24">
        <v>7311250044441</v>
      </c>
      <c r="B238" s="24">
        <v>100024400</v>
      </c>
      <c r="C238" s="24" t="s">
        <v>21</v>
      </c>
      <c r="D238" s="23" t="s">
        <v>697</v>
      </c>
      <c r="E238" t="s">
        <v>588</v>
      </c>
    </row>
    <row r="239" spans="1:5" ht="16" hidden="1" x14ac:dyDescent="0.35">
      <c r="A239" s="24">
        <v>7311250044441</v>
      </c>
      <c r="B239" s="24">
        <v>100024400</v>
      </c>
      <c r="C239" s="24" t="s">
        <v>21</v>
      </c>
      <c r="D239" s="23" t="s">
        <v>698</v>
      </c>
      <c r="E239" t="s">
        <v>588</v>
      </c>
    </row>
    <row r="240" spans="1:5" ht="16" hidden="1" x14ac:dyDescent="0.35">
      <c r="A240" s="24">
        <v>7311250044441</v>
      </c>
      <c r="B240" s="24">
        <v>100024400</v>
      </c>
      <c r="C240" s="24" t="s">
        <v>21</v>
      </c>
      <c r="D240" s="23" t="s">
        <v>657</v>
      </c>
      <c r="E240" t="s">
        <v>588</v>
      </c>
    </row>
    <row r="241" spans="1:5" ht="16" hidden="1" x14ac:dyDescent="0.35">
      <c r="A241" s="24">
        <v>7311250044441</v>
      </c>
      <c r="B241" s="24">
        <v>100024400</v>
      </c>
      <c r="C241" s="24" t="s">
        <v>21</v>
      </c>
      <c r="D241" s="23" t="s">
        <v>699</v>
      </c>
      <c r="E241" t="s">
        <v>588</v>
      </c>
    </row>
    <row r="242" spans="1:5" ht="16" hidden="1" x14ac:dyDescent="0.35">
      <c r="A242" s="24">
        <v>7311250044434</v>
      </c>
      <c r="B242" s="24">
        <v>100024295</v>
      </c>
      <c r="C242" s="24" t="s">
        <v>22</v>
      </c>
      <c r="D242" s="23" t="s">
        <v>687</v>
      </c>
      <c r="E242" t="s">
        <v>588</v>
      </c>
    </row>
    <row r="243" spans="1:5" ht="16" hidden="1" x14ac:dyDescent="0.35">
      <c r="A243" s="24">
        <v>7311250044434</v>
      </c>
      <c r="B243" s="24">
        <v>100024295</v>
      </c>
      <c r="C243" s="24" t="s">
        <v>22</v>
      </c>
      <c r="D243" s="23" t="s">
        <v>688</v>
      </c>
      <c r="E243" t="s">
        <v>588</v>
      </c>
    </row>
    <row r="244" spans="1:5" ht="16" hidden="1" x14ac:dyDescent="0.35">
      <c r="A244" s="24">
        <v>7311250044434</v>
      </c>
      <c r="B244" s="24">
        <v>100024295</v>
      </c>
      <c r="C244" s="24" t="s">
        <v>22</v>
      </c>
      <c r="D244" s="23" t="s">
        <v>656</v>
      </c>
      <c r="E244" t="s">
        <v>588</v>
      </c>
    </row>
    <row r="245" spans="1:5" ht="16" hidden="1" x14ac:dyDescent="0.35">
      <c r="A245" s="24">
        <v>7311250044434</v>
      </c>
      <c r="B245" s="24">
        <v>100024295</v>
      </c>
      <c r="C245" s="24" t="s">
        <v>22</v>
      </c>
      <c r="D245" s="23" t="s">
        <v>689</v>
      </c>
      <c r="E245" t="s">
        <v>588</v>
      </c>
    </row>
    <row r="246" spans="1:5" ht="16" hidden="1" x14ac:dyDescent="0.35">
      <c r="A246" s="24">
        <v>7311250044434</v>
      </c>
      <c r="B246" s="24">
        <v>100024295</v>
      </c>
      <c r="C246" s="24" t="s">
        <v>22</v>
      </c>
      <c r="D246" s="23" t="s">
        <v>690</v>
      </c>
      <c r="E246" t="s">
        <v>588</v>
      </c>
    </row>
    <row r="247" spans="1:5" ht="16" hidden="1" x14ac:dyDescent="0.35">
      <c r="A247" s="24">
        <v>7311250044434</v>
      </c>
      <c r="B247" s="24">
        <v>100024295</v>
      </c>
      <c r="C247" s="24" t="s">
        <v>22</v>
      </c>
      <c r="D247" s="23" t="s">
        <v>691</v>
      </c>
      <c r="E247" t="s">
        <v>588</v>
      </c>
    </row>
    <row r="248" spans="1:5" ht="16" hidden="1" x14ac:dyDescent="0.35">
      <c r="A248" s="24">
        <v>7311250044434</v>
      </c>
      <c r="B248" s="24">
        <v>100024295</v>
      </c>
      <c r="C248" s="24" t="s">
        <v>22</v>
      </c>
      <c r="D248" s="23" t="s">
        <v>692</v>
      </c>
      <c r="E248" t="s">
        <v>588</v>
      </c>
    </row>
    <row r="249" spans="1:5" ht="16" hidden="1" x14ac:dyDescent="0.35">
      <c r="A249" s="24">
        <v>7311250044434</v>
      </c>
      <c r="B249" s="24">
        <v>100024295</v>
      </c>
      <c r="C249" s="24" t="s">
        <v>22</v>
      </c>
      <c r="D249" s="23" t="s">
        <v>693</v>
      </c>
      <c r="E249" t="s">
        <v>588</v>
      </c>
    </row>
    <row r="250" spans="1:5" ht="16" hidden="1" x14ac:dyDescent="0.35">
      <c r="A250" s="24">
        <v>7311250044434</v>
      </c>
      <c r="B250" s="24">
        <v>100024295</v>
      </c>
      <c r="C250" s="24" t="s">
        <v>22</v>
      </c>
      <c r="D250" s="23" t="s">
        <v>694</v>
      </c>
      <c r="E250" t="s">
        <v>588</v>
      </c>
    </row>
    <row r="251" spans="1:5" ht="16" hidden="1" x14ac:dyDescent="0.35">
      <c r="A251" s="24">
        <v>7311250044434</v>
      </c>
      <c r="B251" s="24">
        <v>100024295</v>
      </c>
      <c r="C251" s="24" t="s">
        <v>22</v>
      </c>
      <c r="D251" s="23" t="s">
        <v>695</v>
      </c>
      <c r="E251" t="s">
        <v>588</v>
      </c>
    </row>
    <row r="252" spans="1:5" ht="16" hidden="1" x14ac:dyDescent="0.35">
      <c r="A252" s="24">
        <v>7311250044434</v>
      </c>
      <c r="B252" s="24">
        <v>100024295</v>
      </c>
      <c r="C252" s="24" t="s">
        <v>22</v>
      </c>
      <c r="D252" s="23" t="s">
        <v>696</v>
      </c>
      <c r="E252" t="s">
        <v>588</v>
      </c>
    </row>
    <row r="253" spans="1:5" ht="16" hidden="1" x14ac:dyDescent="0.35">
      <c r="A253" s="24">
        <v>7311250044434</v>
      </c>
      <c r="B253" s="24">
        <v>100024295</v>
      </c>
      <c r="C253" s="24" t="s">
        <v>22</v>
      </c>
      <c r="D253" s="23" t="s">
        <v>697</v>
      </c>
      <c r="E253" t="s">
        <v>588</v>
      </c>
    </row>
    <row r="254" spans="1:5" ht="16" hidden="1" x14ac:dyDescent="0.35">
      <c r="A254" s="24">
        <v>7311250044434</v>
      </c>
      <c r="B254" s="24">
        <v>100024295</v>
      </c>
      <c r="C254" s="24" t="s">
        <v>22</v>
      </c>
      <c r="D254" s="23" t="s">
        <v>698</v>
      </c>
      <c r="E254" t="s">
        <v>588</v>
      </c>
    </row>
    <row r="255" spans="1:5" ht="16" hidden="1" x14ac:dyDescent="0.35">
      <c r="A255" s="24">
        <v>7311250044434</v>
      </c>
      <c r="B255" s="24">
        <v>100024295</v>
      </c>
      <c r="C255" s="24" t="s">
        <v>22</v>
      </c>
      <c r="D255" s="23" t="s">
        <v>657</v>
      </c>
      <c r="E255" t="s">
        <v>588</v>
      </c>
    </row>
    <row r="256" spans="1:5" ht="16" hidden="1" x14ac:dyDescent="0.35">
      <c r="A256" s="24">
        <v>7311250044434</v>
      </c>
      <c r="B256" s="24">
        <v>100024295</v>
      </c>
      <c r="C256" s="24" t="s">
        <v>22</v>
      </c>
      <c r="D256" s="23" t="s">
        <v>699</v>
      </c>
      <c r="E256" t="s">
        <v>588</v>
      </c>
    </row>
    <row r="257" spans="1:5" ht="16" hidden="1" x14ac:dyDescent="0.35">
      <c r="A257" s="24">
        <v>75006372</v>
      </c>
      <c r="B257" s="24">
        <v>101000062</v>
      </c>
      <c r="C257" s="24" t="s">
        <v>176</v>
      </c>
      <c r="D257" s="23" t="s">
        <v>687</v>
      </c>
      <c r="E257" t="s">
        <v>588</v>
      </c>
    </row>
    <row r="258" spans="1:5" ht="16" hidden="1" x14ac:dyDescent="0.35">
      <c r="A258" s="24">
        <v>75006372</v>
      </c>
      <c r="B258" s="24">
        <v>101000062</v>
      </c>
      <c r="C258" s="24" t="s">
        <v>176</v>
      </c>
      <c r="D258" s="23" t="s">
        <v>688</v>
      </c>
      <c r="E258" t="s">
        <v>588</v>
      </c>
    </row>
    <row r="259" spans="1:5" ht="16" hidden="1" x14ac:dyDescent="0.35">
      <c r="A259" s="24">
        <v>75006372</v>
      </c>
      <c r="B259" s="24">
        <v>101000062</v>
      </c>
      <c r="C259" s="24" t="s">
        <v>176</v>
      </c>
      <c r="D259" s="23" t="s">
        <v>656</v>
      </c>
      <c r="E259" t="s">
        <v>588</v>
      </c>
    </row>
    <row r="260" spans="1:5" ht="16" hidden="1" x14ac:dyDescent="0.35">
      <c r="A260" s="24">
        <v>75006372</v>
      </c>
      <c r="B260" s="24">
        <v>101000062</v>
      </c>
      <c r="C260" s="24" t="s">
        <v>176</v>
      </c>
      <c r="D260" s="23" t="s">
        <v>689</v>
      </c>
      <c r="E260" t="s">
        <v>588</v>
      </c>
    </row>
    <row r="261" spans="1:5" ht="16" hidden="1" x14ac:dyDescent="0.35">
      <c r="A261" s="24">
        <v>75006372</v>
      </c>
      <c r="B261" s="24">
        <v>101000062</v>
      </c>
      <c r="C261" s="24" t="s">
        <v>176</v>
      </c>
      <c r="D261" s="23" t="s">
        <v>690</v>
      </c>
      <c r="E261" t="s">
        <v>588</v>
      </c>
    </row>
    <row r="262" spans="1:5" ht="16" hidden="1" x14ac:dyDescent="0.35">
      <c r="A262" s="24">
        <v>75006372</v>
      </c>
      <c r="B262" s="24">
        <v>101000062</v>
      </c>
      <c r="C262" s="24" t="s">
        <v>176</v>
      </c>
      <c r="D262" s="23" t="s">
        <v>691</v>
      </c>
      <c r="E262" t="s">
        <v>588</v>
      </c>
    </row>
    <row r="263" spans="1:5" ht="16" hidden="1" x14ac:dyDescent="0.35">
      <c r="A263" s="24">
        <v>75006372</v>
      </c>
      <c r="B263" s="24">
        <v>101000062</v>
      </c>
      <c r="C263" s="24" t="s">
        <v>176</v>
      </c>
      <c r="D263" s="23" t="s">
        <v>692</v>
      </c>
      <c r="E263" t="s">
        <v>588</v>
      </c>
    </row>
    <row r="264" spans="1:5" ht="16" hidden="1" x14ac:dyDescent="0.35">
      <c r="A264" s="24">
        <v>75006372</v>
      </c>
      <c r="B264" s="24">
        <v>101000062</v>
      </c>
      <c r="C264" s="24" t="s">
        <v>176</v>
      </c>
      <c r="D264" s="23" t="s">
        <v>693</v>
      </c>
      <c r="E264" t="s">
        <v>588</v>
      </c>
    </row>
    <row r="265" spans="1:5" ht="16" hidden="1" x14ac:dyDescent="0.35">
      <c r="A265" s="24">
        <v>75006372</v>
      </c>
      <c r="B265" s="24">
        <v>101000062</v>
      </c>
      <c r="C265" s="24" t="s">
        <v>176</v>
      </c>
      <c r="D265" s="23" t="s">
        <v>694</v>
      </c>
      <c r="E265" t="s">
        <v>588</v>
      </c>
    </row>
    <row r="266" spans="1:5" ht="16" hidden="1" x14ac:dyDescent="0.35">
      <c r="A266" s="24">
        <v>75006372</v>
      </c>
      <c r="B266" s="24">
        <v>101000062</v>
      </c>
      <c r="C266" s="24" t="s">
        <v>176</v>
      </c>
      <c r="D266" s="23" t="s">
        <v>695</v>
      </c>
      <c r="E266" t="s">
        <v>588</v>
      </c>
    </row>
    <row r="267" spans="1:5" ht="16" hidden="1" x14ac:dyDescent="0.35">
      <c r="A267" s="24">
        <v>75006372</v>
      </c>
      <c r="B267" s="24">
        <v>101000062</v>
      </c>
      <c r="C267" s="24" t="s">
        <v>176</v>
      </c>
      <c r="D267" s="23" t="s">
        <v>696</v>
      </c>
      <c r="E267" t="s">
        <v>588</v>
      </c>
    </row>
    <row r="268" spans="1:5" ht="16" hidden="1" x14ac:dyDescent="0.35">
      <c r="A268" s="24">
        <v>75006372</v>
      </c>
      <c r="B268" s="24">
        <v>101000062</v>
      </c>
      <c r="C268" s="24" t="s">
        <v>176</v>
      </c>
      <c r="D268" s="23" t="s">
        <v>697</v>
      </c>
      <c r="E268" t="s">
        <v>588</v>
      </c>
    </row>
    <row r="269" spans="1:5" ht="16" hidden="1" x14ac:dyDescent="0.35">
      <c r="A269" s="24">
        <v>75006372</v>
      </c>
      <c r="B269" s="24">
        <v>101000062</v>
      </c>
      <c r="C269" s="24" t="s">
        <v>176</v>
      </c>
      <c r="D269" s="23" t="s">
        <v>698</v>
      </c>
      <c r="E269" t="s">
        <v>588</v>
      </c>
    </row>
    <row r="270" spans="1:5" ht="16" hidden="1" x14ac:dyDescent="0.35">
      <c r="A270" s="24">
        <v>75006372</v>
      </c>
      <c r="B270" s="24">
        <v>101000062</v>
      </c>
      <c r="C270" s="24" t="s">
        <v>176</v>
      </c>
      <c r="D270" s="23" t="s">
        <v>657</v>
      </c>
      <c r="E270" t="s">
        <v>588</v>
      </c>
    </row>
    <row r="271" spans="1:5" ht="16" hidden="1" x14ac:dyDescent="0.35">
      <c r="A271" s="24">
        <v>75006372</v>
      </c>
      <c r="B271" s="24">
        <v>101000062</v>
      </c>
      <c r="C271" s="24" t="s">
        <v>176</v>
      </c>
      <c r="D271" s="23" t="s">
        <v>699</v>
      </c>
      <c r="E271" t="s">
        <v>588</v>
      </c>
    </row>
    <row r="272" spans="1:5" ht="16" hidden="1" x14ac:dyDescent="0.35">
      <c r="A272" s="24">
        <v>75001476</v>
      </c>
      <c r="B272" s="24">
        <v>100080034</v>
      </c>
      <c r="C272" s="24" t="s">
        <v>216</v>
      </c>
      <c r="D272" s="23" t="s">
        <v>687</v>
      </c>
      <c r="E272" t="s">
        <v>588</v>
      </c>
    </row>
    <row r="273" spans="1:5" ht="16" hidden="1" x14ac:dyDescent="0.35">
      <c r="A273" s="24">
        <v>75001476</v>
      </c>
      <c r="B273" s="24">
        <v>100080034</v>
      </c>
      <c r="C273" s="24" t="s">
        <v>216</v>
      </c>
      <c r="D273" s="23" t="s">
        <v>688</v>
      </c>
      <c r="E273" t="s">
        <v>588</v>
      </c>
    </row>
    <row r="274" spans="1:5" ht="16" hidden="1" x14ac:dyDescent="0.35">
      <c r="A274" s="24">
        <v>75001476</v>
      </c>
      <c r="B274" s="24">
        <v>100080034</v>
      </c>
      <c r="C274" s="24" t="s">
        <v>216</v>
      </c>
      <c r="D274" s="23" t="s">
        <v>656</v>
      </c>
      <c r="E274" t="s">
        <v>588</v>
      </c>
    </row>
    <row r="275" spans="1:5" ht="16" hidden="1" x14ac:dyDescent="0.35">
      <c r="A275" s="24">
        <v>75001476</v>
      </c>
      <c r="B275" s="24">
        <v>100080034</v>
      </c>
      <c r="C275" s="24" t="s">
        <v>216</v>
      </c>
      <c r="D275" s="23" t="s">
        <v>689</v>
      </c>
      <c r="E275" t="s">
        <v>588</v>
      </c>
    </row>
    <row r="276" spans="1:5" ht="16" hidden="1" x14ac:dyDescent="0.35">
      <c r="A276" s="24">
        <v>75001476</v>
      </c>
      <c r="B276" s="24">
        <v>100080034</v>
      </c>
      <c r="C276" s="24" t="s">
        <v>216</v>
      </c>
      <c r="D276" t="s">
        <v>690</v>
      </c>
      <c r="E276" s="10" t="s">
        <v>588</v>
      </c>
    </row>
    <row r="277" spans="1:5" ht="16" hidden="1" x14ac:dyDescent="0.35">
      <c r="A277">
        <v>75001476</v>
      </c>
      <c r="B277">
        <v>100080034</v>
      </c>
      <c r="C277" t="s">
        <v>216</v>
      </c>
      <c r="D277" t="s">
        <v>691</v>
      </c>
      <c r="E277" s="10" t="s">
        <v>588</v>
      </c>
    </row>
    <row r="278" spans="1:5" ht="16" hidden="1" x14ac:dyDescent="0.35">
      <c r="A278">
        <v>75001476</v>
      </c>
      <c r="B278">
        <v>100080034</v>
      </c>
      <c r="C278" t="s">
        <v>216</v>
      </c>
      <c r="D278" t="s">
        <v>692</v>
      </c>
      <c r="E278" s="10" t="s">
        <v>588</v>
      </c>
    </row>
    <row r="279" spans="1:5" ht="16" hidden="1" x14ac:dyDescent="0.35">
      <c r="A279">
        <v>75001476</v>
      </c>
      <c r="B279">
        <v>100080034</v>
      </c>
      <c r="C279" t="s">
        <v>216</v>
      </c>
      <c r="D279" t="s">
        <v>693</v>
      </c>
      <c r="E279" s="10" t="s">
        <v>588</v>
      </c>
    </row>
    <row r="280" spans="1:5" ht="16" hidden="1" x14ac:dyDescent="0.35">
      <c r="A280">
        <v>75001476</v>
      </c>
      <c r="B280">
        <v>100080034</v>
      </c>
      <c r="C280" t="s">
        <v>216</v>
      </c>
      <c r="D280" t="s">
        <v>694</v>
      </c>
      <c r="E280" s="10" t="s">
        <v>588</v>
      </c>
    </row>
    <row r="281" spans="1:5" ht="16" hidden="1" x14ac:dyDescent="0.35">
      <c r="A281">
        <v>75001476</v>
      </c>
      <c r="B281">
        <v>100080034</v>
      </c>
      <c r="C281" t="s">
        <v>216</v>
      </c>
      <c r="D281" t="s">
        <v>695</v>
      </c>
      <c r="E281" s="10" t="s">
        <v>588</v>
      </c>
    </row>
    <row r="282" spans="1:5" ht="16" hidden="1" x14ac:dyDescent="0.35">
      <c r="A282">
        <v>75001476</v>
      </c>
      <c r="B282">
        <v>100080034</v>
      </c>
      <c r="C282" t="s">
        <v>216</v>
      </c>
      <c r="D282" t="s">
        <v>696</v>
      </c>
      <c r="E282" s="10" t="s">
        <v>588</v>
      </c>
    </row>
    <row r="283" spans="1:5" ht="16" hidden="1" x14ac:dyDescent="0.35">
      <c r="A283">
        <v>75001476</v>
      </c>
      <c r="B283">
        <v>100080034</v>
      </c>
      <c r="C283" t="s">
        <v>216</v>
      </c>
      <c r="D283" t="s">
        <v>697</v>
      </c>
      <c r="E283" s="10" t="s">
        <v>588</v>
      </c>
    </row>
    <row r="284" spans="1:5" ht="16" hidden="1" x14ac:dyDescent="0.35">
      <c r="A284">
        <v>75001476</v>
      </c>
      <c r="B284">
        <v>100080034</v>
      </c>
      <c r="C284" t="s">
        <v>216</v>
      </c>
      <c r="D284" t="s">
        <v>698</v>
      </c>
      <c r="E284" s="10" t="s">
        <v>588</v>
      </c>
    </row>
    <row r="285" spans="1:5" ht="16" hidden="1" x14ac:dyDescent="0.35">
      <c r="A285">
        <v>75001476</v>
      </c>
      <c r="B285">
        <v>100080034</v>
      </c>
      <c r="C285" t="s">
        <v>216</v>
      </c>
      <c r="D285" t="s">
        <v>657</v>
      </c>
      <c r="E285" s="10" t="s">
        <v>588</v>
      </c>
    </row>
    <row r="286" spans="1:5" ht="16" hidden="1" x14ac:dyDescent="0.35">
      <c r="A286">
        <v>75001476</v>
      </c>
      <c r="B286">
        <v>100080034</v>
      </c>
      <c r="C286" t="s">
        <v>216</v>
      </c>
      <c r="D286" t="s">
        <v>699</v>
      </c>
      <c r="E286" s="10" t="s">
        <v>588</v>
      </c>
    </row>
    <row r="287" spans="1:5" ht="16" hidden="1" x14ac:dyDescent="0.35">
      <c r="A287">
        <v>75022266</v>
      </c>
      <c r="B287">
        <v>100020945</v>
      </c>
      <c r="C287" t="s">
        <v>204</v>
      </c>
      <c r="D287" t="s">
        <v>687</v>
      </c>
      <c r="E287" s="10" t="s">
        <v>588</v>
      </c>
    </row>
    <row r="288" spans="1:5" ht="16" hidden="1" x14ac:dyDescent="0.35">
      <c r="A288">
        <v>75022266</v>
      </c>
      <c r="B288">
        <v>100020945</v>
      </c>
      <c r="C288" t="s">
        <v>204</v>
      </c>
      <c r="D288" t="s">
        <v>688</v>
      </c>
      <c r="E288" s="10" t="s">
        <v>588</v>
      </c>
    </row>
    <row r="289" spans="1:5" ht="16" hidden="1" x14ac:dyDescent="0.35">
      <c r="A289">
        <v>75022266</v>
      </c>
      <c r="B289">
        <v>100020945</v>
      </c>
      <c r="C289" t="s">
        <v>204</v>
      </c>
      <c r="D289" t="s">
        <v>656</v>
      </c>
      <c r="E289" s="10" t="s">
        <v>588</v>
      </c>
    </row>
    <row r="290" spans="1:5" ht="16" hidden="1" x14ac:dyDescent="0.35">
      <c r="A290">
        <v>75022266</v>
      </c>
      <c r="B290">
        <v>100020945</v>
      </c>
      <c r="C290" t="s">
        <v>204</v>
      </c>
      <c r="D290" t="s">
        <v>689</v>
      </c>
      <c r="E290" s="10" t="s">
        <v>588</v>
      </c>
    </row>
    <row r="291" spans="1:5" ht="16" hidden="1" x14ac:dyDescent="0.35">
      <c r="A291">
        <v>75022266</v>
      </c>
      <c r="B291">
        <v>100020945</v>
      </c>
      <c r="C291" t="s">
        <v>204</v>
      </c>
      <c r="D291" t="s">
        <v>690</v>
      </c>
      <c r="E291" s="10" t="s">
        <v>588</v>
      </c>
    </row>
    <row r="292" spans="1:5" ht="16" hidden="1" x14ac:dyDescent="0.35">
      <c r="A292">
        <v>75022266</v>
      </c>
      <c r="B292">
        <v>100020945</v>
      </c>
      <c r="C292" t="s">
        <v>204</v>
      </c>
      <c r="D292" t="s">
        <v>691</v>
      </c>
      <c r="E292" s="10" t="s">
        <v>588</v>
      </c>
    </row>
    <row r="293" spans="1:5" ht="16" hidden="1" x14ac:dyDescent="0.35">
      <c r="A293">
        <v>75022266</v>
      </c>
      <c r="B293">
        <v>100020945</v>
      </c>
      <c r="C293" t="s">
        <v>204</v>
      </c>
      <c r="D293" t="s">
        <v>692</v>
      </c>
      <c r="E293" s="10" t="s">
        <v>588</v>
      </c>
    </row>
    <row r="294" spans="1:5" ht="16" hidden="1" x14ac:dyDescent="0.35">
      <c r="A294">
        <v>75022266</v>
      </c>
      <c r="B294">
        <v>100020945</v>
      </c>
      <c r="C294" t="s">
        <v>204</v>
      </c>
      <c r="D294" t="s">
        <v>693</v>
      </c>
      <c r="E294" s="10" t="s">
        <v>588</v>
      </c>
    </row>
    <row r="295" spans="1:5" ht="16" hidden="1" x14ac:dyDescent="0.35">
      <c r="A295">
        <v>75022266</v>
      </c>
      <c r="B295">
        <v>100020945</v>
      </c>
      <c r="C295" t="s">
        <v>204</v>
      </c>
      <c r="D295" t="s">
        <v>694</v>
      </c>
      <c r="E295" s="10" t="s">
        <v>588</v>
      </c>
    </row>
    <row r="296" spans="1:5" ht="16" hidden="1" x14ac:dyDescent="0.35">
      <c r="A296">
        <v>75022266</v>
      </c>
      <c r="B296">
        <v>100020945</v>
      </c>
      <c r="C296" t="s">
        <v>204</v>
      </c>
      <c r="D296" t="s">
        <v>695</v>
      </c>
      <c r="E296" s="10" t="s">
        <v>588</v>
      </c>
    </row>
    <row r="297" spans="1:5" ht="16" hidden="1" x14ac:dyDescent="0.35">
      <c r="A297">
        <v>75022266</v>
      </c>
      <c r="B297">
        <v>100020945</v>
      </c>
      <c r="C297" t="s">
        <v>204</v>
      </c>
      <c r="D297" t="s">
        <v>696</v>
      </c>
      <c r="E297" s="10" t="s">
        <v>588</v>
      </c>
    </row>
    <row r="298" spans="1:5" ht="16" hidden="1" x14ac:dyDescent="0.35">
      <c r="A298">
        <v>75022266</v>
      </c>
      <c r="B298">
        <v>100020945</v>
      </c>
      <c r="C298" t="s">
        <v>204</v>
      </c>
      <c r="D298" t="s">
        <v>697</v>
      </c>
      <c r="E298" s="10" t="s">
        <v>588</v>
      </c>
    </row>
    <row r="299" spans="1:5" ht="16" hidden="1" x14ac:dyDescent="0.35">
      <c r="A299">
        <v>75022266</v>
      </c>
      <c r="B299">
        <v>100020945</v>
      </c>
      <c r="C299" t="s">
        <v>204</v>
      </c>
      <c r="D299" t="s">
        <v>698</v>
      </c>
      <c r="E299" s="10" t="s">
        <v>588</v>
      </c>
    </row>
    <row r="300" spans="1:5" ht="16" hidden="1" x14ac:dyDescent="0.35">
      <c r="A300">
        <v>75022266</v>
      </c>
      <c r="B300">
        <v>100020945</v>
      </c>
      <c r="C300" t="s">
        <v>204</v>
      </c>
      <c r="D300" t="s">
        <v>657</v>
      </c>
      <c r="E300" s="10" t="s">
        <v>588</v>
      </c>
    </row>
    <row r="301" spans="1:5" ht="16" hidden="1" x14ac:dyDescent="0.35">
      <c r="A301">
        <v>75022266</v>
      </c>
      <c r="B301">
        <v>100020945</v>
      </c>
      <c r="C301" t="s">
        <v>204</v>
      </c>
      <c r="D301" t="s">
        <v>699</v>
      </c>
      <c r="E301" s="10" t="s">
        <v>588</v>
      </c>
    </row>
    <row r="302" spans="1:5" ht="16" hidden="1" x14ac:dyDescent="0.35">
      <c r="A302">
        <f>+_xlfn.XLOOKUP(C302,[1]master!C:C,[1]master!A:A)</f>
        <v>100019232</v>
      </c>
      <c r="B302">
        <f>+_xlfn.XLOOKUP(C302,[1]master!C:C,[1]master!B:B)</f>
        <v>75074876</v>
      </c>
      <c r="C302" t="s">
        <v>326</v>
      </c>
      <c r="D302" t="s">
        <v>656</v>
      </c>
      <c r="E302" s="10" t="s">
        <v>588</v>
      </c>
    </row>
    <row r="303" spans="1:5" ht="16" hidden="1" x14ac:dyDescent="0.35">
      <c r="A303">
        <f>+_xlfn.XLOOKUP(C303,[1]master!C:C,[1]master!A:A)</f>
        <v>100019228</v>
      </c>
      <c r="B303">
        <f>+_xlfn.XLOOKUP(C303,[1]master!C:C,[1]master!B:B)</f>
        <v>75074883</v>
      </c>
      <c r="C303" t="s">
        <v>323</v>
      </c>
      <c r="D303" t="s">
        <v>656</v>
      </c>
      <c r="E303" s="10" t="s">
        <v>588</v>
      </c>
    </row>
    <row r="304" spans="1:5" ht="16" hidden="1" x14ac:dyDescent="0.35">
      <c r="A304">
        <f>+_xlfn.XLOOKUP(C304,[1]master!C:C,[1]master!A:A)</f>
        <v>100080892</v>
      </c>
      <c r="B304">
        <f>+_xlfn.XLOOKUP(C304,[1]master!C:C,[1]master!B:B)</f>
        <v>75042943</v>
      </c>
      <c r="C304" t="s">
        <v>338</v>
      </c>
      <c r="D304" t="s">
        <v>656</v>
      </c>
      <c r="E304" s="10" t="s">
        <v>588</v>
      </c>
    </row>
    <row r="305" spans="1:5" ht="16" hidden="1" x14ac:dyDescent="0.35">
      <c r="A305">
        <f>+_xlfn.XLOOKUP(C305,[1]master!C:C,[1]master!A:A)</f>
        <v>100080878</v>
      </c>
      <c r="B305">
        <f>+_xlfn.XLOOKUP(C305,[1]master!C:C,[1]master!B:B)</f>
        <v>75039875</v>
      </c>
      <c r="C305" t="s">
        <v>335</v>
      </c>
      <c r="D305" t="s">
        <v>656</v>
      </c>
      <c r="E305" s="10" t="s">
        <v>588</v>
      </c>
    </row>
    <row r="306" spans="1:5" ht="16" x14ac:dyDescent="0.35">
      <c r="A306">
        <f>+_xlfn.XLOOKUP(C306,[1]master!C:C,[1]master!A:A)</f>
        <v>100020970</v>
      </c>
      <c r="B306">
        <f>+_xlfn.XLOOKUP(C306,[1]master!C:C,[1]master!B:B)</f>
        <v>75076405</v>
      </c>
      <c r="C306" t="s">
        <v>60</v>
      </c>
      <c r="D306" t="s">
        <v>698</v>
      </c>
      <c r="E306" s="10" t="s">
        <v>588</v>
      </c>
    </row>
    <row r="307" spans="1:5" ht="16" hidden="1" x14ac:dyDescent="0.35">
      <c r="A307">
        <f>+_xlfn.XLOOKUP(C307,[1]master!C:C,[1]master!A:A)</f>
        <v>100020969</v>
      </c>
      <c r="B307">
        <f>+_xlfn.XLOOKUP(C307,[1]master!C:C,[1]master!B:B)</f>
        <v>75076740</v>
      </c>
      <c r="C307" t="s">
        <v>62</v>
      </c>
      <c r="D307" t="s">
        <v>698</v>
      </c>
      <c r="E307" s="10" t="s">
        <v>588</v>
      </c>
    </row>
    <row r="308" spans="1:5" ht="16" hidden="1" x14ac:dyDescent="0.35">
      <c r="A308">
        <f>+_xlfn.XLOOKUP(C308,[1]master!C:C,[1]master!A:A)</f>
        <v>100023317</v>
      </c>
      <c r="B308">
        <f>+_xlfn.XLOOKUP(C308,[1]master!C:C,[1]master!B:B)</f>
        <v>75078843</v>
      </c>
      <c r="C308" t="s">
        <v>65</v>
      </c>
      <c r="D308" t="s">
        <v>698</v>
      </c>
      <c r="E308" s="10" t="s">
        <v>588</v>
      </c>
    </row>
    <row r="309" spans="1:5" ht="16" hidden="1" x14ac:dyDescent="0.35">
      <c r="A309">
        <f>+_xlfn.XLOOKUP(C309,[1]master!C:C,[1]master!A:A)</f>
        <v>100019232</v>
      </c>
      <c r="B309">
        <f>+_xlfn.XLOOKUP(C309,[1]master!C:C,[1]master!B:B)</f>
        <v>75074876</v>
      </c>
      <c r="C309" t="s">
        <v>326</v>
      </c>
      <c r="D309" t="s">
        <v>698</v>
      </c>
      <c r="E309" s="10" t="s">
        <v>588</v>
      </c>
    </row>
    <row r="310" spans="1:5" ht="16" hidden="1" x14ac:dyDescent="0.35">
      <c r="A310">
        <f>+_xlfn.XLOOKUP(C310,[1]master!C:C,[1]master!A:A)</f>
        <v>100019228</v>
      </c>
      <c r="B310">
        <f>+_xlfn.XLOOKUP(C310,[1]master!C:C,[1]master!B:B)</f>
        <v>75074883</v>
      </c>
      <c r="C310" t="s">
        <v>323</v>
      </c>
      <c r="D310" t="s">
        <v>698</v>
      </c>
      <c r="E310" s="10" t="s">
        <v>588</v>
      </c>
    </row>
    <row r="311" spans="1:5" ht="16" hidden="1" x14ac:dyDescent="0.35">
      <c r="A311">
        <f>+_xlfn.XLOOKUP(C311,[1]master!C:C,[1]master!A:A)</f>
        <v>100019232</v>
      </c>
      <c r="B311">
        <f>+_xlfn.XLOOKUP(C311,[1]master!C:C,[1]master!B:B)</f>
        <v>75074876</v>
      </c>
      <c r="C311" t="s">
        <v>326</v>
      </c>
      <c r="D311" t="s">
        <v>699</v>
      </c>
      <c r="E311" s="10" t="s">
        <v>588</v>
      </c>
    </row>
    <row r="312" spans="1:5" ht="16" hidden="1" x14ac:dyDescent="0.35">
      <c r="A312">
        <f>+_xlfn.XLOOKUP(C312,[1]master!C:C,[1]master!A:A)</f>
        <v>100019228</v>
      </c>
      <c r="B312">
        <f>+_xlfn.XLOOKUP(C312,[1]master!C:C,[1]master!B:B)</f>
        <v>75074883</v>
      </c>
      <c r="C312" t="s">
        <v>323</v>
      </c>
      <c r="D312" t="s">
        <v>699</v>
      </c>
      <c r="E312" s="10" t="s">
        <v>588</v>
      </c>
    </row>
    <row r="313" spans="1:5" ht="16" hidden="1" x14ac:dyDescent="0.35">
      <c r="A313">
        <f>+_xlfn.XLOOKUP(C313,[1]master!C:C,[1]master!A:A)</f>
        <v>100080892</v>
      </c>
      <c r="B313">
        <f>+_xlfn.XLOOKUP(C313,[1]master!C:C,[1]master!B:B)</f>
        <v>75042943</v>
      </c>
      <c r="C313" t="s">
        <v>338</v>
      </c>
      <c r="D313" t="s">
        <v>699</v>
      </c>
      <c r="E313" s="10" t="s">
        <v>588</v>
      </c>
    </row>
    <row r="314" spans="1:5" ht="16" hidden="1" x14ac:dyDescent="0.35">
      <c r="A314">
        <f>+_xlfn.XLOOKUP(C314,[1]master!C:C,[1]master!A:A)</f>
        <v>100080878</v>
      </c>
      <c r="B314">
        <f>+_xlfn.XLOOKUP(C314,[1]master!C:C,[1]master!B:B)</f>
        <v>75039875</v>
      </c>
      <c r="C314" t="s">
        <v>335</v>
      </c>
      <c r="D314" t="s">
        <v>699</v>
      </c>
      <c r="E314" s="10" t="s">
        <v>588</v>
      </c>
    </row>
    <row r="315" spans="1:5" ht="16.5" x14ac:dyDescent="0.35">
      <c r="A315">
        <f>+_xlfn.XLOOKUP(C315,[1]master!C:C,[1]master!A:A)</f>
        <v>100020970</v>
      </c>
      <c r="B315">
        <f>+_xlfn.XLOOKUP(C315,[1]master!C:C,[1]master!B:B)</f>
        <v>75076405</v>
      </c>
      <c r="C315" t="s">
        <v>60</v>
      </c>
      <c r="D315" t="s">
        <v>692</v>
      </c>
      <c r="E315" s="10" t="s">
        <v>588</v>
      </c>
    </row>
    <row r="316" spans="1:5" ht="16" hidden="1" x14ac:dyDescent="0.35">
      <c r="A316">
        <f>+_xlfn.XLOOKUP(C316,[1]master!C:C,[1]master!A:A)</f>
        <v>100020969</v>
      </c>
      <c r="B316">
        <f>+_xlfn.XLOOKUP(C316,[1]master!C:C,[1]master!B:B)</f>
        <v>75076740</v>
      </c>
      <c r="C316" t="s">
        <v>62</v>
      </c>
      <c r="D316" t="s">
        <v>692</v>
      </c>
      <c r="E316" s="10" t="s">
        <v>588</v>
      </c>
    </row>
    <row r="317" spans="1:5" ht="16" hidden="1" x14ac:dyDescent="0.35">
      <c r="A317">
        <f>+_xlfn.XLOOKUP(C317,[1]master!C:C,[1]master!A:A)</f>
        <v>100019232</v>
      </c>
      <c r="B317">
        <f>+_xlfn.XLOOKUP(C317,[1]master!C:C,[1]master!B:B)</f>
        <v>75074876</v>
      </c>
      <c r="C317" t="s">
        <v>326</v>
      </c>
      <c r="D317" t="s">
        <v>692</v>
      </c>
      <c r="E317" s="10" t="s">
        <v>588</v>
      </c>
    </row>
    <row r="318" spans="1:5" ht="16" hidden="1" x14ac:dyDescent="0.35">
      <c r="A318">
        <f>+_xlfn.XLOOKUP(C318,[1]master!C:C,[1]master!A:A)</f>
        <v>100019228</v>
      </c>
      <c r="B318">
        <f>+_xlfn.XLOOKUP(C318,[1]master!C:C,[1]master!B:B)</f>
        <v>75074883</v>
      </c>
      <c r="C318" t="s">
        <v>323</v>
      </c>
      <c r="D318" t="s">
        <v>692</v>
      </c>
      <c r="E318" s="10" t="s">
        <v>588</v>
      </c>
    </row>
    <row r="319" spans="1:5" ht="16" hidden="1" x14ac:dyDescent="0.35">
      <c r="A319">
        <f>+_xlfn.XLOOKUP(C319,[1]master!C:C,[1]master!A:A)</f>
        <v>100080892</v>
      </c>
      <c r="B319">
        <f>+_xlfn.XLOOKUP(C319,[1]master!C:C,[1]master!B:B)</f>
        <v>75042943</v>
      </c>
      <c r="C319" t="s">
        <v>338</v>
      </c>
      <c r="D319" t="s">
        <v>692</v>
      </c>
      <c r="E319" s="10" t="s">
        <v>588</v>
      </c>
    </row>
    <row r="320" spans="1:5" ht="16" hidden="1" x14ac:dyDescent="0.35">
      <c r="A320">
        <f>+_xlfn.XLOOKUP(C320,[1]master!C:C,[1]master!A:A)</f>
        <v>100080878</v>
      </c>
      <c r="B320">
        <f>+_xlfn.XLOOKUP(C320,[1]master!C:C,[1]master!B:B)</f>
        <v>75039875</v>
      </c>
      <c r="C320" t="s">
        <v>335</v>
      </c>
      <c r="D320" t="s">
        <v>692</v>
      </c>
      <c r="E320" s="10" t="s">
        <v>588</v>
      </c>
    </row>
    <row r="321" spans="1:5" ht="16" hidden="1" x14ac:dyDescent="0.35">
      <c r="A321">
        <f>+_xlfn.XLOOKUP(C321,[1]master!C:C,[1]master!A:A)</f>
        <v>100019232</v>
      </c>
      <c r="B321">
        <f>+_xlfn.XLOOKUP(C321,[1]master!C:C,[1]master!B:B)</f>
        <v>75074876</v>
      </c>
      <c r="C321" t="s">
        <v>326</v>
      </c>
      <c r="D321" t="s">
        <v>694</v>
      </c>
      <c r="E321" s="10" t="s">
        <v>588</v>
      </c>
    </row>
    <row r="322" spans="1:5" ht="16" hidden="1" x14ac:dyDescent="0.35">
      <c r="A322">
        <f>+_xlfn.XLOOKUP(C322,[1]master!C:C,[1]master!A:A)</f>
        <v>100019228</v>
      </c>
      <c r="B322">
        <f>+_xlfn.XLOOKUP(C322,[1]master!C:C,[1]master!B:B)</f>
        <v>75074883</v>
      </c>
      <c r="C322" t="s">
        <v>323</v>
      </c>
      <c r="D322" t="s">
        <v>694</v>
      </c>
      <c r="E322" s="10" t="s">
        <v>588</v>
      </c>
    </row>
    <row r="323" spans="1:5" ht="16" hidden="1" x14ac:dyDescent="0.35">
      <c r="A323">
        <f>+_xlfn.XLOOKUP(C323,[1]master!C:C,[1]master!A:A)</f>
        <v>100080892</v>
      </c>
      <c r="B323">
        <f>+_xlfn.XLOOKUP(C323,[1]master!C:C,[1]master!B:B)</f>
        <v>75042943</v>
      </c>
      <c r="C323" t="s">
        <v>338</v>
      </c>
      <c r="D323" t="s">
        <v>694</v>
      </c>
      <c r="E323" s="10" t="s">
        <v>588</v>
      </c>
    </row>
    <row r="324" spans="1:5" ht="16" hidden="1" x14ac:dyDescent="0.35">
      <c r="A324">
        <f>+_xlfn.XLOOKUP(C324,[1]master!C:C,[1]master!A:A)</f>
        <v>100080878</v>
      </c>
      <c r="B324">
        <f>+_xlfn.XLOOKUP(C324,[1]master!C:C,[1]master!B:B)</f>
        <v>75039875</v>
      </c>
      <c r="C324" t="s">
        <v>335</v>
      </c>
      <c r="D324" t="s">
        <v>694</v>
      </c>
      <c r="E324" s="10" t="s">
        <v>588</v>
      </c>
    </row>
    <row r="325" spans="1:5" ht="16" hidden="1" x14ac:dyDescent="0.35">
      <c r="A325">
        <f>+_xlfn.XLOOKUP(C325,[1]master!C:C,[1]master!A:A)</f>
        <v>100019232</v>
      </c>
      <c r="B325">
        <f>+_xlfn.XLOOKUP(C325,[1]master!C:C,[1]master!B:B)</f>
        <v>75074876</v>
      </c>
      <c r="C325" t="s">
        <v>326</v>
      </c>
      <c r="D325" t="s">
        <v>696</v>
      </c>
      <c r="E325" s="10" t="s">
        <v>588</v>
      </c>
    </row>
    <row r="326" spans="1:5" ht="16" hidden="1" x14ac:dyDescent="0.35">
      <c r="A326">
        <f>+_xlfn.XLOOKUP(C326,[1]master!C:C,[1]master!A:A)</f>
        <v>100080892</v>
      </c>
      <c r="B326">
        <f>+_xlfn.XLOOKUP(C326,[1]master!C:C,[1]master!B:B)</f>
        <v>75042943</v>
      </c>
      <c r="C326" t="s">
        <v>338</v>
      </c>
      <c r="D326" t="s">
        <v>696</v>
      </c>
      <c r="E326" s="10" t="s">
        <v>588</v>
      </c>
    </row>
    <row r="327" spans="1:5" ht="16" hidden="1" x14ac:dyDescent="0.35">
      <c r="A327">
        <f>+_xlfn.XLOOKUP(C327,[1]master!C:C,[1]master!A:A)</f>
        <v>100019232</v>
      </c>
      <c r="B327">
        <f>+_xlfn.XLOOKUP(C327,[1]master!C:C,[1]master!B:B)</f>
        <v>75074876</v>
      </c>
      <c r="C327" t="s">
        <v>326</v>
      </c>
      <c r="D327" t="s">
        <v>689</v>
      </c>
      <c r="E327" s="10" t="s">
        <v>588</v>
      </c>
    </row>
    <row r="328" spans="1:5" ht="16" hidden="1" x14ac:dyDescent="0.35">
      <c r="A328">
        <f>+_xlfn.XLOOKUP(C328,[1]master!C:C,[1]master!A:A)</f>
        <v>100019228</v>
      </c>
      <c r="B328">
        <f>+_xlfn.XLOOKUP(C328,[1]master!C:C,[1]master!B:B)</f>
        <v>75074883</v>
      </c>
      <c r="C328" t="s">
        <v>323</v>
      </c>
      <c r="D328" t="s">
        <v>689</v>
      </c>
      <c r="E328" s="10" t="s">
        <v>588</v>
      </c>
    </row>
    <row r="329" spans="1:5" ht="16" hidden="1" x14ac:dyDescent="0.35">
      <c r="A329">
        <f>+_xlfn.XLOOKUP(C329,[1]master!C:C,[1]master!A:A)</f>
        <v>100019232</v>
      </c>
      <c r="B329">
        <f>+_xlfn.XLOOKUP(C329,[1]master!C:C,[1]master!B:B)</f>
        <v>75074876</v>
      </c>
      <c r="C329" t="s">
        <v>326</v>
      </c>
      <c r="D329" t="s">
        <v>695</v>
      </c>
      <c r="E329" s="10" t="s">
        <v>588</v>
      </c>
    </row>
    <row r="330" spans="1:5" ht="16" hidden="1" x14ac:dyDescent="0.35">
      <c r="A330">
        <f>+_xlfn.XLOOKUP(C330,[1]master!C:C,[1]master!A:A)</f>
        <v>100019228</v>
      </c>
      <c r="B330">
        <f>+_xlfn.XLOOKUP(C330,[1]master!C:C,[1]master!B:B)</f>
        <v>75074883</v>
      </c>
      <c r="C330" t="s">
        <v>323</v>
      </c>
      <c r="D330" t="s">
        <v>695</v>
      </c>
      <c r="E330" s="10" t="s">
        <v>588</v>
      </c>
    </row>
    <row r="331" spans="1:5" ht="16" hidden="1" x14ac:dyDescent="0.35">
      <c r="A331">
        <f>+_xlfn.XLOOKUP(C331,[1]master!C:C,[1]master!A:A)</f>
        <v>100080892</v>
      </c>
      <c r="B331">
        <f>+_xlfn.XLOOKUP(C331,[1]master!C:C,[1]master!B:B)</f>
        <v>75042943</v>
      </c>
      <c r="C331" t="s">
        <v>338</v>
      </c>
      <c r="D331" t="s">
        <v>695</v>
      </c>
      <c r="E331" s="10" t="s">
        <v>588</v>
      </c>
    </row>
    <row r="332" spans="1:5" ht="16" hidden="1" x14ac:dyDescent="0.35">
      <c r="A332">
        <f>+_xlfn.XLOOKUP(C332,[1]master!C:C,[1]master!A:A)</f>
        <v>100080878</v>
      </c>
      <c r="B332">
        <f>+_xlfn.XLOOKUP(C332,[1]master!C:C,[1]master!B:B)</f>
        <v>75039875</v>
      </c>
      <c r="C332" t="s">
        <v>335</v>
      </c>
      <c r="D332" t="s">
        <v>695</v>
      </c>
      <c r="E332" s="10" t="s">
        <v>588</v>
      </c>
    </row>
    <row r="333" spans="1:5" ht="16" x14ac:dyDescent="0.35">
      <c r="A333">
        <f>+_xlfn.XLOOKUP(C333,[1]master!C:C,[1]master!A:A)</f>
        <v>100020970</v>
      </c>
      <c r="B333">
        <f>+_xlfn.XLOOKUP(C333,[1]master!C:C,[1]master!B:B)</f>
        <v>75076405</v>
      </c>
      <c r="C333" t="s">
        <v>60</v>
      </c>
      <c r="D333" t="s">
        <v>693</v>
      </c>
      <c r="E333" s="10" t="s">
        <v>588</v>
      </c>
    </row>
    <row r="334" spans="1:5" ht="16" hidden="1" x14ac:dyDescent="0.35">
      <c r="A334">
        <f>+_xlfn.XLOOKUP(C334,[1]master!C:C,[1]master!A:A)</f>
        <v>100019232</v>
      </c>
      <c r="B334">
        <f>+_xlfn.XLOOKUP(C334,[1]master!C:C,[1]master!B:B)</f>
        <v>75074876</v>
      </c>
      <c r="C334" t="s">
        <v>326</v>
      </c>
      <c r="D334" t="s">
        <v>693</v>
      </c>
      <c r="E334" s="10" t="s">
        <v>588</v>
      </c>
    </row>
    <row r="335" spans="1:5" ht="16" hidden="1" x14ac:dyDescent="0.35">
      <c r="A335">
        <f>+_xlfn.XLOOKUP(C335,[1]master!C:C,[1]master!A:A)</f>
        <v>100019228</v>
      </c>
      <c r="B335">
        <f>+_xlfn.XLOOKUP(C335,[1]master!C:C,[1]master!B:B)</f>
        <v>75074883</v>
      </c>
      <c r="C335" t="s">
        <v>323</v>
      </c>
      <c r="D335" t="s">
        <v>693</v>
      </c>
      <c r="E335" s="10" t="s">
        <v>588</v>
      </c>
    </row>
    <row r="336" spans="1:5" ht="16" hidden="1" x14ac:dyDescent="0.35">
      <c r="A336">
        <f>+_xlfn.XLOOKUP(C336,[1]master!C:C,[1]master!A:A)</f>
        <v>100080892</v>
      </c>
      <c r="B336">
        <f>+_xlfn.XLOOKUP(C336,[1]master!C:C,[1]master!B:B)</f>
        <v>75042943</v>
      </c>
      <c r="C336" t="s">
        <v>338</v>
      </c>
      <c r="D336" t="s">
        <v>693</v>
      </c>
      <c r="E336" s="10" t="s">
        <v>588</v>
      </c>
    </row>
    <row r="337" spans="1:5" ht="16" hidden="1" x14ac:dyDescent="0.35">
      <c r="A337">
        <f>+_xlfn.XLOOKUP(C337,[1]master!C:C,[1]master!A:A)</f>
        <v>100080878</v>
      </c>
      <c r="B337">
        <f>+_xlfn.XLOOKUP(C337,[1]master!C:C,[1]master!B:B)</f>
        <v>75039875</v>
      </c>
      <c r="C337" t="s">
        <v>335</v>
      </c>
      <c r="D337" t="s">
        <v>693</v>
      </c>
      <c r="E337" s="10" t="s">
        <v>588</v>
      </c>
    </row>
    <row r="338" spans="1:5" ht="16" hidden="1" x14ac:dyDescent="0.35">
      <c r="A338">
        <f>+_xlfn.XLOOKUP(C338,[1]master!C:C,[1]master!A:A)</f>
        <v>100019232</v>
      </c>
      <c r="B338">
        <f>+_xlfn.XLOOKUP(C338,[1]master!C:C,[1]master!B:B)</f>
        <v>75074876</v>
      </c>
      <c r="C338" t="s">
        <v>326</v>
      </c>
      <c r="D338" t="s">
        <v>688</v>
      </c>
      <c r="E338" s="10" t="s">
        <v>588</v>
      </c>
    </row>
    <row r="339" spans="1:5" ht="16" hidden="1" x14ac:dyDescent="0.35">
      <c r="A339">
        <f>+_xlfn.XLOOKUP(C339,[1]master!C:C,[1]master!A:A)</f>
        <v>100080892</v>
      </c>
      <c r="B339">
        <f>+_xlfn.XLOOKUP(C339,[1]master!C:C,[1]master!B:B)</f>
        <v>75042943</v>
      </c>
      <c r="C339" t="s">
        <v>338</v>
      </c>
      <c r="D339" t="s">
        <v>688</v>
      </c>
      <c r="E339" s="10" t="s">
        <v>588</v>
      </c>
    </row>
    <row r="340" spans="1:5" ht="16" hidden="1" x14ac:dyDescent="0.35">
      <c r="A340">
        <f>+_xlfn.XLOOKUP(C340,[1]master!C:C,[1]master!A:A)</f>
        <v>100080878</v>
      </c>
      <c r="B340">
        <f>+_xlfn.XLOOKUP(C340,[1]master!C:C,[1]master!B:B)</f>
        <v>75039875</v>
      </c>
      <c r="C340" t="s">
        <v>335</v>
      </c>
      <c r="D340" t="s">
        <v>688</v>
      </c>
      <c r="E340" s="10" t="s">
        <v>588</v>
      </c>
    </row>
    <row r="341" spans="1:5" ht="16" x14ac:dyDescent="0.35">
      <c r="A341">
        <f>+_xlfn.XLOOKUP(C341,[1]master!C:C,[1]master!A:A)</f>
        <v>100020970</v>
      </c>
      <c r="B341">
        <f>+_xlfn.XLOOKUP(C341,[1]master!C:C,[1]master!B:B)</f>
        <v>75076405</v>
      </c>
      <c r="C341" t="s">
        <v>60</v>
      </c>
      <c r="D341" t="s">
        <v>687</v>
      </c>
      <c r="E341" s="10" t="s">
        <v>588</v>
      </c>
    </row>
    <row r="342" spans="1:5" ht="16" hidden="1" x14ac:dyDescent="0.35">
      <c r="A342">
        <f>+_xlfn.XLOOKUP(C342,[1]master!C:C,[1]master!A:A)</f>
        <v>100020969</v>
      </c>
      <c r="B342">
        <f>+_xlfn.XLOOKUP(C342,[1]master!C:C,[1]master!B:B)</f>
        <v>75076740</v>
      </c>
      <c r="C342" t="s">
        <v>62</v>
      </c>
      <c r="D342" t="s">
        <v>687</v>
      </c>
      <c r="E342" s="10" t="s">
        <v>588</v>
      </c>
    </row>
    <row r="343" spans="1:5" ht="16" hidden="1" x14ac:dyDescent="0.35">
      <c r="A343">
        <f>+_xlfn.XLOOKUP(C343,[1]master!C:C,[1]master!A:A)</f>
        <v>100019232</v>
      </c>
      <c r="B343">
        <f>+_xlfn.XLOOKUP(C343,[1]master!C:C,[1]master!B:B)</f>
        <v>75074876</v>
      </c>
      <c r="C343" t="s">
        <v>326</v>
      </c>
      <c r="D343" t="s">
        <v>687</v>
      </c>
      <c r="E343" s="10" t="s">
        <v>588</v>
      </c>
    </row>
    <row r="344" spans="1:5" ht="16" hidden="1" x14ac:dyDescent="0.35">
      <c r="A344">
        <f>+_xlfn.XLOOKUP(C344,[1]master!C:C,[1]master!A:A)</f>
        <v>100080892</v>
      </c>
      <c r="B344">
        <f>+_xlfn.XLOOKUP(C344,[1]master!C:C,[1]master!B:B)</f>
        <v>75042943</v>
      </c>
      <c r="C344" t="s">
        <v>338</v>
      </c>
      <c r="D344" t="s">
        <v>687</v>
      </c>
      <c r="E344" s="10" t="s">
        <v>588</v>
      </c>
    </row>
    <row r="345" spans="1:5" ht="16" hidden="1" x14ac:dyDescent="0.35">
      <c r="A345">
        <f>+_xlfn.XLOOKUP(C345,[1]master!C:C,[1]master!A:A)</f>
        <v>100080878</v>
      </c>
      <c r="B345">
        <f>+_xlfn.XLOOKUP(C345,[1]master!C:C,[1]master!B:B)</f>
        <v>75039875</v>
      </c>
      <c r="C345" t="s">
        <v>335</v>
      </c>
      <c r="D345" t="s">
        <v>687</v>
      </c>
      <c r="E345" s="10" t="s">
        <v>588</v>
      </c>
    </row>
    <row r="346" spans="1:5" ht="16.5" x14ac:dyDescent="0.35">
      <c r="A346">
        <f>+_xlfn.XLOOKUP(C346,[1]master!C:C,[1]master!A:A)</f>
        <v>100020970</v>
      </c>
      <c r="B346">
        <f>+_xlfn.XLOOKUP(C346,[1]master!C:C,[1]master!B:B)</f>
        <v>75076405</v>
      </c>
      <c r="C346" t="s">
        <v>60</v>
      </c>
      <c r="D346" t="s">
        <v>690</v>
      </c>
      <c r="E346" s="10" t="s">
        <v>588</v>
      </c>
    </row>
    <row r="347" spans="1:5" ht="16" hidden="1" x14ac:dyDescent="0.35">
      <c r="A347">
        <f>+_xlfn.XLOOKUP(C347,[1]master!C:C,[1]master!A:A)</f>
        <v>100020969</v>
      </c>
      <c r="B347">
        <f>+_xlfn.XLOOKUP(C347,[1]master!C:C,[1]master!B:B)</f>
        <v>75076740</v>
      </c>
      <c r="C347" t="s">
        <v>62</v>
      </c>
      <c r="D347" t="s">
        <v>690</v>
      </c>
      <c r="E347" s="10" t="s">
        <v>588</v>
      </c>
    </row>
    <row r="348" spans="1:5" ht="16" hidden="1" x14ac:dyDescent="0.35">
      <c r="A348">
        <f>+_xlfn.XLOOKUP(C348,[1]master!C:C,[1]master!A:A)</f>
        <v>100023317</v>
      </c>
      <c r="B348">
        <f>+_xlfn.XLOOKUP(C348,[1]master!C:C,[1]master!B:B)</f>
        <v>75078843</v>
      </c>
      <c r="C348" t="s">
        <v>65</v>
      </c>
      <c r="D348" t="s">
        <v>690</v>
      </c>
      <c r="E348" s="10" t="s">
        <v>588</v>
      </c>
    </row>
    <row r="349" spans="1:5" ht="16" hidden="1" x14ac:dyDescent="0.35">
      <c r="A349">
        <f>+_xlfn.XLOOKUP(C349,[1]master!C:C,[1]master!A:A)</f>
        <v>100019232</v>
      </c>
      <c r="B349">
        <f>+_xlfn.XLOOKUP(C349,[1]master!C:C,[1]master!B:B)</f>
        <v>75074876</v>
      </c>
      <c r="C349" t="s">
        <v>326</v>
      </c>
      <c r="D349" t="s">
        <v>690</v>
      </c>
      <c r="E349" s="10" t="s">
        <v>588</v>
      </c>
    </row>
    <row r="350" spans="1:5" ht="16" hidden="1" x14ac:dyDescent="0.35">
      <c r="A350">
        <f>+_xlfn.XLOOKUP(C350,[1]master!C:C,[1]master!A:A)</f>
        <v>100019228</v>
      </c>
      <c r="B350">
        <f>+_xlfn.XLOOKUP(C350,[1]master!C:C,[1]master!B:B)</f>
        <v>75074883</v>
      </c>
      <c r="C350" t="s">
        <v>323</v>
      </c>
      <c r="D350" t="s">
        <v>690</v>
      </c>
      <c r="E350" s="10" t="s">
        <v>588</v>
      </c>
    </row>
    <row r="351" spans="1:5" ht="16" hidden="1" x14ac:dyDescent="0.35">
      <c r="A351">
        <f>+_xlfn.XLOOKUP(C351,[1]master!C:C,[1]master!A:A)</f>
        <v>100080892</v>
      </c>
      <c r="B351">
        <f>+_xlfn.XLOOKUP(C351,[1]master!C:C,[1]master!B:B)</f>
        <v>75042943</v>
      </c>
      <c r="C351" t="s">
        <v>338</v>
      </c>
      <c r="D351" t="s">
        <v>690</v>
      </c>
      <c r="E351" s="10" t="s">
        <v>588</v>
      </c>
    </row>
    <row r="352" spans="1:5" ht="16" hidden="1" x14ac:dyDescent="0.35">
      <c r="A352">
        <f>+_xlfn.XLOOKUP(C352,[1]master!C:C,[1]master!A:A)</f>
        <v>100080878</v>
      </c>
      <c r="B352">
        <f>+_xlfn.XLOOKUP(C352,[1]master!C:C,[1]master!B:B)</f>
        <v>75039875</v>
      </c>
      <c r="C352" t="s">
        <v>335</v>
      </c>
      <c r="D352" t="s">
        <v>690</v>
      </c>
      <c r="E352" s="10" t="s">
        <v>588</v>
      </c>
    </row>
    <row r="353" spans="1:5" ht="16.5" x14ac:dyDescent="0.35">
      <c r="A353">
        <f>+_xlfn.XLOOKUP(C353,[1]master!C:C,[1]master!A:A)</f>
        <v>100020970</v>
      </c>
      <c r="B353">
        <f>+_xlfn.XLOOKUP(C353,[1]master!C:C,[1]master!B:B)</f>
        <v>75076405</v>
      </c>
      <c r="C353" t="s">
        <v>60</v>
      </c>
      <c r="D353" t="s">
        <v>691</v>
      </c>
      <c r="E353" s="10" t="s">
        <v>588</v>
      </c>
    </row>
    <row r="354" spans="1:5" ht="16" hidden="1" x14ac:dyDescent="0.35">
      <c r="A354">
        <f>+_xlfn.XLOOKUP(C354,[1]master!C:C,[1]master!A:A)</f>
        <v>100020969</v>
      </c>
      <c r="B354">
        <f>+_xlfn.XLOOKUP(C354,[1]master!C:C,[1]master!B:B)</f>
        <v>75076740</v>
      </c>
      <c r="C354" t="s">
        <v>62</v>
      </c>
      <c r="D354" t="s">
        <v>691</v>
      </c>
      <c r="E354" s="10" t="s">
        <v>588</v>
      </c>
    </row>
    <row r="355" spans="1:5" ht="16" hidden="1" x14ac:dyDescent="0.35">
      <c r="A355">
        <f>+_xlfn.XLOOKUP(C355,[1]master!C:C,[1]master!A:A)</f>
        <v>100023317</v>
      </c>
      <c r="B355">
        <f>+_xlfn.XLOOKUP(C355,[1]master!C:C,[1]master!B:B)</f>
        <v>75078843</v>
      </c>
      <c r="C355" t="s">
        <v>65</v>
      </c>
      <c r="D355" t="s">
        <v>691</v>
      </c>
      <c r="E355" s="10" t="s">
        <v>588</v>
      </c>
    </row>
    <row r="356" spans="1:5" ht="16" hidden="1" x14ac:dyDescent="0.35">
      <c r="A356">
        <f>+_xlfn.XLOOKUP(C356,[1]master!C:C,[1]master!A:A)</f>
        <v>100019232</v>
      </c>
      <c r="B356">
        <f>+_xlfn.XLOOKUP(C356,[1]master!C:C,[1]master!B:B)</f>
        <v>75074876</v>
      </c>
      <c r="C356" t="s">
        <v>326</v>
      </c>
      <c r="D356" t="s">
        <v>691</v>
      </c>
      <c r="E356" s="10" t="s">
        <v>588</v>
      </c>
    </row>
    <row r="357" spans="1:5" ht="16" hidden="1" x14ac:dyDescent="0.35">
      <c r="A357">
        <f>+_xlfn.XLOOKUP(C357,[1]master!C:C,[1]master!A:A)</f>
        <v>100019228</v>
      </c>
      <c r="B357">
        <f>+_xlfn.XLOOKUP(C357,[1]master!C:C,[1]master!B:B)</f>
        <v>75074883</v>
      </c>
      <c r="C357" t="s">
        <v>323</v>
      </c>
      <c r="D357" t="s">
        <v>691</v>
      </c>
      <c r="E357" s="10" t="s">
        <v>588</v>
      </c>
    </row>
    <row r="358" spans="1:5" ht="16" hidden="1" x14ac:dyDescent="0.35">
      <c r="A358">
        <f>+_xlfn.XLOOKUP(C358,[1]master!C:C,[1]master!A:A)</f>
        <v>100080892</v>
      </c>
      <c r="B358">
        <f>+_xlfn.XLOOKUP(C358,[1]master!C:C,[1]master!B:B)</f>
        <v>75042943</v>
      </c>
      <c r="C358" t="s">
        <v>338</v>
      </c>
      <c r="D358" t="s">
        <v>691</v>
      </c>
      <c r="E358" s="10" t="s">
        <v>588</v>
      </c>
    </row>
    <row r="359" spans="1:5" ht="16" hidden="1" x14ac:dyDescent="0.35">
      <c r="A359">
        <f>+_xlfn.XLOOKUP(C359,[1]master!C:C,[1]master!A:A)</f>
        <v>100080878</v>
      </c>
      <c r="B359">
        <f>+_xlfn.XLOOKUP(C359,[1]master!C:C,[1]master!B:B)</f>
        <v>75039875</v>
      </c>
      <c r="C359" t="s">
        <v>335</v>
      </c>
      <c r="D359" t="s">
        <v>691</v>
      </c>
      <c r="E359" s="10" t="s">
        <v>588</v>
      </c>
    </row>
    <row r="360" spans="1:5" ht="16.5" x14ac:dyDescent="0.35">
      <c r="A360">
        <f>+_xlfn.XLOOKUP(C360,[1]master!C:C,[1]master!A:A)</f>
        <v>100020970</v>
      </c>
      <c r="B360">
        <f>+_xlfn.XLOOKUP(C360,[1]master!C:C,[1]master!B:B)</f>
        <v>75076405</v>
      </c>
      <c r="C360" t="s">
        <v>60</v>
      </c>
      <c r="D360" t="s">
        <v>697</v>
      </c>
      <c r="E360" s="10" t="s">
        <v>588</v>
      </c>
    </row>
    <row r="361" spans="1:5" ht="16" hidden="1" x14ac:dyDescent="0.35">
      <c r="A361">
        <f>+_xlfn.XLOOKUP(C361,[1]master!C:C,[1]master!A:A)</f>
        <v>100020969</v>
      </c>
      <c r="B361">
        <f>+_xlfn.XLOOKUP(C361,[1]master!C:C,[1]master!B:B)</f>
        <v>75076740</v>
      </c>
      <c r="C361" t="s">
        <v>62</v>
      </c>
      <c r="D361" t="s">
        <v>697</v>
      </c>
      <c r="E361" s="10" t="s">
        <v>588</v>
      </c>
    </row>
    <row r="362" spans="1:5" ht="16" hidden="1" x14ac:dyDescent="0.35">
      <c r="A362">
        <f>+_xlfn.XLOOKUP(C362,[1]master!C:C,[1]master!A:A)</f>
        <v>100023317</v>
      </c>
      <c r="B362">
        <f>+_xlfn.XLOOKUP(C362,[1]master!C:C,[1]master!B:B)</f>
        <v>75078843</v>
      </c>
      <c r="C362" t="s">
        <v>65</v>
      </c>
      <c r="D362" t="s">
        <v>697</v>
      </c>
      <c r="E362" s="10" t="s">
        <v>588</v>
      </c>
    </row>
    <row r="363" spans="1:5" ht="16" hidden="1" x14ac:dyDescent="0.35">
      <c r="A363">
        <f>+_xlfn.XLOOKUP(C363,[1]master!C:C,[1]master!A:A)</f>
        <v>100019232</v>
      </c>
      <c r="B363">
        <f>+_xlfn.XLOOKUP(C363,[1]master!C:C,[1]master!B:B)</f>
        <v>75074876</v>
      </c>
      <c r="C363" t="s">
        <v>326</v>
      </c>
      <c r="D363" t="s">
        <v>697</v>
      </c>
      <c r="E363" s="10" t="s">
        <v>588</v>
      </c>
    </row>
    <row r="364" spans="1:5" ht="16" hidden="1" x14ac:dyDescent="0.35">
      <c r="A364">
        <f>+_xlfn.XLOOKUP(C364,[1]master!C:C,[1]master!A:A)</f>
        <v>100019228</v>
      </c>
      <c r="B364">
        <f>+_xlfn.XLOOKUP(C364,[1]master!C:C,[1]master!B:B)</f>
        <v>75074883</v>
      </c>
      <c r="C364" t="s">
        <v>323</v>
      </c>
      <c r="D364" t="s">
        <v>697</v>
      </c>
      <c r="E364" s="10" t="s">
        <v>588</v>
      </c>
    </row>
    <row r="365" spans="1:5" ht="16" hidden="1" x14ac:dyDescent="0.35">
      <c r="A365">
        <f>+_xlfn.XLOOKUP(C365,[1]master!C:C,[1]master!A:A)</f>
        <v>100080892</v>
      </c>
      <c r="B365">
        <f>+_xlfn.XLOOKUP(C365,[1]master!C:C,[1]master!B:B)</f>
        <v>75042943</v>
      </c>
      <c r="C365" t="s">
        <v>338</v>
      </c>
      <c r="D365" t="s">
        <v>697</v>
      </c>
      <c r="E365" s="10" t="s">
        <v>588</v>
      </c>
    </row>
    <row r="366" spans="1:5" ht="16" hidden="1" x14ac:dyDescent="0.35">
      <c r="A366">
        <f>+_xlfn.XLOOKUP(C366,[1]master!C:C,[1]master!A:A)</f>
        <v>100080878</v>
      </c>
      <c r="B366">
        <f>+_xlfn.XLOOKUP(C366,[1]master!C:C,[1]master!B:B)</f>
        <v>75039875</v>
      </c>
      <c r="C366" t="s">
        <v>335</v>
      </c>
      <c r="D366" t="s">
        <v>697</v>
      </c>
      <c r="E366" s="10" t="s">
        <v>588</v>
      </c>
    </row>
    <row r="367" spans="1:5" ht="16" hidden="1" x14ac:dyDescent="0.35">
      <c r="A367">
        <f>+_xlfn.XLOOKUP(C367,[1]master!C:C,[1]master!A:A)</f>
        <v>100019232</v>
      </c>
      <c r="B367">
        <f>+_xlfn.XLOOKUP(C367,[1]master!C:C,[1]master!B:B)</f>
        <v>75074876</v>
      </c>
      <c r="C367" t="s">
        <v>326</v>
      </c>
      <c r="D367" t="s">
        <v>657</v>
      </c>
      <c r="E367" s="10" t="s">
        <v>588</v>
      </c>
    </row>
    <row r="368" spans="1:5" ht="16" hidden="1" x14ac:dyDescent="0.35">
      <c r="A368">
        <f>+_xlfn.XLOOKUP(C368,[1]master!C:C,[1]master!A:A)</f>
        <v>100019228</v>
      </c>
      <c r="B368">
        <f>+_xlfn.XLOOKUP(C368,[1]master!C:C,[1]master!B:B)</f>
        <v>75074883</v>
      </c>
      <c r="C368" t="s">
        <v>323</v>
      </c>
      <c r="D368" t="s">
        <v>657</v>
      </c>
      <c r="E368" s="10" t="s">
        <v>588</v>
      </c>
    </row>
    <row r="369" spans="1:5" ht="16" hidden="1" x14ac:dyDescent="0.35">
      <c r="A369">
        <f>+_xlfn.XLOOKUP(C369,[1]master!C:C,[1]master!A:A)</f>
        <v>100080892</v>
      </c>
      <c r="B369">
        <f>+_xlfn.XLOOKUP(C369,[1]master!C:C,[1]master!B:B)</f>
        <v>75042943</v>
      </c>
      <c r="C369" t="s">
        <v>338</v>
      </c>
      <c r="D369" t="s">
        <v>657</v>
      </c>
      <c r="E369" s="10" t="s">
        <v>588</v>
      </c>
    </row>
    <row r="370" spans="1:5" ht="16" hidden="1" x14ac:dyDescent="0.35">
      <c r="A370">
        <f>+_xlfn.XLOOKUP(C370,[1]master!C:C,[1]master!A:A)</f>
        <v>100080878</v>
      </c>
      <c r="B370">
        <f>+_xlfn.XLOOKUP(C370,[1]master!C:C,[1]master!B:B)</f>
        <v>75039875</v>
      </c>
      <c r="C370" t="s">
        <v>335</v>
      </c>
      <c r="D370" t="s">
        <v>657</v>
      </c>
      <c r="E370" s="10" t="s">
        <v>588</v>
      </c>
    </row>
  </sheetData>
  <autoFilter ref="A1:E370" xr:uid="{BCD06FBB-ED11-41C0-A6F6-FFE4FABC37FF}">
    <filterColumn colId="2">
      <filters>
        <filter val="MONTANA CLASSI 14S 1 CAJETILLA"/>
      </filters>
    </filterColumn>
  </autoFilter>
  <conditionalFormatting sqref="A17:A31">
    <cfRule type="duplicateValues" dxfId="10" priority="1"/>
    <cfRule type="duplicateValues" dxfId="9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8CEA0-0626-4FB4-8112-AC8F739EFD5A}">
  <dimension ref="A1:D44"/>
  <sheetViews>
    <sheetView topLeftCell="A19" zoomScale="90" zoomScaleNormal="90" workbookViewId="0">
      <selection activeCell="C29" sqref="C29"/>
    </sheetView>
  </sheetViews>
  <sheetFormatPr baseColWidth="10" defaultColWidth="11.453125" defaultRowHeight="16.5" x14ac:dyDescent="0.35"/>
  <cols>
    <col min="1" max="1" width="16.453125" style="10" bestFit="1" customWidth="1"/>
    <col min="3" max="3" width="50.81640625" style="10" bestFit="1" customWidth="1"/>
  </cols>
  <sheetData>
    <row r="1" spans="1:4" ht="14.5" x14ac:dyDescent="0.35">
      <c r="A1" s="10" t="s">
        <v>1</v>
      </c>
      <c r="B1" s="10" t="s">
        <v>9</v>
      </c>
    </row>
    <row r="2" spans="1:4" ht="14.5" x14ac:dyDescent="0.35">
      <c r="A2">
        <v>7503023959148</v>
      </c>
      <c r="B2" s="10" t="s">
        <v>588</v>
      </c>
      <c r="C2" t="s">
        <v>672</v>
      </c>
      <c r="D2" s="10" t="str">
        <f>+_xlfn.XLOOKUP(A2,MASTER!B:B,MASTER!C:C)</f>
        <v xml:space="preserve">CAMEL NATURAL FLAVOR 20						</v>
      </c>
    </row>
    <row r="3" spans="1:4" ht="14.5" x14ac:dyDescent="0.35">
      <c r="A3">
        <v>7503023959438</v>
      </c>
      <c r="B3" s="10" t="s">
        <v>588</v>
      </c>
      <c r="C3" t="s">
        <v>679</v>
      </c>
      <c r="D3" s="10" t="str">
        <f>+_xlfn.XLOOKUP(A3,MASTER!B:B,MASTER!C:C)</f>
        <v xml:space="preserve"> WINSTON OASIS FRES 27.4 G	</v>
      </c>
    </row>
    <row r="4" spans="1:4" ht="14.5" x14ac:dyDescent="0.35">
      <c r="A4">
        <v>75083762</v>
      </c>
      <c r="B4" s="10" t="s">
        <v>588</v>
      </c>
      <c r="C4" t="s">
        <v>120</v>
      </c>
      <c r="D4" s="10" t="str">
        <f>+_xlfn.XLOOKUP(A4,MASTER!B:B,MASTER!C:C)</f>
        <v>PALL MALL PALL MALL SELECT 14 PZ</v>
      </c>
    </row>
    <row r="5" spans="1:4" ht="14.5" x14ac:dyDescent="0.35">
      <c r="A5">
        <v>75083755</v>
      </c>
      <c r="B5" s="10" t="s">
        <v>588</v>
      </c>
      <c r="C5" t="s">
        <v>121</v>
      </c>
      <c r="D5" s="10" t="str">
        <f>+_xlfn.XLOOKUP(A5,MASTER!B:B,MASTER!C:C)</f>
        <v>PALL MALL PALL MALL SELECT 20 PZ</v>
      </c>
    </row>
    <row r="6" spans="1:4" ht="14.5" x14ac:dyDescent="0.35">
      <c r="A6">
        <v>75087142</v>
      </c>
      <c r="B6" s="10" t="s">
        <v>588</v>
      </c>
      <c r="C6" t="s">
        <v>597</v>
      </c>
      <c r="D6" s="10" t="str">
        <f>+_xlfn.XLOOKUP(A6,MASTER!B:B,MASTER!C:C)</f>
        <v>PALL MALL SUMMER ALASKA 20 PZ</v>
      </c>
    </row>
    <row r="7" spans="1:4" ht="14.5" x14ac:dyDescent="0.35">
      <c r="A7">
        <v>75087159</v>
      </c>
      <c r="B7" s="10" t="s">
        <v>588</v>
      </c>
      <c r="C7" t="s">
        <v>598</v>
      </c>
      <c r="D7" s="10" t="str">
        <f>+_xlfn.XLOOKUP(A7,MASTER!B:B,MASTER!C:C)</f>
        <v>PALL MALL SUMMER TOKYO 20 PZ</v>
      </c>
    </row>
    <row r="8" spans="1:4" x14ac:dyDescent="0.35">
      <c r="A8">
        <v>75087166</v>
      </c>
      <c r="B8" s="10" t="s">
        <v>588</v>
      </c>
      <c r="C8" t="s">
        <v>599</v>
      </c>
      <c r="D8" s="10" t="str">
        <f>+_xlfn.XLOOKUP(A8,MASTER!B:B,MASTER!C:C)</f>
        <v>PALL MALL SUMMER MYKONOS 20 PZ</v>
      </c>
    </row>
    <row r="9" spans="1:4" x14ac:dyDescent="0.35">
      <c r="A9">
        <v>75087173</v>
      </c>
      <c r="B9" s="10" t="s">
        <v>588</v>
      </c>
      <c r="C9" t="s">
        <v>600</v>
      </c>
      <c r="D9" s="10" t="str">
        <f>+_xlfn.XLOOKUP(A9,MASTER!B:B,MASTER!C:C)</f>
        <v>PALL MALL SUMMER HAWAII 20 PZ</v>
      </c>
    </row>
    <row r="10" spans="1:4" x14ac:dyDescent="0.35">
      <c r="A10">
        <v>75087180</v>
      </c>
      <c r="B10" s="10" t="s">
        <v>588</v>
      </c>
      <c r="C10" t="s">
        <v>601</v>
      </c>
      <c r="D10" s="10" t="str">
        <f>+_xlfn.XLOOKUP(A10,MASTER!B:B,MASTER!C:C)</f>
        <v>PALL MALL SUMMER MANILA 20 PZ</v>
      </c>
    </row>
    <row r="11" spans="1:4" x14ac:dyDescent="0.35">
      <c r="A11">
        <v>75087197</v>
      </c>
      <c r="B11" s="10" t="s">
        <v>588</v>
      </c>
      <c r="C11" t="s">
        <v>603</v>
      </c>
      <c r="D11" s="10" t="str">
        <f>+_xlfn.XLOOKUP(A11,MASTER!B:B,MASTER!C:C)</f>
        <v>PALL MALL SUMMER SELECT RED 25 PZ</v>
      </c>
    </row>
    <row r="12" spans="1:4" x14ac:dyDescent="0.35">
      <c r="A12">
        <v>75087203</v>
      </c>
      <c r="B12" s="10" t="s">
        <v>588</v>
      </c>
      <c r="C12" t="s">
        <v>604</v>
      </c>
      <c r="D12" s="10" t="str">
        <f>+_xlfn.XLOOKUP(A12,MASTER!B:B,MASTER!C:C)</f>
        <v>PALL MALL SUMMER SELECT GOLD 14 PZ</v>
      </c>
    </row>
    <row r="13" spans="1:4" x14ac:dyDescent="0.35">
      <c r="A13">
        <v>75087210</v>
      </c>
      <c r="B13" s="10" t="s">
        <v>588</v>
      </c>
      <c r="C13" t="s">
        <v>605</v>
      </c>
      <c r="D13" s="10" t="str">
        <f>+_xlfn.XLOOKUP(A13,MASTER!B:B,MASTER!C:C)</f>
        <v>SHOTS CLASSICS SUMMER 25 PZ</v>
      </c>
    </row>
    <row r="14" spans="1:4" x14ac:dyDescent="0.35">
      <c r="A14">
        <v>75084493</v>
      </c>
      <c r="B14" s="10" t="s">
        <v>588</v>
      </c>
      <c r="C14" t="s">
        <v>602</v>
      </c>
      <c r="D14" s="10" t="str">
        <f>+_xlfn.XLOOKUP(A14,MASTER!B:B,MASTER!C:C)</f>
        <v>PALL MALL AMALFI 20 PZ</v>
      </c>
    </row>
    <row r="15" spans="1:4" x14ac:dyDescent="0.35">
      <c r="A15">
        <v>75087586</v>
      </c>
      <c r="B15" s="10" t="s">
        <v>588</v>
      </c>
      <c r="C15" t="s">
        <v>665</v>
      </c>
      <c r="D15" s="10" t="str">
        <f>+_xlfn.XLOOKUP(A15,MASTER!B:B,MASTER!C:C)</f>
        <v>MARLBORO CRAFTED POLAR MIX 100 BOX 20  CAJETILLA PZ</v>
      </c>
    </row>
    <row r="16" spans="1:4" x14ac:dyDescent="0.35">
      <c r="A16">
        <v>7311250035586</v>
      </c>
      <c r="B16" s="10" t="s">
        <v>588</v>
      </c>
      <c r="C16" t="s">
        <v>611</v>
      </c>
      <c r="D16" s="10" t="str">
        <f>+_xlfn.XLOOKUP(A16,MASTER!B:B,MASTER!C:C)</f>
        <v>ZYN APPLE MINT 3MG CAJETILLA PZ</v>
      </c>
    </row>
    <row r="17" spans="1:4" x14ac:dyDescent="0.35">
      <c r="A17">
        <v>7311250035609</v>
      </c>
      <c r="B17" s="10" t="s">
        <v>588</v>
      </c>
      <c r="C17" t="s">
        <v>612</v>
      </c>
      <c r="D17" s="10" t="str">
        <f>+_xlfn.XLOOKUP(A17,MASTER!B:B,MASTER!C:C)</f>
        <v>ZYN APPLE MINT 6MG CAJETILLA PZ</v>
      </c>
    </row>
    <row r="18" spans="1:4" x14ac:dyDescent="0.35">
      <c r="A18">
        <v>7503039738843</v>
      </c>
      <c r="B18" s="10" t="s">
        <v>588</v>
      </c>
      <c r="C18" t="s">
        <v>667</v>
      </c>
      <c r="D18" s="10" t="str">
        <f>+_xlfn.XLOOKUP(A18,MASTER!B:B,MASTER!C:C)</f>
        <v>VELO MANGO ICE 4MG  15 PZ</v>
      </c>
    </row>
    <row r="19" spans="1:4" x14ac:dyDescent="0.35">
      <c r="A19">
        <v>7503039738867</v>
      </c>
      <c r="B19" s="10" t="s">
        <v>588</v>
      </c>
      <c r="C19" t="s">
        <v>618</v>
      </c>
      <c r="D19" s="10" t="str">
        <f>+_xlfn.XLOOKUP(A19,MASTER!B:B,MASTER!C:C)</f>
        <v>VELO MANGO FLAME 10MG 15 PZ</v>
      </c>
    </row>
    <row r="20" spans="1:4" x14ac:dyDescent="0.35">
      <c r="A20">
        <v>7503039738874</v>
      </c>
      <c r="B20" s="10" t="s">
        <v>588</v>
      </c>
      <c r="C20" t="s">
        <v>669</v>
      </c>
      <c r="D20" s="10" t="str">
        <f>+_xlfn.XLOOKUP(A20,MASTER!B:B,MASTER!C:C)</f>
        <v>VELO PEPPERMINT STORM 10.9 MG 15 PZ</v>
      </c>
    </row>
    <row r="21" spans="1:4" x14ac:dyDescent="0.35">
      <c r="A21">
        <v>75086176</v>
      </c>
      <c r="B21" s="10" t="s">
        <v>588</v>
      </c>
      <c r="C21" t="s">
        <v>668</v>
      </c>
      <c r="D21" s="10" t="str">
        <f>+_xlfn.XLOOKUP(A21,MASTER!B:B,MASTER!C:C)</f>
        <v>PALL MALL HONOLULU 14 PZ</v>
      </c>
    </row>
    <row r="22" spans="1:4" x14ac:dyDescent="0.35">
      <c r="A22">
        <v>75086145</v>
      </c>
      <c r="B22" s="10" t="s">
        <v>588</v>
      </c>
      <c r="C22" t="s">
        <v>660</v>
      </c>
      <c r="D22" s="10" t="str">
        <f>+_xlfn.XLOOKUP(A22,MASTER!B:B,MASTER!C:C)</f>
        <v>PALL MALL ICELAND 14 PZ</v>
      </c>
    </row>
    <row r="23" spans="1:4" x14ac:dyDescent="0.35">
      <c r="A23">
        <v>7503039738911</v>
      </c>
      <c r="B23" s="10" t="s">
        <v>588</v>
      </c>
      <c r="C23" t="s">
        <v>671</v>
      </c>
      <c r="D23" s="10" t="str">
        <f>+_xlfn.XLOOKUP(A23,MASTER!B:B,MASTER!C:C)</f>
        <v>VELO PEACH ICE 8MG 15 PZ</v>
      </c>
    </row>
    <row r="24" spans="1:4" x14ac:dyDescent="0.35">
      <c r="A24">
        <v>7503039738904</v>
      </c>
      <c r="B24" s="10" t="s">
        <v>588</v>
      </c>
      <c r="C24" t="s">
        <v>670</v>
      </c>
      <c r="D24" s="10" t="str">
        <f>+_xlfn.XLOOKUP(A24,MASTER!B:B,MASTER!C:C)</f>
        <v>VELO PURPLE GRAPE 8MG 15 PZ</v>
      </c>
    </row>
    <row r="25" spans="1:4" x14ac:dyDescent="0.35">
      <c r="A25">
        <v>7503039738966</v>
      </c>
      <c r="B25" s="10" t="s">
        <v>588</v>
      </c>
      <c r="C25" t="s">
        <v>680</v>
      </c>
      <c r="D25" s="10" t="str">
        <f>+_xlfn.XLOOKUP(A25,MASTER!B:B,MASTER!C:C)</f>
        <v>VELO SPICY PAPAYA 8MG 15 PZ</v>
      </c>
    </row>
    <row r="26" spans="1:4" x14ac:dyDescent="0.35">
      <c r="A26">
        <v>75086152</v>
      </c>
      <c r="B26" s="10" t="s">
        <v>588</v>
      </c>
      <c r="C26" t="s">
        <v>681</v>
      </c>
      <c r="D26" s="10" t="e">
        <f>+_xlfn.XLOOKUP(A26,MASTER!B:B,MASTER!C:C)</f>
        <v>#N/A</v>
      </c>
    </row>
    <row r="27" spans="1:4" x14ac:dyDescent="0.35">
      <c r="A27">
        <v>75087517</v>
      </c>
      <c r="B27" s="10" t="s">
        <v>588</v>
      </c>
      <c r="C27" t="s">
        <v>682</v>
      </c>
      <c r="D27" s="10" t="e">
        <f>+_xlfn.XLOOKUP(A27,MASTER!B:B,MASTER!C:C)</f>
        <v>#N/A</v>
      </c>
    </row>
    <row r="28" spans="1:4" x14ac:dyDescent="0.35">
      <c r="A28">
        <v>75087524</v>
      </c>
      <c r="B28" s="10" t="s">
        <v>588</v>
      </c>
      <c r="C28" t="s">
        <v>683</v>
      </c>
      <c r="D28" s="10" t="e">
        <f>+_xlfn.XLOOKUP(A28,MASTER!B:B,MASTER!C:C)</f>
        <v>#N/A</v>
      </c>
    </row>
    <row r="29" spans="1:4" x14ac:dyDescent="0.35">
      <c r="A29">
        <v>75088347</v>
      </c>
      <c r="B29" s="10" t="s">
        <v>588</v>
      </c>
      <c r="C29" t="s">
        <v>684</v>
      </c>
      <c r="D29" s="10" t="e">
        <f>+_xlfn.XLOOKUP(A29,MASTER!B:B,MASTER!C:C)</f>
        <v>#N/A</v>
      </c>
    </row>
    <row r="30" spans="1:4" x14ac:dyDescent="0.35">
      <c r="A30">
        <v>75088354</v>
      </c>
      <c r="B30" s="10" t="s">
        <v>588</v>
      </c>
      <c r="C30" t="s">
        <v>685</v>
      </c>
      <c r="D30" s="10" t="e">
        <f>+_xlfn.XLOOKUP(A30,MASTER!B:B,MASTER!C:C)</f>
        <v>#N/A</v>
      </c>
    </row>
    <row r="31" spans="1:4" x14ac:dyDescent="0.35">
      <c r="A31">
        <v>7502274777471</v>
      </c>
      <c r="B31" s="10" t="s">
        <v>588</v>
      </c>
      <c r="C31" t="s">
        <v>641</v>
      </c>
      <c r="D31" s="10" t="str">
        <f>+_xlfn.XLOOKUP(A31,MASTER!B:B,MASTER!C:C)</f>
        <v>SESH MINT 10 2MG 1 PZ</v>
      </c>
    </row>
    <row r="32" spans="1:4" x14ac:dyDescent="0.35">
      <c r="A32">
        <v>7502274777471</v>
      </c>
      <c r="B32" s="10" t="s">
        <v>588</v>
      </c>
      <c r="C32" t="s">
        <v>641</v>
      </c>
      <c r="D32" s="10" t="str">
        <f>+_xlfn.XLOOKUP(A32,MASTER!B:B,MASTER!C:C)</f>
        <v>SESH MINT 10 2MG 1 PZ</v>
      </c>
    </row>
    <row r="33" spans="1:4" x14ac:dyDescent="0.35">
      <c r="A33">
        <v>7502274777501</v>
      </c>
      <c r="B33" s="10" t="s">
        <v>588</v>
      </c>
      <c r="C33" t="s">
        <v>644</v>
      </c>
      <c r="D33" s="10" t="str">
        <f>+_xlfn.XLOOKUP(A33,MASTER!B:B,MASTER!C:C)</f>
        <v>SESH MINT 10 4MG 1 PZ</v>
      </c>
    </row>
    <row r="34" spans="1:4" x14ac:dyDescent="0.35">
      <c r="A34">
        <v>7502274777488</v>
      </c>
      <c r="B34" s="10" t="s">
        <v>588</v>
      </c>
      <c r="C34" t="s">
        <v>645</v>
      </c>
      <c r="D34" s="10" t="str">
        <f>+_xlfn.XLOOKUP(A34,MASTER!B:B,MASTER!C:C)</f>
        <v>SESH MANGO 10S 2MG 1 PZ</v>
      </c>
    </row>
    <row r="35" spans="1:4" x14ac:dyDescent="0.35">
      <c r="A35">
        <v>7502274777488</v>
      </c>
      <c r="B35" s="10" t="s">
        <v>588</v>
      </c>
      <c r="C35" t="s">
        <v>645</v>
      </c>
      <c r="D35" s="10" t="str">
        <f>+_xlfn.XLOOKUP(A35,MASTER!B:B,MASTER!C:C)</f>
        <v>SESH MANGO 10S 2MG 1 PZ</v>
      </c>
    </row>
    <row r="36" spans="1:4" x14ac:dyDescent="0.35">
      <c r="A36">
        <v>7502274777464</v>
      </c>
      <c r="B36" s="10" t="s">
        <v>588</v>
      </c>
      <c r="C36" t="s">
        <v>646</v>
      </c>
      <c r="D36" s="10" t="str">
        <f>+_xlfn.XLOOKUP(A36,MASTER!B:B,MASTER!C:C)</f>
        <v>SESH CLEAR 10S 2MG 1 PZ</v>
      </c>
    </row>
    <row r="37" spans="1:4" x14ac:dyDescent="0.35">
      <c r="A37">
        <v>7502274777464</v>
      </c>
      <c r="B37" s="10" t="s">
        <v>588</v>
      </c>
      <c r="C37" t="s">
        <v>646</v>
      </c>
      <c r="D37" s="10" t="str">
        <f>+_xlfn.XLOOKUP(A37,MASTER!B:B,MASTER!C:C)</f>
        <v>SESH CLEAR 10S 2MG 1 PZ</v>
      </c>
    </row>
    <row r="38" spans="1:4" ht="14.5" x14ac:dyDescent="0.35">
      <c r="A38"/>
      <c r="C38"/>
    </row>
    <row r="39" spans="1:4" ht="14.5" x14ac:dyDescent="0.35">
      <c r="A39"/>
      <c r="C39"/>
    </row>
    <row r="40" spans="1:4" ht="14.5" x14ac:dyDescent="0.35">
      <c r="A40"/>
      <c r="C40"/>
    </row>
    <row r="41" spans="1:4" ht="14.5" x14ac:dyDescent="0.35">
      <c r="A41"/>
      <c r="C41"/>
    </row>
    <row r="42" spans="1:4" ht="14.5" x14ac:dyDescent="0.35">
      <c r="A42"/>
      <c r="C42"/>
    </row>
    <row r="43" spans="1:4" ht="14.5" x14ac:dyDescent="0.35">
      <c r="A43"/>
      <c r="C43"/>
    </row>
    <row r="44" spans="1:4" ht="14.5" x14ac:dyDescent="0.35">
      <c r="A44"/>
      <c r="C44"/>
    </row>
  </sheetData>
  <autoFilter ref="A1:D44" xr:uid="{B4A8CEA0-0626-4FB4-8112-AC8F739EFD5A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7C67B-47BF-49F3-8E9D-B6D0BED9D972}">
  <sheetPr filterMode="1"/>
  <dimension ref="A1:G88"/>
  <sheetViews>
    <sheetView topLeftCell="A74" workbookViewId="0"/>
  </sheetViews>
  <sheetFormatPr baseColWidth="10" defaultRowHeight="16.5" x14ac:dyDescent="0.35"/>
  <cols>
    <col min="1" max="1" width="34" style="10" bestFit="1" customWidth="1"/>
    <col min="5" max="5" width="34" style="10" bestFit="1" customWidth="1"/>
  </cols>
  <sheetData>
    <row r="1" spans="1:7" ht="14.5" x14ac:dyDescent="0.35">
      <c r="A1" s="10" t="s">
        <v>662</v>
      </c>
      <c r="B1" s="10" t="s">
        <v>663</v>
      </c>
      <c r="C1" s="10" t="s">
        <v>664</v>
      </c>
      <c r="E1" s="10" t="s">
        <v>662</v>
      </c>
      <c r="F1" s="10" t="s">
        <v>663</v>
      </c>
      <c r="G1" s="10" t="s">
        <v>664</v>
      </c>
    </row>
    <row r="2" spans="1:7" ht="14.5" hidden="1" x14ac:dyDescent="0.35">
      <c r="A2" s="10" t="str">
        <f>+_xlfn.XLOOKUP(B2,MASTER!B:B,MASTER!C:C)</f>
        <v>LUCKY STRIKE ORIGINS BRIGHT 20 PZ</v>
      </c>
      <c r="B2">
        <v>75079895</v>
      </c>
      <c r="C2" s="10" t="str">
        <f>+_xlfn.XLOOKUP(B2,MASTER!B:B,MASTER!I:I)</f>
        <v>Descontinuado (con stock)</v>
      </c>
      <c r="E2" s="10" t="str">
        <f>+_xlfn.XLOOKUP(F2,MASTER!B:B,MASTER!C:C)</f>
        <v>LUCKY STRIKE ORIGINS BRIGHT 20 PZ</v>
      </c>
      <c r="F2" s="10" cm="1">
        <f t="array" ref="F2:F47">+_xlfn.UNIQUE(B2:B88)</f>
        <v>75079895</v>
      </c>
      <c r="G2" s="10" t="str">
        <f>+_xlfn.XLOOKUP(F2,MASTER!B:B,MASTER!I:I)</f>
        <v>Descontinuado (con stock)</v>
      </c>
    </row>
    <row r="3" spans="1:7" ht="14.5" hidden="1" x14ac:dyDescent="0.35">
      <c r="A3" s="10" t="str">
        <f>+_xlfn.XLOOKUP(B3,MASTER!B:B,MASTER!C:C)</f>
        <v>LUCKY STRIKE ORIGINS BRIGHT 20 PZ</v>
      </c>
      <c r="B3">
        <v>75079895</v>
      </c>
      <c r="C3" s="10" t="str">
        <f>+_xlfn.XLOOKUP(B3,MASTER!B:B,MASTER!I:I)</f>
        <v>Descontinuado (con stock)</v>
      </c>
      <c r="E3" s="10" t="str">
        <f>+_xlfn.XLOOKUP(F3,MASTER!B:B,MASTER!C:C)</f>
        <v>LUCKY STRIKE ORIGINS DARK 20 PZ</v>
      </c>
      <c r="F3" s="10">
        <v>75079901</v>
      </c>
      <c r="G3" s="10" t="str">
        <f>+_xlfn.XLOOKUP(F3,MASTER!B:B,MASTER!I:I)</f>
        <v>Descontinuado (con stock)</v>
      </c>
    </row>
    <row r="4" spans="1:7" ht="14.5" hidden="1" x14ac:dyDescent="0.35">
      <c r="A4" s="10" t="str">
        <f>+_xlfn.XLOOKUP(B4,MASTER!B:B,MASTER!C:C)</f>
        <v>LUCKY STRIKE ORIGINS DARK 20 PZ</v>
      </c>
      <c r="B4">
        <v>75079901</v>
      </c>
      <c r="C4" s="10" t="str">
        <f>+_xlfn.XLOOKUP(B4,MASTER!B:B,MASTER!I:I)</f>
        <v>Descontinuado (con stock)</v>
      </c>
      <c r="E4" s="10" t="str">
        <f>+_xlfn.XLOOKUP(F4,MASTER!B:B,MASTER!C:C)</f>
        <v>LUCKY STRIKE ORIGINS RICH 20 PZ</v>
      </c>
      <c r="F4" s="10">
        <v>75079888</v>
      </c>
      <c r="G4" s="10" t="str">
        <f>+_xlfn.XLOOKUP(F4,MASTER!B:B,MASTER!I:I)</f>
        <v>Descontinuado (con stock)</v>
      </c>
    </row>
    <row r="5" spans="1:7" ht="14.5" hidden="1" x14ac:dyDescent="0.35">
      <c r="A5" s="10" t="str">
        <f>+_xlfn.XLOOKUP(B5,MASTER!B:B,MASTER!C:C)</f>
        <v>LUCKY STRIKE ORIGINS DARK 20 PZ</v>
      </c>
      <c r="B5">
        <v>75079901</v>
      </c>
      <c r="C5" s="10" t="str">
        <f>+_xlfn.XLOOKUP(B5,MASTER!B:B,MASTER!I:I)</f>
        <v>Descontinuado (con stock)</v>
      </c>
      <c r="E5" s="10" t="str">
        <f>+_xlfn.XLOOKUP(F5,MASTER!B:B,MASTER!C:C)</f>
        <v>LUCKY STRIKE ORIGINAL RED 20 PZ</v>
      </c>
      <c r="F5" s="10">
        <v>75079956</v>
      </c>
      <c r="G5" s="10" t="str">
        <f>+_xlfn.XLOOKUP(F5,MASTER!B:B,MASTER!I:I)</f>
        <v>Descontinuado (con stock)</v>
      </c>
    </row>
    <row r="6" spans="1:7" ht="14.5" x14ac:dyDescent="0.35">
      <c r="A6" s="10" t="str">
        <f>+_xlfn.XLOOKUP(B6,MASTER!B:B,MASTER!C:C)</f>
        <v>LUCKY STRIKE ORIGINS RICH 20 PZ</v>
      </c>
      <c r="B6">
        <v>75079888</v>
      </c>
      <c r="C6" s="10" t="str">
        <f>+_xlfn.XLOOKUP(B6,MASTER!B:B,MASTER!I:I)</f>
        <v>Descontinuado (con stock)</v>
      </c>
      <c r="E6" s="10" t="str">
        <f>+_xlfn.XLOOKUP(F6,MASTER!B:B,MASTER!C:C)</f>
        <v>LUCKY STRIKE AMARILLOS 20S</v>
      </c>
      <c r="F6" s="10">
        <v>75046521</v>
      </c>
      <c r="G6" s="10" t="str">
        <f>+_xlfn.XLOOKUP(F6,MASTER!B:B,MASTER!I:I)</f>
        <v>Activo</v>
      </c>
    </row>
    <row r="7" spans="1:7" ht="14.5" x14ac:dyDescent="0.35">
      <c r="A7" s="10" t="str">
        <f>+_xlfn.XLOOKUP(B7,MASTER!B:B,MASTER!C:C)</f>
        <v>LUCKY STRIKE ORIGINS RICH 20 PZ</v>
      </c>
      <c r="B7">
        <v>75079888</v>
      </c>
      <c r="C7" s="10" t="str">
        <f>+_xlfn.XLOOKUP(B7,MASTER!B:B,MASTER!I:I)</f>
        <v>Descontinuado (con stock)</v>
      </c>
      <c r="E7" s="10" t="str">
        <f>+_xlfn.XLOOKUP(F7,MASTER!B:B,MASTER!C:C)</f>
        <v>LUCKY STRIKE CLICK 4 MIX</v>
      </c>
      <c r="F7" s="10">
        <v>75051785</v>
      </c>
      <c r="G7" s="10" t="str">
        <f>+_xlfn.XLOOKUP(F7,MASTER!B:B,MASTER!I:I)</f>
        <v>Activo</v>
      </c>
    </row>
    <row r="8" spans="1:7" ht="14.5" x14ac:dyDescent="0.35">
      <c r="A8" s="10" t="str">
        <f>+_xlfn.XLOOKUP(B8,MASTER!B:B,MASTER!C:C)</f>
        <v>LUCKY STRIKE ORIGINAL RED 20 PZ</v>
      </c>
      <c r="B8">
        <v>75079956</v>
      </c>
      <c r="C8" s="10" t="str">
        <f>+_xlfn.XLOOKUP(B8,MASTER!B:B,MASTER!I:I)</f>
        <v>Descontinuado (con stock)</v>
      </c>
      <c r="E8" s="10" t="str">
        <f>+_xlfn.XLOOKUP(F8,MASTER!B:B,MASTER!C:C)</f>
        <v>LUCKY STRIKE COMET 20S 1 CAJETILLA</v>
      </c>
      <c r="F8" s="10">
        <v>75074227</v>
      </c>
      <c r="G8" s="10" t="str">
        <f>+_xlfn.XLOOKUP(F8,MASTER!B:B,MASTER!I:I)</f>
        <v>Activo</v>
      </c>
    </row>
    <row r="9" spans="1:7" ht="14.5" x14ac:dyDescent="0.35">
      <c r="A9" s="10" t="str">
        <f>+_xlfn.XLOOKUP(B9,MASTER!B:B,MASTER!C:C)</f>
        <v>LUCKY STRIKE AMARILLOS 20S</v>
      </c>
      <c r="B9">
        <v>75046521</v>
      </c>
      <c r="C9" s="10" t="str">
        <f>+_xlfn.XLOOKUP(B9,MASTER!B:B,MASTER!I:I)</f>
        <v>Activo</v>
      </c>
      <c r="E9" s="10" t="str">
        <f>+_xlfn.XLOOKUP(F9,MASTER!B:B,MASTER!C:C)</f>
        <v>LUCKY STRIKE ENIGMA 100S 1PZ</v>
      </c>
      <c r="F9" s="10">
        <v>75064716</v>
      </c>
      <c r="G9" s="10" t="str">
        <f>+_xlfn.XLOOKUP(F9,MASTER!B:B,MASTER!I:I)</f>
        <v>Activo</v>
      </c>
    </row>
    <row r="10" spans="1:7" ht="14.5" x14ac:dyDescent="0.35">
      <c r="A10" s="10" t="str">
        <f>+_xlfn.XLOOKUP(B10,MASTER!B:B,MASTER!C:C)</f>
        <v>LUCKY STRIKE AMARILLOS 20S</v>
      </c>
      <c r="B10">
        <v>75046521</v>
      </c>
      <c r="C10" s="10" t="str">
        <f>+_xlfn.XLOOKUP(B10,MASTER!B:B,MASTER!I:I)</f>
        <v>Activo</v>
      </c>
      <c r="E10" s="10" t="str">
        <f>+_xlfn.XLOOKUP(F10,MASTER!B:B,MASTER!C:C)</f>
        <v>LUCKY STRIKE ORIGINAL FF 20S TUBE</v>
      </c>
      <c r="F10" s="10">
        <v>75048129</v>
      </c>
      <c r="G10" s="10" t="str">
        <f>+_xlfn.XLOOKUP(F10,MASTER!B:B,MASTER!I:I)</f>
        <v>Activo</v>
      </c>
    </row>
    <row r="11" spans="1:7" ht="14.5" x14ac:dyDescent="0.35">
      <c r="A11" s="10" t="str">
        <f>+_xlfn.XLOOKUP(B11,MASTER!B:B,MASTER!C:C)</f>
        <v>LUCKY STRIKE CLICK 4 MIX</v>
      </c>
      <c r="B11">
        <v>75051785</v>
      </c>
      <c r="C11" s="10" t="str">
        <f>+_xlfn.XLOOKUP(B11,MASTER!B:B,MASTER!I:I)</f>
        <v>Activo</v>
      </c>
      <c r="E11" s="10" t="str">
        <f>+_xlfn.XLOOKUP(F11,MASTER!B:B,MASTER!C:C)</f>
        <v>LUCKY STRIKE AMARILLOS 25S</v>
      </c>
      <c r="F11" s="10">
        <v>75046545</v>
      </c>
      <c r="G11" s="10" t="str">
        <f>+_xlfn.XLOOKUP(F11,MASTER!B:B,MASTER!I:I)</f>
        <v>Activo</v>
      </c>
    </row>
    <row r="12" spans="1:7" ht="14.5" x14ac:dyDescent="0.35">
      <c r="A12" s="10" t="str">
        <f>+_xlfn.XLOOKUP(B12,MASTER!B:B,MASTER!C:C)</f>
        <v>LUCKY STRIKE CLICK 4 MIX</v>
      </c>
      <c r="B12">
        <v>75051785</v>
      </c>
      <c r="C12" s="10" t="str">
        <f>+_xlfn.XLOOKUP(B12,MASTER!B:B,MASTER!I:I)</f>
        <v>Activo</v>
      </c>
      <c r="E12" s="10" t="str">
        <f>+_xlfn.XLOOKUP(F12,MASTER!B:B,MASTER!C:C)</f>
        <v>LUCKY STRIKE 20S ME TDC 1PZ</v>
      </c>
      <c r="F12" s="10">
        <v>75063504</v>
      </c>
      <c r="G12" s="10" t="str">
        <f>+_xlfn.XLOOKUP(F12,MASTER!B:B,MASTER!I:I)</f>
        <v>Activo</v>
      </c>
    </row>
    <row r="13" spans="1:7" ht="14.5" x14ac:dyDescent="0.35">
      <c r="A13" s="10" t="str">
        <f>+_xlfn.XLOOKUP(B13,MASTER!B:B,MASTER!C:C)</f>
        <v>LUCKY STRIKE COMET 20S 1 CAJETILLA</v>
      </c>
      <c r="B13">
        <v>75074227</v>
      </c>
      <c r="C13" s="10" t="str">
        <f>+_xlfn.XLOOKUP(B13,MASTER!B:B,MASTER!I:I)</f>
        <v>Activo</v>
      </c>
      <c r="E13" s="10" t="str">
        <f>+_xlfn.XLOOKUP(F13,MASTER!B:B,MASTER!C:C)</f>
        <v>MONTANA SHOTS 15S 1PZ</v>
      </c>
      <c r="F13" s="10">
        <v>75064747</v>
      </c>
      <c r="G13" s="10" t="str">
        <f>+_xlfn.XLOOKUP(F13,MASTER!B:B,MASTER!I:I)</f>
        <v>Activo</v>
      </c>
    </row>
    <row r="14" spans="1:7" ht="14.5" x14ac:dyDescent="0.35">
      <c r="A14" s="10" t="str">
        <f>+_xlfn.XLOOKUP(B14,MASTER!B:B,MASTER!C:C)</f>
        <v>LUCKY STRIKE COMET 20S 1 CAJETILLA</v>
      </c>
      <c r="B14">
        <v>75074227</v>
      </c>
      <c r="C14" s="10" t="str">
        <f>+_xlfn.XLOOKUP(B14,MASTER!B:B,MASTER!I:I)</f>
        <v>Activo</v>
      </c>
      <c r="E14" s="10" t="str">
        <f>+_xlfn.XLOOKUP(F14,MASTER!B:B,MASTER!C:C)</f>
        <v>PALL MALL XL ALASKA 15S 1 CAJETILLA</v>
      </c>
      <c r="F14" s="10">
        <v>75074975</v>
      </c>
      <c r="G14" s="10" t="str">
        <f>+_xlfn.XLOOKUP(F14,MASTER!B:B,MASTER!I:I)</f>
        <v>Activo</v>
      </c>
    </row>
    <row r="15" spans="1:7" ht="14.5" x14ac:dyDescent="0.35">
      <c r="A15" s="10" t="str">
        <f>+_xlfn.XLOOKUP(B15,MASTER!B:B,MASTER!C:C)</f>
        <v>LUCKY STRIKE ENIGMA 100S 1PZ</v>
      </c>
      <c r="B15">
        <v>75064716</v>
      </c>
      <c r="C15" s="10" t="str">
        <f>+_xlfn.XLOOKUP(B15,MASTER!B:B,MASTER!I:I)</f>
        <v>Activo</v>
      </c>
      <c r="E15" s="10" t="str">
        <f>+_xlfn.XLOOKUP(F15,MASTER!B:B,MASTER!C:C)</f>
        <v>PALL MALL BORA BORA SUNBREAK 20 PZ</v>
      </c>
      <c r="F15" s="10">
        <v>75079017</v>
      </c>
      <c r="G15" s="10" t="str">
        <f>+_xlfn.XLOOKUP(F15,MASTER!B:B,MASTER!I:I)</f>
        <v>Activo</v>
      </c>
    </row>
    <row r="16" spans="1:7" ht="14.5" x14ac:dyDescent="0.35">
      <c r="A16" s="10" t="str">
        <f>+_xlfn.XLOOKUP(B16,MASTER!B:B,MASTER!C:C)</f>
        <v>LUCKY STRIKE ENIGMA 100S 1PZ</v>
      </c>
      <c r="B16">
        <v>75064716</v>
      </c>
      <c r="C16" s="10" t="str">
        <f>+_xlfn.XLOOKUP(B16,MASTER!B:B,MASTER!I:I)</f>
        <v>Activo</v>
      </c>
      <c r="E16" s="10" t="str">
        <f>+_xlfn.XLOOKUP(F16,MASTER!B:B,MASTER!C:C)</f>
        <v>PALL MALL EX CLASSI 14S 1 CAJETILLA</v>
      </c>
      <c r="F16" s="10">
        <v>75074081</v>
      </c>
      <c r="G16" s="10" t="str">
        <f>+_xlfn.XLOOKUP(F16,MASTER!B:B,MASTER!I:I)</f>
        <v>Activo</v>
      </c>
    </row>
    <row r="17" spans="1:7" ht="14.5" x14ac:dyDescent="0.35">
      <c r="A17" s="10" t="str">
        <f>+_xlfn.XLOOKUP(B17,MASTER!B:B,MASTER!C:C)</f>
        <v>LUCKY STRIKE ORIGINAL FF 20S TUBE</v>
      </c>
      <c r="B17">
        <v>75048129</v>
      </c>
      <c r="C17" s="10" t="str">
        <f>+_xlfn.XLOOKUP(B17,MASTER!B:B,MASTER!I:I)</f>
        <v>Activo</v>
      </c>
      <c r="E17" s="10" t="str">
        <f>+_xlfn.XLOOKUP(F17,MASTER!B:B,MASTER!C:C)</f>
        <v>PALL MALL CLASSICS 25 PZ</v>
      </c>
      <c r="F17" s="10">
        <v>75079963</v>
      </c>
      <c r="G17" s="10" t="str">
        <f>+_xlfn.XLOOKUP(F17,MASTER!B:B,MASTER!I:I)</f>
        <v>Activo</v>
      </c>
    </row>
    <row r="18" spans="1:7" ht="14.5" hidden="1" x14ac:dyDescent="0.35">
      <c r="A18" s="10" t="str">
        <f>+_xlfn.XLOOKUP(B18,MASTER!B:B,MASTER!C:C)</f>
        <v>LUCKY STRIKE ORIGINAL FF 20S TUBE</v>
      </c>
      <c r="B18">
        <v>75048129</v>
      </c>
      <c r="C18" s="10" t="str">
        <f>+_xlfn.XLOOKUP(B18,MASTER!B:B,MASTER!I:I)</f>
        <v>Activo</v>
      </c>
      <c r="E18" s="10" t="str">
        <f>+_xlfn.XLOOKUP(F18,MASTER!B:B,MASTER!C:C)</f>
        <v>PALL MALL EX RED 15 1 CAJETILLA</v>
      </c>
      <c r="F18" s="10">
        <v>75073534</v>
      </c>
      <c r="G18" s="10" t="str">
        <f>+_xlfn.XLOOKUP(F18,MASTER!B:B,MASTER!I:I)</f>
        <v>Descontinuado (con stock)</v>
      </c>
    </row>
    <row r="19" spans="1:7" ht="14.5" x14ac:dyDescent="0.35">
      <c r="A19" s="10" t="str">
        <f>+_xlfn.XLOOKUP(B19,MASTER!B:B,MASTER!C:C)</f>
        <v>LUCKY STRIKE AMARILLOS 25S</v>
      </c>
      <c r="B19">
        <v>75046545</v>
      </c>
      <c r="C19" s="10" t="str">
        <f>+_xlfn.XLOOKUP(B19,MASTER!B:B,MASTER!I:I)</f>
        <v>Activo</v>
      </c>
      <c r="E19" s="10" t="str">
        <f>+_xlfn.XLOOKUP(F19,MASTER!B:B,MASTER!C:C)</f>
        <v>PALL MALL EX WHITE 15 1 CAJETILLA</v>
      </c>
      <c r="F19" s="10">
        <v>75073541</v>
      </c>
      <c r="G19" s="10" t="str">
        <f>+_xlfn.XLOOKUP(F19,MASTER!B:B,MASTER!I:I)</f>
        <v>Activo</v>
      </c>
    </row>
    <row r="20" spans="1:7" ht="14.5" x14ac:dyDescent="0.35">
      <c r="A20" s="10" t="str">
        <f>+_xlfn.XLOOKUP(B20,MASTER!B:B,MASTER!C:C)</f>
        <v>LUCKY STRIKE 20S ME TDC 1PZ</v>
      </c>
      <c r="B20">
        <v>75063504</v>
      </c>
      <c r="C20" s="10" t="str">
        <f>+_xlfn.XLOOKUP(B20,MASTER!B:B,MASTER!I:I)</f>
        <v>Activo</v>
      </c>
      <c r="E20" s="10" t="str">
        <f>+_xlfn.XLOOKUP(F20,MASTER!B:B,MASTER!C:C)</f>
        <v>PALL MALL CLASSICS 20</v>
      </c>
      <c r="F20" s="10">
        <v>75071776</v>
      </c>
      <c r="G20" s="10" t="str">
        <f>+_xlfn.XLOOKUP(F20,MASTER!B:B,MASTER!I:I)</f>
        <v>Activo</v>
      </c>
    </row>
    <row r="21" spans="1:7" ht="14.5" x14ac:dyDescent="0.35">
      <c r="A21" s="10" t="str">
        <f>+_xlfn.XLOOKUP(B21,MASTER!B:B,MASTER!C:C)</f>
        <v>LUCKY STRIKE 20S ME TDC 1PZ</v>
      </c>
      <c r="B21">
        <v>75063504</v>
      </c>
      <c r="C21" s="10" t="str">
        <f>+_xlfn.XLOOKUP(B21,MASTER!B:B,MASTER!I:I)</f>
        <v>Activo</v>
      </c>
      <c r="E21" s="10" t="str">
        <f>+_xlfn.XLOOKUP(F21,MASTER!B:B,MASTER!C:C)</f>
        <v>PALL MALL RED 20</v>
      </c>
      <c r="F21" s="10">
        <v>75071455</v>
      </c>
      <c r="G21" s="10" t="str">
        <f>+_xlfn.XLOOKUP(F21,MASTER!B:B,MASTER!I:I)</f>
        <v>Activo</v>
      </c>
    </row>
    <row r="22" spans="1:7" ht="14.5" x14ac:dyDescent="0.35">
      <c r="A22" s="10" t="str">
        <f>+_xlfn.XLOOKUP(B22,MASTER!B:B,MASTER!C:C)</f>
        <v>MONTANA SHOTS 15S 1PZ</v>
      </c>
      <c r="B22">
        <v>75064747</v>
      </c>
      <c r="C22" s="10" t="str">
        <f>+_xlfn.XLOOKUP(B22,MASTER!B:B,MASTER!I:I)</f>
        <v>Activo</v>
      </c>
      <c r="E22" s="10" t="str">
        <f>+_xlfn.XLOOKUP(F22,MASTER!B:B,MASTER!C:C)</f>
        <v>PALL MALL WHITE 20</v>
      </c>
      <c r="F22" s="10">
        <v>75071479</v>
      </c>
      <c r="G22" s="10" t="str">
        <f>+_xlfn.XLOOKUP(F22,MASTER!B:B,MASTER!I:I)</f>
        <v>Activo</v>
      </c>
    </row>
    <row r="23" spans="1:7" ht="14.5" x14ac:dyDescent="0.35">
      <c r="A23" s="10" t="str">
        <f>+_xlfn.XLOOKUP(B23,MASTER!B:B,MASTER!C:C)</f>
        <v>MONTANA SHOTS 15S 1PZ</v>
      </c>
      <c r="B23">
        <v>75064747</v>
      </c>
      <c r="C23" s="10" t="str">
        <f>+_xlfn.XLOOKUP(B23,MASTER!B:B,MASTER!I:I)</f>
        <v>Activo</v>
      </c>
      <c r="E23" s="10" t="str">
        <f>+_xlfn.XLOOKUP(F23,MASTER!B:B,MASTER!C:C)</f>
        <v>PALL MALL HAWAII 20S 1 CAJETILLA</v>
      </c>
      <c r="F23" s="10">
        <v>75076429</v>
      </c>
      <c r="G23" s="10" t="str">
        <f>+_xlfn.XLOOKUP(F23,MASTER!B:B,MASTER!I:I)</f>
        <v>Activo</v>
      </c>
    </row>
    <row r="24" spans="1:7" ht="14.5" hidden="1" x14ac:dyDescent="0.35">
      <c r="A24" s="10" t="str">
        <f>+_xlfn.XLOOKUP(B24,MASTER!B:B,MASTER!C:C)</f>
        <v>PALL MALL XL ALASKA 15S 1 CAJETILLA</v>
      </c>
      <c r="B24">
        <v>75074975</v>
      </c>
      <c r="C24" s="10" t="str">
        <f>+_xlfn.XLOOKUP(B24,MASTER!B:B,MASTER!I:I)</f>
        <v>Activo</v>
      </c>
      <c r="E24" s="10" t="str">
        <f>+_xlfn.XLOOKUP(F24,MASTER!B:B,MASTER!C:C)</f>
        <v>PALL MALL RED 25 1PZ</v>
      </c>
      <c r="F24" s="10">
        <v>75064778</v>
      </c>
      <c r="G24" s="10" t="str">
        <f>+_xlfn.XLOOKUP(F24,MASTER!B:B,MASTER!I:I)</f>
        <v>Descontinuado (con stock)</v>
      </c>
    </row>
    <row r="25" spans="1:7" ht="14.5" x14ac:dyDescent="0.35">
      <c r="A25" s="10" t="str">
        <f>+_xlfn.XLOOKUP(B25,MASTER!B:B,MASTER!C:C)</f>
        <v>PALL MALL XL ALASKA 15S 1 CAJETILLA</v>
      </c>
      <c r="B25">
        <v>75074975</v>
      </c>
      <c r="C25" s="10" t="str">
        <f>+_xlfn.XLOOKUP(B25,MASTER!B:B,MASTER!I:I)</f>
        <v>Activo</v>
      </c>
      <c r="E25" s="10" t="str">
        <f>+_xlfn.XLOOKUP(F25,MASTER!B:B,MASTER!C:C)</f>
        <v>PALL MALL LONDON 20S 1 CAJETILLA</v>
      </c>
      <c r="F25" s="10">
        <v>75076412</v>
      </c>
      <c r="G25" s="10" t="str">
        <f>+_xlfn.XLOOKUP(F25,MASTER!B:B,MASTER!I:I)</f>
        <v>Activo</v>
      </c>
    </row>
    <row r="26" spans="1:7" ht="14.5" x14ac:dyDescent="0.35">
      <c r="A26" s="10" t="str">
        <f>+_xlfn.XLOOKUP(B26,MASTER!B:B,MASTER!C:C)</f>
        <v>PALL MALL BORA BORA SUNBREAK 20 PZ</v>
      </c>
      <c r="B26">
        <v>75079017</v>
      </c>
      <c r="C26" s="10" t="str">
        <f>+_xlfn.XLOOKUP(B26,MASTER!B:B,MASTER!I:I)</f>
        <v>Activo</v>
      </c>
      <c r="E26" s="10" t="str">
        <f>+_xlfn.XLOOKUP(F26,MASTER!B:B,MASTER!C:C)</f>
        <v>PALL MALL XL MYKONO 15S 1 CAJETILLA</v>
      </c>
      <c r="F26" s="10">
        <v>75074999</v>
      </c>
      <c r="G26" s="10" t="str">
        <f>+_xlfn.XLOOKUP(F26,MASTER!B:B,MASTER!I:I)</f>
        <v>Activo</v>
      </c>
    </row>
    <row r="27" spans="1:7" ht="14.5" hidden="1" x14ac:dyDescent="0.35">
      <c r="A27" s="10" t="str">
        <f>+_xlfn.XLOOKUP(B27,MASTER!B:B,MASTER!C:C)</f>
        <v>PALL MALL BORA BORA SUNBREAK 20 PZ</v>
      </c>
      <c r="B27">
        <v>75079017</v>
      </c>
      <c r="C27" s="10" t="str">
        <f>+_xlfn.XLOOKUP(B27,MASTER!B:B,MASTER!I:I)</f>
        <v>Activo</v>
      </c>
      <c r="E27" s="10" t="str">
        <f>+_xlfn.XLOOKUP(F27,MASTER!B:B,MASTER!C:C)</f>
        <v>PALL MALL XL RÍO SU 20S 1 CAJETILLA</v>
      </c>
      <c r="F27" s="10">
        <v>75074944</v>
      </c>
      <c r="G27" s="10" t="str">
        <f>+_xlfn.XLOOKUP(F27,MASTER!B:B,MASTER!I:I)</f>
        <v>Descontinuado (con stock)</v>
      </c>
    </row>
    <row r="28" spans="1:7" ht="14.5" x14ac:dyDescent="0.35">
      <c r="A28" s="10" t="str">
        <f>+_xlfn.XLOOKUP(B28,MASTER!B:B,MASTER!C:C)</f>
        <v>PALL MALL EX CLASSI 14S 1 CAJETILLA</v>
      </c>
      <c r="B28">
        <v>75074081</v>
      </c>
      <c r="C28" s="10" t="str">
        <f>+_xlfn.XLOOKUP(B28,MASTER!B:B,MASTER!I:I)</f>
        <v>Activo</v>
      </c>
      <c r="E28" s="10" t="str">
        <f>+_xlfn.XLOOKUP(F28,MASTER!B:B,MASTER!C:C)</f>
        <v>PALL MALL XL TOKYO 15S 1 CAJETILLA</v>
      </c>
      <c r="F28" s="10">
        <v>75074982</v>
      </c>
      <c r="G28" s="10" t="str">
        <f>+_xlfn.XLOOKUP(F28,MASTER!B:B,MASTER!I:I)</f>
        <v>Activo</v>
      </c>
    </row>
    <row r="29" spans="1:7" ht="14.5" x14ac:dyDescent="0.35">
      <c r="A29" s="10" t="str">
        <f>+_xlfn.XLOOKUP(B29,MASTER!B:B,MASTER!C:C)</f>
        <v>PALL MALL CLASSICS 25 PZ</v>
      </c>
      <c r="B29">
        <v>75079963</v>
      </c>
      <c r="C29" s="10" t="str">
        <f>+_xlfn.XLOOKUP(B29,MASTER!B:B,MASTER!I:I)</f>
        <v>Activo</v>
      </c>
      <c r="E29" s="10" t="str">
        <f>+_xlfn.XLOOKUP(F29,MASTER!B:B,MASTER!C:C)</f>
        <v>PALL MALL ALASKA DUSK 20</v>
      </c>
      <c r="F29" s="10">
        <v>75071295</v>
      </c>
      <c r="G29" s="10" t="str">
        <f>+_xlfn.XLOOKUP(F29,MASTER!B:B,MASTER!I:I)</f>
        <v>Activo</v>
      </c>
    </row>
    <row r="30" spans="1:7" ht="14.5" hidden="1" x14ac:dyDescent="0.35">
      <c r="A30" s="10" t="str">
        <f>+_xlfn.XLOOKUP(B30,MASTER!B:B,MASTER!C:C)</f>
        <v>PALL MALL CLASSICS 25 PZ</v>
      </c>
      <c r="B30">
        <v>75079963</v>
      </c>
      <c r="C30" s="10" t="str">
        <f>+_xlfn.XLOOKUP(B30,MASTER!B:B,MASTER!I:I)</f>
        <v>Activo</v>
      </c>
      <c r="E30" s="10" t="str">
        <f>+_xlfn.XLOOKUP(F30,MASTER!B:B,MASTER!C:C)</f>
        <v>PALL MALL XL ATHENS 20S 1 CAJETILLA</v>
      </c>
      <c r="F30" s="10">
        <v>75074913</v>
      </c>
      <c r="G30" s="10" t="str">
        <f>+_xlfn.XLOOKUP(F30,MASTER!B:B,MASTER!I:I)</f>
        <v>Descontinuado (con stock)</v>
      </c>
    </row>
    <row r="31" spans="1:7" ht="14.5" x14ac:dyDescent="0.35">
      <c r="A31" s="10" t="str">
        <f>+_xlfn.XLOOKUP(B31,MASTER!B:B,MASTER!C:C)</f>
        <v>PALL MALL EX RED 15 1 CAJETILLA</v>
      </c>
      <c r="B31">
        <v>75073534</v>
      </c>
      <c r="C31" s="10" t="str">
        <f>+_xlfn.XLOOKUP(B31,MASTER!B:B,MASTER!I:I)</f>
        <v>Descontinuado (con stock)</v>
      </c>
      <c r="E31" s="10" t="str">
        <f>+_xlfn.XLOOKUP(F31,MASTER!B:B,MASTER!C:C)</f>
        <v>PALL MALL RED AND CLICK 20</v>
      </c>
      <c r="F31" s="10">
        <v>75027766</v>
      </c>
      <c r="G31" s="10" t="str">
        <f>+_xlfn.XLOOKUP(F31,MASTER!B:B,MASTER!I:I)</f>
        <v>Activo</v>
      </c>
    </row>
    <row r="32" spans="1:7" ht="14.5" hidden="1" x14ac:dyDescent="0.35">
      <c r="A32" s="10" t="str">
        <f>+_xlfn.XLOOKUP(B32,MASTER!B:B,MASTER!C:C)</f>
        <v>PALL MALL EX RED 15 1 CAJETILLA</v>
      </c>
      <c r="B32">
        <v>75073534</v>
      </c>
      <c r="C32" s="10" t="str">
        <f>+_xlfn.XLOOKUP(B32,MASTER!B:B,MASTER!I:I)</f>
        <v>Descontinuado (con stock)</v>
      </c>
      <c r="E32" s="10" t="str">
        <f>+_xlfn.XLOOKUP(F32,MASTER!B:B,MASTER!C:C)</f>
        <v>PALL MALL XL FUJI 20S 1 CAJETILLA</v>
      </c>
      <c r="F32" s="10">
        <v>75074937</v>
      </c>
      <c r="G32" s="10" t="str">
        <f>+_xlfn.XLOOKUP(F32,MASTER!B:B,MASTER!I:I)</f>
        <v>Descontinuado (con stock)</v>
      </c>
    </row>
    <row r="33" spans="1:7" ht="14.5" x14ac:dyDescent="0.35">
      <c r="A33" s="10" t="str">
        <f>+_xlfn.XLOOKUP(B33,MASTER!B:B,MASTER!C:C)</f>
        <v>PALL MALL EX WHITE 15 1 CAJETILLA</v>
      </c>
      <c r="B33">
        <v>75073541</v>
      </c>
      <c r="C33" s="10" t="str">
        <f>+_xlfn.XLOOKUP(B33,MASTER!B:B,MASTER!I:I)</f>
        <v>Activo</v>
      </c>
      <c r="E33" s="10" t="str">
        <f>+_xlfn.XLOOKUP(F33,MASTER!B:B,MASTER!C:C)</f>
        <v>PALL MALL WHITE AND CLICK 20</v>
      </c>
      <c r="F33" s="10">
        <v>8346917</v>
      </c>
      <c r="G33" s="10" t="str">
        <f>+_xlfn.XLOOKUP(F33,MASTER!B:B,MASTER!I:I)</f>
        <v>Activo</v>
      </c>
    </row>
    <row r="34" spans="1:7" ht="14.5" hidden="1" x14ac:dyDescent="0.35">
      <c r="A34" s="10" t="str">
        <f>+_xlfn.XLOOKUP(B34,MASTER!B:B,MASTER!C:C)</f>
        <v>PALL MALL EX WHITE 15 1 CAJETILLA</v>
      </c>
      <c r="B34">
        <v>75073541</v>
      </c>
      <c r="C34" s="10" t="str">
        <f>+_xlfn.XLOOKUP(B34,MASTER!B:B,MASTER!I:I)</f>
        <v>Activo</v>
      </c>
      <c r="E34" s="10" t="str">
        <f>+_xlfn.XLOOKUP(F34,MASTER!B:B,MASTER!C:C)</f>
        <v>PALL MALL MIX PACK 20</v>
      </c>
      <c r="F34" s="10">
        <v>75070090</v>
      </c>
      <c r="G34" s="10" t="str">
        <f>+_xlfn.XLOOKUP(F34,MASTER!B:B,MASTER!I:I)</f>
        <v>Descontinuado (con stock)</v>
      </c>
    </row>
    <row r="35" spans="1:7" ht="14.5" x14ac:dyDescent="0.35">
      <c r="A35" s="10" t="str">
        <f>+_xlfn.XLOOKUP(B35,MASTER!B:B,MASTER!C:C)</f>
        <v>PALL MALL CLASSICS 20</v>
      </c>
      <c r="B35">
        <v>75071776</v>
      </c>
      <c r="C35" s="10" t="str">
        <f>+_xlfn.XLOOKUP(B35,MASTER!B:B,MASTER!I:I)</f>
        <v>Activo</v>
      </c>
      <c r="E35" s="10" t="str">
        <f>+_xlfn.XLOOKUP(F35,MASTER!B:B,MASTER!C:C)</f>
        <v>PALL MALL MYKONOS NIGHTFALL 20</v>
      </c>
      <c r="F35" s="10">
        <v>75064648</v>
      </c>
      <c r="G35" s="10" t="str">
        <f>+_xlfn.XLOOKUP(F35,MASTER!B:B,MASTER!I:I)</f>
        <v>Activo</v>
      </c>
    </row>
    <row r="36" spans="1:7" ht="14.5" x14ac:dyDescent="0.35">
      <c r="A36" s="10" t="str">
        <f>+_xlfn.XLOOKUP(B36,MASTER!B:B,MASTER!C:C)</f>
        <v>PALL MALL CLASSICS 20</v>
      </c>
      <c r="B36">
        <v>75071776</v>
      </c>
      <c r="C36" s="10" t="str">
        <f>+_xlfn.XLOOKUP(B36,MASTER!B:B,MASTER!I:I)</f>
        <v>Activo</v>
      </c>
      <c r="E36" s="10" t="str">
        <f>+_xlfn.XLOOKUP(F36,MASTER!B:B,MASTER!C:C)</f>
        <v>PALL MALL NEW YORK 20</v>
      </c>
      <c r="F36" s="10">
        <v>75068363</v>
      </c>
      <c r="G36" s="10" t="str">
        <f>+_xlfn.XLOOKUP(F36,MASTER!B:B,MASTER!I:I)</f>
        <v>Activo</v>
      </c>
    </row>
    <row r="37" spans="1:7" ht="14.5" x14ac:dyDescent="0.35">
      <c r="A37" s="10" t="str">
        <f>+_xlfn.XLOOKUP(B37,MASTER!B:B,MASTER!C:C)</f>
        <v>PALL MALL RED 20</v>
      </c>
      <c r="B37">
        <v>75071455</v>
      </c>
      <c r="C37" s="10" t="str">
        <f>+_xlfn.XLOOKUP(B37,MASTER!B:B,MASTER!I:I)</f>
        <v>Activo</v>
      </c>
      <c r="E37" s="10" t="str">
        <f>+_xlfn.XLOOKUP(F37,MASTER!B:B,MASTER!C:C)</f>
        <v>PALL MALL TOKYO MIDNIGHT 20</v>
      </c>
      <c r="F37" s="10">
        <v>75052836</v>
      </c>
      <c r="G37" s="10" t="str">
        <f>+_xlfn.XLOOKUP(F37,MASTER!B:B,MASTER!I:I)</f>
        <v>Activo</v>
      </c>
    </row>
    <row r="38" spans="1:7" ht="14.5" x14ac:dyDescent="0.35">
      <c r="A38" s="10" t="str">
        <f>+_xlfn.XLOOKUP(B38,MASTER!B:B,MASTER!C:C)</f>
        <v>PALL MALL RED 20</v>
      </c>
      <c r="B38">
        <v>75071455</v>
      </c>
      <c r="C38" s="10" t="str">
        <f>+_xlfn.XLOOKUP(B38,MASTER!B:B,MASTER!I:I)</f>
        <v>Activo</v>
      </c>
      <c r="E38" s="10" t="str">
        <f>+_xlfn.XLOOKUP(F38,MASTER!B:B,MASTER!C:C)</f>
        <v>MONTANA CLASSI 14S 1 CAJETILLA</v>
      </c>
      <c r="F38" s="10">
        <v>75076405</v>
      </c>
      <c r="G38" s="10" t="str">
        <f>+_xlfn.XLOOKUP(F38,MASTER!B:B,MASTER!I:I)</f>
        <v>Activo</v>
      </c>
    </row>
    <row r="39" spans="1:7" ht="14.5" x14ac:dyDescent="0.35">
      <c r="A39" s="10" t="str">
        <f>+_xlfn.XLOOKUP(B39,MASTER!B:B,MASTER!C:C)</f>
        <v>PALL MALL WHITE 20</v>
      </c>
      <c r="B39">
        <v>75071479</v>
      </c>
      <c r="C39" s="10" t="str">
        <f>+_xlfn.XLOOKUP(B39,MASTER!B:B,MASTER!I:I)</f>
        <v>Activo</v>
      </c>
      <c r="E39" s="10" t="str">
        <f>+_xlfn.XLOOKUP(F39,MASTER!B:B,MASTER!C:C)</f>
        <v>MONTANA CLASSI 20S 1 CAJETILLA</v>
      </c>
      <c r="F39" s="10">
        <v>75076740</v>
      </c>
      <c r="G39" s="10" t="str">
        <f>+_xlfn.XLOOKUP(F39,MASTER!B:B,MASTER!I:I)</f>
        <v>Activo</v>
      </c>
    </row>
    <row r="40" spans="1:7" ht="14.5" x14ac:dyDescent="0.35">
      <c r="A40" s="10" t="str">
        <f>+_xlfn.XLOOKUP(B40,MASTER!B:B,MASTER!C:C)</f>
        <v>PALL MALL WHITE 20</v>
      </c>
      <c r="B40">
        <v>75071479</v>
      </c>
      <c r="C40" s="10" t="str">
        <f>+_xlfn.XLOOKUP(B40,MASTER!B:B,MASTER!I:I)</f>
        <v>Activo</v>
      </c>
      <c r="E40" s="10" t="str">
        <f>+_xlfn.XLOOKUP(F40,MASTER!B:B,MASTER!C:C)</f>
        <v>MONTANA SHOTS CLASSICS 25 PZ</v>
      </c>
      <c r="F40" s="10">
        <v>75078843</v>
      </c>
      <c r="G40" s="10" t="str">
        <f>+_xlfn.XLOOKUP(F40,MASTER!B:B,MASTER!I:I)</f>
        <v>Activo</v>
      </c>
    </row>
    <row r="41" spans="1:7" ht="14.5" x14ac:dyDescent="0.35">
      <c r="A41" s="10" t="str">
        <f>+_xlfn.XLOOKUP(B41,MASTER!B:B,MASTER!C:C)</f>
        <v>PALL MALL HAWAII 20S 1 CAJETILLA</v>
      </c>
      <c r="B41">
        <v>75076429</v>
      </c>
      <c r="C41" s="10" t="str">
        <f>+_xlfn.XLOOKUP(B41,MASTER!B:B,MASTER!I:I)</f>
        <v>Activo</v>
      </c>
      <c r="E41" s="10" t="str">
        <f>+_xlfn.XLOOKUP(F41,MASTER!B:B,MASTER!C:C)</f>
        <v>MONTANA SHOTS 1PZ</v>
      </c>
      <c r="F41" s="10">
        <v>75064754</v>
      </c>
      <c r="G41" s="10" t="str">
        <f>+_xlfn.XLOOKUP(F41,MASTER!B:B,MASTER!I:I)</f>
        <v>Activo</v>
      </c>
    </row>
    <row r="42" spans="1:7" ht="14.5" hidden="1" x14ac:dyDescent="0.35">
      <c r="A42" s="10" t="str">
        <f>+_xlfn.XLOOKUP(B42,MASTER!B:B,MASTER!C:C)</f>
        <v>PALL MALL HAWAII 20S 1 CAJETILLA</v>
      </c>
      <c r="B42">
        <v>75076429</v>
      </c>
      <c r="C42" s="10" t="str">
        <f>+_xlfn.XLOOKUP(B42,MASTER!B:B,MASTER!I:I)</f>
        <v>Activo</v>
      </c>
      <c r="E42" s="10" t="str">
        <f>+_xlfn.XLOOKUP(F42,MASTER!B:B,MASTER!C:C)</f>
        <v>LUCKIES 25S</v>
      </c>
      <c r="F42" s="10">
        <v>75080679</v>
      </c>
      <c r="G42" s="10" t="str">
        <f>+_xlfn.XLOOKUP(F42,MASTER!B:B,MASTER!I:I)</f>
        <v>Descontinuado (con stock)</v>
      </c>
    </row>
    <row r="43" spans="1:7" ht="14.5" x14ac:dyDescent="0.35">
      <c r="A43" s="10" t="str">
        <f>+_xlfn.XLOOKUP(B43,MASTER!B:B,MASTER!C:C)</f>
        <v>PALL MALL RED 25 1PZ</v>
      </c>
      <c r="B43">
        <v>75064778</v>
      </c>
      <c r="C43" s="10" t="str">
        <f>+_xlfn.XLOOKUP(B43,MASTER!B:B,MASTER!I:I)</f>
        <v>Descontinuado (con stock)</v>
      </c>
      <c r="E43" s="10" t="str">
        <f>+_xlfn.XLOOKUP(F43,MASTER!B:B,MASTER!C:C)</f>
        <v>PALL MALL XL MIAMI PARADISE 20S 20 PZ</v>
      </c>
      <c r="F43" s="10">
        <v>75081058</v>
      </c>
      <c r="G43" s="10" t="str">
        <f>+_xlfn.XLOOKUP(F43,MASTER!B:B,MASTER!I:I)</f>
        <v>Descontinuado (con stock)</v>
      </c>
    </row>
    <row r="44" spans="1:7" ht="14.5" hidden="1" x14ac:dyDescent="0.35">
      <c r="A44" s="10" t="str">
        <f>+_xlfn.XLOOKUP(B44,MASTER!B:B,MASTER!C:C)</f>
        <v>PALL MALL RED 25 1PZ</v>
      </c>
      <c r="B44">
        <v>75064778</v>
      </c>
      <c r="C44" s="10" t="str">
        <f>+_xlfn.XLOOKUP(B44,MASTER!B:B,MASTER!I:I)</f>
        <v>Descontinuado (con stock)</v>
      </c>
      <c r="E44" s="10" t="str">
        <f>+_xlfn.XLOOKUP(F44,MASTER!B:B,MASTER!C:C)</f>
        <v>LUCKIES 20S</v>
      </c>
      <c r="F44" s="10">
        <v>75081942</v>
      </c>
      <c r="G44" s="10" t="str">
        <f>+_xlfn.XLOOKUP(F44,MASTER!B:B,MASTER!I:I)</f>
        <v>Descontinuado (con stock)</v>
      </c>
    </row>
    <row r="45" spans="1:7" ht="14.5" x14ac:dyDescent="0.35">
      <c r="A45" s="10" t="str">
        <f>+_xlfn.XLOOKUP(B45,MASTER!B:B,MASTER!C:C)</f>
        <v>PALL MALL LONDON 20S 1 CAJETILLA</v>
      </c>
      <c r="B45">
        <v>75076412</v>
      </c>
      <c r="C45" s="10" t="str">
        <f>+_xlfn.XLOOKUP(B45,MASTER!B:B,MASTER!I:I)</f>
        <v>Activo</v>
      </c>
      <c r="E45" s="10" t="str">
        <f>+_xlfn.XLOOKUP(F45,MASTER!B:B,MASTER!C:C)</f>
        <v>PALL MALL HAWAII SUNLIGHT 15 PZ</v>
      </c>
      <c r="F45" s="10">
        <v>75082543</v>
      </c>
      <c r="G45" s="10" t="str">
        <f>+_xlfn.XLOOKUP(F45,MASTER!B:B,MASTER!I:I)</f>
        <v>Activo</v>
      </c>
    </row>
    <row r="46" spans="1:7" ht="14.5" x14ac:dyDescent="0.35">
      <c r="A46" s="10" t="str">
        <f>+_xlfn.XLOOKUP(B46,MASTER!B:B,MASTER!C:C)</f>
        <v>PALL MALL LONDON 20S 1 CAJETILLA</v>
      </c>
      <c r="B46">
        <v>75076412</v>
      </c>
      <c r="C46" s="10" t="str">
        <f>+_xlfn.XLOOKUP(B46,MASTER!B:B,MASTER!I:I)</f>
        <v>Activo</v>
      </c>
      <c r="E46" s="10" t="str">
        <f>+_xlfn.XLOOKUP(F46,MASTER!B:B,MASTER!C:C)</f>
        <v>PALL MALL PM MANILA DAYLIGHT 20 PZ</v>
      </c>
      <c r="F46" s="10">
        <v>75083632</v>
      </c>
      <c r="G46" s="10" t="str">
        <f>+_xlfn.XLOOKUP(F46,MASTER!B:B,MASTER!I:I)</f>
        <v>Activo</v>
      </c>
    </row>
    <row r="47" spans="1:7" ht="14.5" hidden="1" x14ac:dyDescent="0.35">
      <c r="A47" s="10" t="str">
        <f>+_xlfn.XLOOKUP(B47,MASTER!B:B,MASTER!C:C)</f>
        <v>PALL MALL XL MYKONO 15S 1 CAJETILLA</v>
      </c>
      <c r="B47">
        <v>75074999</v>
      </c>
      <c r="C47" s="10" t="str">
        <f>+_xlfn.XLOOKUP(B47,MASTER!B:B,MASTER!I:I)</f>
        <v>Activo</v>
      </c>
      <c r="E47" s="10" t="e">
        <f>+_xlfn.XLOOKUP(F47,MASTER!B:B,MASTER!C:C)</f>
        <v>#N/A</v>
      </c>
      <c r="F47" s="10" t="str">
        <v>75084332</v>
      </c>
      <c r="G47" s="10" t="e">
        <f>+_xlfn.XLOOKUP(F47,MASTER!B:B,MASTER!I:I)</f>
        <v>#N/A</v>
      </c>
    </row>
    <row r="48" spans="1:7" ht="14.5" x14ac:dyDescent="0.35">
      <c r="A48" s="10" t="str">
        <f>+_xlfn.XLOOKUP(B48,MASTER!B:B,MASTER!C:C)</f>
        <v>PALL MALL XL MYKONO 15S 1 CAJETILLA</v>
      </c>
      <c r="B48">
        <v>75074999</v>
      </c>
      <c r="C48" s="10" t="str">
        <f>+_xlfn.XLOOKUP(B48,MASTER!B:B,MASTER!I:I)</f>
        <v>Activo</v>
      </c>
    </row>
    <row r="49" spans="1:3" ht="14.5" x14ac:dyDescent="0.35">
      <c r="A49" s="10" t="str">
        <f>+_xlfn.XLOOKUP(B49,MASTER!B:B,MASTER!C:C)</f>
        <v>PALL MALL XL RÍO SU 20S 1 CAJETILLA</v>
      </c>
      <c r="B49">
        <v>75074944</v>
      </c>
      <c r="C49" s="10" t="str">
        <f>+_xlfn.XLOOKUP(B49,MASTER!B:B,MASTER!I:I)</f>
        <v>Descontinuado (con stock)</v>
      </c>
    </row>
    <row r="50" spans="1:3" ht="14.5" x14ac:dyDescent="0.35">
      <c r="A50" s="10" t="str">
        <f>+_xlfn.XLOOKUP(B50,MASTER!B:B,MASTER!C:C)</f>
        <v>PALL MALL XL RÍO SU 20S 1 CAJETILLA</v>
      </c>
      <c r="B50">
        <v>75074944</v>
      </c>
      <c r="C50" s="10" t="str">
        <f>+_xlfn.XLOOKUP(B50,MASTER!B:B,MASTER!I:I)</f>
        <v>Descontinuado (con stock)</v>
      </c>
    </row>
    <row r="51" spans="1:3" ht="14.5" x14ac:dyDescent="0.35">
      <c r="A51" s="10" t="str">
        <f>+_xlfn.XLOOKUP(B51,MASTER!B:B,MASTER!C:C)</f>
        <v>PALL MALL XL TOKYO 15S 1 CAJETILLA</v>
      </c>
      <c r="B51">
        <v>75074982</v>
      </c>
      <c r="C51" s="10" t="str">
        <f>+_xlfn.XLOOKUP(B51,MASTER!B:B,MASTER!I:I)</f>
        <v>Activo</v>
      </c>
    </row>
    <row r="52" spans="1:3" ht="14.5" x14ac:dyDescent="0.35">
      <c r="A52" s="10" t="str">
        <f>+_xlfn.XLOOKUP(B52,MASTER!B:B,MASTER!C:C)</f>
        <v>PALL MALL XL TOKYO 15S 1 CAJETILLA</v>
      </c>
      <c r="B52">
        <v>75074982</v>
      </c>
      <c r="C52" s="10" t="str">
        <f>+_xlfn.XLOOKUP(B52,MASTER!B:B,MASTER!I:I)</f>
        <v>Activo</v>
      </c>
    </row>
    <row r="53" spans="1:3" ht="14.5" x14ac:dyDescent="0.35">
      <c r="A53" s="10" t="str">
        <f>+_xlfn.XLOOKUP(B53,MASTER!B:B,MASTER!C:C)</f>
        <v>PALL MALL ALASKA DUSK 20</v>
      </c>
      <c r="B53">
        <v>75071295</v>
      </c>
      <c r="C53" s="10" t="str">
        <f>+_xlfn.XLOOKUP(B53,MASTER!B:B,MASTER!I:I)</f>
        <v>Activo</v>
      </c>
    </row>
    <row r="54" spans="1:3" ht="14.5" x14ac:dyDescent="0.35">
      <c r="A54" s="10" t="str">
        <f>+_xlfn.XLOOKUP(B54,MASTER!B:B,MASTER!C:C)</f>
        <v>PALL MALL ALASKA DUSK 20</v>
      </c>
      <c r="B54">
        <v>75071295</v>
      </c>
      <c r="C54" s="10" t="str">
        <f>+_xlfn.XLOOKUP(B54,MASTER!B:B,MASTER!I:I)</f>
        <v>Activo</v>
      </c>
    </row>
    <row r="55" spans="1:3" ht="14.5" x14ac:dyDescent="0.35">
      <c r="A55" s="10" t="str">
        <f>+_xlfn.XLOOKUP(B55,MASTER!B:B,MASTER!C:C)</f>
        <v>PALL MALL XL ATHENS 20S 1 CAJETILLA</v>
      </c>
      <c r="B55">
        <v>75074913</v>
      </c>
      <c r="C55" s="10" t="str">
        <f>+_xlfn.XLOOKUP(B55,MASTER!B:B,MASTER!I:I)</f>
        <v>Descontinuado (con stock)</v>
      </c>
    </row>
    <row r="56" spans="1:3" ht="14.5" x14ac:dyDescent="0.35">
      <c r="A56" s="10" t="str">
        <f>+_xlfn.XLOOKUP(B56,MASTER!B:B,MASTER!C:C)</f>
        <v>PALL MALL RED AND CLICK 20</v>
      </c>
      <c r="B56">
        <v>75027766</v>
      </c>
      <c r="C56" s="10" t="str">
        <f>+_xlfn.XLOOKUP(B56,MASTER!B:B,MASTER!I:I)</f>
        <v>Activo</v>
      </c>
    </row>
    <row r="57" spans="1:3" ht="14.5" x14ac:dyDescent="0.35">
      <c r="A57" s="10" t="str">
        <f>+_xlfn.XLOOKUP(B57,MASTER!B:B,MASTER!C:C)</f>
        <v>PALL MALL RED AND CLICK 20</v>
      </c>
      <c r="B57">
        <v>75027766</v>
      </c>
      <c r="C57" s="10" t="str">
        <f>+_xlfn.XLOOKUP(B57,MASTER!B:B,MASTER!I:I)</f>
        <v>Activo</v>
      </c>
    </row>
    <row r="58" spans="1:3" ht="14.5" x14ac:dyDescent="0.35">
      <c r="A58" s="10" t="str">
        <f>+_xlfn.XLOOKUP(B58,MASTER!B:B,MASTER!C:C)</f>
        <v>PALL MALL XL FUJI 20S 1 CAJETILLA</v>
      </c>
      <c r="B58">
        <v>75074937</v>
      </c>
      <c r="C58" s="10" t="str">
        <f>+_xlfn.XLOOKUP(B58,MASTER!B:B,MASTER!I:I)</f>
        <v>Descontinuado (con stock)</v>
      </c>
    </row>
    <row r="59" spans="1:3" ht="14.5" x14ac:dyDescent="0.35">
      <c r="A59" s="10" t="str">
        <f>+_xlfn.XLOOKUP(B59,MASTER!B:B,MASTER!C:C)</f>
        <v>PALL MALL XL FUJI 20S 1 CAJETILLA</v>
      </c>
      <c r="B59">
        <v>75074937</v>
      </c>
      <c r="C59" s="10" t="str">
        <f>+_xlfn.XLOOKUP(B59,MASTER!B:B,MASTER!I:I)</f>
        <v>Descontinuado (con stock)</v>
      </c>
    </row>
    <row r="60" spans="1:3" ht="14.5" x14ac:dyDescent="0.35">
      <c r="A60" s="10" t="str">
        <f>+_xlfn.XLOOKUP(B60,MASTER!B:B,MASTER!C:C)</f>
        <v>PALL MALL WHITE AND CLICK 20</v>
      </c>
      <c r="B60">
        <v>8346917</v>
      </c>
      <c r="C60" s="10" t="str">
        <f>+_xlfn.XLOOKUP(B60,MASTER!B:B,MASTER!I:I)</f>
        <v>Activo</v>
      </c>
    </row>
    <row r="61" spans="1:3" ht="14.5" x14ac:dyDescent="0.35">
      <c r="A61" s="10" t="str">
        <f>+_xlfn.XLOOKUP(B61,MASTER!B:B,MASTER!C:C)</f>
        <v>PALL MALL WHITE AND CLICK 20</v>
      </c>
      <c r="B61">
        <v>8346917</v>
      </c>
      <c r="C61" s="10" t="str">
        <f>+_xlfn.XLOOKUP(B61,MASTER!B:B,MASTER!I:I)</f>
        <v>Activo</v>
      </c>
    </row>
    <row r="62" spans="1:3" ht="14.5" x14ac:dyDescent="0.35">
      <c r="A62" s="10" t="str">
        <f>+_xlfn.XLOOKUP(B62,MASTER!B:B,MASTER!C:C)</f>
        <v>PALL MALL MIX PACK 20</v>
      </c>
      <c r="B62">
        <v>75070090</v>
      </c>
      <c r="C62" s="10" t="str">
        <f>+_xlfn.XLOOKUP(B62,MASTER!B:B,MASTER!I:I)</f>
        <v>Descontinuado (con stock)</v>
      </c>
    </row>
    <row r="63" spans="1:3" ht="14.5" x14ac:dyDescent="0.35">
      <c r="A63" s="10" t="str">
        <f>+_xlfn.XLOOKUP(B63,MASTER!B:B,MASTER!C:C)</f>
        <v>PALL MALL MIX PACK 20</v>
      </c>
      <c r="B63">
        <v>75070090</v>
      </c>
      <c r="C63" s="10" t="str">
        <f>+_xlfn.XLOOKUP(B63,MASTER!B:B,MASTER!I:I)</f>
        <v>Descontinuado (con stock)</v>
      </c>
    </row>
    <row r="64" spans="1:3" ht="14.5" x14ac:dyDescent="0.35">
      <c r="A64" s="10" t="str">
        <f>+_xlfn.XLOOKUP(B64,MASTER!B:B,MASTER!C:C)</f>
        <v>PALL MALL MYKONOS NIGHTFALL 20</v>
      </c>
      <c r="B64">
        <v>75064648</v>
      </c>
      <c r="C64" s="10" t="str">
        <f>+_xlfn.XLOOKUP(B64,MASTER!B:B,MASTER!I:I)</f>
        <v>Activo</v>
      </c>
    </row>
    <row r="65" spans="1:3" ht="14.5" x14ac:dyDescent="0.35">
      <c r="A65" s="10" t="str">
        <f>+_xlfn.XLOOKUP(B65,MASTER!B:B,MASTER!C:C)</f>
        <v>PALL MALL MYKONOS NIGHTFALL 20</v>
      </c>
      <c r="B65">
        <v>75064648</v>
      </c>
      <c r="C65" s="10" t="str">
        <f>+_xlfn.XLOOKUP(B65,MASTER!B:B,MASTER!I:I)</f>
        <v>Activo</v>
      </c>
    </row>
    <row r="66" spans="1:3" ht="14.5" x14ac:dyDescent="0.35">
      <c r="A66" s="10" t="str">
        <f>+_xlfn.XLOOKUP(B66,MASTER!B:B,MASTER!C:C)</f>
        <v>PALL MALL NEW YORK 20</v>
      </c>
      <c r="B66">
        <v>75068363</v>
      </c>
      <c r="C66" s="10" t="str">
        <f>+_xlfn.XLOOKUP(B66,MASTER!B:B,MASTER!I:I)</f>
        <v>Activo</v>
      </c>
    </row>
    <row r="67" spans="1:3" ht="14.5" x14ac:dyDescent="0.35">
      <c r="A67" s="10" t="str">
        <f>+_xlfn.XLOOKUP(B67,MASTER!B:B,MASTER!C:C)</f>
        <v>PALL MALL NEW YORK 20</v>
      </c>
      <c r="B67">
        <v>75068363</v>
      </c>
      <c r="C67" s="10" t="str">
        <f>+_xlfn.XLOOKUP(B67,MASTER!B:B,MASTER!I:I)</f>
        <v>Activo</v>
      </c>
    </row>
    <row r="68" spans="1:3" ht="14.5" x14ac:dyDescent="0.35">
      <c r="A68" s="10" t="str">
        <f>+_xlfn.XLOOKUP(B68,MASTER!B:B,MASTER!C:C)</f>
        <v>PALL MALL TOKYO MIDNIGHT 20</v>
      </c>
      <c r="B68">
        <v>75052836</v>
      </c>
      <c r="C68" s="10" t="str">
        <f>+_xlfn.XLOOKUP(B68,MASTER!B:B,MASTER!I:I)</f>
        <v>Activo</v>
      </c>
    </row>
    <row r="69" spans="1:3" ht="14.5" x14ac:dyDescent="0.35">
      <c r="A69" s="10" t="str">
        <f>+_xlfn.XLOOKUP(B69,MASTER!B:B,MASTER!C:C)</f>
        <v>PALL MALL TOKYO MIDNIGHT 20</v>
      </c>
      <c r="B69">
        <v>75052836</v>
      </c>
      <c r="C69" s="10" t="str">
        <f>+_xlfn.XLOOKUP(B69,MASTER!B:B,MASTER!I:I)</f>
        <v>Activo</v>
      </c>
    </row>
    <row r="70" spans="1:3" ht="14.5" x14ac:dyDescent="0.35">
      <c r="A70" s="10" t="str">
        <f>+_xlfn.XLOOKUP(B70,MASTER!B:B,MASTER!C:C)</f>
        <v>MONTANA CLASSI 14S 1 CAJETILLA</v>
      </c>
      <c r="B70">
        <v>75076405</v>
      </c>
      <c r="C70" s="10" t="str">
        <f>+_xlfn.XLOOKUP(B70,MASTER!B:B,MASTER!I:I)</f>
        <v>Activo</v>
      </c>
    </row>
    <row r="71" spans="1:3" ht="14.5" x14ac:dyDescent="0.35">
      <c r="A71" s="10" t="str">
        <f>+_xlfn.XLOOKUP(B71,MASTER!B:B,MASTER!C:C)</f>
        <v>MONTANA CLASSI 14S 1 CAJETILLA</v>
      </c>
      <c r="B71">
        <v>75076405</v>
      </c>
      <c r="C71" s="10" t="str">
        <f>+_xlfn.XLOOKUP(B71,MASTER!B:B,MASTER!I:I)</f>
        <v>Activo</v>
      </c>
    </row>
    <row r="72" spans="1:3" ht="14.5" x14ac:dyDescent="0.35">
      <c r="A72" s="10" t="str">
        <f>+_xlfn.XLOOKUP(B72,MASTER!B:B,MASTER!C:C)</f>
        <v>MONTANA CLASSI 20S 1 CAJETILLA</v>
      </c>
      <c r="B72">
        <v>75076740</v>
      </c>
      <c r="C72" s="10" t="str">
        <f>+_xlfn.XLOOKUP(B72,MASTER!B:B,MASTER!I:I)</f>
        <v>Activo</v>
      </c>
    </row>
    <row r="73" spans="1:3" ht="14.5" x14ac:dyDescent="0.35">
      <c r="A73" s="10" t="str">
        <f>+_xlfn.XLOOKUP(B73,MASTER!B:B,MASTER!C:C)</f>
        <v>MONTANA CLASSI 20S 1 CAJETILLA</v>
      </c>
      <c r="B73">
        <v>75076740</v>
      </c>
      <c r="C73" s="10" t="str">
        <f>+_xlfn.XLOOKUP(B73,MASTER!B:B,MASTER!I:I)</f>
        <v>Activo</v>
      </c>
    </row>
    <row r="74" spans="1:3" ht="14.5" x14ac:dyDescent="0.35">
      <c r="A74" s="10" t="str">
        <f>+_xlfn.XLOOKUP(B74,MASTER!B:B,MASTER!C:C)</f>
        <v>MONTANA SHOTS CLASSICS 25 PZ</v>
      </c>
      <c r="B74">
        <v>75078843</v>
      </c>
      <c r="C74" s="10" t="str">
        <f>+_xlfn.XLOOKUP(B74,MASTER!B:B,MASTER!I:I)</f>
        <v>Activo</v>
      </c>
    </row>
    <row r="75" spans="1:3" ht="14.5" x14ac:dyDescent="0.35">
      <c r="A75" s="10" t="str">
        <f>+_xlfn.XLOOKUP(B75,MASTER!B:B,MASTER!C:C)</f>
        <v>MONTANA SHOTS CLASSICS 25 PZ</v>
      </c>
      <c r="B75">
        <v>75078843</v>
      </c>
      <c r="C75" s="10" t="str">
        <f>+_xlfn.XLOOKUP(B75,MASTER!B:B,MASTER!I:I)</f>
        <v>Activo</v>
      </c>
    </row>
    <row r="76" spans="1:3" ht="14.5" x14ac:dyDescent="0.35">
      <c r="A76" s="10" t="str">
        <f>+_xlfn.XLOOKUP(B76,MASTER!B:B,MASTER!C:C)</f>
        <v>MONTANA SHOTS 1PZ</v>
      </c>
      <c r="B76">
        <v>75064754</v>
      </c>
      <c r="C76" s="10" t="str">
        <f>+_xlfn.XLOOKUP(B76,MASTER!B:B,MASTER!I:I)</f>
        <v>Activo</v>
      </c>
    </row>
    <row r="77" spans="1:3" ht="14.5" x14ac:dyDescent="0.35">
      <c r="A77" s="10" t="str">
        <f>+_xlfn.XLOOKUP(B77,MASTER!B:B,MASTER!C:C)</f>
        <v>MONTANA SHOTS 1PZ</v>
      </c>
      <c r="B77">
        <v>75064754</v>
      </c>
      <c r="C77" s="10" t="str">
        <f>+_xlfn.XLOOKUP(B77,MASTER!B:B,MASTER!I:I)</f>
        <v>Activo</v>
      </c>
    </row>
    <row r="78" spans="1:3" ht="14.5" x14ac:dyDescent="0.35">
      <c r="A78" s="10" t="str">
        <f>+_xlfn.XLOOKUP(B78,MASTER!B:B,MASTER!C:C)</f>
        <v>LUCKIES 25S</v>
      </c>
      <c r="B78">
        <v>75080679</v>
      </c>
      <c r="C78" s="10" t="str">
        <f>+_xlfn.XLOOKUP(B78,MASTER!B:B,MASTER!I:I)</f>
        <v>Descontinuado (con stock)</v>
      </c>
    </row>
    <row r="79" spans="1:3" ht="14.5" x14ac:dyDescent="0.35">
      <c r="A79" s="10" t="str">
        <f>+_xlfn.XLOOKUP(B79,MASTER!B:B,MASTER!C:C)</f>
        <v>LUCKIES 25S</v>
      </c>
      <c r="B79">
        <v>75080679</v>
      </c>
      <c r="C79" s="10" t="str">
        <f>+_xlfn.XLOOKUP(B79,MASTER!B:B,MASTER!I:I)</f>
        <v>Descontinuado (con stock)</v>
      </c>
    </row>
    <row r="80" spans="1:3" x14ac:dyDescent="0.35">
      <c r="A80" s="10" t="str">
        <f>+_xlfn.XLOOKUP(B80,MASTER!B:B,MASTER!C:C)</f>
        <v>PALL MALL XL MIAMI PARADISE 20S 20 PZ</v>
      </c>
      <c r="B80">
        <v>75081058</v>
      </c>
      <c r="C80" s="10" t="str">
        <f>+_xlfn.XLOOKUP(B80,MASTER!B:B,MASTER!I:I)</f>
        <v>Descontinuado (con stock)</v>
      </c>
    </row>
    <row r="81" spans="1:3" x14ac:dyDescent="0.35">
      <c r="A81" s="10" t="str">
        <f>+_xlfn.XLOOKUP(B81,MASTER!B:B,MASTER!C:C)</f>
        <v>PALL MALL XL MIAMI PARADISE 20S 20 PZ</v>
      </c>
      <c r="B81">
        <v>75081058</v>
      </c>
      <c r="C81" s="10" t="str">
        <f>+_xlfn.XLOOKUP(B81,MASTER!B:B,MASTER!I:I)</f>
        <v>Descontinuado (con stock)</v>
      </c>
    </row>
    <row r="82" spans="1:3" x14ac:dyDescent="0.35">
      <c r="A82" s="10" t="str">
        <f>+_xlfn.XLOOKUP(B82,MASTER!B:B,MASTER!C:C)</f>
        <v>LUCKIES 20S</v>
      </c>
      <c r="B82">
        <v>75081942</v>
      </c>
      <c r="C82" s="10" t="str">
        <f>+_xlfn.XLOOKUP(B82,MASTER!B:B,MASTER!I:I)</f>
        <v>Descontinuado (con stock)</v>
      </c>
    </row>
    <row r="83" spans="1:3" x14ac:dyDescent="0.35">
      <c r="A83" s="10" t="str">
        <f>+_xlfn.XLOOKUP(B83,MASTER!B:B,MASTER!C:C)</f>
        <v>LUCKIES 20S</v>
      </c>
      <c r="B83">
        <v>75081942</v>
      </c>
      <c r="C83" s="10" t="str">
        <f>+_xlfn.XLOOKUP(B83,MASTER!B:B,MASTER!I:I)</f>
        <v>Descontinuado (con stock)</v>
      </c>
    </row>
    <row r="84" spans="1:3" x14ac:dyDescent="0.35">
      <c r="A84" s="10" t="str">
        <f>+_xlfn.XLOOKUP(B84,MASTER!B:B,MASTER!C:C)</f>
        <v>PALL MALL HAWAII SUNLIGHT 15 PZ</v>
      </c>
      <c r="B84">
        <v>75082543</v>
      </c>
      <c r="C84" s="10" t="str">
        <f>+_xlfn.XLOOKUP(B84,MASTER!B:B,MASTER!I:I)</f>
        <v>Activo</v>
      </c>
    </row>
    <row r="85" spans="1:3" x14ac:dyDescent="0.35">
      <c r="A85" s="10" t="str">
        <f>+_xlfn.XLOOKUP(B85,MASTER!B:B,MASTER!C:C)</f>
        <v>PALL MALL HAWAII SUNLIGHT 15 PZ</v>
      </c>
      <c r="B85">
        <v>75082543</v>
      </c>
      <c r="C85" s="10" t="str">
        <f>+_xlfn.XLOOKUP(B85,MASTER!B:B,MASTER!I:I)</f>
        <v>Activo</v>
      </c>
    </row>
    <row r="86" spans="1:3" x14ac:dyDescent="0.35">
      <c r="A86" s="10" t="str">
        <f>+_xlfn.XLOOKUP(B86,MASTER!B:B,MASTER!C:C)</f>
        <v>PALL MALL PM MANILA DAYLIGHT 20 PZ</v>
      </c>
      <c r="B86">
        <v>75083632</v>
      </c>
      <c r="C86" s="10" t="str">
        <f>+_xlfn.XLOOKUP(B86,MASTER!B:B,MASTER!I:I)</f>
        <v>Activo</v>
      </c>
    </row>
    <row r="87" spans="1:3" x14ac:dyDescent="0.35">
      <c r="A87" s="10" t="str">
        <f>+_xlfn.XLOOKUP(B87,MASTER!B:B,MASTER!C:C)</f>
        <v>PALL MALL PM MANILA DAYLIGHT 20 PZ</v>
      </c>
      <c r="B87">
        <v>75083632</v>
      </c>
      <c r="C87" s="10" t="str">
        <f>+_xlfn.XLOOKUP(B87,MASTER!B:B,MASTER!I:I)</f>
        <v>Activo</v>
      </c>
    </row>
    <row r="88" spans="1:3" x14ac:dyDescent="0.35">
      <c r="A88" s="10" t="e">
        <f>+_xlfn.XLOOKUP(B88,MASTER!B:B,MASTER!C:C)</f>
        <v>#N/A</v>
      </c>
      <c r="B88" t="s">
        <v>661</v>
      </c>
      <c r="C88" s="10" t="e">
        <f>+_xlfn.XLOOKUP(B88,MASTER!B:B,MASTER!I:I)</f>
        <v>#N/A</v>
      </c>
    </row>
  </sheetData>
  <autoFilter ref="E1:G47" xr:uid="{DA67C67B-47BF-49F3-8E9D-B6D0BED9D972}">
    <filterColumn colId="2">
      <filters>
        <filter val="Activo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54D6A-9EA9-4EE7-AC8A-EAEF58532C37}">
  <sheetPr filterMode="1"/>
  <dimension ref="A1:M585"/>
  <sheetViews>
    <sheetView topLeftCell="C1" workbookViewId="0">
      <selection sqref="A1:XFD1048576"/>
    </sheetView>
  </sheetViews>
  <sheetFormatPr baseColWidth="10" defaultColWidth="11.453125" defaultRowHeight="16.5" x14ac:dyDescent="0.35"/>
  <cols>
    <col min="2" max="2" width="16.453125" style="10" bestFit="1" customWidth="1"/>
    <col min="3" max="3" width="50.26953125" style="10" customWidth="1"/>
    <col min="4" max="4" width="13.453125" style="10" customWidth="1"/>
    <col min="5" max="5" width="12" style="10" customWidth="1"/>
    <col min="6" max="7" width="10.81640625" style="10" customWidth="1"/>
    <col min="8" max="8" width="18.453125" style="10" customWidth="1"/>
    <col min="9" max="9" width="23.453125" style="10" customWidth="1"/>
    <col min="10" max="10" width="12" style="10" bestFit="1" customWidth="1"/>
  </cols>
  <sheetData>
    <row r="1" spans="1:13" ht="23.25" customHeigh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647</v>
      </c>
      <c r="L1" t="s">
        <v>648</v>
      </c>
      <c r="M1" t="s">
        <v>649</v>
      </c>
    </row>
    <row r="2" spans="1:13" ht="14.5" hidden="1" x14ac:dyDescent="0.35">
      <c r="A2" s="10">
        <v>100024998</v>
      </c>
      <c r="B2">
        <v>7311250046988</v>
      </c>
      <c r="C2" s="10" t="s">
        <v>10</v>
      </c>
      <c r="D2" t="s">
        <v>11</v>
      </c>
      <c r="E2" s="10" t="s">
        <v>12</v>
      </c>
      <c r="F2" t="s">
        <v>13</v>
      </c>
      <c r="G2" t="s">
        <v>14</v>
      </c>
      <c r="H2" t="s">
        <v>15</v>
      </c>
      <c r="I2" t="s">
        <v>16</v>
      </c>
      <c r="J2" s="10" t="str">
        <f>+_xlfn.XLOOKUP(B2,INNOVACIÓN!A:A,INNOVACIÓN!B:B,"NO")</f>
        <v>NO</v>
      </c>
      <c r="K2" s="10" t="str">
        <f>+_xlfn.XLOOKUP(B2,MERMA!B:B,MERMA!C:C,"No")</f>
        <v>No</v>
      </c>
      <c r="L2" s="10" t="str">
        <f>+_xlfn.XLOOKUP(B2,MERMA!B:B,MERMA!D:D,"No es merma")</f>
        <v>No es merma</v>
      </c>
    </row>
    <row r="3" spans="1:13" ht="14.5" hidden="1" x14ac:dyDescent="0.35">
      <c r="A3" s="10">
        <v>100024997</v>
      </c>
      <c r="B3">
        <v>7311250046971</v>
      </c>
      <c r="C3" s="10" t="s">
        <v>17</v>
      </c>
      <c r="D3" t="s">
        <v>11</v>
      </c>
      <c r="E3" s="10" t="s">
        <v>12</v>
      </c>
      <c r="F3" t="s">
        <v>13</v>
      </c>
      <c r="G3" t="s">
        <v>14</v>
      </c>
      <c r="H3" t="s">
        <v>15</v>
      </c>
      <c r="I3" t="s">
        <v>16</v>
      </c>
      <c r="J3" s="10" t="str">
        <f>+_xlfn.XLOOKUP(B3,INNOVACIÓN!A:A,INNOVACIÓN!B:B,"NO")</f>
        <v>NO</v>
      </c>
      <c r="K3" s="10" t="str">
        <f>+_xlfn.XLOOKUP(B3,MERMA!B:B,MERMA!C:C,"No")</f>
        <v>No</v>
      </c>
      <c r="L3" s="10" t="str">
        <f>+_xlfn.XLOOKUP(B3,MERMA!B:B,MERMA!D:D,"No es merma")</f>
        <v>No es merma</v>
      </c>
    </row>
    <row r="4" spans="1:13" ht="14.5" hidden="1" x14ac:dyDescent="0.35">
      <c r="A4" s="10">
        <v>100025304</v>
      </c>
      <c r="B4">
        <v>7311250048388</v>
      </c>
      <c r="C4" s="10" t="s">
        <v>18</v>
      </c>
      <c r="D4" t="s">
        <v>11</v>
      </c>
      <c r="E4" s="10" t="s">
        <v>12</v>
      </c>
      <c r="F4" t="s">
        <v>13</v>
      </c>
      <c r="G4" t="s">
        <v>14</v>
      </c>
      <c r="H4" t="s">
        <v>15</v>
      </c>
      <c r="I4" t="s">
        <v>16</v>
      </c>
      <c r="J4" s="10" t="str">
        <f>+_xlfn.XLOOKUP(B4,INNOVACIÓN!A:A,INNOVACIÓN!B:B,"NO")</f>
        <v>NO</v>
      </c>
      <c r="K4" s="10" t="str">
        <f>+_xlfn.XLOOKUP(B4,MERMA!B:B,MERMA!C:C,"No")</f>
        <v>No</v>
      </c>
      <c r="L4" s="10" t="str">
        <f>+_xlfn.XLOOKUP(B4,MERMA!B:B,MERMA!D:D,"No es merma")</f>
        <v>No es merma</v>
      </c>
    </row>
    <row r="5" spans="1:13" ht="14.5" hidden="1" x14ac:dyDescent="0.35">
      <c r="A5" s="10">
        <v>100026067</v>
      </c>
      <c r="B5">
        <v>7311250035579</v>
      </c>
      <c r="C5" s="10" t="s">
        <v>19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  <c r="J5" s="10" t="str">
        <f>+_xlfn.XLOOKUP(B5,INNOVACIÓN!A:A,INNOVACIÓN!B:B,"NO")</f>
        <v>NO</v>
      </c>
      <c r="K5" s="10" t="str">
        <f>+_xlfn.XLOOKUP(B5,MERMA!B:B,MERMA!C:C,"No")</f>
        <v>No</v>
      </c>
      <c r="L5" s="10" t="str">
        <f>+_xlfn.XLOOKUP(B5,MERMA!B:B,MERMA!D:D,"No es merma")</f>
        <v>No es merma</v>
      </c>
    </row>
    <row r="6" spans="1:13" ht="14.5" hidden="1" x14ac:dyDescent="0.35">
      <c r="A6" s="10">
        <v>100026065</v>
      </c>
      <c r="B6">
        <v>7311250035593</v>
      </c>
      <c r="C6" s="10" t="s">
        <v>20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  <c r="J6" s="10" t="str">
        <f>+_xlfn.XLOOKUP(B6,INNOVACIÓN!A:A,INNOVACIÓN!B:B,"NO")</f>
        <v>NO</v>
      </c>
      <c r="K6" s="10" t="str">
        <f>+_xlfn.XLOOKUP(B6,MERMA!B:B,MERMA!C:C,"No")</f>
        <v>No</v>
      </c>
      <c r="L6" s="10" t="str">
        <f>+_xlfn.XLOOKUP(B6,MERMA!B:B,MERMA!D:D,"No es merma")</f>
        <v>No es merma</v>
      </c>
    </row>
    <row r="7" spans="1:13" ht="14.5" hidden="1" x14ac:dyDescent="0.35">
      <c r="A7" s="10">
        <v>100024400</v>
      </c>
      <c r="B7">
        <v>7311250044441</v>
      </c>
      <c r="C7" s="10" t="s">
        <v>21</v>
      </c>
      <c r="D7" t="s">
        <v>11</v>
      </c>
      <c r="E7" t="s">
        <v>33</v>
      </c>
      <c r="F7" t="s">
        <v>13</v>
      </c>
      <c r="G7" t="s">
        <v>14</v>
      </c>
      <c r="H7" t="s">
        <v>15</v>
      </c>
      <c r="I7" t="s">
        <v>109</v>
      </c>
      <c r="J7" s="10" t="str">
        <f>+_xlfn.XLOOKUP(B7,INNOVACIÓN!A:A,INNOVACIÓN!B:B,"NO")</f>
        <v>NO</v>
      </c>
      <c r="K7" s="10" t="str">
        <f>+_xlfn.XLOOKUP(B7,MERMA!B:B,MERMA!C:C,"No")</f>
        <v>No</v>
      </c>
      <c r="L7" s="10" t="str">
        <f>+_xlfn.XLOOKUP(B7,MERMA!B:B,MERMA!D:D,"No es merma")</f>
        <v>No es merma</v>
      </c>
    </row>
    <row r="8" spans="1:13" ht="14.5" hidden="1" x14ac:dyDescent="0.35">
      <c r="A8">
        <v>100024295</v>
      </c>
      <c r="B8">
        <v>7311250044434</v>
      </c>
      <c r="C8" t="s">
        <v>22</v>
      </c>
      <c r="D8" t="s">
        <v>11</v>
      </c>
      <c r="E8" t="s">
        <v>33</v>
      </c>
      <c r="F8" t="s">
        <v>13</v>
      </c>
      <c r="G8" t="s">
        <v>14</v>
      </c>
      <c r="H8" t="s">
        <v>15</v>
      </c>
      <c r="I8" t="s">
        <v>109</v>
      </c>
      <c r="J8" s="10" t="str">
        <f>+_xlfn.XLOOKUP(B8,INNOVACIÓN!A:A,INNOVACIÓN!B:B,"NO")</f>
        <v>NO</v>
      </c>
      <c r="K8" s="10" t="str">
        <f>+_xlfn.XLOOKUP(B8,MERMA!B:B,MERMA!C:C,"No")</f>
        <v>No</v>
      </c>
      <c r="L8" s="10" t="str">
        <f>+_xlfn.XLOOKUP(B8,MERMA!B:B,MERMA!D:D,"No es merma")</f>
        <v>No es merma</v>
      </c>
    </row>
    <row r="9" spans="1:13" ht="14.5" hidden="1" x14ac:dyDescent="0.35">
      <c r="A9" s="10">
        <v>100024399</v>
      </c>
      <c r="B9">
        <v>7311250044403</v>
      </c>
      <c r="C9" s="10" t="s">
        <v>23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  <c r="I9" t="s">
        <v>16</v>
      </c>
      <c r="J9" s="10" t="str">
        <f>+_xlfn.XLOOKUP(B9,INNOVACIÓN!A:A,INNOVACIÓN!B:B,"NO")</f>
        <v>NO</v>
      </c>
      <c r="K9" s="10" t="str">
        <f>+_xlfn.XLOOKUP(B9,MERMA!B:B,MERMA!C:C,"No")</f>
        <v>No</v>
      </c>
      <c r="L9" s="10" t="str">
        <f>+_xlfn.XLOOKUP(B9,MERMA!B:B,MERMA!D:D,"No es merma")</f>
        <v>No es merma</v>
      </c>
    </row>
    <row r="10" spans="1:13" ht="14.5" hidden="1" x14ac:dyDescent="0.35">
      <c r="A10">
        <v>100024294</v>
      </c>
      <c r="B10">
        <v>7311250044397</v>
      </c>
      <c r="C10" t="s">
        <v>24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  <c r="I10" t="s">
        <v>16</v>
      </c>
      <c r="J10" s="10" t="str">
        <f>+_xlfn.XLOOKUP(B10,INNOVACIÓN!A:A,INNOVACIÓN!B:B,"NO")</f>
        <v>NO</v>
      </c>
      <c r="K10" s="10" t="str">
        <f>+_xlfn.XLOOKUP(B10,MERMA!B:B,MERMA!C:C,"No")</f>
        <v>No</v>
      </c>
      <c r="L10" s="10" t="str">
        <f>+_xlfn.XLOOKUP(B10,MERMA!B:B,MERMA!D:D,"No es merma")</f>
        <v>No es merma</v>
      </c>
    </row>
    <row r="11" spans="1:13" ht="14.5" hidden="1" x14ac:dyDescent="0.35">
      <c r="A11" s="10">
        <v>100026064</v>
      </c>
      <c r="B11">
        <v>7311250035562</v>
      </c>
      <c r="C11" s="10" t="s">
        <v>25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  <c r="I11" t="s">
        <v>16</v>
      </c>
      <c r="J11" s="10" t="str">
        <f>+_xlfn.XLOOKUP(B11,INNOVACIÓN!A:A,INNOVACIÓN!B:B,"NO")</f>
        <v>NO</v>
      </c>
      <c r="K11" s="10" t="str">
        <f>+_xlfn.XLOOKUP(B11,MERMA!B:B,MERMA!C:C,"No")</f>
        <v>No</v>
      </c>
      <c r="L11" s="10" t="str">
        <f>+_xlfn.XLOOKUP(B11,MERMA!B:B,MERMA!D:D,"No es merma")</f>
        <v>No es merma</v>
      </c>
    </row>
    <row r="12" spans="1:13" ht="14.5" hidden="1" x14ac:dyDescent="0.35">
      <c r="A12" s="10">
        <v>100024398</v>
      </c>
      <c r="B12">
        <v>7311250044427</v>
      </c>
      <c r="C12" s="10" t="s">
        <v>26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  <c r="I12" t="s">
        <v>16</v>
      </c>
      <c r="J12" s="10" t="str">
        <f>+_xlfn.XLOOKUP(B12,INNOVACIÓN!A:A,INNOVACIÓN!B:B,"NO")</f>
        <v>NO</v>
      </c>
      <c r="K12" s="10" t="str">
        <f>+_xlfn.XLOOKUP(B12,MERMA!B:B,MERMA!C:C,"No")</f>
        <v>No</v>
      </c>
      <c r="L12" s="10" t="str">
        <f>+_xlfn.XLOOKUP(B12,MERMA!B:B,MERMA!D:D,"No es merma")</f>
        <v>No es merma</v>
      </c>
    </row>
    <row r="13" spans="1:13" ht="14.5" hidden="1" x14ac:dyDescent="0.35">
      <c r="A13">
        <v>100024293</v>
      </c>
      <c r="B13">
        <v>7311250044410</v>
      </c>
      <c r="C13" t="s">
        <v>27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  <c r="I13" t="s">
        <v>16</v>
      </c>
      <c r="J13" s="10" t="str">
        <f>+_xlfn.XLOOKUP(B13,INNOVACIÓN!A:A,INNOVACIÓN!B:B,"NO")</f>
        <v>NO</v>
      </c>
      <c r="K13" s="10" t="str">
        <f>+_xlfn.XLOOKUP(B13,MERMA!B:B,MERMA!C:C,"No")</f>
        <v>No</v>
      </c>
      <c r="L13" s="10" t="str">
        <f>+_xlfn.XLOOKUP(B13,MERMA!B:B,MERMA!D:D,"No es merma")</f>
        <v>No es merma</v>
      </c>
    </row>
    <row r="14" spans="1:13" ht="14.5" hidden="1" x14ac:dyDescent="0.35">
      <c r="A14" s="10">
        <v>100024397</v>
      </c>
      <c r="B14">
        <v>7311250044380</v>
      </c>
      <c r="C14" s="10" t="s">
        <v>28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  <c r="I14" t="s">
        <v>16</v>
      </c>
      <c r="J14" s="10" t="str">
        <f>+_xlfn.XLOOKUP(B14,INNOVACIÓN!A:A,INNOVACIÓN!B:B,"NO")</f>
        <v>NO</v>
      </c>
      <c r="K14" s="10" t="str">
        <f>+_xlfn.XLOOKUP(B14,MERMA!B:B,MERMA!C:C,"No")</f>
        <v>No</v>
      </c>
      <c r="L14" s="10" t="str">
        <f>+_xlfn.XLOOKUP(B14,MERMA!B:B,MERMA!D:D,"No es merma")</f>
        <v>No es merma</v>
      </c>
    </row>
    <row r="15" spans="1:13" ht="14.5" hidden="1" x14ac:dyDescent="0.35">
      <c r="A15">
        <v>100024289</v>
      </c>
      <c r="B15">
        <v>7311250044373</v>
      </c>
      <c r="C15" t="s">
        <v>29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  <c r="I15" t="s">
        <v>16</v>
      </c>
      <c r="J15" s="10" t="str">
        <f>+_xlfn.XLOOKUP(B15,INNOVACIÓN!A:A,INNOVACIÓN!B:B,"NO")</f>
        <v>NO</v>
      </c>
      <c r="K15" s="10" t="str">
        <f>+_xlfn.XLOOKUP(B15,MERMA!B:B,MERMA!C:C,"No")</f>
        <v>No</v>
      </c>
      <c r="L15" s="10" t="str">
        <f>+_xlfn.XLOOKUP(B15,MERMA!B:B,MERMA!D:D,"No es merma")</f>
        <v>No es merma</v>
      </c>
    </row>
    <row r="16" spans="1:13" ht="14.5" hidden="1" x14ac:dyDescent="0.35">
      <c r="A16" s="10">
        <v>100026062</v>
      </c>
      <c r="B16">
        <v>7311250035555</v>
      </c>
      <c r="C16" s="10" t="s">
        <v>30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  <c r="I16" t="s">
        <v>16</v>
      </c>
      <c r="J16" s="10" t="str">
        <f>+_xlfn.XLOOKUP(B16,INNOVACIÓN!A:A,INNOVACIÓN!B:B,"NO")</f>
        <v>NO</v>
      </c>
      <c r="K16" s="10" t="str">
        <f>+_xlfn.XLOOKUP(B16,MERMA!B:B,MERMA!C:C,"No")</f>
        <v>No</v>
      </c>
      <c r="L16" s="10" t="str">
        <f>+_xlfn.XLOOKUP(B16,MERMA!B:B,MERMA!D:D,"No es merma")</f>
        <v>No es merma</v>
      </c>
    </row>
    <row r="17" spans="1:12" ht="14.5" hidden="1" x14ac:dyDescent="0.35">
      <c r="A17">
        <v>100022995</v>
      </c>
      <c r="B17">
        <v>7503023959520</v>
      </c>
      <c r="C17" t="s">
        <v>31</v>
      </c>
      <c r="D17" t="s">
        <v>32</v>
      </c>
      <c r="E17" t="s">
        <v>589</v>
      </c>
      <c r="F17" t="s">
        <v>609</v>
      </c>
      <c r="G17" t="s">
        <v>35</v>
      </c>
      <c r="H17" t="s">
        <v>36</v>
      </c>
      <c r="I17" t="s">
        <v>16</v>
      </c>
      <c r="J17" s="10" t="str">
        <f>+_xlfn.XLOOKUP(B17,INNOVACIÓN!A:A,INNOVACIÓN!B:B,"NO")</f>
        <v>NO</v>
      </c>
      <c r="K17" s="10" t="str">
        <f>+_xlfn.XLOOKUP(B17,MERMA!B:B,MERMA!C:C,"No")</f>
        <v>No</v>
      </c>
      <c r="L17" s="10" t="str">
        <f>+_xlfn.XLOOKUP(B17,MERMA!B:B,MERMA!D:D,"No es merma")</f>
        <v>No es merma</v>
      </c>
    </row>
    <row r="18" spans="1:12" ht="14.5" hidden="1" x14ac:dyDescent="0.35">
      <c r="A18">
        <v>100022996</v>
      </c>
      <c r="B18">
        <v>7503023959513</v>
      </c>
      <c r="C18" t="s">
        <v>37</v>
      </c>
      <c r="D18" t="s">
        <v>32</v>
      </c>
      <c r="E18" t="s">
        <v>589</v>
      </c>
      <c r="F18" t="s">
        <v>609</v>
      </c>
      <c r="G18" t="s">
        <v>35</v>
      </c>
      <c r="H18" t="s">
        <v>36</v>
      </c>
      <c r="I18" t="s">
        <v>16</v>
      </c>
      <c r="J18" s="10" t="str">
        <f>+_xlfn.XLOOKUP(B18,INNOVACIÓN!A:A,INNOVACIÓN!B:B,"NO")</f>
        <v>NO</v>
      </c>
      <c r="K18" s="10" t="str">
        <f>+_xlfn.XLOOKUP(B18,MERMA!B:B,MERMA!C:C,"No")</f>
        <v>No</v>
      </c>
      <c r="L18" s="10" t="str">
        <f>+_xlfn.XLOOKUP(B18,MERMA!B:B,MERMA!D:D,"No es merma")</f>
        <v>No es merma</v>
      </c>
    </row>
    <row r="19" spans="1:12" ht="14.5" hidden="1" x14ac:dyDescent="0.35">
      <c r="A19" s="10">
        <v>100025162</v>
      </c>
      <c r="B19">
        <v>7503023959452</v>
      </c>
      <c r="C19" s="10" t="s">
        <v>38</v>
      </c>
      <c r="D19" t="s">
        <v>32</v>
      </c>
      <c r="E19" t="s">
        <v>589</v>
      </c>
      <c r="F19" t="s">
        <v>41</v>
      </c>
      <c r="G19" t="s">
        <v>35</v>
      </c>
      <c r="H19" t="s">
        <v>36</v>
      </c>
      <c r="I19" t="s">
        <v>16</v>
      </c>
      <c r="J19" s="10" t="str">
        <f>+_xlfn.XLOOKUP(B19,INNOVACIÓN!A:A,INNOVACIÓN!B:B,"NO")</f>
        <v>NO</v>
      </c>
      <c r="K19" s="10" t="str">
        <f>+_xlfn.XLOOKUP(B19,MERMA!B:B,MERMA!C:C,"No")</f>
        <v>No</v>
      </c>
      <c r="L19" s="10" t="str">
        <f>+_xlfn.XLOOKUP(B19,MERMA!B:B,MERMA!D:D,"No es merma")</f>
        <v>No es merma</v>
      </c>
    </row>
    <row r="20" spans="1:12" ht="14.5" hidden="1" x14ac:dyDescent="0.35">
      <c r="A20">
        <v>100080896</v>
      </c>
      <c r="B20">
        <v>40331362</v>
      </c>
      <c r="C20" t="s">
        <v>40</v>
      </c>
      <c r="D20" t="s">
        <v>32</v>
      </c>
      <c r="E20" t="s">
        <v>589</v>
      </c>
      <c r="F20" t="s">
        <v>41</v>
      </c>
      <c r="G20" t="s">
        <v>35</v>
      </c>
      <c r="H20" t="s">
        <v>36</v>
      </c>
      <c r="I20" t="s">
        <v>16</v>
      </c>
      <c r="J20" s="10" t="str">
        <f>+_xlfn.XLOOKUP(B20,INNOVACIÓN!A:A,INNOVACIÓN!B:B,"NO")</f>
        <v>NO</v>
      </c>
      <c r="K20" s="10" t="str">
        <f>+_xlfn.XLOOKUP(B20,MERMA!B:B,MERMA!C:C,"No")</f>
        <v>No</v>
      </c>
      <c r="L20" s="10" t="str">
        <f>+_xlfn.XLOOKUP(B20,MERMA!B:B,MERMA!D:D,"No es merma")</f>
        <v>No es merma</v>
      </c>
    </row>
    <row r="21" spans="1:12" ht="14.5" hidden="1" x14ac:dyDescent="0.35">
      <c r="A21">
        <v>100080898</v>
      </c>
      <c r="B21">
        <v>42138051</v>
      </c>
      <c r="C21" t="s">
        <v>42</v>
      </c>
      <c r="D21" t="s">
        <v>32</v>
      </c>
      <c r="E21" t="s">
        <v>589</v>
      </c>
      <c r="F21" t="s">
        <v>41</v>
      </c>
      <c r="G21" t="s">
        <v>35</v>
      </c>
      <c r="H21" t="s">
        <v>36</v>
      </c>
      <c r="I21" t="s">
        <v>16</v>
      </c>
      <c r="J21" s="10" t="str">
        <f>+_xlfn.XLOOKUP(B21,INNOVACIÓN!A:A,INNOVACIÓN!B:B,"NO")</f>
        <v>NO</v>
      </c>
      <c r="K21" s="10" t="str">
        <f>+_xlfn.XLOOKUP(B21,MERMA!B:B,MERMA!C:C,"No")</f>
        <v>No</v>
      </c>
      <c r="L21" s="10" t="str">
        <f>+_xlfn.XLOOKUP(B21,MERMA!B:B,MERMA!D:D,"No es merma")</f>
        <v>No es merma</v>
      </c>
    </row>
    <row r="22" spans="1:12" ht="14.5" hidden="1" x14ac:dyDescent="0.35">
      <c r="A22" s="10">
        <v>100025053</v>
      </c>
      <c r="B22">
        <v>75081942</v>
      </c>
      <c r="C22" s="10" t="s">
        <v>43</v>
      </c>
      <c r="D22" t="s">
        <v>44</v>
      </c>
      <c r="E22" t="s">
        <v>33</v>
      </c>
      <c r="F22" t="s">
        <v>46</v>
      </c>
      <c r="G22" t="s">
        <v>14</v>
      </c>
      <c r="H22" t="s">
        <v>36</v>
      </c>
      <c r="I22" t="s">
        <v>109</v>
      </c>
      <c r="J22" s="10" t="str">
        <f>+_xlfn.XLOOKUP(B22,INNOVACIÓN!A:A,INNOVACIÓN!B:B,"NO")</f>
        <v>NO</v>
      </c>
      <c r="K22" s="10" t="str">
        <f>+_xlfn.XLOOKUP(B22,MERMA!B:B,MERMA!C:C,"No")</f>
        <v>SI</v>
      </c>
      <c r="L22" s="10" t="str">
        <f>+_xlfn.XLOOKUP(B22,MERMA!B:B,MERMA!D:D,"No es merma")</f>
        <v>2026 H1</v>
      </c>
    </row>
    <row r="23" spans="1:12" ht="14.5" hidden="1" x14ac:dyDescent="0.35">
      <c r="A23" s="10">
        <v>100024321</v>
      </c>
      <c r="B23" s="10">
        <v>75080679</v>
      </c>
      <c r="C23" s="10" t="s">
        <v>47</v>
      </c>
      <c r="D23" t="s">
        <v>44</v>
      </c>
      <c r="E23" t="s">
        <v>33</v>
      </c>
      <c r="F23" t="s">
        <v>41</v>
      </c>
      <c r="G23" t="s">
        <v>35</v>
      </c>
      <c r="H23" t="s">
        <v>36</v>
      </c>
      <c r="I23" t="s">
        <v>109</v>
      </c>
      <c r="J23" s="10" t="str">
        <f>+_xlfn.XLOOKUP(B23,INNOVACIÓN!A:A,INNOVACIÓN!B:B,"NO")</f>
        <v>NO</v>
      </c>
      <c r="K23" s="10" t="str">
        <f>+_xlfn.XLOOKUP(B23,MERMA!B:B,MERMA!C:C,"No")</f>
        <v>SI</v>
      </c>
      <c r="L23" s="10" t="str">
        <f>+_xlfn.XLOOKUP(B23,MERMA!B:B,MERMA!D:D,"No es merma")</f>
        <v>2026 H1</v>
      </c>
    </row>
    <row r="24" spans="1:12" ht="14.5" hidden="1" x14ac:dyDescent="0.35">
      <c r="A24">
        <v>100012153</v>
      </c>
      <c r="B24">
        <v>75063504</v>
      </c>
      <c r="C24" t="s">
        <v>48</v>
      </c>
      <c r="D24" t="s">
        <v>44</v>
      </c>
      <c r="E24" t="s">
        <v>45</v>
      </c>
      <c r="F24" t="s">
        <v>39</v>
      </c>
      <c r="G24" t="s">
        <v>14</v>
      </c>
      <c r="H24" t="s">
        <v>36</v>
      </c>
      <c r="I24" t="s">
        <v>16</v>
      </c>
      <c r="J24" s="10" t="str">
        <f>+_xlfn.XLOOKUP(B24,INNOVACIÓN!A:A,INNOVACIÓN!B:B,"NO")</f>
        <v>NO</v>
      </c>
      <c r="K24" s="10" t="str">
        <f>+_xlfn.XLOOKUP(B24,MERMA!B:B,MERMA!C:C,"No")</f>
        <v>No</v>
      </c>
      <c r="L24" s="10" t="str">
        <f>+_xlfn.XLOOKUP(B24,MERMA!B:B,MERMA!D:D,"No es merma")</f>
        <v>No es merma</v>
      </c>
    </row>
    <row r="25" spans="1:12" ht="14.5" hidden="1" x14ac:dyDescent="0.35">
      <c r="A25">
        <v>100080955</v>
      </c>
      <c r="B25">
        <v>75046521</v>
      </c>
      <c r="C25" t="s">
        <v>49</v>
      </c>
      <c r="D25" t="s">
        <v>44</v>
      </c>
      <c r="E25" t="s">
        <v>45</v>
      </c>
      <c r="F25" t="s">
        <v>46</v>
      </c>
      <c r="G25" t="s">
        <v>35</v>
      </c>
      <c r="H25" t="s">
        <v>36</v>
      </c>
      <c r="I25" t="s">
        <v>16</v>
      </c>
      <c r="J25" s="10" t="str">
        <f>+_xlfn.XLOOKUP(B25,INNOVACIÓN!A:A,INNOVACIÓN!B:B,"NO")</f>
        <v>NO</v>
      </c>
      <c r="K25" s="10" t="str">
        <f>+_xlfn.XLOOKUP(B25,MERMA!B:B,MERMA!C:C,"No")</f>
        <v>No</v>
      </c>
      <c r="L25" s="10" t="str">
        <f>+_xlfn.XLOOKUP(B25,MERMA!B:B,MERMA!D:D,"No es merma")</f>
        <v>No es merma</v>
      </c>
    </row>
    <row r="26" spans="1:12" ht="14.5" hidden="1" x14ac:dyDescent="0.35">
      <c r="A26">
        <v>100080952</v>
      </c>
      <c r="B26">
        <v>75046545</v>
      </c>
      <c r="C26" t="s">
        <v>50</v>
      </c>
      <c r="D26" t="s">
        <v>44</v>
      </c>
      <c r="E26" t="s">
        <v>45</v>
      </c>
      <c r="F26" t="s">
        <v>46</v>
      </c>
      <c r="G26" t="s">
        <v>35</v>
      </c>
      <c r="H26" t="s">
        <v>36</v>
      </c>
      <c r="I26" t="s">
        <v>16</v>
      </c>
      <c r="J26" s="10" t="str">
        <f>+_xlfn.XLOOKUP(B26,INNOVACIÓN!A:A,INNOVACIÓN!B:B,"NO")</f>
        <v>NO</v>
      </c>
      <c r="K26" s="10" t="str">
        <f>+_xlfn.XLOOKUP(B26,MERMA!B:B,MERMA!C:C,"No")</f>
        <v>No</v>
      </c>
      <c r="L26" s="10" t="str">
        <f>+_xlfn.XLOOKUP(B26,MERMA!B:B,MERMA!D:D,"No es merma")</f>
        <v>No es merma</v>
      </c>
    </row>
    <row r="27" spans="1:12" ht="14.5" hidden="1" x14ac:dyDescent="0.35">
      <c r="A27">
        <v>100004788</v>
      </c>
      <c r="B27">
        <v>75051785</v>
      </c>
      <c r="C27" t="s">
        <v>51</v>
      </c>
      <c r="D27" t="s">
        <v>44</v>
      </c>
      <c r="E27" t="s">
        <v>45</v>
      </c>
      <c r="F27" t="s">
        <v>39</v>
      </c>
      <c r="G27" t="s">
        <v>52</v>
      </c>
      <c r="H27" t="s">
        <v>36</v>
      </c>
      <c r="I27" t="s">
        <v>16</v>
      </c>
      <c r="J27" s="10" t="str">
        <f>+_xlfn.XLOOKUP(B27,INNOVACIÓN!A:A,INNOVACIÓN!B:B,"NO")</f>
        <v>NO</v>
      </c>
      <c r="K27" s="10" t="str">
        <f>+_xlfn.XLOOKUP(B27,MERMA!B:B,MERMA!C:C,"No")</f>
        <v>No</v>
      </c>
      <c r="L27" s="10" t="str">
        <f>+_xlfn.XLOOKUP(B27,MERMA!B:B,MERMA!D:D,"No es merma")</f>
        <v>No es merma</v>
      </c>
    </row>
    <row r="28" spans="1:12" ht="14.5" hidden="1" x14ac:dyDescent="0.35">
      <c r="A28">
        <v>100019550</v>
      </c>
      <c r="B28">
        <v>75074227</v>
      </c>
      <c r="C28" t="s">
        <v>53</v>
      </c>
      <c r="D28" t="s">
        <v>44</v>
      </c>
      <c r="E28" t="s">
        <v>45</v>
      </c>
      <c r="F28" t="s">
        <v>46</v>
      </c>
      <c r="G28" t="s">
        <v>54</v>
      </c>
      <c r="H28" t="s">
        <v>36</v>
      </c>
      <c r="I28" t="s">
        <v>16</v>
      </c>
      <c r="J28" s="10" t="str">
        <f>+_xlfn.XLOOKUP(B28,INNOVACIÓN!A:A,INNOVACIÓN!B:B,"NO")</f>
        <v>NO</v>
      </c>
      <c r="K28" s="10" t="str">
        <f>+_xlfn.XLOOKUP(B28,MERMA!B:B,MERMA!C:C,"No")</f>
        <v>No</v>
      </c>
      <c r="L28" s="10" t="str">
        <f>+_xlfn.XLOOKUP(B28,MERMA!B:B,MERMA!D:D,"No es merma")</f>
        <v>No es merma</v>
      </c>
    </row>
    <row r="29" spans="1:12" ht="14.5" hidden="1" x14ac:dyDescent="0.35">
      <c r="A29">
        <v>100012997</v>
      </c>
      <c r="B29">
        <v>75064716</v>
      </c>
      <c r="C29" t="s">
        <v>55</v>
      </c>
      <c r="D29" t="s">
        <v>44</v>
      </c>
      <c r="E29" t="s">
        <v>45</v>
      </c>
      <c r="F29" t="s">
        <v>46</v>
      </c>
      <c r="G29" t="s">
        <v>14</v>
      </c>
      <c r="H29" t="s">
        <v>36</v>
      </c>
      <c r="I29" t="s">
        <v>16</v>
      </c>
      <c r="J29" s="10" t="str">
        <f>+_xlfn.XLOOKUP(B29,INNOVACIÓN!A:A,INNOVACIÓN!B:B,"NO")</f>
        <v>NO</v>
      </c>
      <c r="K29" s="10" t="str">
        <f>+_xlfn.XLOOKUP(B29,MERMA!B:B,MERMA!C:C,"No")</f>
        <v>No</v>
      </c>
      <c r="L29" s="10" t="str">
        <f>+_xlfn.XLOOKUP(B29,MERMA!B:B,MERMA!D:D,"No es merma")</f>
        <v>No es merma</v>
      </c>
    </row>
    <row r="30" spans="1:12" ht="14.5" hidden="1" x14ac:dyDescent="0.35">
      <c r="A30" s="10">
        <v>100026068</v>
      </c>
      <c r="B30">
        <v>75084332</v>
      </c>
      <c r="C30" s="10" t="s">
        <v>56</v>
      </c>
      <c r="D30" t="s">
        <v>44</v>
      </c>
      <c r="E30" t="s">
        <v>33</v>
      </c>
      <c r="F30" t="s">
        <v>46</v>
      </c>
      <c r="H30" t="s">
        <v>36</v>
      </c>
      <c r="I30" t="s">
        <v>109</v>
      </c>
      <c r="J30" s="10" t="str">
        <f>+_xlfn.XLOOKUP(B30,INNOVACIÓN!A:A,INNOVACIÓN!B:B,"NO")</f>
        <v>NO</v>
      </c>
      <c r="K30" s="10" t="str">
        <f>+_xlfn.XLOOKUP(B30,MERMA!B:B,MERMA!C:C,"No")</f>
        <v>SI</v>
      </c>
      <c r="L30" s="10" t="str">
        <f>+_xlfn.XLOOKUP(B30,MERMA!B:B,MERMA!D:D,"No es merma")</f>
        <v>2026 H1</v>
      </c>
    </row>
    <row r="31" spans="1:12" ht="14.5" hidden="1" x14ac:dyDescent="0.35">
      <c r="A31">
        <v>100011590</v>
      </c>
      <c r="B31">
        <v>7501031700028</v>
      </c>
      <c r="C31" t="s">
        <v>57</v>
      </c>
      <c r="D31" t="s">
        <v>44</v>
      </c>
      <c r="E31" t="s">
        <v>45</v>
      </c>
      <c r="F31" t="s">
        <v>39</v>
      </c>
      <c r="G31" t="s">
        <v>58</v>
      </c>
      <c r="H31" t="s">
        <v>36</v>
      </c>
      <c r="I31" t="s">
        <v>16</v>
      </c>
      <c r="J31" s="10" t="str">
        <f>+_xlfn.XLOOKUP(B31,INNOVACIÓN!A:A,INNOVACIÓN!B:B,"NO")</f>
        <v>NO</v>
      </c>
      <c r="K31" s="10" t="str">
        <f>+_xlfn.XLOOKUP(B31,MERMA!B:B,MERMA!C:C,"No")</f>
        <v>No</v>
      </c>
      <c r="L31" s="10" t="str">
        <f>+_xlfn.XLOOKUP(B31,MERMA!B:B,MERMA!D:D,"No es merma")</f>
        <v>No es merma</v>
      </c>
    </row>
    <row r="32" spans="1:12" ht="14.5" hidden="1" x14ac:dyDescent="0.35">
      <c r="A32">
        <v>100080975</v>
      </c>
      <c r="B32">
        <v>75048129</v>
      </c>
      <c r="C32" t="s">
        <v>59</v>
      </c>
      <c r="D32" t="s">
        <v>44</v>
      </c>
      <c r="E32" t="s">
        <v>45</v>
      </c>
      <c r="F32" t="s">
        <v>46</v>
      </c>
      <c r="G32" t="s">
        <v>35</v>
      </c>
      <c r="H32" t="s">
        <v>36</v>
      </c>
      <c r="I32" t="s">
        <v>16</v>
      </c>
      <c r="J32" s="10" t="str">
        <f>+_xlfn.XLOOKUP(B32,INNOVACIÓN!A:A,INNOVACIÓN!B:B,"NO")</f>
        <v>NO</v>
      </c>
      <c r="K32" s="10" t="str">
        <f>+_xlfn.XLOOKUP(B32,MERMA!B:B,MERMA!C:C,"No")</f>
        <v>No</v>
      </c>
      <c r="L32" s="10" t="str">
        <f>+_xlfn.XLOOKUP(B32,MERMA!B:B,MERMA!D:D,"No es merma")</f>
        <v>No es merma</v>
      </c>
    </row>
    <row r="33" spans="1:12" ht="14.5" hidden="1" x14ac:dyDescent="0.35">
      <c r="A33">
        <v>100020970</v>
      </c>
      <c r="B33">
        <v>75076405</v>
      </c>
      <c r="C33" t="s">
        <v>60</v>
      </c>
      <c r="D33" t="s">
        <v>44</v>
      </c>
      <c r="E33" t="s">
        <v>61</v>
      </c>
      <c r="F33" t="s">
        <v>609</v>
      </c>
      <c r="G33" t="s">
        <v>35</v>
      </c>
      <c r="H33" t="s">
        <v>36</v>
      </c>
      <c r="I33" t="s">
        <v>16</v>
      </c>
      <c r="J33" s="10" t="str">
        <f>+_xlfn.XLOOKUP(B33,INNOVACIÓN!A:A,INNOVACIÓN!B:B,"NO")</f>
        <v>NO</v>
      </c>
      <c r="K33" s="10" t="str">
        <f>+_xlfn.XLOOKUP(B33,MERMA!B:B,MERMA!C:C,"No")</f>
        <v>No</v>
      </c>
      <c r="L33" s="10" t="str">
        <f>+_xlfn.XLOOKUP(B33,MERMA!B:B,MERMA!D:D,"No es merma")</f>
        <v>No es merma</v>
      </c>
    </row>
    <row r="34" spans="1:12" ht="14.5" hidden="1" x14ac:dyDescent="0.35">
      <c r="A34">
        <v>100020969</v>
      </c>
      <c r="B34">
        <v>75076740</v>
      </c>
      <c r="C34" t="s">
        <v>62</v>
      </c>
      <c r="D34" t="s">
        <v>44</v>
      </c>
      <c r="E34" t="s">
        <v>61</v>
      </c>
      <c r="F34" t="s">
        <v>609</v>
      </c>
      <c r="G34" t="s">
        <v>35</v>
      </c>
      <c r="H34" t="s">
        <v>36</v>
      </c>
      <c r="I34" t="s">
        <v>16</v>
      </c>
      <c r="J34" s="10" t="str">
        <f>+_xlfn.XLOOKUP(B34,INNOVACIÓN!A:A,INNOVACIÓN!B:B,"NO")</f>
        <v>NO</v>
      </c>
      <c r="K34" s="10" t="str">
        <f>+_xlfn.XLOOKUP(B34,MERMA!B:B,MERMA!C:C,"No")</f>
        <v>No</v>
      </c>
      <c r="L34" s="10" t="str">
        <f>+_xlfn.XLOOKUP(B34,MERMA!B:B,MERMA!D:D,"No es merma")</f>
        <v>No es merma</v>
      </c>
    </row>
    <row r="35" spans="1:12" ht="14.5" hidden="1" x14ac:dyDescent="0.35">
      <c r="A35">
        <v>100013075</v>
      </c>
      <c r="B35">
        <v>75064747</v>
      </c>
      <c r="C35" t="s">
        <v>63</v>
      </c>
      <c r="D35" t="s">
        <v>44</v>
      </c>
      <c r="E35" t="s">
        <v>61</v>
      </c>
      <c r="F35" t="s">
        <v>41</v>
      </c>
      <c r="G35" t="s">
        <v>35</v>
      </c>
      <c r="H35" t="s">
        <v>36</v>
      </c>
      <c r="I35" t="s">
        <v>16</v>
      </c>
      <c r="J35" s="10" t="str">
        <f>+_xlfn.XLOOKUP(B35,INNOVACIÓN!A:A,INNOVACIÓN!B:B,"NO")</f>
        <v>NO</v>
      </c>
      <c r="K35" s="10" t="str">
        <f>+_xlfn.XLOOKUP(B35,MERMA!B:B,MERMA!C:C,"No")</f>
        <v>No</v>
      </c>
      <c r="L35" s="10" t="str">
        <f>+_xlfn.XLOOKUP(B35,MERMA!B:B,MERMA!D:D,"No es merma")</f>
        <v>No es merma</v>
      </c>
    </row>
    <row r="36" spans="1:12" ht="14.5" hidden="1" x14ac:dyDescent="0.35">
      <c r="A36">
        <v>100013892</v>
      </c>
      <c r="B36">
        <v>75064754</v>
      </c>
      <c r="C36" t="s">
        <v>64</v>
      </c>
      <c r="D36" t="s">
        <v>44</v>
      </c>
      <c r="E36" t="s">
        <v>61</v>
      </c>
      <c r="F36" t="s">
        <v>41</v>
      </c>
      <c r="G36" t="s">
        <v>35</v>
      </c>
      <c r="H36" t="s">
        <v>36</v>
      </c>
      <c r="I36" t="s">
        <v>16</v>
      </c>
      <c r="J36" s="10" t="str">
        <f>+_xlfn.XLOOKUP(B36,INNOVACIÓN!A:A,INNOVACIÓN!B:B,"NO")</f>
        <v>NO</v>
      </c>
      <c r="K36" s="10" t="str">
        <f>+_xlfn.XLOOKUP(B36,MERMA!B:B,MERMA!C:C,"No")</f>
        <v>No</v>
      </c>
      <c r="L36" s="10" t="str">
        <f>+_xlfn.XLOOKUP(B36,MERMA!B:B,MERMA!D:D,"No es merma")</f>
        <v>No es merma</v>
      </c>
    </row>
    <row r="37" spans="1:12" ht="14.5" hidden="1" x14ac:dyDescent="0.35">
      <c r="A37">
        <v>100023317</v>
      </c>
      <c r="B37">
        <v>75078843</v>
      </c>
      <c r="C37" t="s">
        <v>65</v>
      </c>
      <c r="D37" t="s">
        <v>44</v>
      </c>
      <c r="E37" t="s">
        <v>61</v>
      </c>
      <c r="F37" t="s">
        <v>609</v>
      </c>
      <c r="G37" t="s">
        <v>35</v>
      </c>
      <c r="H37" t="s">
        <v>36</v>
      </c>
      <c r="I37" t="s">
        <v>16</v>
      </c>
      <c r="J37" s="10" t="str">
        <f>+_xlfn.XLOOKUP(B37,INNOVACIÓN!A:A,INNOVACIÓN!B:B,"NO")</f>
        <v>NO</v>
      </c>
      <c r="K37" s="10" t="str">
        <f>+_xlfn.XLOOKUP(B37,MERMA!B:B,MERMA!C:C,"No")</f>
        <v>No</v>
      </c>
      <c r="L37" s="10" t="str">
        <f>+_xlfn.XLOOKUP(B37,MERMA!B:B,MERMA!D:D,"No es merma")</f>
        <v>No es merma</v>
      </c>
    </row>
    <row r="38" spans="1:12" ht="14.5" x14ac:dyDescent="0.35">
      <c r="A38">
        <v>100016489</v>
      </c>
      <c r="B38">
        <v>75071301</v>
      </c>
      <c r="C38" t="s">
        <v>66</v>
      </c>
      <c r="D38" t="s">
        <v>44</v>
      </c>
      <c r="E38" t="s">
        <v>33</v>
      </c>
      <c r="F38" t="s">
        <v>46</v>
      </c>
      <c r="G38" t="s">
        <v>54</v>
      </c>
      <c r="H38" t="s">
        <v>36</v>
      </c>
      <c r="I38" t="s">
        <v>16</v>
      </c>
      <c r="J38" s="10" t="str">
        <f>+_xlfn.XLOOKUP(B38,INNOVACIÓN!A:A,INNOVACIÓN!B:B,"NO")</f>
        <v>NO</v>
      </c>
      <c r="K38" s="10" t="str">
        <f>+_xlfn.XLOOKUP(B38,MERMA!B:B,MERMA!C:C,"No")</f>
        <v>No</v>
      </c>
      <c r="L38" s="10" t="str">
        <f>+_xlfn.XLOOKUP(B38,MERMA!B:B,MERMA!D:D,"No es merma")</f>
        <v>No es merma</v>
      </c>
    </row>
    <row r="39" spans="1:12" ht="14.5" x14ac:dyDescent="0.35">
      <c r="A39">
        <v>100016443</v>
      </c>
      <c r="B39">
        <v>75071295</v>
      </c>
      <c r="C39" t="s">
        <v>68</v>
      </c>
      <c r="D39" t="s">
        <v>44</v>
      </c>
      <c r="E39" t="s">
        <v>67</v>
      </c>
      <c r="F39" t="s">
        <v>46</v>
      </c>
      <c r="G39" t="s">
        <v>54</v>
      </c>
      <c r="H39" t="s">
        <v>36</v>
      </c>
      <c r="I39" t="s">
        <v>16</v>
      </c>
      <c r="J39" s="10" t="str">
        <f>+_xlfn.XLOOKUP(B39,INNOVACIÓN!A:A,INNOVACIÓN!B:B,"NO")</f>
        <v>NO</v>
      </c>
      <c r="K39" s="10" t="str">
        <f>+_xlfn.XLOOKUP(B39,MERMA!B:B,MERMA!C:C,"No")</f>
        <v>No</v>
      </c>
      <c r="L39" s="10" t="str">
        <f>+_xlfn.XLOOKUP(B39,MERMA!B:B,MERMA!D:D,"No es merma")</f>
        <v>No es merma</v>
      </c>
    </row>
    <row r="40" spans="1:12" ht="14.5" hidden="1" x14ac:dyDescent="0.35">
      <c r="A40" s="10">
        <v>100026387</v>
      </c>
      <c r="B40">
        <v>75080501</v>
      </c>
      <c r="C40" s="10" t="s">
        <v>69</v>
      </c>
      <c r="D40" t="s">
        <v>44</v>
      </c>
      <c r="E40" t="s">
        <v>67</v>
      </c>
      <c r="F40" t="s">
        <v>608</v>
      </c>
      <c r="G40" t="s">
        <v>71</v>
      </c>
      <c r="H40" t="s">
        <v>36</v>
      </c>
      <c r="I40" t="s">
        <v>16</v>
      </c>
      <c r="J40" s="10" t="str">
        <f>+_xlfn.XLOOKUP(B40,INNOVACIÓN!A:A,INNOVACIÓN!B:B,"NO")</f>
        <v>NO</v>
      </c>
      <c r="K40" s="10" t="str">
        <f>+_xlfn.XLOOKUP(B40,MERMA!B:B,MERMA!C:C,"No")</f>
        <v>No</v>
      </c>
      <c r="L40" s="10" t="str">
        <f>+_xlfn.XLOOKUP(B40,MERMA!B:B,MERMA!D:D,"No es merma")</f>
        <v>No es merma</v>
      </c>
    </row>
    <row r="41" spans="1:12" ht="14.5" hidden="1" x14ac:dyDescent="0.35">
      <c r="A41">
        <v>101000079</v>
      </c>
      <c r="B41">
        <v>75079017</v>
      </c>
      <c r="C41" t="s">
        <v>72</v>
      </c>
      <c r="D41" t="s">
        <v>44</v>
      </c>
      <c r="E41" t="s">
        <v>67</v>
      </c>
      <c r="F41" t="s">
        <v>46</v>
      </c>
      <c r="G41" t="s">
        <v>14</v>
      </c>
      <c r="H41" t="s">
        <v>36</v>
      </c>
      <c r="I41" t="s">
        <v>16</v>
      </c>
      <c r="J41" s="10" t="str">
        <f>+_xlfn.XLOOKUP(B41,INNOVACIÓN!A:A,INNOVACIÓN!B:B,"NO")</f>
        <v>NO</v>
      </c>
      <c r="K41" s="10" t="str">
        <f>+_xlfn.XLOOKUP(B41,MERMA!B:B,MERMA!C:C,"No")</f>
        <v>No</v>
      </c>
      <c r="L41" s="10" t="str">
        <f>+_xlfn.XLOOKUP(B41,MERMA!B:B,MERMA!D:D,"No es merma")</f>
        <v>No es merma</v>
      </c>
    </row>
    <row r="42" spans="1:12" ht="14.5" hidden="1" x14ac:dyDescent="0.35">
      <c r="A42" s="10">
        <v>100025311</v>
      </c>
      <c r="B42">
        <v>75083656</v>
      </c>
      <c r="C42" s="10" t="s">
        <v>73</v>
      </c>
      <c r="D42" t="s">
        <v>11</v>
      </c>
      <c r="E42" s="10" t="s">
        <v>74</v>
      </c>
      <c r="F42" t="s">
        <v>41</v>
      </c>
      <c r="G42" t="s">
        <v>75</v>
      </c>
      <c r="H42" t="s">
        <v>70</v>
      </c>
      <c r="I42" t="s">
        <v>16</v>
      </c>
      <c r="J42" s="10" t="str">
        <f>+_xlfn.XLOOKUP(B42,INNOVACIÓN!A:A,INNOVACIÓN!B:B,"NO")</f>
        <v>NO</v>
      </c>
      <c r="K42" s="10" t="str">
        <f>+_xlfn.XLOOKUP(B42,MERMA!B:B,MERMA!C:C,"No")</f>
        <v>No</v>
      </c>
      <c r="L42" s="10" t="str">
        <f>+_xlfn.XLOOKUP(B42,MERMA!B:B,MERMA!D:D,"No es merma")</f>
        <v>No es merma</v>
      </c>
    </row>
    <row r="43" spans="1:12" ht="14.5" hidden="1" x14ac:dyDescent="0.35">
      <c r="A43" s="10">
        <v>100024244</v>
      </c>
      <c r="B43">
        <v>75006358</v>
      </c>
      <c r="C43" s="10" t="s">
        <v>76</v>
      </c>
      <c r="D43" t="s">
        <v>11</v>
      </c>
      <c r="E43" t="s">
        <v>74</v>
      </c>
      <c r="F43" t="s">
        <v>41</v>
      </c>
      <c r="G43" t="s">
        <v>75</v>
      </c>
      <c r="H43" t="s">
        <v>70</v>
      </c>
      <c r="I43" t="s">
        <v>16</v>
      </c>
      <c r="J43" s="10" t="str">
        <f>+_xlfn.XLOOKUP(B43,INNOVACIÓN!A:A,INNOVACIÓN!B:B,"NO")</f>
        <v>NO</v>
      </c>
      <c r="K43" s="10" t="str">
        <f>+_xlfn.XLOOKUP(B43,MERMA!B:B,MERMA!C:C,"No")</f>
        <v>No</v>
      </c>
      <c r="L43" s="10" t="str">
        <f>+_xlfn.XLOOKUP(B43,MERMA!B:B,MERMA!D:D,"No es merma")</f>
        <v>No es merma</v>
      </c>
    </row>
    <row r="44" spans="1:12" ht="14.5" hidden="1" x14ac:dyDescent="0.35">
      <c r="A44">
        <v>100023686</v>
      </c>
      <c r="B44">
        <v>75006938</v>
      </c>
      <c r="C44" t="s">
        <v>77</v>
      </c>
      <c r="D44" t="s">
        <v>11</v>
      </c>
      <c r="E44" t="s">
        <v>74</v>
      </c>
      <c r="F44" t="s">
        <v>41</v>
      </c>
      <c r="G44" t="s">
        <v>75</v>
      </c>
      <c r="H44" t="s">
        <v>70</v>
      </c>
      <c r="I44" t="s">
        <v>16</v>
      </c>
      <c r="J44" s="10" t="str">
        <f>+_xlfn.XLOOKUP(B44,INNOVACIÓN!A:A,INNOVACIÓN!B:B,"NO")</f>
        <v>NO</v>
      </c>
      <c r="K44" s="10" t="str">
        <f>+_xlfn.XLOOKUP(B44,MERMA!B:B,MERMA!C:C,"No")</f>
        <v>No</v>
      </c>
      <c r="L44" s="10" t="str">
        <f>+_xlfn.XLOOKUP(B44,MERMA!B:B,MERMA!D:D,"No es merma")</f>
        <v>No es merma</v>
      </c>
    </row>
    <row r="45" spans="1:12" ht="14.5" hidden="1" x14ac:dyDescent="0.35">
      <c r="A45">
        <v>100023685</v>
      </c>
      <c r="B45">
        <v>75007461</v>
      </c>
      <c r="C45" t="s">
        <v>78</v>
      </c>
      <c r="D45" t="s">
        <v>11</v>
      </c>
      <c r="E45" t="s">
        <v>74</v>
      </c>
      <c r="F45" t="s">
        <v>41</v>
      </c>
      <c r="G45" t="s">
        <v>75</v>
      </c>
      <c r="H45" t="s">
        <v>70</v>
      </c>
      <c r="I45" t="s">
        <v>16</v>
      </c>
      <c r="J45" s="10" t="str">
        <f>+_xlfn.XLOOKUP(B45,INNOVACIÓN!A:A,INNOVACIÓN!B:B,"NO")</f>
        <v>NO</v>
      </c>
      <c r="K45" s="10" t="str">
        <f>+_xlfn.XLOOKUP(B45,MERMA!B:B,MERMA!C:C,"No")</f>
        <v>No</v>
      </c>
      <c r="L45" s="10" t="str">
        <f>+_xlfn.XLOOKUP(B45,MERMA!B:B,MERMA!D:D,"No es merma")</f>
        <v>No es merma</v>
      </c>
    </row>
    <row r="46" spans="1:12" ht="14.5" hidden="1" x14ac:dyDescent="0.35">
      <c r="A46" s="10">
        <v>100024999</v>
      </c>
      <c r="B46">
        <v>75081652</v>
      </c>
      <c r="C46" s="10" t="s">
        <v>79</v>
      </c>
      <c r="D46" t="s">
        <v>11</v>
      </c>
      <c r="E46" s="10" t="s">
        <v>74</v>
      </c>
      <c r="F46" t="s">
        <v>41</v>
      </c>
      <c r="G46" t="s">
        <v>70</v>
      </c>
      <c r="H46" t="s">
        <v>70</v>
      </c>
      <c r="I46" t="s">
        <v>16</v>
      </c>
      <c r="J46" s="10" t="str">
        <f>+_xlfn.XLOOKUP(B46,INNOVACIÓN!A:A,INNOVACIÓN!B:B,"NO")</f>
        <v>NO</v>
      </c>
      <c r="K46" s="10" t="str">
        <f>+_xlfn.XLOOKUP(B46,MERMA!B:B,MERMA!C:C,"No")</f>
        <v>No</v>
      </c>
      <c r="L46" s="10" t="str">
        <f>+_xlfn.XLOOKUP(B46,MERMA!B:B,MERMA!D:D,"No es merma")</f>
        <v>No es merma</v>
      </c>
    </row>
    <row r="47" spans="1:12" ht="14.5" hidden="1" x14ac:dyDescent="0.35">
      <c r="A47" s="10">
        <v>100025310</v>
      </c>
      <c r="B47">
        <v>75083649</v>
      </c>
      <c r="C47" s="10" t="s">
        <v>80</v>
      </c>
      <c r="D47" t="s">
        <v>11</v>
      </c>
      <c r="E47" s="10" t="s">
        <v>74</v>
      </c>
      <c r="F47" t="s">
        <v>41</v>
      </c>
      <c r="G47" t="s">
        <v>75</v>
      </c>
      <c r="H47" t="s">
        <v>70</v>
      </c>
      <c r="I47" t="s">
        <v>16</v>
      </c>
      <c r="J47" s="10" t="str">
        <f>+_xlfn.XLOOKUP(B47,INNOVACIÓN!A:A,INNOVACIÓN!B:B,"NO")</f>
        <v>NO</v>
      </c>
      <c r="K47" s="10" t="str">
        <f>+_xlfn.XLOOKUP(B47,MERMA!B:B,MERMA!C:C,"No")</f>
        <v>No</v>
      </c>
      <c r="L47" s="10" t="str">
        <f>+_xlfn.XLOOKUP(B47,MERMA!B:B,MERMA!D:D,"No es merma")</f>
        <v>No es merma</v>
      </c>
    </row>
    <row r="48" spans="1:12" ht="14.5" hidden="1" x14ac:dyDescent="0.35">
      <c r="A48">
        <v>100023682</v>
      </c>
      <c r="B48">
        <v>75006396</v>
      </c>
      <c r="C48" t="s">
        <v>81</v>
      </c>
      <c r="D48" t="s">
        <v>11</v>
      </c>
      <c r="E48" t="s">
        <v>74</v>
      </c>
      <c r="F48" t="s">
        <v>41</v>
      </c>
      <c r="G48" t="s">
        <v>75</v>
      </c>
      <c r="H48" t="s">
        <v>70</v>
      </c>
      <c r="I48" t="s">
        <v>16</v>
      </c>
      <c r="J48" s="10" t="str">
        <f>+_xlfn.XLOOKUP(B48,INNOVACIÓN!A:A,INNOVACIÓN!B:B,"NO")</f>
        <v>NO</v>
      </c>
      <c r="K48" s="10" t="str">
        <f>+_xlfn.XLOOKUP(B48,MERMA!B:B,MERMA!C:C,"No")</f>
        <v>No</v>
      </c>
      <c r="L48" s="10" t="str">
        <f>+_xlfn.XLOOKUP(B48,MERMA!B:B,MERMA!D:D,"No es merma")</f>
        <v>No es merma</v>
      </c>
    </row>
    <row r="49" spans="1:12" ht="14.5" hidden="1" x14ac:dyDescent="0.35">
      <c r="A49">
        <v>100023681</v>
      </c>
      <c r="B49">
        <v>75006389</v>
      </c>
      <c r="C49" t="s">
        <v>82</v>
      </c>
      <c r="D49" t="s">
        <v>11</v>
      </c>
      <c r="E49" t="s">
        <v>74</v>
      </c>
      <c r="F49" t="s">
        <v>41</v>
      </c>
      <c r="G49" t="s">
        <v>75</v>
      </c>
      <c r="H49" t="s">
        <v>70</v>
      </c>
      <c r="I49" t="s">
        <v>16</v>
      </c>
      <c r="J49" s="10" t="str">
        <f>+_xlfn.XLOOKUP(B49,INNOVACIÓN!A:A,INNOVACIÓN!B:B,"NO")</f>
        <v>NO</v>
      </c>
      <c r="K49" s="10" t="str">
        <f>+_xlfn.XLOOKUP(B49,MERMA!B:B,MERMA!C:C,"No")</f>
        <v>No</v>
      </c>
      <c r="L49" s="10" t="str">
        <f>+_xlfn.XLOOKUP(B49,MERMA!B:B,MERMA!D:D,"No es merma")</f>
        <v>No es merma</v>
      </c>
    </row>
    <row r="50" spans="1:12" ht="14.5" hidden="1" x14ac:dyDescent="0.35">
      <c r="A50" s="10">
        <v>100024932</v>
      </c>
      <c r="B50">
        <v>75081362</v>
      </c>
      <c r="C50" s="10" t="s">
        <v>83</v>
      </c>
      <c r="D50" t="s">
        <v>11</v>
      </c>
      <c r="E50" s="10" t="s">
        <v>74</v>
      </c>
      <c r="F50" t="s">
        <v>41</v>
      </c>
      <c r="G50" t="s">
        <v>70</v>
      </c>
      <c r="H50" t="s">
        <v>70</v>
      </c>
      <c r="I50" t="s">
        <v>16</v>
      </c>
      <c r="J50" s="10" t="str">
        <f>+_xlfn.XLOOKUP(B50,INNOVACIÓN!A:A,INNOVACIÓN!B:B,"NO")</f>
        <v>NO</v>
      </c>
      <c r="K50" s="10" t="str">
        <f>+_xlfn.XLOOKUP(B50,MERMA!B:B,MERMA!C:C,"No")</f>
        <v>No</v>
      </c>
      <c r="L50" s="10" t="str">
        <f>+_xlfn.XLOOKUP(B50,MERMA!B:B,MERMA!D:D,"No es merma")</f>
        <v>No es merma</v>
      </c>
    </row>
    <row r="51" spans="1:12" ht="14.5" hidden="1" x14ac:dyDescent="0.35">
      <c r="A51" s="10">
        <v>100024246</v>
      </c>
      <c r="B51">
        <v>75007454</v>
      </c>
      <c r="C51" s="10" t="s">
        <v>84</v>
      </c>
      <c r="D51" t="s">
        <v>11</v>
      </c>
      <c r="E51" t="s">
        <v>74</v>
      </c>
      <c r="F51" t="s">
        <v>41</v>
      </c>
      <c r="G51" t="s">
        <v>75</v>
      </c>
      <c r="H51" t="s">
        <v>70</v>
      </c>
      <c r="I51" t="s">
        <v>16</v>
      </c>
      <c r="J51" s="10" t="str">
        <f>+_xlfn.XLOOKUP(B51,INNOVACIÓN!A:A,INNOVACIÓN!B:B,"NO")</f>
        <v>NO</v>
      </c>
      <c r="K51" s="10" t="str">
        <f>+_xlfn.XLOOKUP(B51,MERMA!B:B,MERMA!C:C,"No")</f>
        <v>No</v>
      </c>
      <c r="L51" s="10" t="str">
        <f>+_xlfn.XLOOKUP(B51,MERMA!B:B,MERMA!D:D,"No es merma")</f>
        <v>No es merma</v>
      </c>
    </row>
    <row r="52" spans="1:12" ht="14.5" hidden="1" x14ac:dyDescent="0.35">
      <c r="A52">
        <v>100023679</v>
      </c>
      <c r="B52">
        <v>75032784</v>
      </c>
      <c r="C52" t="s">
        <v>85</v>
      </c>
      <c r="D52" t="s">
        <v>11</v>
      </c>
      <c r="E52" t="s">
        <v>74</v>
      </c>
      <c r="F52" t="s">
        <v>41</v>
      </c>
      <c r="G52" t="s">
        <v>75</v>
      </c>
      <c r="H52" t="s">
        <v>70</v>
      </c>
      <c r="I52" t="s">
        <v>16</v>
      </c>
      <c r="J52" s="10" t="str">
        <f>+_xlfn.XLOOKUP(B52,INNOVACIÓN!A:A,INNOVACIÓN!B:B,"NO")</f>
        <v>NO</v>
      </c>
      <c r="K52" s="10" t="str">
        <f>+_xlfn.XLOOKUP(B52,MERMA!B:B,MERMA!C:C,"No")</f>
        <v>No</v>
      </c>
      <c r="L52" s="10" t="str">
        <f>+_xlfn.XLOOKUP(B52,MERMA!B:B,MERMA!D:D,"No es merma")</f>
        <v>No es merma</v>
      </c>
    </row>
    <row r="53" spans="1:12" ht="14.5" hidden="1" x14ac:dyDescent="0.35">
      <c r="A53" s="10">
        <v>100080351</v>
      </c>
      <c r="B53">
        <v>7501609500241</v>
      </c>
      <c r="C53" s="10" t="s">
        <v>86</v>
      </c>
      <c r="D53" t="s">
        <v>87</v>
      </c>
      <c r="E53" t="s">
        <v>33</v>
      </c>
      <c r="F53" t="s">
        <v>87</v>
      </c>
      <c r="G53" t="s">
        <v>87</v>
      </c>
      <c r="H53" t="s">
        <v>87</v>
      </c>
      <c r="I53" t="s">
        <v>16</v>
      </c>
      <c r="J53" s="10" t="str">
        <f>+_xlfn.XLOOKUP(B53,INNOVACIÓN!A:A,INNOVACIÓN!B:B,"NO")</f>
        <v>NO</v>
      </c>
      <c r="K53" s="10" t="str">
        <f>+_xlfn.XLOOKUP(B53,MERMA!B:B,MERMA!C:C,"No")</f>
        <v>No</v>
      </c>
      <c r="L53" s="10" t="str">
        <f>+_xlfn.XLOOKUP(B53,MERMA!B:B,MERMA!D:D,"No es merma")</f>
        <v>No es merma</v>
      </c>
    </row>
    <row r="54" spans="1:12" ht="14.5" hidden="1" x14ac:dyDescent="0.35">
      <c r="A54" s="10">
        <v>100080762</v>
      </c>
      <c r="B54">
        <v>7501609506939</v>
      </c>
      <c r="C54" s="10" t="s">
        <v>88</v>
      </c>
      <c r="D54" t="s">
        <v>87</v>
      </c>
      <c r="E54" t="s">
        <v>33</v>
      </c>
      <c r="F54" t="s">
        <v>87</v>
      </c>
      <c r="G54" t="s">
        <v>87</v>
      </c>
      <c r="H54" t="s">
        <v>87</v>
      </c>
      <c r="I54" t="s">
        <v>16</v>
      </c>
      <c r="J54" s="10" t="str">
        <f>+_xlfn.XLOOKUP(B54,INNOVACIÓN!A:A,INNOVACIÓN!B:B,"NO")</f>
        <v>NO</v>
      </c>
      <c r="K54" s="10" t="str">
        <f>+_xlfn.XLOOKUP(B54,MERMA!B:B,MERMA!C:C,"No")</f>
        <v>No</v>
      </c>
      <c r="L54" s="10" t="str">
        <f>+_xlfn.XLOOKUP(B54,MERMA!B:B,MERMA!D:D,"No es merma")</f>
        <v>No es merma</v>
      </c>
    </row>
    <row r="55" spans="1:12" ht="14.5" hidden="1" x14ac:dyDescent="0.35">
      <c r="A55" s="10">
        <v>100017182</v>
      </c>
      <c r="B55">
        <v>8414775013578</v>
      </c>
      <c r="C55" s="10" t="s">
        <v>89</v>
      </c>
      <c r="D55" t="s">
        <v>87</v>
      </c>
      <c r="E55" t="s">
        <v>33</v>
      </c>
      <c r="F55" t="s">
        <v>87</v>
      </c>
      <c r="G55" t="s">
        <v>87</v>
      </c>
      <c r="H55" t="s">
        <v>87</v>
      </c>
      <c r="I55" t="s">
        <v>16</v>
      </c>
      <c r="J55" s="10" t="str">
        <f>+_xlfn.XLOOKUP(B55,INNOVACIÓN!A:A,INNOVACIÓN!B:B,"NO")</f>
        <v>NO</v>
      </c>
      <c r="K55" s="10" t="str">
        <f>+_xlfn.XLOOKUP(B55,MERMA!B:B,MERMA!C:C,"No")</f>
        <v>No</v>
      </c>
      <c r="L55" s="10" t="str">
        <f>+_xlfn.XLOOKUP(B55,MERMA!B:B,MERMA!D:D,"No es merma")</f>
        <v>No es merma</v>
      </c>
    </row>
    <row r="56" spans="1:12" ht="14.5" hidden="1" x14ac:dyDescent="0.35">
      <c r="A56" s="10">
        <v>100080938</v>
      </c>
      <c r="B56">
        <v>7503006684791</v>
      </c>
      <c r="C56" s="10" t="s">
        <v>90</v>
      </c>
      <c r="D56" t="s">
        <v>87</v>
      </c>
      <c r="E56" t="s">
        <v>33</v>
      </c>
      <c r="F56" t="s">
        <v>87</v>
      </c>
      <c r="G56" t="s">
        <v>87</v>
      </c>
      <c r="H56" t="s">
        <v>87</v>
      </c>
      <c r="I56" t="s">
        <v>16</v>
      </c>
      <c r="J56" s="10" t="str">
        <f>+_xlfn.XLOOKUP(B56,INNOVACIÓN!A:A,INNOVACIÓN!B:B,"NO")</f>
        <v>NO</v>
      </c>
      <c r="K56" s="10" t="str">
        <f>+_xlfn.XLOOKUP(B56,MERMA!B:B,MERMA!C:C,"No")</f>
        <v>No</v>
      </c>
      <c r="L56" s="10" t="str">
        <f>+_xlfn.XLOOKUP(B56,MERMA!B:B,MERMA!D:D,"No es merma")</f>
        <v>No es merma</v>
      </c>
    </row>
    <row r="57" spans="1:12" ht="14.5" hidden="1" x14ac:dyDescent="0.35">
      <c r="A57" s="10">
        <v>100024599</v>
      </c>
      <c r="B57">
        <v>7501609515894</v>
      </c>
      <c r="C57" s="10" t="s">
        <v>91</v>
      </c>
      <c r="D57" t="s">
        <v>87</v>
      </c>
      <c r="E57" t="s">
        <v>33</v>
      </c>
      <c r="F57" t="s">
        <v>87</v>
      </c>
      <c r="G57" t="s">
        <v>87</v>
      </c>
      <c r="H57" t="s">
        <v>87</v>
      </c>
      <c r="I57" t="s">
        <v>16</v>
      </c>
      <c r="J57" s="10" t="str">
        <f>+_xlfn.XLOOKUP(B57,INNOVACIÓN!A:A,INNOVACIÓN!B:B,"NO")</f>
        <v>NO</v>
      </c>
      <c r="K57" s="10" t="str">
        <f>+_xlfn.XLOOKUP(B57,MERMA!B:B,MERMA!C:C,"No")</f>
        <v>No</v>
      </c>
      <c r="L57" s="10" t="str">
        <f>+_xlfn.XLOOKUP(B57,MERMA!B:B,MERMA!D:D,"No es merma")</f>
        <v>No es merma</v>
      </c>
    </row>
    <row r="58" spans="1:12" ht="14.5" hidden="1" x14ac:dyDescent="0.35">
      <c r="A58" s="10">
        <v>100080942</v>
      </c>
      <c r="B58">
        <v>7503006684838</v>
      </c>
      <c r="C58" s="10" t="s">
        <v>92</v>
      </c>
      <c r="D58" t="s">
        <v>87</v>
      </c>
      <c r="E58" t="s">
        <v>33</v>
      </c>
      <c r="F58" t="s">
        <v>87</v>
      </c>
      <c r="G58" t="s">
        <v>87</v>
      </c>
      <c r="H58" t="s">
        <v>87</v>
      </c>
      <c r="I58" t="s">
        <v>16</v>
      </c>
      <c r="J58" s="10" t="str">
        <f>+_xlfn.XLOOKUP(B58,INNOVACIÓN!A:A,INNOVACIÓN!B:B,"NO")</f>
        <v>NO</v>
      </c>
      <c r="K58" s="10" t="str">
        <f>+_xlfn.XLOOKUP(B58,MERMA!B:B,MERMA!C:C,"No")</f>
        <v>No</v>
      </c>
      <c r="L58" s="10" t="str">
        <f>+_xlfn.XLOOKUP(B58,MERMA!B:B,MERMA!D:D,"No es merma")</f>
        <v>No es merma</v>
      </c>
    </row>
    <row r="59" spans="1:12" ht="14.5" hidden="1" x14ac:dyDescent="0.35">
      <c r="A59" s="10">
        <v>100080943</v>
      </c>
      <c r="B59">
        <v>7503006684852</v>
      </c>
      <c r="C59" s="10" t="s">
        <v>92</v>
      </c>
      <c r="D59" t="s">
        <v>87</v>
      </c>
      <c r="E59" t="s">
        <v>33</v>
      </c>
      <c r="F59" t="s">
        <v>87</v>
      </c>
      <c r="G59" t="s">
        <v>87</v>
      </c>
      <c r="H59" t="s">
        <v>87</v>
      </c>
      <c r="I59" t="s">
        <v>16</v>
      </c>
      <c r="J59" s="10" t="str">
        <f>+_xlfn.XLOOKUP(B59,INNOVACIÓN!A:A,INNOVACIÓN!B:B,"NO")</f>
        <v>NO</v>
      </c>
      <c r="K59" s="10" t="str">
        <f>+_xlfn.XLOOKUP(B59,MERMA!B:B,MERMA!C:C,"No")</f>
        <v>No</v>
      </c>
      <c r="L59" s="10" t="str">
        <f>+_xlfn.XLOOKUP(B59,MERMA!B:B,MERMA!D:D,"No es merma")</f>
        <v>No es merma</v>
      </c>
    </row>
    <row r="60" spans="1:12" ht="14.5" hidden="1" x14ac:dyDescent="0.35">
      <c r="A60" s="10">
        <v>100080941</v>
      </c>
      <c r="B60">
        <v>7503006684043</v>
      </c>
      <c r="C60" s="10" t="s">
        <v>92</v>
      </c>
      <c r="D60" t="s">
        <v>87</v>
      </c>
      <c r="E60" t="s">
        <v>33</v>
      </c>
      <c r="F60" t="s">
        <v>87</v>
      </c>
      <c r="G60" t="s">
        <v>87</v>
      </c>
      <c r="H60" t="s">
        <v>87</v>
      </c>
      <c r="I60" t="s">
        <v>16</v>
      </c>
      <c r="J60" s="10" t="str">
        <f>+_xlfn.XLOOKUP(B60,INNOVACIÓN!A:A,INNOVACIÓN!B:B,"NO")</f>
        <v>NO</v>
      </c>
      <c r="K60" s="10" t="str">
        <f>+_xlfn.XLOOKUP(B60,MERMA!B:B,MERMA!C:C,"No")</f>
        <v>No</v>
      </c>
      <c r="L60" s="10" t="str">
        <f>+_xlfn.XLOOKUP(B60,MERMA!B:B,MERMA!D:D,"No es merma")</f>
        <v>No es merma</v>
      </c>
    </row>
    <row r="61" spans="1:12" ht="14.5" hidden="1" x14ac:dyDescent="0.35">
      <c r="A61" s="10">
        <v>100080939</v>
      </c>
      <c r="B61">
        <v>7503006684395</v>
      </c>
      <c r="C61" s="10" t="s">
        <v>93</v>
      </c>
      <c r="D61" t="s">
        <v>87</v>
      </c>
      <c r="E61" t="s">
        <v>33</v>
      </c>
      <c r="F61" t="s">
        <v>87</v>
      </c>
      <c r="G61" t="s">
        <v>87</v>
      </c>
      <c r="H61" t="s">
        <v>87</v>
      </c>
      <c r="I61" t="s">
        <v>16</v>
      </c>
      <c r="J61" s="10" t="str">
        <f>+_xlfn.XLOOKUP(B61,INNOVACIÓN!A:A,INNOVACIÓN!B:B,"NO")</f>
        <v>NO</v>
      </c>
      <c r="K61" s="10" t="str">
        <f>+_xlfn.XLOOKUP(B61,MERMA!B:B,MERMA!C:C,"No")</f>
        <v>No</v>
      </c>
      <c r="L61" s="10" t="str">
        <f>+_xlfn.XLOOKUP(B61,MERMA!B:B,MERMA!D:D,"No es merma")</f>
        <v>No es merma</v>
      </c>
    </row>
    <row r="62" spans="1:12" ht="14.5" hidden="1" x14ac:dyDescent="0.35">
      <c r="A62" s="10">
        <v>100080940</v>
      </c>
      <c r="B62">
        <v>7503006684807</v>
      </c>
      <c r="C62" s="10" t="s">
        <v>94</v>
      </c>
      <c r="D62" t="s">
        <v>87</v>
      </c>
      <c r="E62" t="s">
        <v>33</v>
      </c>
      <c r="F62" t="s">
        <v>87</v>
      </c>
      <c r="G62" t="s">
        <v>87</v>
      </c>
      <c r="H62" t="s">
        <v>87</v>
      </c>
      <c r="I62" t="s">
        <v>16</v>
      </c>
      <c r="J62" s="10" t="str">
        <f>+_xlfn.XLOOKUP(B62,INNOVACIÓN!A:A,INNOVACIÓN!B:B,"NO")</f>
        <v>NO</v>
      </c>
      <c r="K62" s="10" t="str">
        <f>+_xlfn.XLOOKUP(B62,MERMA!B:B,MERMA!C:C,"No")</f>
        <v>No</v>
      </c>
      <c r="L62" s="10" t="str">
        <f>+_xlfn.XLOOKUP(B62,MERMA!B:B,MERMA!D:D,"No es merma")</f>
        <v>No es merma</v>
      </c>
    </row>
    <row r="63" spans="1:12" ht="14.5" hidden="1" x14ac:dyDescent="0.35">
      <c r="A63" s="10">
        <v>100016044</v>
      </c>
      <c r="B63">
        <v>7465603183667</v>
      </c>
      <c r="C63" s="10" t="s">
        <v>95</v>
      </c>
      <c r="D63" t="s">
        <v>87</v>
      </c>
      <c r="E63" t="s">
        <v>33</v>
      </c>
      <c r="F63" t="s">
        <v>87</v>
      </c>
      <c r="G63" t="s">
        <v>87</v>
      </c>
      <c r="H63" t="s">
        <v>87</v>
      </c>
      <c r="I63" t="s">
        <v>16</v>
      </c>
      <c r="J63" s="10" t="str">
        <f>+_xlfn.XLOOKUP(B63,INNOVACIÓN!A:A,INNOVACIÓN!B:B,"NO")</f>
        <v>NO</v>
      </c>
      <c r="K63" s="10" t="str">
        <f>+_xlfn.XLOOKUP(B63,MERMA!B:B,MERMA!C:C,"No")</f>
        <v>No</v>
      </c>
      <c r="L63" s="10" t="str">
        <f>+_xlfn.XLOOKUP(B63,MERMA!B:B,MERMA!D:D,"No es merma")</f>
        <v>No es merma</v>
      </c>
    </row>
    <row r="64" spans="1:12" ht="14.5" hidden="1" x14ac:dyDescent="0.35">
      <c r="A64" s="10">
        <v>100016043</v>
      </c>
      <c r="B64">
        <v>7465603183636</v>
      </c>
      <c r="C64" s="10" t="s">
        <v>96</v>
      </c>
      <c r="D64" t="s">
        <v>87</v>
      </c>
      <c r="E64" t="s">
        <v>33</v>
      </c>
      <c r="F64" t="s">
        <v>87</v>
      </c>
      <c r="G64" t="s">
        <v>87</v>
      </c>
      <c r="H64" t="s">
        <v>87</v>
      </c>
      <c r="I64" t="s">
        <v>16</v>
      </c>
      <c r="J64" s="10" t="str">
        <f>+_xlfn.XLOOKUP(B64,INNOVACIÓN!A:A,INNOVACIÓN!B:B,"NO")</f>
        <v>NO</v>
      </c>
      <c r="K64" s="10" t="str">
        <f>+_xlfn.XLOOKUP(B64,MERMA!B:B,MERMA!C:C,"No")</f>
        <v>No</v>
      </c>
      <c r="L64" s="10" t="str">
        <f>+_xlfn.XLOOKUP(B64,MERMA!B:B,MERMA!D:D,"No es merma")</f>
        <v>No es merma</v>
      </c>
    </row>
    <row r="65" spans="1:12" ht="14.5" hidden="1" x14ac:dyDescent="0.35">
      <c r="A65" s="10">
        <v>100016042</v>
      </c>
      <c r="B65">
        <v>7465603183629</v>
      </c>
      <c r="C65" s="10" t="s">
        <v>97</v>
      </c>
      <c r="D65" t="s">
        <v>87</v>
      </c>
      <c r="E65" t="s">
        <v>33</v>
      </c>
      <c r="F65" t="s">
        <v>87</v>
      </c>
      <c r="G65" t="s">
        <v>87</v>
      </c>
      <c r="H65" t="s">
        <v>87</v>
      </c>
      <c r="I65" t="s">
        <v>16</v>
      </c>
      <c r="J65" s="10" t="str">
        <f>+_xlfn.XLOOKUP(B65,INNOVACIÓN!A:A,INNOVACIÓN!B:B,"NO")</f>
        <v>NO</v>
      </c>
      <c r="K65" s="10" t="str">
        <f>+_xlfn.XLOOKUP(B65,MERMA!B:B,MERMA!C:C,"No")</f>
        <v>No</v>
      </c>
      <c r="L65" s="10" t="str">
        <f>+_xlfn.XLOOKUP(B65,MERMA!B:B,MERMA!D:D,"No es merma")</f>
        <v>No es merma</v>
      </c>
    </row>
    <row r="66" spans="1:12" ht="14.5" hidden="1" x14ac:dyDescent="0.35">
      <c r="A66" s="10">
        <v>100016045</v>
      </c>
      <c r="B66">
        <v>7465603180529</v>
      </c>
      <c r="C66" s="10" t="s">
        <v>98</v>
      </c>
      <c r="D66" t="s">
        <v>87</v>
      </c>
      <c r="E66" t="s">
        <v>33</v>
      </c>
      <c r="F66" t="s">
        <v>87</v>
      </c>
      <c r="G66" t="s">
        <v>87</v>
      </c>
      <c r="H66" t="s">
        <v>87</v>
      </c>
      <c r="I66" t="s">
        <v>16</v>
      </c>
      <c r="J66" s="10" t="str">
        <f>+_xlfn.XLOOKUP(B66,INNOVACIÓN!A:A,INNOVACIÓN!B:B,"NO")</f>
        <v>NO</v>
      </c>
      <c r="K66" s="10" t="str">
        <f>+_xlfn.XLOOKUP(B66,MERMA!B:B,MERMA!C:C,"No")</f>
        <v>No</v>
      </c>
      <c r="L66" s="10" t="str">
        <f>+_xlfn.XLOOKUP(B66,MERMA!B:B,MERMA!D:D,"No es merma")</f>
        <v>No es merma</v>
      </c>
    </row>
    <row r="67" spans="1:12" ht="14.5" hidden="1" x14ac:dyDescent="0.35">
      <c r="A67">
        <v>100017982</v>
      </c>
      <c r="B67">
        <v>75071776</v>
      </c>
      <c r="C67" t="s">
        <v>99</v>
      </c>
      <c r="D67" t="s">
        <v>44</v>
      </c>
      <c r="E67" t="s">
        <v>67</v>
      </c>
      <c r="F67" t="s">
        <v>100</v>
      </c>
      <c r="G67" t="s">
        <v>35</v>
      </c>
      <c r="H67" t="s">
        <v>36</v>
      </c>
      <c r="I67" t="s">
        <v>16</v>
      </c>
      <c r="J67" s="10" t="str">
        <f>+_xlfn.XLOOKUP(B67,INNOVACIÓN!A:A,INNOVACIÓN!B:B,"NO")</f>
        <v>NO</v>
      </c>
      <c r="K67" s="10" t="str">
        <f>+_xlfn.XLOOKUP(B67,MERMA!B:B,MERMA!C:C,"No")</f>
        <v>SI</v>
      </c>
      <c r="L67" s="10" t="str">
        <f>+_xlfn.XLOOKUP(B67,MERMA!B:B,MERMA!D:D,"No es merma")</f>
        <v>2026 H1</v>
      </c>
    </row>
    <row r="68" spans="1:12" ht="14.5" hidden="1" x14ac:dyDescent="0.35">
      <c r="A68">
        <v>100023425</v>
      </c>
      <c r="B68">
        <v>75079963</v>
      </c>
      <c r="C68" t="s">
        <v>101</v>
      </c>
      <c r="D68" t="s">
        <v>44</v>
      </c>
      <c r="E68" t="s">
        <v>67</v>
      </c>
      <c r="F68" t="s">
        <v>100</v>
      </c>
      <c r="G68" t="s">
        <v>35</v>
      </c>
      <c r="H68" t="s">
        <v>36</v>
      </c>
      <c r="I68" t="s">
        <v>16</v>
      </c>
      <c r="J68" s="10" t="str">
        <f>+_xlfn.XLOOKUP(B68,INNOVACIÓN!A:A,INNOVACIÓN!B:B,"NO")</f>
        <v>NO</v>
      </c>
      <c r="K68" s="10" t="str">
        <f>+_xlfn.XLOOKUP(B68,MERMA!B:B,MERMA!C:C,"No")</f>
        <v>SI</v>
      </c>
      <c r="L68" s="10" t="str">
        <f>+_xlfn.XLOOKUP(B68,MERMA!B:B,MERMA!D:D,"No es merma")</f>
        <v>2026 H1</v>
      </c>
    </row>
    <row r="69" spans="1:12" ht="14.5" hidden="1" x14ac:dyDescent="0.35">
      <c r="A69">
        <v>100020837</v>
      </c>
      <c r="B69">
        <v>75074081</v>
      </c>
      <c r="C69" t="s">
        <v>102</v>
      </c>
      <c r="D69" t="s">
        <v>44</v>
      </c>
      <c r="E69" t="s">
        <v>67</v>
      </c>
      <c r="F69" t="s">
        <v>100</v>
      </c>
      <c r="G69" t="s">
        <v>35</v>
      </c>
      <c r="H69" t="s">
        <v>36</v>
      </c>
      <c r="I69" t="s">
        <v>16</v>
      </c>
      <c r="J69" s="10" t="str">
        <f>+_xlfn.XLOOKUP(B69,INNOVACIÓN!A:A,INNOVACIÓN!B:B,"NO")</f>
        <v>NO</v>
      </c>
      <c r="K69" s="10" t="str">
        <f>+_xlfn.XLOOKUP(B69,MERMA!B:B,MERMA!C:C,"No")</f>
        <v>SI</v>
      </c>
      <c r="L69" s="10" t="str">
        <f>+_xlfn.XLOOKUP(B69,MERMA!B:B,MERMA!D:D,"No es merma")</f>
        <v>2026 H1</v>
      </c>
    </row>
    <row r="70" spans="1:12" ht="14.5" hidden="1" x14ac:dyDescent="0.35">
      <c r="A70">
        <v>100021658</v>
      </c>
      <c r="B70">
        <v>75076757</v>
      </c>
      <c r="C70" t="s">
        <v>103</v>
      </c>
      <c r="D70" t="s">
        <v>44</v>
      </c>
      <c r="E70" t="s">
        <v>67</v>
      </c>
      <c r="F70" t="s">
        <v>100</v>
      </c>
      <c r="G70" t="s">
        <v>71</v>
      </c>
      <c r="H70" t="s">
        <v>36</v>
      </c>
      <c r="I70" t="s">
        <v>16</v>
      </c>
      <c r="J70" s="10" t="str">
        <f>+_xlfn.XLOOKUP(B70,INNOVACIÓN!A:A,INNOVACIÓN!B:B,"NO")</f>
        <v>NO</v>
      </c>
      <c r="K70" s="10" t="str">
        <f>+_xlfn.XLOOKUP(B70,MERMA!B:B,MERMA!C:C,"No")</f>
        <v>No</v>
      </c>
      <c r="L70" s="10" t="str">
        <f>+_xlfn.XLOOKUP(B70,MERMA!B:B,MERMA!D:D,"No es merma")</f>
        <v>No es merma</v>
      </c>
    </row>
    <row r="71" spans="1:12" ht="14.5" hidden="1" x14ac:dyDescent="0.35">
      <c r="A71">
        <v>100021978</v>
      </c>
      <c r="B71">
        <v>75078638</v>
      </c>
      <c r="C71" t="s">
        <v>104</v>
      </c>
      <c r="D71" t="s">
        <v>44</v>
      </c>
      <c r="E71" t="s">
        <v>67</v>
      </c>
      <c r="F71" t="s">
        <v>100</v>
      </c>
      <c r="G71" t="s">
        <v>71</v>
      </c>
      <c r="H71" t="s">
        <v>36</v>
      </c>
      <c r="I71" t="s">
        <v>16</v>
      </c>
      <c r="J71" s="10" t="str">
        <f>+_xlfn.XLOOKUP(B71,INNOVACIÓN!A:A,INNOVACIÓN!B:B,"NO")</f>
        <v>NO</v>
      </c>
      <c r="K71" s="10" t="str">
        <f>+_xlfn.XLOOKUP(B71,MERMA!B:B,MERMA!C:C,"No")</f>
        <v>No</v>
      </c>
      <c r="L71" s="10" t="str">
        <f>+_xlfn.XLOOKUP(B71,MERMA!B:B,MERMA!D:D,"No es merma")</f>
        <v>No es merma</v>
      </c>
    </row>
    <row r="72" spans="1:12" ht="14.5" hidden="1" x14ac:dyDescent="0.35">
      <c r="A72">
        <v>100018746</v>
      </c>
      <c r="B72">
        <v>75073534</v>
      </c>
      <c r="C72" t="s">
        <v>105</v>
      </c>
      <c r="D72" t="s">
        <v>44</v>
      </c>
      <c r="E72" t="s">
        <v>33</v>
      </c>
      <c r="F72" t="s">
        <v>41</v>
      </c>
      <c r="G72" t="s">
        <v>35</v>
      </c>
      <c r="H72" t="s">
        <v>36</v>
      </c>
      <c r="I72" t="s">
        <v>109</v>
      </c>
      <c r="J72" s="10" t="str">
        <f>+_xlfn.XLOOKUP(B72,INNOVACIÓN!A:A,INNOVACIÓN!B:B,"NO")</f>
        <v>NO</v>
      </c>
      <c r="K72" s="10" t="str">
        <f>+_xlfn.XLOOKUP(B72,MERMA!B:B,MERMA!C:C,"No")</f>
        <v>SI</v>
      </c>
      <c r="L72" s="10" t="str">
        <f>+_xlfn.XLOOKUP(B72,MERMA!B:B,MERMA!D:D,"No es merma")</f>
        <v>2026 H1</v>
      </c>
    </row>
    <row r="73" spans="1:12" ht="14.5" hidden="1" x14ac:dyDescent="0.35">
      <c r="A73">
        <v>100018745</v>
      </c>
      <c r="B73">
        <v>75073541</v>
      </c>
      <c r="C73" t="s">
        <v>106</v>
      </c>
      <c r="D73" t="s">
        <v>44</v>
      </c>
      <c r="E73" t="s">
        <v>67</v>
      </c>
      <c r="F73" t="s">
        <v>41</v>
      </c>
      <c r="G73" t="s">
        <v>71</v>
      </c>
      <c r="H73" t="s">
        <v>36</v>
      </c>
      <c r="I73" t="s">
        <v>16</v>
      </c>
      <c r="J73" s="10" t="str">
        <f>+_xlfn.XLOOKUP(B73,INNOVACIÓN!A:A,INNOVACIÓN!B:B,"NO")</f>
        <v>NO</v>
      </c>
      <c r="K73" s="10" t="str">
        <f>+_xlfn.XLOOKUP(B73,MERMA!B:B,MERMA!C:C,"No")</f>
        <v>No</v>
      </c>
      <c r="L73" s="10" t="str">
        <f>+_xlfn.XLOOKUP(B73,MERMA!B:B,MERMA!D:D,"No es merma")</f>
        <v>No es merma</v>
      </c>
    </row>
    <row r="74" spans="1:12" ht="14.5" hidden="1" x14ac:dyDescent="0.35">
      <c r="A74" s="10">
        <v>100025670</v>
      </c>
      <c r="B74">
        <v>75083786</v>
      </c>
      <c r="C74" s="10" t="s">
        <v>107</v>
      </c>
      <c r="D74" t="s">
        <v>44</v>
      </c>
      <c r="E74" t="s">
        <v>67</v>
      </c>
      <c r="F74" t="s">
        <v>609</v>
      </c>
      <c r="G74" t="s">
        <v>35</v>
      </c>
      <c r="H74" t="s">
        <v>36</v>
      </c>
      <c r="I74" t="s">
        <v>16</v>
      </c>
      <c r="J74" s="10" t="str">
        <f>+_xlfn.XLOOKUP(B74,INNOVACIÓN!A:A,INNOVACIÓN!B:B,"NO")</f>
        <v>NO</v>
      </c>
      <c r="K74" s="10" t="str">
        <f>+_xlfn.XLOOKUP(B74,MERMA!B:B,MERMA!C:C,"No")</f>
        <v>No</v>
      </c>
      <c r="L74" s="10" t="str">
        <f>+_xlfn.XLOOKUP(B74,MERMA!B:B,MERMA!D:D,"No es merma")</f>
        <v>No es merma</v>
      </c>
    </row>
    <row r="75" spans="1:12" ht="14.5" hidden="1" x14ac:dyDescent="0.35">
      <c r="A75" s="10">
        <v>100025843</v>
      </c>
      <c r="B75">
        <v>75084165</v>
      </c>
      <c r="C75" s="10" t="s">
        <v>108</v>
      </c>
      <c r="D75" t="s">
        <v>44</v>
      </c>
      <c r="E75" t="s">
        <v>33</v>
      </c>
      <c r="F75" t="s">
        <v>46</v>
      </c>
      <c r="G75" t="s">
        <v>14</v>
      </c>
      <c r="H75" t="s">
        <v>36</v>
      </c>
      <c r="I75" t="s">
        <v>109</v>
      </c>
      <c r="J75" s="10" t="str">
        <f>+_xlfn.XLOOKUP(B75,INNOVACIÓN!A:A,INNOVACIÓN!B:B,"NO")</f>
        <v>NO</v>
      </c>
      <c r="K75" s="10" t="str">
        <f>+_xlfn.XLOOKUP(B75,MERMA!B:B,MERMA!C:C,"No")</f>
        <v>No</v>
      </c>
      <c r="L75" s="10" t="str">
        <f>+_xlfn.XLOOKUP(B75,MERMA!B:B,MERMA!D:D,"No es merma")</f>
        <v>No es merma</v>
      </c>
    </row>
    <row r="76" spans="1:12" ht="14.5" hidden="1" x14ac:dyDescent="0.35">
      <c r="A76">
        <v>100022118</v>
      </c>
      <c r="B76">
        <v>75076429</v>
      </c>
      <c r="C76" t="s">
        <v>110</v>
      </c>
      <c r="D76" t="s">
        <v>44</v>
      </c>
      <c r="E76" t="s">
        <v>67</v>
      </c>
      <c r="F76" t="s">
        <v>46</v>
      </c>
      <c r="G76" t="s">
        <v>14</v>
      </c>
      <c r="H76" t="s">
        <v>36</v>
      </c>
      <c r="I76" t="s">
        <v>16</v>
      </c>
      <c r="J76" s="10" t="str">
        <f>+_xlfn.XLOOKUP(B76,INNOVACIÓN!A:A,INNOVACIÓN!B:B,"NO")</f>
        <v>NO</v>
      </c>
      <c r="K76" s="10" t="str">
        <f>+_xlfn.XLOOKUP(B76,MERMA!B:B,MERMA!C:C,"No")</f>
        <v>No</v>
      </c>
      <c r="L76" s="10" t="str">
        <f>+_xlfn.XLOOKUP(B76,MERMA!B:B,MERMA!D:D,"No es merma")</f>
        <v>No es merma</v>
      </c>
    </row>
    <row r="77" spans="1:12" ht="14.5" hidden="1" x14ac:dyDescent="0.35">
      <c r="A77" s="10">
        <v>100025282</v>
      </c>
      <c r="B77">
        <v>75082543</v>
      </c>
      <c r="C77" s="10" t="s">
        <v>111</v>
      </c>
      <c r="D77" t="s">
        <v>44</v>
      </c>
      <c r="E77" s="10" t="s">
        <v>67</v>
      </c>
      <c r="F77" t="s">
        <v>46</v>
      </c>
      <c r="G77" t="s">
        <v>14</v>
      </c>
      <c r="H77" t="s">
        <v>36</v>
      </c>
      <c r="I77" t="s">
        <v>16</v>
      </c>
      <c r="J77" s="10" t="str">
        <f>+_xlfn.XLOOKUP(B77,INNOVACIÓN!A:A,INNOVACIÓN!B:B,"NO")</f>
        <v>NO</v>
      </c>
      <c r="K77" s="10" t="str">
        <f>+_xlfn.XLOOKUP(B77,MERMA!B:B,MERMA!C:C,"No")</f>
        <v>No</v>
      </c>
      <c r="L77" s="10" t="str">
        <f>+_xlfn.XLOOKUP(B77,MERMA!B:B,MERMA!D:D,"No es merma")</f>
        <v>No es merma</v>
      </c>
    </row>
    <row r="78" spans="1:12" ht="14.5" hidden="1" x14ac:dyDescent="0.35">
      <c r="A78" s="10">
        <v>100026385</v>
      </c>
      <c r="B78">
        <v>75080525</v>
      </c>
      <c r="C78" s="10" t="s">
        <v>112</v>
      </c>
      <c r="D78" t="s">
        <v>44</v>
      </c>
      <c r="E78" t="s">
        <v>67</v>
      </c>
      <c r="F78" t="s">
        <v>608</v>
      </c>
      <c r="G78" t="s">
        <v>71</v>
      </c>
      <c r="H78" t="s">
        <v>36</v>
      </c>
      <c r="I78" t="s">
        <v>16</v>
      </c>
      <c r="J78" s="10" t="str">
        <f>+_xlfn.XLOOKUP(B78,INNOVACIÓN!A:A,INNOVACIÓN!B:B,"NO")</f>
        <v>NO</v>
      </c>
      <c r="K78" s="10" t="str">
        <f>+_xlfn.XLOOKUP(B78,MERMA!B:B,MERMA!C:C,"No")</f>
        <v>No</v>
      </c>
      <c r="L78" s="10" t="str">
        <f>+_xlfn.XLOOKUP(B78,MERMA!B:B,MERMA!D:D,"No es merma")</f>
        <v>No es merma</v>
      </c>
    </row>
    <row r="79" spans="1:12" ht="14.5" hidden="1" x14ac:dyDescent="0.35">
      <c r="A79" s="10">
        <v>100026386</v>
      </c>
      <c r="B79">
        <v>75080495</v>
      </c>
      <c r="C79" s="10" t="s">
        <v>113</v>
      </c>
      <c r="D79" t="s">
        <v>44</v>
      </c>
      <c r="E79" t="s">
        <v>67</v>
      </c>
      <c r="F79" t="s">
        <v>608</v>
      </c>
      <c r="G79" t="s">
        <v>71</v>
      </c>
      <c r="H79" t="s">
        <v>36</v>
      </c>
      <c r="I79" t="s">
        <v>16</v>
      </c>
      <c r="J79" s="10" t="str">
        <f>+_xlfn.XLOOKUP(B79,INNOVACIÓN!A:A,INNOVACIÓN!B:B,"NO")</f>
        <v>NO</v>
      </c>
      <c r="K79" s="10" t="str">
        <f>+_xlfn.XLOOKUP(B79,MERMA!B:B,MERMA!C:C,"No")</f>
        <v>No</v>
      </c>
      <c r="L79" s="10" t="str">
        <f>+_xlfn.XLOOKUP(B79,MERMA!B:B,MERMA!D:D,"No es merma")</f>
        <v>No es merma</v>
      </c>
    </row>
    <row r="80" spans="1:12" ht="14.5" hidden="1" x14ac:dyDescent="0.35">
      <c r="A80">
        <v>100022233</v>
      </c>
      <c r="B80">
        <v>75076412</v>
      </c>
      <c r="C80" t="s">
        <v>114</v>
      </c>
      <c r="D80" t="s">
        <v>44</v>
      </c>
      <c r="E80" t="s">
        <v>67</v>
      </c>
      <c r="F80" t="s">
        <v>46</v>
      </c>
      <c r="G80" t="s">
        <v>52</v>
      </c>
      <c r="H80" t="s">
        <v>36</v>
      </c>
      <c r="I80" t="s">
        <v>16</v>
      </c>
      <c r="J80" s="10" t="str">
        <f>+_xlfn.XLOOKUP(B80,INNOVACIÓN!A:A,INNOVACIÓN!B:B,"NO")</f>
        <v>NO</v>
      </c>
      <c r="K80" s="10" t="str">
        <f>+_xlfn.XLOOKUP(B80,MERMA!B:B,MERMA!C:C,"No")</f>
        <v>No</v>
      </c>
      <c r="L80" s="10" t="str">
        <f>+_xlfn.XLOOKUP(B80,MERMA!B:B,MERMA!D:D,"No es merma")</f>
        <v>No es merma</v>
      </c>
    </row>
    <row r="81" spans="1:12" ht="14.5" hidden="1" x14ac:dyDescent="0.35">
      <c r="A81">
        <v>100012746</v>
      </c>
      <c r="B81">
        <v>75064648</v>
      </c>
      <c r="C81" t="s">
        <v>115</v>
      </c>
      <c r="D81" t="s">
        <v>44</v>
      </c>
      <c r="E81" t="s">
        <v>67</v>
      </c>
      <c r="F81" t="s">
        <v>46</v>
      </c>
      <c r="G81" t="s">
        <v>14</v>
      </c>
      <c r="H81" t="s">
        <v>36</v>
      </c>
      <c r="I81" t="s">
        <v>16</v>
      </c>
      <c r="J81" s="10" t="str">
        <f>+_xlfn.XLOOKUP(B81,INNOVACIÓN!A:A,INNOVACIÓN!B:B,"NO")</f>
        <v>NO</v>
      </c>
      <c r="K81" s="10" t="str">
        <f>+_xlfn.XLOOKUP(B81,MERMA!B:B,MERMA!C:C,"No")</f>
        <v>No</v>
      </c>
      <c r="L81" s="10" t="str">
        <f>+_xlfn.XLOOKUP(B81,MERMA!B:B,MERMA!D:D,"No es merma")</f>
        <v>No es merma</v>
      </c>
    </row>
    <row r="82" spans="1:12" ht="14.5" hidden="1" x14ac:dyDescent="0.35">
      <c r="A82">
        <v>100014187</v>
      </c>
      <c r="B82">
        <v>75068363</v>
      </c>
      <c r="C82" t="s">
        <v>116</v>
      </c>
      <c r="D82" t="s">
        <v>44</v>
      </c>
      <c r="E82" t="s">
        <v>67</v>
      </c>
      <c r="F82" t="s">
        <v>46</v>
      </c>
      <c r="G82" t="s">
        <v>14</v>
      </c>
      <c r="H82" t="s">
        <v>36</v>
      </c>
      <c r="I82" t="s">
        <v>16</v>
      </c>
      <c r="J82" s="10" t="str">
        <f>+_xlfn.XLOOKUP(B82,INNOVACIÓN!A:A,INNOVACIÓN!B:B,"NO")</f>
        <v>NO</v>
      </c>
      <c r="K82" s="10" t="str">
        <f>+_xlfn.XLOOKUP(B82,MERMA!B:B,MERMA!C:C,"No")</f>
        <v>No</v>
      </c>
      <c r="L82" s="10" t="str">
        <f>+_xlfn.XLOOKUP(B82,MERMA!B:B,MERMA!D:D,"No es merma")</f>
        <v>No es merma</v>
      </c>
    </row>
    <row r="83" spans="1:12" ht="14.5" hidden="1" x14ac:dyDescent="0.35">
      <c r="A83" s="10">
        <v>100026388</v>
      </c>
      <c r="B83">
        <v>75080518</v>
      </c>
      <c r="C83" s="10" t="s">
        <v>117</v>
      </c>
      <c r="D83" t="s">
        <v>44</v>
      </c>
      <c r="E83" t="s">
        <v>67</v>
      </c>
      <c r="F83" t="s">
        <v>608</v>
      </c>
      <c r="G83" t="s">
        <v>71</v>
      </c>
      <c r="H83" t="s">
        <v>36</v>
      </c>
      <c r="I83" t="s">
        <v>16</v>
      </c>
      <c r="J83" s="10" t="str">
        <f>+_xlfn.XLOOKUP(B83,INNOVACIÓN!A:A,INNOVACIÓN!B:B,"NO")</f>
        <v>NO</v>
      </c>
      <c r="K83" s="10" t="str">
        <f>+_xlfn.XLOOKUP(B83,MERMA!B:B,MERMA!C:C,"No")</f>
        <v>No</v>
      </c>
      <c r="L83" s="10" t="str">
        <f>+_xlfn.XLOOKUP(B83,MERMA!B:B,MERMA!D:D,"No es merma")</f>
        <v>No es merma</v>
      </c>
    </row>
    <row r="84" spans="1:12" ht="14.5" hidden="1" x14ac:dyDescent="0.35">
      <c r="A84" s="10">
        <v>100025673</v>
      </c>
      <c r="B84">
        <v>75083779</v>
      </c>
      <c r="C84" s="10" t="s">
        <v>118</v>
      </c>
      <c r="D84" t="s">
        <v>44</v>
      </c>
      <c r="E84" t="s">
        <v>67</v>
      </c>
      <c r="F84" t="s">
        <v>609</v>
      </c>
      <c r="G84" t="s">
        <v>35</v>
      </c>
      <c r="H84" t="s">
        <v>36</v>
      </c>
      <c r="I84" t="s">
        <v>16</v>
      </c>
      <c r="J84" s="10" t="str">
        <f>+_xlfn.XLOOKUP(B84,INNOVACIÓN!A:A,INNOVACIÓN!B:B,"NO")</f>
        <v>NO</v>
      </c>
      <c r="K84" s="10" t="str">
        <f>+_xlfn.XLOOKUP(B84,MERMA!B:B,MERMA!C:C,"No")</f>
        <v>No</v>
      </c>
      <c r="L84" s="10" t="str">
        <f>+_xlfn.XLOOKUP(B84,MERMA!B:B,MERMA!D:D,"No es merma")</f>
        <v>No es merma</v>
      </c>
    </row>
    <row r="85" spans="1:12" ht="14.5" hidden="1" x14ac:dyDescent="0.35">
      <c r="A85" s="10">
        <v>100025677</v>
      </c>
      <c r="B85">
        <v>75083793</v>
      </c>
      <c r="C85" s="10" t="s">
        <v>119</v>
      </c>
      <c r="D85" t="s">
        <v>44</v>
      </c>
      <c r="E85" t="s">
        <v>67</v>
      </c>
      <c r="F85" t="s">
        <v>609</v>
      </c>
      <c r="G85" t="s">
        <v>35</v>
      </c>
      <c r="H85" t="s">
        <v>36</v>
      </c>
      <c r="I85" t="s">
        <v>16</v>
      </c>
      <c r="J85" s="10" t="str">
        <f>+_xlfn.XLOOKUP(B85,INNOVACIÓN!A:A,INNOVACIÓN!B:B,"NO")</f>
        <v>NO</v>
      </c>
      <c r="K85" s="10" t="str">
        <f>+_xlfn.XLOOKUP(B85,MERMA!B:B,MERMA!C:C,"No")</f>
        <v>No</v>
      </c>
      <c r="L85" s="10" t="str">
        <f>+_xlfn.XLOOKUP(B85,MERMA!B:B,MERMA!D:D,"No es merma")</f>
        <v>No es merma</v>
      </c>
    </row>
    <row r="86" spans="1:12" ht="14.5" hidden="1" x14ac:dyDescent="0.35">
      <c r="A86" s="10">
        <v>100025672</v>
      </c>
      <c r="B86">
        <v>75083762</v>
      </c>
      <c r="C86" s="10" t="s">
        <v>120</v>
      </c>
      <c r="D86" t="s">
        <v>44</v>
      </c>
      <c r="E86" t="s">
        <v>67</v>
      </c>
      <c r="F86" t="s">
        <v>609</v>
      </c>
      <c r="G86" t="s">
        <v>35</v>
      </c>
      <c r="H86" t="s">
        <v>36</v>
      </c>
      <c r="I86" t="s">
        <v>16</v>
      </c>
      <c r="J86" s="10" t="str">
        <f>+_xlfn.XLOOKUP(B86,INNOVACIÓN!A:A,INNOVACIÓN!B:B,"NO")</f>
        <v>SI</v>
      </c>
      <c r="K86" s="10" t="str">
        <f>+_xlfn.XLOOKUP(B86,MERMA!B:B,MERMA!C:C,"No")</f>
        <v>No</v>
      </c>
      <c r="L86" s="10" t="str">
        <f>+_xlfn.XLOOKUP(B86,MERMA!B:B,MERMA!D:D,"No es merma")</f>
        <v>No es merma</v>
      </c>
    </row>
    <row r="87" spans="1:12" ht="14.5" hidden="1" x14ac:dyDescent="0.35">
      <c r="A87" s="10">
        <v>100025675</v>
      </c>
      <c r="B87">
        <v>75083755</v>
      </c>
      <c r="C87" s="10" t="s">
        <v>121</v>
      </c>
      <c r="D87" t="s">
        <v>44</v>
      </c>
      <c r="E87" t="s">
        <v>67</v>
      </c>
      <c r="F87" t="s">
        <v>609</v>
      </c>
      <c r="G87" t="s">
        <v>35</v>
      </c>
      <c r="H87" t="s">
        <v>36</v>
      </c>
      <c r="I87" t="s">
        <v>16</v>
      </c>
      <c r="J87" s="10" t="str">
        <f>+_xlfn.XLOOKUP(B87,INNOVACIÓN!A:A,INNOVACIÓN!B:B,"NO")</f>
        <v>SI</v>
      </c>
      <c r="K87" s="10" t="str">
        <f>+_xlfn.XLOOKUP(B87,MERMA!B:B,MERMA!C:C,"No")</f>
        <v>No</v>
      </c>
      <c r="L87" s="10" t="str">
        <f>+_xlfn.XLOOKUP(B87,MERMA!B:B,MERMA!D:D,"No es merma")</f>
        <v>No es merma</v>
      </c>
    </row>
    <row r="88" spans="1:12" ht="14.5" hidden="1" x14ac:dyDescent="0.35">
      <c r="A88" s="10">
        <v>100025844</v>
      </c>
      <c r="B88">
        <v>75084172</v>
      </c>
      <c r="C88" s="10" t="s">
        <v>122</v>
      </c>
      <c r="D88" t="s">
        <v>44</v>
      </c>
      <c r="E88" t="s">
        <v>33</v>
      </c>
      <c r="F88" t="s">
        <v>46</v>
      </c>
      <c r="G88" t="s">
        <v>14</v>
      </c>
      <c r="H88" t="s">
        <v>36</v>
      </c>
      <c r="I88" t="s">
        <v>109</v>
      </c>
      <c r="J88" s="10" t="str">
        <f>+_xlfn.XLOOKUP(B88,INNOVACIÓN!A:A,INNOVACIÓN!B:B,"NO")</f>
        <v>NO</v>
      </c>
      <c r="K88" s="10" t="str">
        <f>+_xlfn.XLOOKUP(B88,MERMA!B:B,MERMA!C:C,"No")</f>
        <v>No</v>
      </c>
      <c r="L88" s="10" t="str">
        <f>+_xlfn.XLOOKUP(B88,MERMA!B:B,MERMA!D:D,"No es merma")</f>
        <v>No es merma</v>
      </c>
    </row>
    <row r="89" spans="1:12" ht="14.5" hidden="1" x14ac:dyDescent="0.35">
      <c r="A89" s="10">
        <v>100025850</v>
      </c>
      <c r="B89">
        <v>75083632</v>
      </c>
      <c r="C89" s="10" t="s">
        <v>123</v>
      </c>
      <c r="D89" t="s">
        <v>44</v>
      </c>
      <c r="E89" t="s">
        <v>67</v>
      </c>
      <c r="F89" t="s">
        <v>46</v>
      </c>
      <c r="G89" t="s">
        <v>14</v>
      </c>
      <c r="H89" t="s">
        <v>36</v>
      </c>
      <c r="I89" t="s">
        <v>16</v>
      </c>
      <c r="J89" s="10" t="str">
        <f>+_xlfn.XLOOKUP(B89,INNOVACIÓN!A:A,INNOVACIÓN!B:B,"NO")</f>
        <v>NO</v>
      </c>
      <c r="K89" s="10" t="str">
        <f>+_xlfn.XLOOKUP(B89,MERMA!B:B,MERMA!C:C,"No")</f>
        <v>No</v>
      </c>
      <c r="L89" s="10" t="str">
        <f>+_xlfn.XLOOKUP(B89,MERMA!B:B,MERMA!D:D,"No es merma")</f>
        <v>No es merma</v>
      </c>
    </row>
    <row r="90" spans="1:12" ht="14.5" hidden="1" x14ac:dyDescent="0.35">
      <c r="A90" s="10">
        <v>100025847</v>
      </c>
      <c r="B90">
        <v>75084141</v>
      </c>
      <c r="C90" s="10" t="s">
        <v>124</v>
      </c>
      <c r="D90" t="s">
        <v>44</v>
      </c>
      <c r="E90" t="s">
        <v>33</v>
      </c>
      <c r="F90" t="s">
        <v>46</v>
      </c>
      <c r="G90" t="s">
        <v>14</v>
      </c>
      <c r="H90" t="s">
        <v>36</v>
      </c>
      <c r="I90" t="s">
        <v>109</v>
      </c>
      <c r="J90" s="10" t="str">
        <f>+_xlfn.XLOOKUP(B90,INNOVACIÓN!A:A,INNOVACIÓN!B:B,"NO")</f>
        <v>NO</v>
      </c>
      <c r="K90" s="10" t="str">
        <f>+_xlfn.XLOOKUP(B90,MERMA!B:B,MERMA!C:C,"No")</f>
        <v>No</v>
      </c>
      <c r="L90" s="10" t="str">
        <f>+_xlfn.XLOOKUP(B90,MERMA!B:B,MERMA!D:D,"No es merma")</f>
        <v>No es merma</v>
      </c>
    </row>
    <row r="91" spans="1:12" ht="14.5" hidden="1" x14ac:dyDescent="0.35">
      <c r="A91" s="10">
        <v>100025848</v>
      </c>
      <c r="B91">
        <v>75084486</v>
      </c>
      <c r="C91" s="10" t="s">
        <v>125</v>
      </c>
      <c r="D91" t="s">
        <v>44</v>
      </c>
      <c r="E91" t="s">
        <v>33</v>
      </c>
      <c r="F91" t="s">
        <v>46</v>
      </c>
      <c r="G91" t="s">
        <v>14</v>
      </c>
      <c r="H91" t="s">
        <v>36</v>
      </c>
      <c r="I91" t="s">
        <v>109</v>
      </c>
      <c r="J91" s="10" t="str">
        <f>+_xlfn.XLOOKUP(B91,INNOVACIÓN!A:A,INNOVACIÓN!B:B,"NO")</f>
        <v>NO</v>
      </c>
      <c r="K91" s="10" t="str">
        <f>+_xlfn.XLOOKUP(B91,MERMA!B:B,MERMA!C:C,"No")</f>
        <v>No</v>
      </c>
      <c r="L91" s="10" t="str">
        <f>+_xlfn.XLOOKUP(B91,MERMA!B:B,MERMA!D:D,"No es merma")</f>
        <v>No es merma</v>
      </c>
    </row>
    <row r="92" spans="1:12" ht="14.5" hidden="1" x14ac:dyDescent="0.35">
      <c r="A92">
        <v>100013077</v>
      </c>
      <c r="B92">
        <v>75064761</v>
      </c>
      <c r="C92" t="s">
        <v>126</v>
      </c>
      <c r="D92" t="s">
        <v>44</v>
      </c>
      <c r="E92" t="s">
        <v>67</v>
      </c>
      <c r="F92" t="s">
        <v>41</v>
      </c>
      <c r="G92" t="s">
        <v>35</v>
      </c>
      <c r="H92" t="s">
        <v>36</v>
      </c>
      <c r="I92" t="s">
        <v>16</v>
      </c>
      <c r="J92" s="10" t="str">
        <f>+_xlfn.XLOOKUP(B92,INNOVACIÓN!A:A,INNOVACIÓN!B:B,"NO")</f>
        <v>NO</v>
      </c>
      <c r="K92" s="10" t="str">
        <f>+_xlfn.XLOOKUP(B92,MERMA!B:B,MERMA!C:C,"No")</f>
        <v>No</v>
      </c>
      <c r="L92" s="10" t="str">
        <f>+_xlfn.XLOOKUP(B92,MERMA!B:B,MERMA!D:D,"No es merma")</f>
        <v>No es merma</v>
      </c>
    </row>
    <row r="93" spans="1:12" ht="14.5" hidden="1" x14ac:dyDescent="0.35">
      <c r="A93">
        <v>100016413</v>
      </c>
      <c r="B93">
        <v>75071455</v>
      </c>
      <c r="C93" t="s">
        <v>127</v>
      </c>
      <c r="D93" t="s">
        <v>44</v>
      </c>
      <c r="E93" t="s">
        <v>67</v>
      </c>
      <c r="F93" t="s">
        <v>41</v>
      </c>
      <c r="G93" t="s">
        <v>35</v>
      </c>
      <c r="H93" t="s">
        <v>36</v>
      </c>
      <c r="I93" t="s">
        <v>16</v>
      </c>
      <c r="J93" s="10" t="str">
        <f>+_xlfn.XLOOKUP(B93,INNOVACIÓN!A:A,INNOVACIÓN!B:B,"NO")</f>
        <v>NO</v>
      </c>
      <c r="K93" s="10" t="str">
        <f>+_xlfn.XLOOKUP(B93,MERMA!B:B,MERMA!C:C,"No")</f>
        <v>No</v>
      </c>
      <c r="L93" s="10" t="str">
        <f>+_xlfn.XLOOKUP(B93,MERMA!B:B,MERMA!D:D,"No es merma")</f>
        <v>No es merma</v>
      </c>
    </row>
    <row r="94" spans="1:12" ht="14.5" hidden="1" x14ac:dyDescent="0.35">
      <c r="A94" s="10">
        <v>100025845</v>
      </c>
      <c r="B94">
        <v>75084127</v>
      </c>
      <c r="C94" s="10" t="s">
        <v>128</v>
      </c>
      <c r="D94" t="s">
        <v>44</v>
      </c>
      <c r="E94" t="s">
        <v>33</v>
      </c>
      <c r="F94" t="s">
        <v>46</v>
      </c>
      <c r="G94" t="s">
        <v>14</v>
      </c>
      <c r="H94" t="s">
        <v>36</v>
      </c>
      <c r="I94" t="s">
        <v>109</v>
      </c>
      <c r="J94" s="10" t="str">
        <f>+_xlfn.XLOOKUP(B94,INNOVACIÓN!A:A,INNOVACIÓN!B:B,"NO")</f>
        <v>NO</v>
      </c>
      <c r="K94" s="10" t="str">
        <f>+_xlfn.XLOOKUP(B94,MERMA!B:B,MERMA!C:C,"No")</f>
        <v>No</v>
      </c>
      <c r="L94" s="10" t="str">
        <f>+_xlfn.XLOOKUP(B94,MERMA!B:B,MERMA!D:D,"No es merma")</f>
        <v>No es merma</v>
      </c>
    </row>
    <row r="95" spans="1:12" ht="14.5" hidden="1" x14ac:dyDescent="0.35">
      <c r="A95">
        <v>100013891</v>
      </c>
      <c r="B95">
        <v>75064778</v>
      </c>
      <c r="C95" t="s">
        <v>129</v>
      </c>
      <c r="D95" t="s">
        <v>44</v>
      </c>
      <c r="E95" t="s">
        <v>33</v>
      </c>
      <c r="F95" t="s">
        <v>41</v>
      </c>
      <c r="G95" t="s">
        <v>35</v>
      </c>
      <c r="H95" t="s">
        <v>36</v>
      </c>
      <c r="I95" t="s">
        <v>109</v>
      </c>
      <c r="J95" s="10" t="str">
        <f>+_xlfn.XLOOKUP(B95,INNOVACIÓN!A:A,INNOVACIÓN!B:B,"NO")</f>
        <v>NO</v>
      </c>
      <c r="K95" s="10" t="str">
        <f>+_xlfn.XLOOKUP(B95,MERMA!B:B,MERMA!C:C,"No")</f>
        <v>SI</v>
      </c>
      <c r="L95" s="10" t="str">
        <f>+_xlfn.XLOOKUP(B95,MERMA!B:B,MERMA!D:D,"No es merma")</f>
        <v>2026 H1</v>
      </c>
    </row>
    <row r="96" spans="1:12" ht="14.5" hidden="1" x14ac:dyDescent="0.35">
      <c r="A96">
        <v>100080802</v>
      </c>
      <c r="B96">
        <v>75027766</v>
      </c>
      <c r="C96" t="s">
        <v>130</v>
      </c>
      <c r="D96" t="s">
        <v>44</v>
      </c>
      <c r="E96" t="s">
        <v>67</v>
      </c>
      <c r="F96" t="s">
        <v>46</v>
      </c>
      <c r="G96" t="s">
        <v>58</v>
      </c>
      <c r="H96" t="s">
        <v>36</v>
      </c>
      <c r="I96" t="s">
        <v>16</v>
      </c>
      <c r="J96" s="10" t="str">
        <f>+_xlfn.XLOOKUP(B96,INNOVACIÓN!A:A,INNOVACIÓN!B:B,"NO")</f>
        <v>NO</v>
      </c>
      <c r="K96" s="10" t="str">
        <f>+_xlfn.XLOOKUP(B96,MERMA!B:B,MERMA!C:C,"No")</f>
        <v>No</v>
      </c>
      <c r="L96" s="10" t="str">
        <f>+_xlfn.XLOOKUP(B96,MERMA!B:B,MERMA!D:D,"No es merma")</f>
        <v>No es merma</v>
      </c>
    </row>
    <row r="97" spans="1:12" ht="14.5" hidden="1" x14ac:dyDescent="0.35">
      <c r="A97">
        <v>100010093</v>
      </c>
      <c r="B97">
        <v>75061777</v>
      </c>
      <c r="C97" t="s">
        <v>131</v>
      </c>
      <c r="D97" t="s">
        <v>44</v>
      </c>
      <c r="E97" t="s">
        <v>67</v>
      </c>
      <c r="F97" t="s">
        <v>46</v>
      </c>
      <c r="G97" t="s">
        <v>54</v>
      </c>
      <c r="H97" t="s">
        <v>36</v>
      </c>
      <c r="I97" t="s">
        <v>16</v>
      </c>
      <c r="J97" s="10" t="str">
        <f>+_xlfn.XLOOKUP(B97,INNOVACIÓN!A:A,INNOVACIÓN!B:B,"NO")</f>
        <v>NO</v>
      </c>
      <c r="K97" s="10" t="str">
        <f>+_xlfn.XLOOKUP(B97,MERMA!B:B,MERMA!C:C,"No")</f>
        <v>No</v>
      </c>
      <c r="L97" s="10" t="str">
        <f>+_xlfn.XLOOKUP(B97,MERMA!B:B,MERMA!D:D,"No es merma")</f>
        <v>No es merma</v>
      </c>
    </row>
    <row r="98" spans="1:12" ht="14.5" hidden="1" x14ac:dyDescent="0.35">
      <c r="A98">
        <v>100005585</v>
      </c>
      <c r="B98">
        <v>75052836</v>
      </c>
      <c r="C98" t="s">
        <v>132</v>
      </c>
      <c r="D98" t="s">
        <v>44</v>
      </c>
      <c r="E98" t="s">
        <v>67</v>
      </c>
      <c r="F98" t="s">
        <v>46</v>
      </c>
      <c r="G98" t="s">
        <v>14</v>
      </c>
      <c r="H98" t="s">
        <v>36</v>
      </c>
      <c r="I98" t="s">
        <v>16</v>
      </c>
      <c r="J98" s="10" t="str">
        <f>+_xlfn.XLOOKUP(B98,INNOVACIÓN!A:A,INNOVACIÓN!B:B,"NO")</f>
        <v>NO</v>
      </c>
      <c r="K98" s="10" t="str">
        <f>+_xlfn.XLOOKUP(B98,MERMA!B:B,MERMA!C:C,"No")</f>
        <v>No</v>
      </c>
      <c r="L98" s="10" t="str">
        <f>+_xlfn.XLOOKUP(B98,MERMA!B:B,MERMA!D:D,"No es merma")</f>
        <v>No es merma</v>
      </c>
    </row>
    <row r="99" spans="1:12" ht="14.5" hidden="1" x14ac:dyDescent="0.35">
      <c r="A99">
        <v>100013078</v>
      </c>
      <c r="B99">
        <v>75064785</v>
      </c>
      <c r="C99" t="s">
        <v>133</v>
      </c>
      <c r="D99" t="s">
        <v>44</v>
      </c>
      <c r="E99" t="s">
        <v>67</v>
      </c>
      <c r="F99" t="s">
        <v>41</v>
      </c>
      <c r="G99" t="s">
        <v>71</v>
      </c>
      <c r="H99" t="s">
        <v>36</v>
      </c>
      <c r="I99" t="s">
        <v>16</v>
      </c>
      <c r="J99" s="10" t="str">
        <f>+_xlfn.XLOOKUP(B99,INNOVACIÓN!A:A,INNOVACIÓN!B:B,"NO")</f>
        <v>NO</v>
      </c>
      <c r="K99" s="10" t="str">
        <f>+_xlfn.XLOOKUP(B99,MERMA!B:B,MERMA!C:C,"No")</f>
        <v>No</v>
      </c>
      <c r="L99" s="10" t="str">
        <f>+_xlfn.XLOOKUP(B99,MERMA!B:B,MERMA!D:D,"No es merma")</f>
        <v>No es merma</v>
      </c>
    </row>
    <row r="100" spans="1:12" ht="14.5" hidden="1" x14ac:dyDescent="0.35">
      <c r="A100">
        <v>100016412</v>
      </c>
      <c r="B100">
        <v>75071479</v>
      </c>
      <c r="C100" t="s">
        <v>134</v>
      </c>
      <c r="D100" t="s">
        <v>44</v>
      </c>
      <c r="E100" t="s">
        <v>67</v>
      </c>
      <c r="F100" t="s">
        <v>41</v>
      </c>
      <c r="G100" t="s">
        <v>71</v>
      </c>
      <c r="H100" t="s">
        <v>36</v>
      </c>
      <c r="I100" t="s">
        <v>16</v>
      </c>
      <c r="J100" s="10" t="str">
        <f>+_xlfn.XLOOKUP(B100,INNOVACIÓN!A:A,INNOVACIÓN!B:B,"NO")</f>
        <v>NO</v>
      </c>
      <c r="K100" s="10" t="str">
        <f>+_xlfn.XLOOKUP(B100,MERMA!B:B,MERMA!C:C,"No")</f>
        <v>No</v>
      </c>
      <c r="L100" s="10" t="str">
        <f>+_xlfn.XLOOKUP(B100,MERMA!B:B,MERMA!D:D,"No es merma")</f>
        <v>No es merma</v>
      </c>
    </row>
    <row r="101" spans="1:12" ht="14.5" hidden="1" x14ac:dyDescent="0.35">
      <c r="A101">
        <v>100080644</v>
      </c>
      <c r="B101">
        <v>8346917</v>
      </c>
      <c r="C101" t="s">
        <v>135</v>
      </c>
      <c r="D101" t="s">
        <v>44</v>
      </c>
      <c r="E101" t="s">
        <v>67</v>
      </c>
      <c r="F101" t="s">
        <v>46</v>
      </c>
      <c r="G101" t="s">
        <v>136</v>
      </c>
      <c r="H101" t="s">
        <v>36</v>
      </c>
      <c r="I101" t="s">
        <v>16</v>
      </c>
      <c r="J101" s="10" t="str">
        <f>+_xlfn.XLOOKUP(B101,INNOVACIÓN!A:A,INNOVACIÓN!B:B,"NO")</f>
        <v>NO</v>
      </c>
      <c r="K101" s="10" t="str">
        <f>+_xlfn.XLOOKUP(B101,MERMA!B:B,MERMA!C:C,"No")</f>
        <v>No</v>
      </c>
      <c r="L101" s="10" t="str">
        <f>+_xlfn.XLOOKUP(B101,MERMA!B:B,MERMA!D:D,"No es merma")</f>
        <v>No es merma</v>
      </c>
    </row>
    <row r="102" spans="1:12" ht="14.5" x14ac:dyDescent="0.35">
      <c r="A102">
        <v>100019234</v>
      </c>
      <c r="B102">
        <v>75074975</v>
      </c>
      <c r="C102" t="s">
        <v>137</v>
      </c>
      <c r="D102" t="s">
        <v>44</v>
      </c>
      <c r="E102" t="s">
        <v>67</v>
      </c>
      <c r="F102" t="s">
        <v>46</v>
      </c>
      <c r="G102" t="s">
        <v>54</v>
      </c>
      <c r="H102" t="s">
        <v>36</v>
      </c>
      <c r="I102" t="s">
        <v>16</v>
      </c>
      <c r="J102" s="10" t="str">
        <f>+_xlfn.XLOOKUP(B102,INNOVACIÓN!A:A,INNOVACIÓN!B:B,"NO")</f>
        <v>NO</v>
      </c>
      <c r="K102" s="10" t="str">
        <f>+_xlfn.XLOOKUP(B102,MERMA!B:B,MERMA!C:C,"No")</f>
        <v>No</v>
      </c>
      <c r="L102" s="10" t="str">
        <f>+_xlfn.XLOOKUP(B102,MERMA!B:B,MERMA!D:D,"No es merma")</f>
        <v>No es merma</v>
      </c>
    </row>
    <row r="103" spans="1:12" ht="14.5" hidden="1" x14ac:dyDescent="0.35">
      <c r="A103" s="10">
        <v>100024596</v>
      </c>
      <c r="B103">
        <v>75081058</v>
      </c>
      <c r="C103" s="10" t="s">
        <v>138</v>
      </c>
      <c r="D103" t="s">
        <v>44</v>
      </c>
      <c r="E103" t="s">
        <v>67</v>
      </c>
      <c r="F103" t="s">
        <v>46</v>
      </c>
      <c r="G103" t="s">
        <v>139</v>
      </c>
      <c r="H103" t="s">
        <v>36</v>
      </c>
      <c r="I103" t="s">
        <v>16</v>
      </c>
      <c r="J103" s="10" t="str">
        <f>+_xlfn.XLOOKUP(B103,INNOVACIÓN!A:A,INNOVACIÓN!B:B,"NO")</f>
        <v>NO</v>
      </c>
      <c r="K103" s="10" t="str">
        <f>+_xlfn.XLOOKUP(B103,MERMA!B:B,MERMA!C:C,"No")</f>
        <v>SI</v>
      </c>
      <c r="L103" s="10" t="str">
        <f>+_xlfn.XLOOKUP(B103,MERMA!B:B,MERMA!D:D,"No es merma")</f>
        <v>2026 H1</v>
      </c>
    </row>
    <row r="104" spans="1:12" ht="14.5" hidden="1" x14ac:dyDescent="0.35">
      <c r="A104">
        <v>100019233</v>
      </c>
      <c r="B104">
        <v>75074999</v>
      </c>
      <c r="C104" t="s">
        <v>140</v>
      </c>
      <c r="D104" t="s">
        <v>44</v>
      </c>
      <c r="E104" t="s">
        <v>67</v>
      </c>
      <c r="F104" t="s">
        <v>46</v>
      </c>
      <c r="G104" t="s">
        <v>14</v>
      </c>
      <c r="H104" t="s">
        <v>36</v>
      </c>
      <c r="I104" t="s">
        <v>16</v>
      </c>
      <c r="J104" s="10" t="str">
        <f>+_xlfn.XLOOKUP(B104,INNOVACIÓN!A:A,INNOVACIÓN!B:B,"NO")</f>
        <v>NO</v>
      </c>
      <c r="K104" s="10" t="str">
        <f>+_xlfn.XLOOKUP(B104,MERMA!B:B,MERMA!C:C,"No")</f>
        <v>No</v>
      </c>
      <c r="L104" s="10" t="str">
        <f>+_xlfn.XLOOKUP(B104,MERMA!B:B,MERMA!D:D,"No es merma")</f>
        <v>No es merma</v>
      </c>
    </row>
    <row r="105" spans="1:12" ht="14.5" hidden="1" x14ac:dyDescent="0.35">
      <c r="A105" s="10">
        <v>100025846</v>
      </c>
      <c r="B105">
        <v>75084134</v>
      </c>
      <c r="C105" s="10" t="s">
        <v>141</v>
      </c>
      <c r="D105" t="s">
        <v>44</v>
      </c>
      <c r="E105" t="s">
        <v>33</v>
      </c>
      <c r="F105" t="s">
        <v>46</v>
      </c>
      <c r="G105" t="s">
        <v>14</v>
      </c>
      <c r="H105" t="s">
        <v>36</v>
      </c>
      <c r="I105" t="s">
        <v>109</v>
      </c>
      <c r="J105" s="10" t="str">
        <f>+_xlfn.XLOOKUP(B105,INNOVACIÓN!A:A,INNOVACIÓN!B:B,"NO")</f>
        <v>NO</v>
      </c>
      <c r="K105" s="10" t="str">
        <f>+_xlfn.XLOOKUP(B105,MERMA!B:B,MERMA!C:C,"No")</f>
        <v>No</v>
      </c>
      <c r="L105" s="10" t="str">
        <f>+_xlfn.XLOOKUP(B105,MERMA!B:B,MERMA!D:D,"No es merma")</f>
        <v>No es merma</v>
      </c>
    </row>
    <row r="106" spans="1:12" ht="14.5" x14ac:dyDescent="0.35">
      <c r="A106" s="10">
        <v>100025842</v>
      </c>
      <c r="B106">
        <v>75084189</v>
      </c>
      <c r="C106" s="10" t="s">
        <v>142</v>
      </c>
      <c r="D106" t="s">
        <v>44</v>
      </c>
      <c r="E106" t="s">
        <v>33</v>
      </c>
      <c r="F106" t="s">
        <v>46</v>
      </c>
      <c r="G106" t="s">
        <v>14</v>
      </c>
      <c r="H106" t="s">
        <v>36</v>
      </c>
      <c r="I106" t="s">
        <v>109</v>
      </c>
      <c r="J106" s="10" t="str">
        <f>+_xlfn.XLOOKUP(B106,INNOVACIÓN!A:A,INNOVACIÓN!B:B,"NO")</f>
        <v>NO</v>
      </c>
      <c r="K106" s="10" t="str">
        <f>+_xlfn.XLOOKUP(B106,MERMA!B:B,MERMA!C:C,"No")</f>
        <v>No</v>
      </c>
      <c r="L106" s="10" t="str">
        <f>+_xlfn.XLOOKUP(B106,MERMA!B:B,MERMA!D:D,"No es merma")</f>
        <v>No es merma</v>
      </c>
    </row>
    <row r="107" spans="1:12" ht="14.5" hidden="1" x14ac:dyDescent="0.35">
      <c r="A107">
        <v>100020838</v>
      </c>
      <c r="B107">
        <v>75074944</v>
      </c>
      <c r="C107" t="s">
        <v>143</v>
      </c>
      <c r="D107" t="s">
        <v>44</v>
      </c>
      <c r="E107" t="s">
        <v>33</v>
      </c>
      <c r="F107" t="s">
        <v>46</v>
      </c>
      <c r="G107" t="s">
        <v>14</v>
      </c>
      <c r="H107" t="s">
        <v>36</v>
      </c>
      <c r="I107" t="s">
        <v>109</v>
      </c>
      <c r="J107" s="10" t="str">
        <f>+_xlfn.XLOOKUP(B107,INNOVACIÓN!A:A,INNOVACIÓN!B:B,"NO")</f>
        <v>NO</v>
      </c>
      <c r="K107" s="10" t="str">
        <f>+_xlfn.XLOOKUP(B107,MERMA!B:B,MERMA!C:C,"No")</f>
        <v>SI</v>
      </c>
      <c r="L107" s="10" t="str">
        <f>+_xlfn.XLOOKUP(B107,MERMA!B:B,MERMA!D:D,"No es merma")</f>
        <v>2026 H1</v>
      </c>
    </row>
    <row r="108" spans="1:12" ht="14.5" hidden="1" x14ac:dyDescent="0.35">
      <c r="A108">
        <v>100019230</v>
      </c>
      <c r="B108">
        <v>75074982</v>
      </c>
      <c r="C108" t="s">
        <v>144</v>
      </c>
      <c r="D108" t="s">
        <v>44</v>
      </c>
      <c r="E108" t="s">
        <v>67</v>
      </c>
      <c r="F108" t="s">
        <v>46</v>
      </c>
      <c r="G108" t="s">
        <v>14</v>
      </c>
      <c r="H108" t="s">
        <v>36</v>
      </c>
      <c r="I108" t="s">
        <v>16</v>
      </c>
      <c r="J108" s="10" t="str">
        <f>+_xlfn.XLOOKUP(B108,INNOVACIÓN!A:A,INNOVACIÓN!B:B,"NO")</f>
        <v>NO</v>
      </c>
      <c r="K108" s="10" t="str">
        <f>+_xlfn.XLOOKUP(B108,MERMA!B:B,MERMA!C:C,"No")</f>
        <v>No</v>
      </c>
      <c r="L108" s="10" t="str">
        <f>+_xlfn.XLOOKUP(B108,MERMA!B:B,MERMA!D:D,"No es merma")</f>
        <v>No es merma</v>
      </c>
    </row>
    <row r="109" spans="1:12" ht="14.5" hidden="1" x14ac:dyDescent="0.35">
      <c r="A109" s="10">
        <v>100025893</v>
      </c>
      <c r="B109">
        <v>7503039738447</v>
      </c>
      <c r="C109" s="10" t="s">
        <v>145</v>
      </c>
      <c r="D109" t="s">
        <v>44</v>
      </c>
      <c r="E109" t="s">
        <v>146</v>
      </c>
      <c r="F109" t="s">
        <v>13</v>
      </c>
      <c r="G109" t="s">
        <v>14</v>
      </c>
      <c r="H109" t="s">
        <v>15</v>
      </c>
      <c r="I109" t="s">
        <v>16</v>
      </c>
      <c r="J109" s="10" t="str">
        <f>+_xlfn.XLOOKUP(B109,INNOVACIÓN!A:A,INNOVACIÓN!B:B,"NO")</f>
        <v>NO</v>
      </c>
      <c r="K109" s="10" t="str">
        <f>+_xlfn.XLOOKUP(B109,MERMA!B:B,MERMA!C:C,"No")</f>
        <v>No</v>
      </c>
      <c r="L109" s="10" t="str">
        <f>+_xlfn.XLOOKUP(B109,MERMA!B:B,MERMA!D:D,"No es merma")</f>
        <v>No es merma</v>
      </c>
    </row>
    <row r="110" spans="1:12" ht="14.5" hidden="1" x14ac:dyDescent="0.35">
      <c r="A110" s="10">
        <v>100026306</v>
      </c>
      <c r="B110">
        <v>7503039738584</v>
      </c>
      <c r="C110" s="10" t="s">
        <v>147</v>
      </c>
      <c r="D110" t="s">
        <v>44</v>
      </c>
      <c r="E110" t="s">
        <v>33</v>
      </c>
      <c r="F110" t="s">
        <v>13</v>
      </c>
      <c r="G110" t="s">
        <v>14</v>
      </c>
      <c r="H110" t="s">
        <v>15</v>
      </c>
      <c r="I110" t="s">
        <v>16</v>
      </c>
      <c r="J110" s="10" t="str">
        <f>+_xlfn.XLOOKUP(B110,INNOVACIÓN!A:A,INNOVACIÓN!B:B,"NO")</f>
        <v>NO</v>
      </c>
      <c r="K110" s="10" t="str">
        <f>+_xlfn.XLOOKUP(B110,MERMA!B:B,MERMA!C:C,"No")</f>
        <v>No</v>
      </c>
      <c r="L110" s="10" t="str">
        <f>+_xlfn.XLOOKUP(B110,MERMA!B:B,MERMA!D:D,"No es merma")</f>
        <v>No es merma</v>
      </c>
    </row>
    <row r="111" spans="1:12" ht="14.5" hidden="1" x14ac:dyDescent="0.35">
      <c r="A111" s="10">
        <v>100024419</v>
      </c>
      <c r="B111">
        <v>7702303622080</v>
      </c>
      <c r="C111" s="10" t="s">
        <v>148</v>
      </c>
      <c r="D111" t="s">
        <v>44</v>
      </c>
      <c r="E111" t="s">
        <v>146</v>
      </c>
      <c r="F111" t="s">
        <v>13</v>
      </c>
      <c r="G111" t="s">
        <v>14</v>
      </c>
      <c r="H111" t="s">
        <v>15</v>
      </c>
      <c r="I111" t="s">
        <v>16</v>
      </c>
      <c r="J111" s="10" t="str">
        <f>+_xlfn.XLOOKUP(B111,INNOVACIÓN!A:A,INNOVACIÓN!B:B,"NO")</f>
        <v>NO</v>
      </c>
      <c r="K111" s="10" t="str">
        <f>+_xlfn.XLOOKUP(B111,MERMA!B:B,MERMA!C:C,"No")</f>
        <v>No</v>
      </c>
      <c r="L111" s="10" t="str">
        <f>+_xlfn.XLOOKUP(B111,MERMA!B:B,MERMA!D:D,"No es merma")</f>
        <v>No es merma</v>
      </c>
    </row>
    <row r="112" spans="1:12" ht="14.5" hidden="1" x14ac:dyDescent="0.35">
      <c r="A112" s="10">
        <v>100026071</v>
      </c>
      <c r="B112">
        <v>7503039738508</v>
      </c>
      <c r="C112" s="10" t="s">
        <v>149</v>
      </c>
      <c r="D112" t="s">
        <v>44</v>
      </c>
      <c r="E112" t="s">
        <v>146</v>
      </c>
      <c r="F112" t="s">
        <v>13</v>
      </c>
      <c r="G112" t="s">
        <v>14</v>
      </c>
      <c r="H112" t="s">
        <v>15</v>
      </c>
      <c r="I112" t="s">
        <v>16</v>
      </c>
      <c r="J112" s="10" t="str">
        <f>+_xlfn.XLOOKUP(B112,INNOVACIÓN!A:A,INNOVACIÓN!B:B,"NO")</f>
        <v>NO</v>
      </c>
      <c r="K112" s="10" t="str">
        <f>+_xlfn.XLOOKUP(B112,MERMA!B:B,MERMA!C:C,"No")</f>
        <v>No</v>
      </c>
      <c r="L112" s="10" t="str">
        <f>+_xlfn.XLOOKUP(B112,MERMA!B:B,MERMA!D:D,"No es merma")</f>
        <v>No es merma</v>
      </c>
    </row>
    <row r="113" spans="1:12" ht="14.5" hidden="1" x14ac:dyDescent="0.35">
      <c r="A113" s="10">
        <v>100024420</v>
      </c>
      <c r="B113">
        <v>7702303121477</v>
      </c>
      <c r="C113" s="10" t="s">
        <v>150</v>
      </c>
      <c r="D113" t="s">
        <v>44</v>
      </c>
      <c r="E113" t="s">
        <v>146</v>
      </c>
      <c r="F113" t="s">
        <v>13</v>
      </c>
      <c r="G113" t="s">
        <v>14</v>
      </c>
      <c r="H113" t="s">
        <v>15</v>
      </c>
      <c r="I113" t="s">
        <v>16</v>
      </c>
      <c r="J113" s="10" t="str">
        <f>+_xlfn.XLOOKUP(B113,INNOVACIÓN!A:A,INNOVACIÓN!B:B,"NO")</f>
        <v>NO</v>
      </c>
      <c r="K113" s="10" t="str">
        <f>+_xlfn.XLOOKUP(B113,MERMA!B:B,MERMA!C:C,"No")</f>
        <v>No</v>
      </c>
      <c r="L113" s="10" t="str">
        <f>+_xlfn.XLOOKUP(B113,MERMA!B:B,MERMA!D:D,"No es merma")</f>
        <v>No es merma</v>
      </c>
    </row>
    <row r="114" spans="1:12" ht="14.5" hidden="1" x14ac:dyDescent="0.35">
      <c r="A114">
        <v>100016248</v>
      </c>
      <c r="B114">
        <v>25900000400</v>
      </c>
      <c r="C114" s="10" t="s">
        <v>151</v>
      </c>
      <c r="D114" t="s">
        <v>87</v>
      </c>
      <c r="E114" t="s">
        <v>33</v>
      </c>
      <c r="F114" t="s">
        <v>87</v>
      </c>
      <c r="G114" t="s">
        <v>87</v>
      </c>
      <c r="H114" t="s">
        <v>87</v>
      </c>
      <c r="I114" t="s">
        <v>16</v>
      </c>
      <c r="J114" s="10" t="str">
        <f>+_xlfn.XLOOKUP(B114,INNOVACIÓN!A:A,INNOVACIÓN!B:B,"NO")</f>
        <v>NO</v>
      </c>
      <c r="K114" s="10" t="str">
        <f>+_xlfn.XLOOKUP(B114,MERMA!B:B,MERMA!C:C,"No")</f>
        <v>No</v>
      </c>
      <c r="L114" s="10" t="str">
        <f>+_xlfn.XLOOKUP(B114,MERMA!B:B,MERMA!D:D,"No es merma")</f>
        <v>No es merma</v>
      </c>
    </row>
    <row r="115" spans="1:12" ht="14.5" hidden="1" x14ac:dyDescent="0.35">
      <c r="A115" s="10">
        <v>100009364</v>
      </c>
      <c r="B115">
        <v>7503023648011</v>
      </c>
      <c r="C115" s="10" t="s">
        <v>152</v>
      </c>
      <c r="D115" t="s">
        <v>87</v>
      </c>
      <c r="E115" t="s">
        <v>33</v>
      </c>
      <c r="F115" t="s">
        <v>87</v>
      </c>
      <c r="G115" t="s">
        <v>87</v>
      </c>
      <c r="H115" t="s">
        <v>87</v>
      </c>
      <c r="I115" t="s">
        <v>16</v>
      </c>
      <c r="J115" s="10" t="str">
        <f>+_xlfn.XLOOKUP(B115,INNOVACIÓN!A:A,INNOVACIÓN!B:B,"NO")</f>
        <v>NO</v>
      </c>
      <c r="K115" s="10" t="str">
        <f>+_xlfn.XLOOKUP(B115,MERMA!B:B,MERMA!C:C,"No")</f>
        <v>No</v>
      </c>
      <c r="L115" s="10" t="str">
        <f>+_xlfn.XLOOKUP(B115,MERMA!B:B,MERMA!D:D,"No es merma")</f>
        <v>No es merma</v>
      </c>
    </row>
    <row r="116" spans="1:12" ht="14.5" hidden="1" x14ac:dyDescent="0.35">
      <c r="A116" s="10">
        <v>100009359</v>
      </c>
      <c r="B116">
        <v>7503023648042</v>
      </c>
      <c r="C116" s="10" t="s">
        <v>153</v>
      </c>
      <c r="D116" t="s">
        <v>87</v>
      </c>
      <c r="E116" t="s">
        <v>33</v>
      </c>
      <c r="F116" t="s">
        <v>87</v>
      </c>
      <c r="G116" t="s">
        <v>87</v>
      </c>
      <c r="H116" t="s">
        <v>87</v>
      </c>
      <c r="I116" t="s">
        <v>16</v>
      </c>
      <c r="J116" s="10" t="str">
        <f>+_xlfn.XLOOKUP(B116,INNOVACIÓN!A:A,INNOVACIÓN!B:B,"NO")</f>
        <v>NO</v>
      </c>
      <c r="K116" s="10" t="str">
        <f>+_xlfn.XLOOKUP(B116,MERMA!B:B,MERMA!C:C,"No")</f>
        <v>No</v>
      </c>
      <c r="L116" s="10" t="str">
        <f>+_xlfn.XLOOKUP(B116,MERMA!B:B,MERMA!D:D,"No es merma")</f>
        <v>No es merma</v>
      </c>
    </row>
    <row r="117" spans="1:12" ht="14.5" hidden="1" x14ac:dyDescent="0.35">
      <c r="A117" s="10">
        <v>100080381</v>
      </c>
      <c r="B117">
        <v>7501609501804</v>
      </c>
      <c r="C117" s="10" t="s">
        <v>154</v>
      </c>
      <c r="D117" t="s">
        <v>87</v>
      </c>
      <c r="E117" t="s">
        <v>33</v>
      </c>
      <c r="F117" t="s">
        <v>87</v>
      </c>
      <c r="G117" t="s">
        <v>87</v>
      </c>
      <c r="H117" t="s">
        <v>87</v>
      </c>
      <c r="I117" t="s">
        <v>16</v>
      </c>
      <c r="J117" s="10" t="str">
        <f>+_xlfn.XLOOKUP(B117,INNOVACIÓN!A:A,INNOVACIÓN!B:B,"NO")</f>
        <v>NO</v>
      </c>
      <c r="K117" s="10" t="str">
        <f>+_xlfn.XLOOKUP(B117,MERMA!B:B,MERMA!C:C,"No")</f>
        <v>No</v>
      </c>
      <c r="L117" s="10" t="str">
        <f>+_xlfn.XLOOKUP(B117,MERMA!B:B,MERMA!D:D,"No es merma")</f>
        <v>No es merma</v>
      </c>
    </row>
    <row r="118" spans="1:12" ht="14.5" hidden="1" x14ac:dyDescent="0.35">
      <c r="A118">
        <v>100020133</v>
      </c>
      <c r="B118">
        <v>75075217</v>
      </c>
      <c r="C118" t="s">
        <v>155</v>
      </c>
      <c r="D118" t="s">
        <v>11</v>
      </c>
      <c r="E118" t="s">
        <v>156</v>
      </c>
      <c r="F118" t="s">
        <v>46</v>
      </c>
      <c r="G118" t="s">
        <v>14</v>
      </c>
      <c r="H118" t="s">
        <v>36</v>
      </c>
      <c r="I118" t="s">
        <v>16</v>
      </c>
      <c r="J118" s="10" t="str">
        <f>+_xlfn.XLOOKUP(B118,INNOVACIÓN!A:A,INNOVACIÓN!B:B,"NO")</f>
        <v>NO</v>
      </c>
      <c r="K118" s="10" t="str">
        <f>+_xlfn.XLOOKUP(B118,MERMA!B:B,MERMA!C:C,"No")</f>
        <v>No</v>
      </c>
      <c r="L118" s="10" t="str">
        <f>+_xlfn.XLOOKUP(B118,MERMA!B:B,MERMA!D:D,"No es merma")</f>
        <v>No es merma</v>
      </c>
    </row>
    <row r="119" spans="1:12" ht="14.5" hidden="1" x14ac:dyDescent="0.35">
      <c r="A119">
        <v>100018656</v>
      </c>
      <c r="B119">
        <v>75001360</v>
      </c>
      <c r="C119" t="s">
        <v>157</v>
      </c>
      <c r="D119" t="s">
        <v>11</v>
      </c>
      <c r="E119" t="s">
        <v>156</v>
      </c>
      <c r="F119" t="s">
        <v>46</v>
      </c>
      <c r="G119" t="s">
        <v>14</v>
      </c>
      <c r="H119" t="s">
        <v>36</v>
      </c>
      <c r="I119" t="s">
        <v>16</v>
      </c>
      <c r="J119" s="10" t="str">
        <f>+_xlfn.XLOOKUP(B119,INNOVACIÓN!A:A,INNOVACIÓN!B:B,"NO")</f>
        <v>NO</v>
      </c>
      <c r="K119" s="10" t="str">
        <f>+_xlfn.XLOOKUP(B119,MERMA!B:B,MERMA!C:C,"No")</f>
        <v>No</v>
      </c>
      <c r="L119" s="10" t="str">
        <f>+_xlfn.XLOOKUP(B119,MERMA!B:B,MERMA!D:D,"No es merma")</f>
        <v>No es merma</v>
      </c>
    </row>
    <row r="120" spans="1:12" ht="14.5" hidden="1" x14ac:dyDescent="0.35">
      <c r="A120">
        <v>100018872</v>
      </c>
      <c r="B120">
        <v>75001384</v>
      </c>
      <c r="C120" t="s">
        <v>158</v>
      </c>
      <c r="D120" t="s">
        <v>11</v>
      </c>
      <c r="E120" t="s">
        <v>156</v>
      </c>
      <c r="F120" t="s">
        <v>46</v>
      </c>
      <c r="G120" t="s">
        <v>54</v>
      </c>
      <c r="H120" t="s">
        <v>36</v>
      </c>
      <c r="I120" t="s">
        <v>16</v>
      </c>
      <c r="J120" s="10" t="str">
        <f>+_xlfn.XLOOKUP(B120,INNOVACIÓN!A:A,INNOVACIÓN!B:B,"NO")</f>
        <v>NO</v>
      </c>
      <c r="K120" s="10" t="str">
        <f>+_xlfn.XLOOKUP(B120,MERMA!B:B,MERMA!C:C,"No")</f>
        <v>No</v>
      </c>
      <c r="L120" s="10" t="str">
        <f>+_xlfn.XLOOKUP(B120,MERMA!B:B,MERMA!D:D,"No es merma")</f>
        <v>No es merma</v>
      </c>
    </row>
    <row r="121" spans="1:12" ht="14.5" hidden="1" x14ac:dyDescent="0.35">
      <c r="A121">
        <v>100021790</v>
      </c>
      <c r="B121">
        <v>75019006</v>
      </c>
      <c r="C121" t="s">
        <v>159</v>
      </c>
      <c r="D121" t="s">
        <v>11</v>
      </c>
      <c r="E121" t="s">
        <v>156</v>
      </c>
      <c r="F121" t="s">
        <v>46</v>
      </c>
      <c r="G121" t="s">
        <v>14</v>
      </c>
      <c r="H121" t="s">
        <v>36</v>
      </c>
      <c r="I121" t="s">
        <v>16</v>
      </c>
      <c r="J121" s="10" t="str">
        <f>+_xlfn.XLOOKUP(B121,INNOVACIÓN!A:A,INNOVACIÓN!B:B,"NO")</f>
        <v>NO</v>
      </c>
      <c r="K121" s="10" t="str">
        <f>+_xlfn.XLOOKUP(B121,MERMA!B:B,MERMA!C:C,"No")</f>
        <v>No</v>
      </c>
      <c r="L121" s="10" t="str">
        <f>+_xlfn.XLOOKUP(B121,MERMA!B:B,MERMA!D:D,"No es merma")</f>
        <v>No es merma</v>
      </c>
    </row>
    <row r="122" spans="1:12" ht="14.5" hidden="1" x14ac:dyDescent="0.35">
      <c r="A122">
        <v>100014868</v>
      </c>
      <c r="B122">
        <v>75068769</v>
      </c>
      <c r="C122" t="s">
        <v>160</v>
      </c>
      <c r="D122" t="s">
        <v>11</v>
      </c>
      <c r="E122" t="s">
        <v>161</v>
      </c>
      <c r="F122" t="s">
        <v>39</v>
      </c>
      <c r="G122" t="s">
        <v>14</v>
      </c>
      <c r="H122" t="s">
        <v>36</v>
      </c>
      <c r="I122" t="s">
        <v>16</v>
      </c>
      <c r="J122" s="10" t="str">
        <f>+_xlfn.XLOOKUP(B122,INNOVACIÓN!A:A,INNOVACIÓN!B:B,"NO")</f>
        <v>NO</v>
      </c>
      <c r="K122" s="10" t="str">
        <f>+_xlfn.XLOOKUP(B122,MERMA!B:B,MERMA!C:C,"No")</f>
        <v>No</v>
      </c>
      <c r="L122" s="10" t="str">
        <f>+_xlfn.XLOOKUP(B122,MERMA!B:B,MERMA!D:D,"No es merma")</f>
        <v>No es merma</v>
      </c>
    </row>
    <row r="123" spans="1:12" ht="14.5" hidden="1" x14ac:dyDescent="0.35">
      <c r="A123" s="10">
        <v>100025332</v>
      </c>
      <c r="B123">
        <v>75032807</v>
      </c>
      <c r="C123" s="10" t="s">
        <v>162</v>
      </c>
      <c r="D123" t="s">
        <v>11</v>
      </c>
      <c r="E123" t="s">
        <v>33</v>
      </c>
      <c r="F123" t="s">
        <v>46</v>
      </c>
      <c r="G123" t="s">
        <v>14</v>
      </c>
      <c r="H123" t="s">
        <v>36</v>
      </c>
      <c r="I123" t="s">
        <v>109</v>
      </c>
      <c r="J123" s="10" t="str">
        <f>+_xlfn.XLOOKUP(B123,INNOVACIÓN!A:A,INNOVACIÓN!B:B,"NO")</f>
        <v>NO</v>
      </c>
      <c r="K123" s="10" t="str">
        <f>+_xlfn.XLOOKUP(B123,MERMA!B:B,MERMA!C:C,"No")</f>
        <v>No</v>
      </c>
      <c r="L123" s="10" t="str">
        <f>+_xlfn.XLOOKUP(B123,MERMA!B:B,MERMA!D:D,"No es merma")</f>
        <v>No es merma</v>
      </c>
    </row>
    <row r="124" spans="1:12" ht="14.5" hidden="1" x14ac:dyDescent="0.35">
      <c r="A124">
        <v>100013110</v>
      </c>
      <c r="B124">
        <v>75065515</v>
      </c>
      <c r="C124" t="s">
        <v>163</v>
      </c>
      <c r="D124" t="s">
        <v>11</v>
      </c>
      <c r="E124" t="s">
        <v>161</v>
      </c>
      <c r="F124" t="s">
        <v>39</v>
      </c>
      <c r="G124" t="s">
        <v>14</v>
      </c>
      <c r="H124" t="s">
        <v>36</v>
      </c>
      <c r="I124" t="s">
        <v>16</v>
      </c>
      <c r="J124" s="10" t="str">
        <f>+_xlfn.XLOOKUP(B124,INNOVACIÓN!A:A,INNOVACIÓN!B:B,"NO")</f>
        <v>NO</v>
      </c>
      <c r="K124" s="10" t="str">
        <f>+_xlfn.XLOOKUP(B124,MERMA!B:B,MERMA!C:C,"No")</f>
        <v>No</v>
      </c>
      <c r="L124" s="10" t="str">
        <f>+_xlfn.XLOOKUP(B124,MERMA!B:B,MERMA!D:D,"No es merma")</f>
        <v>No es merma</v>
      </c>
    </row>
    <row r="125" spans="1:12" ht="14.5" hidden="1" x14ac:dyDescent="0.35">
      <c r="A125">
        <v>100014711</v>
      </c>
      <c r="B125">
        <v>75068783</v>
      </c>
      <c r="C125" t="s">
        <v>164</v>
      </c>
      <c r="D125" t="s">
        <v>11</v>
      </c>
      <c r="E125" t="s">
        <v>161</v>
      </c>
      <c r="F125" t="s">
        <v>39</v>
      </c>
      <c r="G125" t="s">
        <v>14</v>
      </c>
      <c r="H125" t="s">
        <v>36</v>
      </c>
      <c r="I125" t="s">
        <v>16</v>
      </c>
      <c r="J125" s="10" t="str">
        <f>+_xlfn.XLOOKUP(B125,INNOVACIÓN!A:A,INNOVACIÓN!B:B,"NO")</f>
        <v>NO</v>
      </c>
      <c r="K125" s="10" t="str">
        <f>+_xlfn.XLOOKUP(B125,MERMA!B:B,MERMA!C:C,"No")</f>
        <v>No</v>
      </c>
      <c r="L125" s="10" t="str">
        <f>+_xlfn.XLOOKUP(B125,MERMA!B:B,MERMA!D:D,"No es merma")</f>
        <v>No es merma</v>
      </c>
    </row>
    <row r="126" spans="1:12" ht="14.5" hidden="1" x14ac:dyDescent="0.35">
      <c r="A126">
        <v>100014569</v>
      </c>
      <c r="B126">
        <v>75068813</v>
      </c>
      <c r="C126" t="s">
        <v>165</v>
      </c>
      <c r="D126" t="s">
        <v>11</v>
      </c>
      <c r="E126" t="s">
        <v>161</v>
      </c>
      <c r="F126" t="s">
        <v>39</v>
      </c>
      <c r="G126" t="s">
        <v>54</v>
      </c>
      <c r="H126" t="s">
        <v>36</v>
      </c>
      <c r="I126" t="s">
        <v>16</v>
      </c>
      <c r="J126" s="10" t="str">
        <f>+_xlfn.XLOOKUP(B126,INNOVACIÓN!A:A,INNOVACIÓN!B:B,"NO")</f>
        <v>NO</v>
      </c>
      <c r="K126" s="10" t="str">
        <f>+_xlfn.XLOOKUP(B126,MERMA!B:B,MERMA!C:C,"No")</f>
        <v>No</v>
      </c>
      <c r="L126" s="10" t="str">
        <f>+_xlfn.XLOOKUP(B126,MERMA!B:B,MERMA!D:D,"No es merma")</f>
        <v>No es merma</v>
      </c>
    </row>
    <row r="127" spans="1:12" ht="14.5" hidden="1" x14ac:dyDescent="0.35">
      <c r="A127" s="10">
        <v>100024881</v>
      </c>
      <c r="B127">
        <v>75082345</v>
      </c>
      <c r="C127" s="10" t="s">
        <v>166</v>
      </c>
      <c r="D127" t="s">
        <v>11</v>
      </c>
      <c r="E127" s="10" t="s">
        <v>161</v>
      </c>
      <c r="F127" t="s">
        <v>46</v>
      </c>
      <c r="G127" t="s">
        <v>14</v>
      </c>
      <c r="H127" t="s">
        <v>36</v>
      </c>
      <c r="I127" t="s">
        <v>16</v>
      </c>
      <c r="J127" s="10" t="str">
        <f>+_xlfn.XLOOKUP(B127,INNOVACIÓN!A:A,INNOVACIÓN!B:B,"NO")</f>
        <v>NO</v>
      </c>
      <c r="K127" s="10" t="str">
        <f>+_xlfn.XLOOKUP(B127,MERMA!B:B,MERMA!C:C,"No")</f>
        <v>No</v>
      </c>
      <c r="L127" s="10" t="str">
        <f>+_xlfn.XLOOKUP(B127,MERMA!B:B,MERMA!D:D,"No es merma")</f>
        <v>No es merma</v>
      </c>
    </row>
    <row r="128" spans="1:12" ht="14.5" hidden="1" x14ac:dyDescent="0.35">
      <c r="A128">
        <v>100023312</v>
      </c>
      <c r="B128">
        <v>75006297</v>
      </c>
      <c r="C128" t="s">
        <v>167</v>
      </c>
      <c r="D128" t="s">
        <v>11</v>
      </c>
      <c r="E128" t="s">
        <v>168</v>
      </c>
      <c r="F128" t="s">
        <v>41</v>
      </c>
      <c r="G128" t="s">
        <v>54</v>
      </c>
      <c r="H128" t="s">
        <v>36</v>
      </c>
      <c r="I128" t="s">
        <v>16</v>
      </c>
      <c r="J128" s="10" t="str">
        <f>+_xlfn.XLOOKUP(B128,INNOVACIÓN!A:A,INNOVACIÓN!B:B,"NO")</f>
        <v>NO</v>
      </c>
      <c r="K128" s="10" t="str">
        <f>+_xlfn.XLOOKUP(B128,MERMA!B:B,MERMA!C:C,"No")</f>
        <v>No</v>
      </c>
      <c r="L128" s="10" t="str">
        <f>+_xlfn.XLOOKUP(B128,MERMA!B:B,MERMA!D:D,"No es merma")</f>
        <v>No es merma</v>
      </c>
    </row>
    <row r="129" spans="1:12" ht="14.5" hidden="1" x14ac:dyDescent="0.35">
      <c r="A129">
        <v>100023311</v>
      </c>
      <c r="B129">
        <v>75006266</v>
      </c>
      <c r="C129" t="s">
        <v>169</v>
      </c>
      <c r="D129" t="s">
        <v>11</v>
      </c>
      <c r="E129" t="s">
        <v>168</v>
      </c>
      <c r="F129" t="s">
        <v>41</v>
      </c>
      <c r="G129" t="s">
        <v>71</v>
      </c>
      <c r="H129" t="s">
        <v>36</v>
      </c>
      <c r="I129" t="s">
        <v>16</v>
      </c>
      <c r="J129" s="10" t="str">
        <f>+_xlfn.XLOOKUP(B129,INNOVACIÓN!A:A,INNOVACIÓN!B:B,"NO")</f>
        <v>NO</v>
      </c>
      <c r="K129" s="10" t="str">
        <f>+_xlfn.XLOOKUP(B129,MERMA!B:B,MERMA!C:C,"No")</f>
        <v>No</v>
      </c>
      <c r="L129" s="10" t="str">
        <f>+_xlfn.XLOOKUP(B129,MERMA!B:B,MERMA!D:D,"No es merma")</f>
        <v>No es merma</v>
      </c>
    </row>
    <row r="130" spans="1:12" ht="14.5" hidden="1" x14ac:dyDescent="0.35">
      <c r="A130">
        <v>100024134</v>
      </c>
      <c r="B130">
        <v>75006587</v>
      </c>
      <c r="C130" t="s">
        <v>170</v>
      </c>
      <c r="D130" t="s">
        <v>11</v>
      </c>
      <c r="E130" t="s">
        <v>33</v>
      </c>
      <c r="F130" t="s">
        <v>46</v>
      </c>
      <c r="G130" t="s">
        <v>14</v>
      </c>
      <c r="H130" t="s">
        <v>36</v>
      </c>
      <c r="I130" t="s">
        <v>109</v>
      </c>
      <c r="J130" s="10" t="str">
        <f>+_xlfn.XLOOKUP(B130,INNOVACIÓN!A:A,INNOVACIÓN!B:B,"NO")</f>
        <v>NO</v>
      </c>
      <c r="K130" s="10" t="str">
        <f>+_xlfn.XLOOKUP(B130,MERMA!B:B,MERMA!C:C,"No")</f>
        <v>SI</v>
      </c>
      <c r="L130" s="10">
        <f>+_xlfn.XLOOKUP(B130,MERMA!B:B,MERMA!D:D,"No es merma")</f>
        <v>2025</v>
      </c>
    </row>
    <row r="131" spans="1:12" ht="14.5" hidden="1" x14ac:dyDescent="0.35">
      <c r="A131">
        <v>100080928</v>
      </c>
      <c r="B131">
        <v>75044916</v>
      </c>
      <c r="C131" t="s">
        <v>171</v>
      </c>
      <c r="D131" t="s">
        <v>11</v>
      </c>
      <c r="E131" t="s">
        <v>161</v>
      </c>
      <c r="F131" t="s">
        <v>39</v>
      </c>
      <c r="G131" t="s">
        <v>14</v>
      </c>
      <c r="H131" t="s">
        <v>36</v>
      </c>
      <c r="I131" t="s">
        <v>16</v>
      </c>
      <c r="J131" s="10" t="str">
        <f>+_xlfn.XLOOKUP(B131,INNOVACIÓN!A:A,INNOVACIÓN!B:B,"NO")</f>
        <v>NO</v>
      </c>
      <c r="K131" s="10" t="str">
        <f>+_xlfn.XLOOKUP(B131,MERMA!B:B,MERMA!C:C,"No")</f>
        <v>No</v>
      </c>
      <c r="L131" s="10" t="str">
        <f>+_xlfn.XLOOKUP(B131,MERMA!B:B,MERMA!D:D,"No es merma")</f>
        <v>No es merma</v>
      </c>
    </row>
    <row r="132" spans="1:12" ht="14.5" hidden="1" x14ac:dyDescent="0.35">
      <c r="A132">
        <v>100015186</v>
      </c>
      <c r="B132">
        <v>75068844</v>
      </c>
      <c r="C132" t="s">
        <v>172</v>
      </c>
      <c r="D132" t="s">
        <v>11</v>
      </c>
      <c r="E132" t="s">
        <v>161</v>
      </c>
      <c r="F132" t="s">
        <v>39</v>
      </c>
      <c r="G132" t="s">
        <v>71</v>
      </c>
      <c r="H132" t="s">
        <v>36</v>
      </c>
      <c r="I132" t="s">
        <v>16</v>
      </c>
      <c r="J132" s="10" t="str">
        <f>+_xlfn.XLOOKUP(B132,INNOVACIÓN!A:A,INNOVACIÓN!B:B,"NO")</f>
        <v>NO</v>
      </c>
      <c r="K132" s="10" t="str">
        <f>+_xlfn.XLOOKUP(B132,MERMA!B:B,MERMA!C:C,"No")</f>
        <v>No</v>
      </c>
      <c r="L132" s="10" t="str">
        <f>+_xlfn.XLOOKUP(B132,MERMA!B:B,MERMA!D:D,"No es merma")</f>
        <v>No es merma</v>
      </c>
    </row>
    <row r="133" spans="1:12" ht="14.5" hidden="1" x14ac:dyDescent="0.35">
      <c r="A133">
        <v>100015037</v>
      </c>
      <c r="B133">
        <v>75068745</v>
      </c>
      <c r="C133" t="s">
        <v>173</v>
      </c>
      <c r="D133" t="s">
        <v>11</v>
      </c>
      <c r="E133" t="s">
        <v>161</v>
      </c>
      <c r="F133" t="s">
        <v>39</v>
      </c>
      <c r="G133" t="s">
        <v>71</v>
      </c>
      <c r="H133" t="s">
        <v>36</v>
      </c>
      <c r="I133" t="s">
        <v>16</v>
      </c>
      <c r="J133" s="10" t="str">
        <f>+_xlfn.XLOOKUP(B133,INNOVACIÓN!A:A,INNOVACIÓN!B:B,"NO")</f>
        <v>NO</v>
      </c>
      <c r="K133" s="10" t="str">
        <f>+_xlfn.XLOOKUP(B133,MERMA!B:B,MERMA!C:C,"No")</f>
        <v>No</v>
      </c>
      <c r="L133" s="10" t="str">
        <f>+_xlfn.XLOOKUP(B133,MERMA!B:B,MERMA!D:D,"No es merma")</f>
        <v>No es merma</v>
      </c>
    </row>
    <row r="134" spans="1:12" ht="14.5" hidden="1" x14ac:dyDescent="0.35">
      <c r="A134">
        <v>100014570</v>
      </c>
      <c r="B134">
        <v>75068738</v>
      </c>
      <c r="C134" t="s">
        <v>174</v>
      </c>
      <c r="D134" t="s">
        <v>11</v>
      </c>
      <c r="E134" t="s">
        <v>161</v>
      </c>
      <c r="F134" t="s">
        <v>39</v>
      </c>
      <c r="G134" t="s">
        <v>71</v>
      </c>
      <c r="H134" t="s">
        <v>36</v>
      </c>
      <c r="I134" t="s">
        <v>16</v>
      </c>
      <c r="J134" s="10" t="str">
        <f>+_xlfn.XLOOKUP(B134,INNOVACIÓN!A:A,INNOVACIÓN!B:B,"NO")</f>
        <v>NO</v>
      </c>
      <c r="K134" s="10" t="str">
        <f>+_xlfn.XLOOKUP(B134,MERMA!B:B,MERMA!C:C,"No")</f>
        <v>No</v>
      </c>
      <c r="L134" s="10" t="str">
        <f>+_xlfn.XLOOKUP(B134,MERMA!B:B,MERMA!D:D,"No es merma")</f>
        <v>No es merma</v>
      </c>
    </row>
    <row r="135" spans="1:12" ht="14.5" hidden="1" x14ac:dyDescent="0.35">
      <c r="A135">
        <v>100013136</v>
      </c>
      <c r="B135">
        <v>75066345</v>
      </c>
      <c r="C135" t="s">
        <v>175</v>
      </c>
      <c r="D135" t="s">
        <v>11</v>
      </c>
      <c r="E135" t="s">
        <v>161</v>
      </c>
      <c r="F135" t="s">
        <v>46</v>
      </c>
      <c r="G135" t="s">
        <v>14</v>
      </c>
      <c r="H135" t="s">
        <v>36</v>
      </c>
      <c r="I135" t="s">
        <v>16</v>
      </c>
      <c r="J135" s="10" t="str">
        <f>+_xlfn.XLOOKUP(B135,INNOVACIÓN!A:A,INNOVACIÓN!B:B,"NO")</f>
        <v>NO</v>
      </c>
      <c r="K135" s="10" t="str">
        <f>+_xlfn.XLOOKUP(B135,MERMA!B:B,MERMA!C:C,"No")</f>
        <v>No</v>
      </c>
      <c r="L135" s="10" t="str">
        <f>+_xlfn.XLOOKUP(B135,MERMA!B:B,MERMA!D:D,"No es merma")</f>
        <v>No es merma</v>
      </c>
    </row>
    <row r="136" spans="1:12" ht="14.5" hidden="1" x14ac:dyDescent="0.35">
      <c r="A136">
        <v>101000062</v>
      </c>
      <c r="B136">
        <v>75006372</v>
      </c>
      <c r="C136" t="s">
        <v>176</v>
      </c>
      <c r="D136" t="s">
        <v>11</v>
      </c>
      <c r="E136" t="s">
        <v>33</v>
      </c>
      <c r="F136" t="s">
        <v>46</v>
      </c>
      <c r="G136" t="s">
        <v>14</v>
      </c>
      <c r="H136" t="s">
        <v>36</v>
      </c>
      <c r="I136" t="s">
        <v>109</v>
      </c>
      <c r="J136" s="10" t="str">
        <f>+_xlfn.XLOOKUP(B136,INNOVACIÓN!A:A,INNOVACIÓN!B:B,"NO")</f>
        <v>NO</v>
      </c>
      <c r="K136" s="10" t="str">
        <f>+_xlfn.XLOOKUP(B136,MERMA!B:B,MERMA!C:C,"No")</f>
        <v>No</v>
      </c>
      <c r="L136" s="10" t="str">
        <f>+_xlfn.XLOOKUP(B136,MERMA!B:B,MERMA!D:D,"No es merma")</f>
        <v>No es merma</v>
      </c>
    </row>
    <row r="137" spans="1:12" ht="14.5" hidden="1" x14ac:dyDescent="0.35">
      <c r="A137">
        <v>100022336</v>
      </c>
      <c r="B137">
        <v>75066413</v>
      </c>
      <c r="C137" t="s">
        <v>177</v>
      </c>
      <c r="D137" t="s">
        <v>11</v>
      </c>
      <c r="E137" t="s">
        <v>168</v>
      </c>
      <c r="F137" t="s">
        <v>41</v>
      </c>
      <c r="G137" t="s">
        <v>35</v>
      </c>
      <c r="H137" t="s">
        <v>36</v>
      </c>
      <c r="I137" t="s">
        <v>16</v>
      </c>
      <c r="J137" s="10" t="str">
        <f>+_xlfn.XLOOKUP(B137,INNOVACIÓN!A:A,INNOVACIÓN!B:B,"NO")</f>
        <v>NO</v>
      </c>
      <c r="K137" s="10" t="str">
        <f>+_xlfn.XLOOKUP(B137,MERMA!B:B,MERMA!C:C,"No")</f>
        <v>No</v>
      </c>
      <c r="L137" s="10" t="str">
        <f>+_xlfn.XLOOKUP(B137,MERMA!B:B,MERMA!D:D,"No es merma")</f>
        <v>No es merma</v>
      </c>
    </row>
    <row r="138" spans="1:12" ht="14.5" hidden="1" x14ac:dyDescent="0.35">
      <c r="A138">
        <v>100022523</v>
      </c>
      <c r="B138">
        <v>75019563</v>
      </c>
      <c r="C138" t="s">
        <v>178</v>
      </c>
      <c r="D138" t="s">
        <v>11</v>
      </c>
      <c r="E138" t="s">
        <v>168</v>
      </c>
      <c r="F138" t="s">
        <v>41</v>
      </c>
      <c r="G138" t="s">
        <v>35</v>
      </c>
      <c r="H138" t="s">
        <v>36</v>
      </c>
      <c r="I138" t="s">
        <v>16</v>
      </c>
      <c r="J138" s="10" t="str">
        <f>+_xlfn.XLOOKUP(B138,INNOVACIÓN!A:A,INNOVACIÓN!B:B,"NO")</f>
        <v>NO</v>
      </c>
      <c r="K138" s="10" t="str">
        <f>+_xlfn.XLOOKUP(B138,MERMA!B:B,MERMA!C:C,"No")</f>
        <v>No</v>
      </c>
      <c r="L138" s="10" t="str">
        <f>+_xlfn.XLOOKUP(B138,MERMA!B:B,MERMA!D:D,"No es merma")</f>
        <v>No es merma</v>
      </c>
    </row>
    <row r="139" spans="1:12" ht="14.5" hidden="1" x14ac:dyDescent="0.35">
      <c r="A139">
        <v>100022965</v>
      </c>
      <c r="B139">
        <v>75019570</v>
      </c>
      <c r="C139" t="s">
        <v>179</v>
      </c>
      <c r="D139" t="s">
        <v>11</v>
      </c>
      <c r="E139" t="s">
        <v>168</v>
      </c>
      <c r="F139" t="s">
        <v>41</v>
      </c>
      <c r="G139" t="s">
        <v>71</v>
      </c>
      <c r="H139" t="s">
        <v>36</v>
      </c>
      <c r="I139" t="s">
        <v>16</v>
      </c>
      <c r="J139" s="10" t="str">
        <f>+_xlfn.XLOOKUP(B139,INNOVACIÓN!A:A,INNOVACIÓN!B:B,"NO")</f>
        <v>NO</v>
      </c>
      <c r="K139" s="10" t="str">
        <f>+_xlfn.XLOOKUP(B139,MERMA!B:B,MERMA!C:C,"No")</f>
        <v>No</v>
      </c>
      <c r="L139" s="10" t="str">
        <f>+_xlfn.XLOOKUP(B139,MERMA!B:B,MERMA!D:D,"No es merma")</f>
        <v>No es merma</v>
      </c>
    </row>
    <row r="140" spans="1:12" ht="14.5" hidden="1" x14ac:dyDescent="0.35">
      <c r="A140">
        <v>100022335</v>
      </c>
      <c r="B140">
        <v>75019587</v>
      </c>
      <c r="C140" t="s">
        <v>180</v>
      </c>
      <c r="D140" t="s">
        <v>11</v>
      </c>
      <c r="E140" t="s">
        <v>168</v>
      </c>
      <c r="F140" t="s">
        <v>41</v>
      </c>
      <c r="G140" t="s">
        <v>35</v>
      </c>
      <c r="H140" t="s">
        <v>36</v>
      </c>
      <c r="I140" t="s">
        <v>16</v>
      </c>
      <c r="J140" s="10" t="str">
        <f>+_xlfn.XLOOKUP(B140,INNOVACIÓN!A:A,INNOVACIÓN!B:B,"NO")</f>
        <v>NO</v>
      </c>
      <c r="K140" s="10" t="str">
        <f>+_xlfn.XLOOKUP(B140,MERMA!B:B,MERMA!C:C,"No")</f>
        <v>No</v>
      </c>
      <c r="L140" s="10" t="str">
        <f>+_xlfn.XLOOKUP(B140,MERMA!B:B,MERMA!D:D,"No es merma")</f>
        <v>No es merma</v>
      </c>
    </row>
    <row r="141" spans="1:12" ht="14.5" hidden="1" x14ac:dyDescent="0.35">
      <c r="A141">
        <v>100080028</v>
      </c>
      <c r="B141">
        <v>75001315</v>
      </c>
      <c r="C141" t="s">
        <v>181</v>
      </c>
      <c r="D141" t="s">
        <v>11</v>
      </c>
      <c r="E141" t="s">
        <v>161</v>
      </c>
      <c r="F141" t="s">
        <v>39</v>
      </c>
      <c r="G141" t="s">
        <v>35</v>
      </c>
      <c r="H141" t="s">
        <v>36</v>
      </c>
      <c r="I141" t="s">
        <v>16</v>
      </c>
      <c r="J141" s="10" t="str">
        <f>+_xlfn.XLOOKUP(B141,INNOVACIÓN!A:A,INNOVACIÓN!B:B,"NO")</f>
        <v>NO</v>
      </c>
      <c r="K141" s="10" t="str">
        <f>+_xlfn.XLOOKUP(B141,MERMA!B:B,MERMA!C:C,"No")</f>
        <v>No</v>
      </c>
      <c r="L141" s="10" t="str">
        <f>+_xlfn.XLOOKUP(B141,MERMA!B:B,MERMA!D:D,"No es merma")</f>
        <v>No es merma</v>
      </c>
    </row>
    <row r="142" spans="1:12" ht="14.5" hidden="1" x14ac:dyDescent="0.35">
      <c r="A142">
        <v>100080027</v>
      </c>
      <c r="B142">
        <v>75001322</v>
      </c>
      <c r="C142" t="s">
        <v>182</v>
      </c>
      <c r="D142" t="s">
        <v>11</v>
      </c>
      <c r="E142" t="s">
        <v>161</v>
      </c>
      <c r="F142" t="s">
        <v>39</v>
      </c>
      <c r="G142" t="s">
        <v>35</v>
      </c>
      <c r="H142" t="s">
        <v>36</v>
      </c>
      <c r="I142" t="s">
        <v>16</v>
      </c>
      <c r="J142" s="10" t="str">
        <f>+_xlfn.XLOOKUP(B142,INNOVACIÓN!A:A,INNOVACIÓN!B:B,"NO")</f>
        <v>NO</v>
      </c>
      <c r="K142" s="10" t="str">
        <f>+_xlfn.XLOOKUP(B142,MERMA!B:B,MERMA!C:C,"No")</f>
        <v>No</v>
      </c>
      <c r="L142" s="10" t="str">
        <f>+_xlfn.XLOOKUP(B142,MERMA!B:B,MERMA!D:D,"No es merma")</f>
        <v>No es merma</v>
      </c>
    </row>
    <row r="143" spans="1:12" ht="14.5" hidden="1" x14ac:dyDescent="0.35">
      <c r="A143">
        <v>100080257</v>
      </c>
      <c r="B143">
        <v>75001339</v>
      </c>
      <c r="C143" t="s">
        <v>183</v>
      </c>
      <c r="D143" t="s">
        <v>11</v>
      </c>
      <c r="E143" t="s">
        <v>161</v>
      </c>
      <c r="F143" t="s">
        <v>39</v>
      </c>
      <c r="G143" t="s">
        <v>35</v>
      </c>
      <c r="H143" t="s">
        <v>36</v>
      </c>
      <c r="I143" t="s">
        <v>16</v>
      </c>
      <c r="J143" s="10" t="str">
        <f>+_xlfn.XLOOKUP(B143,INNOVACIÓN!A:A,INNOVACIÓN!B:B,"NO")</f>
        <v>NO</v>
      </c>
      <c r="K143" s="10" t="str">
        <f>+_xlfn.XLOOKUP(B143,MERMA!B:B,MERMA!C:C,"No")</f>
        <v>No</v>
      </c>
      <c r="L143" s="10" t="str">
        <f>+_xlfn.XLOOKUP(B143,MERMA!B:B,MERMA!D:D,"No es merma")</f>
        <v>No es merma</v>
      </c>
    </row>
    <row r="144" spans="1:12" ht="14.5" hidden="1" x14ac:dyDescent="0.35">
      <c r="A144">
        <v>100080820</v>
      </c>
      <c r="B144">
        <v>75031053</v>
      </c>
      <c r="C144" t="s">
        <v>184</v>
      </c>
      <c r="D144" t="s">
        <v>11</v>
      </c>
      <c r="E144" t="s">
        <v>161</v>
      </c>
      <c r="F144" t="s">
        <v>39</v>
      </c>
      <c r="G144" t="s">
        <v>54</v>
      </c>
      <c r="H144" t="s">
        <v>36</v>
      </c>
      <c r="I144" t="s">
        <v>16</v>
      </c>
      <c r="J144" s="10" t="str">
        <f>+_xlfn.XLOOKUP(B144,INNOVACIÓN!A:A,INNOVACIÓN!B:B,"NO")</f>
        <v>NO</v>
      </c>
      <c r="K144" s="10" t="str">
        <f>+_xlfn.XLOOKUP(B144,MERMA!B:B,MERMA!C:C,"No")</f>
        <v>No</v>
      </c>
      <c r="L144" s="10" t="str">
        <f>+_xlfn.XLOOKUP(B144,MERMA!B:B,MERMA!D:D,"No es merma")</f>
        <v>No es merma</v>
      </c>
    </row>
    <row r="145" spans="1:12" ht="14.5" hidden="1" x14ac:dyDescent="0.35">
      <c r="A145">
        <v>100080904</v>
      </c>
      <c r="B145">
        <v>75043247</v>
      </c>
      <c r="C145" t="s">
        <v>185</v>
      </c>
      <c r="D145" t="s">
        <v>11</v>
      </c>
      <c r="E145" t="s">
        <v>161</v>
      </c>
      <c r="F145" t="s">
        <v>39</v>
      </c>
      <c r="G145" t="s">
        <v>54</v>
      </c>
      <c r="H145" t="s">
        <v>36</v>
      </c>
      <c r="I145" t="s">
        <v>16</v>
      </c>
      <c r="J145" s="10" t="str">
        <f>+_xlfn.XLOOKUP(B145,INNOVACIÓN!A:A,INNOVACIÓN!B:B,"NO")</f>
        <v>NO</v>
      </c>
      <c r="K145" s="10" t="str">
        <f>+_xlfn.XLOOKUP(B145,MERMA!B:B,MERMA!C:C,"No")</f>
        <v>No</v>
      </c>
      <c r="L145" s="10" t="str">
        <f>+_xlfn.XLOOKUP(B145,MERMA!B:B,MERMA!D:D,"No es merma")</f>
        <v>No es merma</v>
      </c>
    </row>
    <row r="146" spans="1:12" ht="14.5" hidden="1" x14ac:dyDescent="0.35">
      <c r="A146">
        <v>100080850</v>
      </c>
      <c r="B146">
        <v>75035259</v>
      </c>
      <c r="C146" t="s">
        <v>186</v>
      </c>
      <c r="D146" t="s">
        <v>11</v>
      </c>
      <c r="E146" t="s">
        <v>161</v>
      </c>
      <c r="F146" t="s">
        <v>39</v>
      </c>
      <c r="G146" t="s">
        <v>54</v>
      </c>
      <c r="H146" t="s">
        <v>36</v>
      </c>
      <c r="I146" t="s">
        <v>16</v>
      </c>
      <c r="J146" s="10" t="str">
        <f>+_xlfn.XLOOKUP(B146,INNOVACIÓN!A:A,INNOVACIÓN!B:B,"NO")</f>
        <v>NO</v>
      </c>
      <c r="K146" s="10" t="str">
        <f>+_xlfn.XLOOKUP(B146,MERMA!B:B,MERMA!C:C,"No")</f>
        <v>No</v>
      </c>
      <c r="L146" s="10" t="str">
        <f>+_xlfn.XLOOKUP(B146,MERMA!B:B,MERMA!D:D,"No es merma")</f>
        <v>No es merma</v>
      </c>
    </row>
    <row r="147" spans="1:12" ht="14.5" hidden="1" x14ac:dyDescent="0.35">
      <c r="A147">
        <v>100080903</v>
      </c>
      <c r="B147">
        <v>75042646</v>
      </c>
      <c r="C147" t="s">
        <v>187</v>
      </c>
      <c r="D147" t="s">
        <v>11</v>
      </c>
      <c r="E147" t="s">
        <v>161</v>
      </c>
      <c r="F147" t="s">
        <v>39</v>
      </c>
      <c r="G147" t="s">
        <v>54</v>
      </c>
      <c r="H147" t="s">
        <v>36</v>
      </c>
      <c r="I147" t="s">
        <v>16</v>
      </c>
      <c r="J147" s="10" t="str">
        <f>+_xlfn.XLOOKUP(B147,INNOVACIÓN!A:A,INNOVACIÓN!B:B,"NO")</f>
        <v>NO</v>
      </c>
      <c r="K147" s="10" t="str">
        <f>+_xlfn.XLOOKUP(B147,MERMA!B:B,MERMA!C:C,"No")</f>
        <v>No</v>
      </c>
      <c r="L147" s="10" t="str">
        <f>+_xlfn.XLOOKUP(B147,MERMA!B:B,MERMA!D:D,"No es merma")</f>
        <v>No es merma</v>
      </c>
    </row>
    <row r="148" spans="1:12" ht="14.5" hidden="1" x14ac:dyDescent="0.35">
      <c r="A148">
        <v>100080687</v>
      </c>
      <c r="B148">
        <v>75021597</v>
      </c>
      <c r="C148" t="s">
        <v>188</v>
      </c>
      <c r="D148" t="s">
        <v>11</v>
      </c>
      <c r="E148" t="s">
        <v>161</v>
      </c>
      <c r="F148" t="s">
        <v>39</v>
      </c>
      <c r="G148" t="s">
        <v>54</v>
      </c>
      <c r="H148" t="s">
        <v>36</v>
      </c>
      <c r="I148" t="s">
        <v>16</v>
      </c>
      <c r="J148" s="10" t="str">
        <f>+_xlfn.XLOOKUP(B148,INNOVACIÓN!A:A,INNOVACIÓN!B:B,"NO")</f>
        <v>NO</v>
      </c>
      <c r="K148" s="10" t="str">
        <f>+_xlfn.XLOOKUP(B148,MERMA!B:B,MERMA!C:C,"No")</f>
        <v>No</v>
      </c>
      <c r="L148" s="10" t="str">
        <f>+_xlfn.XLOOKUP(B148,MERMA!B:B,MERMA!D:D,"No es merma")</f>
        <v>No es merma</v>
      </c>
    </row>
    <row r="149" spans="1:12" ht="14.5" hidden="1" x14ac:dyDescent="0.35">
      <c r="A149">
        <v>100019981</v>
      </c>
      <c r="B149">
        <v>75074746</v>
      </c>
      <c r="C149" t="s">
        <v>189</v>
      </c>
      <c r="D149" t="s">
        <v>11</v>
      </c>
      <c r="E149" t="s">
        <v>156</v>
      </c>
      <c r="F149" t="s">
        <v>46</v>
      </c>
      <c r="G149" t="s">
        <v>14</v>
      </c>
      <c r="H149" t="s">
        <v>36</v>
      </c>
      <c r="I149" t="s">
        <v>16</v>
      </c>
      <c r="J149" s="10" t="str">
        <f>+_xlfn.XLOOKUP(B149,INNOVACIÓN!A:A,INNOVACIÓN!B:B,"NO")</f>
        <v>NO</v>
      </c>
      <c r="K149" s="10" t="str">
        <f>+_xlfn.XLOOKUP(B149,MERMA!B:B,MERMA!C:C,"No")</f>
        <v>No</v>
      </c>
      <c r="L149" s="10" t="str">
        <f>+_xlfn.XLOOKUP(B149,MERMA!B:B,MERMA!D:D,"No es merma")</f>
        <v>No es merma</v>
      </c>
    </row>
    <row r="150" spans="1:12" ht="14.5" hidden="1" x14ac:dyDescent="0.35">
      <c r="A150" s="10">
        <v>100080372</v>
      </c>
      <c r="B150">
        <v>7501609501521</v>
      </c>
      <c r="C150" s="10" t="s">
        <v>190</v>
      </c>
      <c r="D150" t="s">
        <v>87</v>
      </c>
      <c r="E150" t="s">
        <v>33</v>
      </c>
      <c r="F150" t="s">
        <v>87</v>
      </c>
      <c r="G150" t="s">
        <v>87</v>
      </c>
      <c r="H150" t="s">
        <v>87</v>
      </c>
      <c r="I150" t="s">
        <v>16</v>
      </c>
      <c r="J150" s="10" t="str">
        <f>+_xlfn.XLOOKUP(B150,INNOVACIÓN!A:A,INNOVACIÓN!B:B,"NO")</f>
        <v>NO</v>
      </c>
      <c r="K150" s="10" t="str">
        <f>+_xlfn.XLOOKUP(B150,MERMA!B:B,MERMA!C:C,"No")</f>
        <v>No</v>
      </c>
      <c r="L150" s="10" t="str">
        <f>+_xlfn.XLOOKUP(B150,MERMA!B:B,MERMA!D:D,"No es merma")</f>
        <v>No es merma</v>
      </c>
    </row>
    <row r="151" spans="1:12" ht="14.5" hidden="1" x14ac:dyDescent="0.35">
      <c r="A151" s="10">
        <v>100026301</v>
      </c>
      <c r="B151">
        <v>7503039738546</v>
      </c>
      <c r="C151" s="10" t="s">
        <v>191</v>
      </c>
      <c r="D151" t="s">
        <v>44</v>
      </c>
      <c r="E151" t="s">
        <v>33</v>
      </c>
      <c r="F151" t="s">
        <v>13</v>
      </c>
      <c r="G151" t="s">
        <v>14</v>
      </c>
      <c r="H151" t="s">
        <v>15</v>
      </c>
      <c r="I151" t="s">
        <v>16</v>
      </c>
      <c r="J151" s="10" t="str">
        <f>+_xlfn.XLOOKUP(B151,INNOVACIÓN!A:A,INNOVACIÓN!B:B,"NO")</f>
        <v>NO</v>
      </c>
      <c r="K151" s="10" t="str">
        <f>+_xlfn.XLOOKUP(B151,MERMA!B:B,MERMA!C:C,"No")</f>
        <v>No</v>
      </c>
      <c r="L151" s="10" t="str">
        <f>+_xlfn.XLOOKUP(B151,MERMA!B:B,MERMA!D:D,"No es merma")</f>
        <v>No es merma</v>
      </c>
    </row>
    <row r="152" spans="1:12" ht="14.5" hidden="1" x14ac:dyDescent="0.35">
      <c r="A152" s="10">
        <v>100025297</v>
      </c>
      <c r="B152">
        <v>7503039738393</v>
      </c>
      <c r="C152" s="10" t="s">
        <v>192</v>
      </c>
      <c r="D152" t="s">
        <v>44</v>
      </c>
      <c r="E152" s="10" t="s">
        <v>33</v>
      </c>
      <c r="F152" t="s">
        <v>13</v>
      </c>
      <c r="G152" t="s">
        <v>14</v>
      </c>
      <c r="H152" t="s">
        <v>15</v>
      </c>
      <c r="I152" t="s">
        <v>109</v>
      </c>
      <c r="J152" s="10" t="str">
        <f>+_xlfn.XLOOKUP(B152,INNOVACIÓN!A:A,INNOVACIÓN!B:B,"NO")</f>
        <v>NO</v>
      </c>
      <c r="K152" s="10" t="str">
        <f>+_xlfn.XLOOKUP(B152,MERMA!B:B,MERMA!C:C,"No")</f>
        <v>No</v>
      </c>
      <c r="L152" s="10" t="str">
        <f>+_xlfn.XLOOKUP(B152,MERMA!B:B,MERMA!D:D,"No es merma")</f>
        <v>No es merma</v>
      </c>
    </row>
    <row r="153" spans="1:12" ht="14.5" hidden="1" x14ac:dyDescent="0.35">
      <c r="A153" s="10">
        <v>100024462</v>
      </c>
      <c r="B153">
        <v>7707200946741</v>
      </c>
      <c r="C153" s="10" t="s">
        <v>193</v>
      </c>
      <c r="D153" t="s">
        <v>44</v>
      </c>
      <c r="E153" t="s">
        <v>146</v>
      </c>
      <c r="F153" t="s">
        <v>13</v>
      </c>
      <c r="G153" t="s">
        <v>14</v>
      </c>
      <c r="H153" t="s">
        <v>15</v>
      </c>
      <c r="I153" t="s">
        <v>16</v>
      </c>
      <c r="J153" s="10" t="str">
        <f>+_xlfn.XLOOKUP(B153,INNOVACIÓN!A:A,INNOVACIÓN!B:B,"NO")</f>
        <v>NO</v>
      </c>
      <c r="K153" s="10" t="str">
        <f>+_xlfn.XLOOKUP(B153,MERMA!B:B,MERMA!C:C,"No")</f>
        <v>No</v>
      </c>
      <c r="L153" s="10" t="str">
        <f>+_xlfn.XLOOKUP(B153,MERMA!B:B,MERMA!D:D,"No es merma")</f>
        <v>No es merma</v>
      </c>
    </row>
    <row r="154" spans="1:12" ht="14.5" hidden="1" x14ac:dyDescent="0.35">
      <c r="A154" s="10">
        <v>100026070</v>
      </c>
      <c r="B154">
        <v>7503039738492</v>
      </c>
      <c r="C154" s="10" t="s">
        <v>194</v>
      </c>
      <c r="D154" t="s">
        <v>44</v>
      </c>
      <c r="E154" t="s">
        <v>146</v>
      </c>
      <c r="F154" t="s">
        <v>13</v>
      </c>
      <c r="G154" t="s">
        <v>14</v>
      </c>
      <c r="H154" t="s">
        <v>15</v>
      </c>
      <c r="I154" t="s">
        <v>16</v>
      </c>
      <c r="J154" s="10" t="str">
        <f>+_xlfn.XLOOKUP(B154,INNOVACIÓN!A:A,INNOVACIÓN!B:B,"NO")</f>
        <v>NO</v>
      </c>
      <c r="K154" s="10" t="str">
        <f>+_xlfn.XLOOKUP(B154,MERMA!B:B,MERMA!C:C,"No")</f>
        <v>No</v>
      </c>
      <c r="L154" s="10" t="str">
        <f>+_xlfn.XLOOKUP(B154,MERMA!B:B,MERMA!D:D,"No es merma")</f>
        <v>No es merma</v>
      </c>
    </row>
    <row r="155" spans="1:12" ht="14.5" hidden="1" x14ac:dyDescent="0.35">
      <c r="A155" s="10">
        <v>100024465</v>
      </c>
      <c r="B155">
        <v>7707200943245</v>
      </c>
      <c r="C155" s="10" t="s">
        <v>195</v>
      </c>
      <c r="D155" t="s">
        <v>44</v>
      </c>
      <c r="E155" t="s">
        <v>146</v>
      </c>
      <c r="F155" t="s">
        <v>13</v>
      </c>
      <c r="G155" t="s">
        <v>14</v>
      </c>
      <c r="H155" t="s">
        <v>15</v>
      </c>
      <c r="I155" t="s">
        <v>16</v>
      </c>
      <c r="J155" s="10" t="str">
        <f>+_xlfn.XLOOKUP(B155,INNOVACIÓN!A:A,INNOVACIÓN!B:B,"NO")</f>
        <v>NO</v>
      </c>
      <c r="K155" s="10" t="str">
        <f>+_xlfn.XLOOKUP(B155,MERMA!B:B,MERMA!C:C,"No")</f>
        <v>No</v>
      </c>
      <c r="L155" s="10" t="str">
        <f>+_xlfn.XLOOKUP(B155,MERMA!B:B,MERMA!D:D,"No es merma")</f>
        <v>No es merma</v>
      </c>
    </row>
    <row r="156" spans="1:12" ht="14.5" hidden="1" x14ac:dyDescent="0.35">
      <c r="A156" s="10">
        <v>100026300</v>
      </c>
      <c r="B156">
        <v>7503039738539</v>
      </c>
      <c r="C156" s="10" t="s">
        <v>196</v>
      </c>
      <c r="D156" t="s">
        <v>44</v>
      </c>
      <c r="E156" t="s">
        <v>33</v>
      </c>
      <c r="F156" t="s">
        <v>13</v>
      </c>
      <c r="G156" t="s">
        <v>14</v>
      </c>
      <c r="H156" t="s">
        <v>15</v>
      </c>
      <c r="I156" t="s">
        <v>16</v>
      </c>
      <c r="J156" s="10" t="str">
        <f>+_xlfn.XLOOKUP(B156,INNOVACIÓN!A:A,INNOVACIÓN!B:B,"NO")</f>
        <v>NO</v>
      </c>
      <c r="K156" s="10" t="str">
        <f>+_xlfn.XLOOKUP(B156,MERMA!B:B,MERMA!C:C,"No")</f>
        <v>No</v>
      </c>
      <c r="L156" s="10" t="str">
        <f>+_xlfn.XLOOKUP(B156,MERMA!B:B,MERMA!D:D,"No es merma")</f>
        <v>No es merma</v>
      </c>
    </row>
    <row r="157" spans="1:12" ht="14.5" hidden="1" x14ac:dyDescent="0.35">
      <c r="A157" s="10">
        <v>100025298</v>
      </c>
      <c r="B157">
        <v>7503039738416</v>
      </c>
      <c r="C157" s="10" t="s">
        <v>197</v>
      </c>
      <c r="D157" t="s">
        <v>44</v>
      </c>
      <c r="E157" s="10" t="s">
        <v>33</v>
      </c>
      <c r="F157" t="s">
        <v>13</v>
      </c>
      <c r="G157" t="s">
        <v>14</v>
      </c>
      <c r="H157" t="s">
        <v>15</v>
      </c>
      <c r="I157" t="s">
        <v>109</v>
      </c>
      <c r="J157" s="10" t="str">
        <f>+_xlfn.XLOOKUP(B157,INNOVACIÓN!A:A,INNOVACIÓN!B:B,"NO")</f>
        <v>NO</v>
      </c>
      <c r="K157" s="10" t="str">
        <f>+_xlfn.XLOOKUP(B157,MERMA!B:B,MERMA!C:C,"No")</f>
        <v>No</v>
      </c>
      <c r="L157" s="10" t="str">
        <f>+_xlfn.XLOOKUP(B157,MERMA!B:B,MERMA!D:D,"No es merma")</f>
        <v>No es merma</v>
      </c>
    </row>
    <row r="158" spans="1:12" ht="14.5" hidden="1" x14ac:dyDescent="0.35">
      <c r="A158" s="10">
        <v>100025894</v>
      </c>
      <c r="B158">
        <v>7503039738461</v>
      </c>
      <c r="C158" s="10" t="s">
        <v>198</v>
      </c>
      <c r="D158" t="s">
        <v>44</v>
      </c>
      <c r="E158" t="s">
        <v>146</v>
      </c>
      <c r="F158" t="s">
        <v>13</v>
      </c>
      <c r="G158" t="s">
        <v>14</v>
      </c>
      <c r="H158" t="s">
        <v>15</v>
      </c>
      <c r="I158" t="s">
        <v>16</v>
      </c>
      <c r="J158" s="10" t="str">
        <f>+_xlfn.XLOOKUP(B158,INNOVACIÓN!A:A,INNOVACIÓN!B:B,"NO")</f>
        <v>NO</v>
      </c>
      <c r="K158" s="10" t="str">
        <f>+_xlfn.XLOOKUP(B158,MERMA!B:B,MERMA!C:C,"No")</f>
        <v>No</v>
      </c>
      <c r="L158" s="10" t="str">
        <f>+_xlfn.XLOOKUP(B158,MERMA!B:B,MERMA!D:D,"No es merma")</f>
        <v>No es merma</v>
      </c>
    </row>
    <row r="159" spans="1:12" ht="14.5" hidden="1" x14ac:dyDescent="0.35">
      <c r="A159" s="10">
        <v>100026307</v>
      </c>
      <c r="B159">
        <v>7503039738591</v>
      </c>
      <c r="C159" s="10" t="s">
        <v>199</v>
      </c>
      <c r="D159" t="s">
        <v>44</v>
      </c>
      <c r="E159" t="s">
        <v>33</v>
      </c>
      <c r="F159" t="s">
        <v>13</v>
      </c>
      <c r="G159" t="s">
        <v>14</v>
      </c>
      <c r="H159" t="s">
        <v>15</v>
      </c>
      <c r="I159" t="s">
        <v>16</v>
      </c>
      <c r="J159" s="10" t="str">
        <f>+_xlfn.XLOOKUP(B159,INNOVACIÓN!A:A,INNOVACIÓN!B:B,"NO")</f>
        <v>NO</v>
      </c>
      <c r="K159" s="10" t="str">
        <f>+_xlfn.XLOOKUP(B159,MERMA!B:B,MERMA!C:C,"No")</f>
        <v>No</v>
      </c>
      <c r="L159" s="10" t="str">
        <f>+_xlfn.XLOOKUP(B159,MERMA!B:B,MERMA!D:D,"No es merma")</f>
        <v>No es merma</v>
      </c>
    </row>
    <row r="160" spans="1:12" ht="14.5" hidden="1" x14ac:dyDescent="0.35">
      <c r="A160" s="10">
        <v>100024417</v>
      </c>
      <c r="B160">
        <v>7702303391467</v>
      </c>
      <c r="C160" s="10" t="s">
        <v>200</v>
      </c>
      <c r="D160" t="s">
        <v>44</v>
      </c>
      <c r="E160" t="s">
        <v>146</v>
      </c>
      <c r="F160" t="s">
        <v>13</v>
      </c>
      <c r="G160" t="s">
        <v>14</v>
      </c>
      <c r="H160" t="s">
        <v>15</v>
      </c>
      <c r="I160" t="s">
        <v>16</v>
      </c>
      <c r="J160" s="10" t="str">
        <f>+_xlfn.XLOOKUP(B160,INNOVACIÓN!A:A,INNOVACIÓN!B:B,"NO")</f>
        <v>NO</v>
      </c>
      <c r="K160" s="10" t="str">
        <f>+_xlfn.XLOOKUP(B160,MERMA!B:B,MERMA!C:C,"No")</f>
        <v>No</v>
      </c>
      <c r="L160" s="10" t="str">
        <f>+_xlfn.XLOOKUP(B160,MERMA!B:B,MERMA!D:D,"No es merma")</f>
        <v>No es merma</v>
      </c>
    </row>
    <row r="161" spans="1:12" ht="14.5" hidden="1" x14ac:dyDescent="0.35">
      <c r="A161" s="10">
        <v>100026072</v>
      </c>
      <c r="B161">
        <v>7503039738515</v>
      </c>
      <c r="C161" s="10" t="s">
        <v>201</v>
      </c>
      <c r="D161" t="s">
        <v>44</v>
      </c>
      <c r="E161" t="s">
        <v>146</v>
      </c>
      <c r="F161" t="s">
        <v>13</v>
      </c>
      <c r="G161" t="s">
        <v>14</v>
      </c>
      <c r="H161" t="s">
        <v>15</v>
      </c>
      <c r="I161" t="s">
        <v>16</v>
      </c>
      <c r="J161" s="10" t="str">
        <f>+_xlfn.XLOOKUP(B161,INNOVACIÓN!A:A,INNOVACIÓN!B:B,"NO")</f>
        <v>NO</v>
      </c>
      <c r="K161" s="10" t="str">
        <f>+_xlfn.XLOOKUP(B161,MERMA!B:B,MERMA!C:C,"No")</f>
        <v>No</v>
      </c>
      <c r="L161" s="10" t="str">
        <f>+_xlfn.XLOOKUP(B161,MERMA!B:B,MERMA!D:D,"No es merma")</f>
        <v>No es merma</v>
      </c>
    </row>
    <row r="162" spans="1:12" ht="14.5" hidden="1" x14ac:dyDescent="0.35">
      <c r="A162">
        <v>100021048</v>
      </c>
      <c r="B162">
        <v>75005481</v>
      </c>
      <c r="C162" t="s">
        <v>202</v>
      </c>
      <c r="D162" t="s">
        <v>11</v>
      </c>
      <c r="E162" t="s">
        <v>203</v>
      </c>
      <c r="F162" t="s">
        <v>100</v>
      </c>
      <c r="G162" t="s">
        <v>35</v>
      </c>
      <c r="H162" t="s">
        <v>36</v>
      </c>
      <c r="I162" t="s">
        <v>16</v>
      </c>
      <c r="J162" s="10" t="str">
        <f>+_xlfn.XLOOKUP(B162,INNOVACIÓN!A:A,INNOVACIÓN!B:B,"NO")</f>
        <v>NO</v>
      </c>
      <c r="K162" s="10" t="str">
        <f>+_xlfn.XLOOKUP(B162,MERMA!B:B,MERMA!C:C,"No")</f>
        <v>No</v>
      </c>
      <c r="L162" s="10" t="str">
        <f>+_xlfn.XLOOKUP(B162,MERMA!B:B,MERMA!D:D,"No es merma")</f>
        <v>No es merma</v>
      </c>
    </row>
    <row r="163" spans="1:12" ht="14.5" hidden="1" x14ac:dyDescent="0.35">
      <c r="A163">
        <v>100020945</v>
      </c>
      <c r="B163">
        <v>75022266</v>
      </c>
      <c r="C163" t="s">
        <v>204</v>
      </c>
      <c r="D163" t="s">
        <v>11</v>
      </c>
      <c r="E163" t="s">
        <v>33</v>
      </c>
      <c r="F163" t="s">
        <v>100</v>
      </c>
      <c r="G163" t="s">
        <v>35</v>
      </c>
      <c r="H163" t="s">
        <v>36</v>
      </c>
      <c r="I163" t="s">
        <v>109</v>
      </c>
      <c r="J163" s="10" t="str">
        <f>+_xlfn.XLOOKUP(B163,INNOVACIÓN!A:A,INNOVACIÓN!B:B,"NO")</f>
        <v>NO</v>
      </c>
      <c r="K163" s="10" t="str">
        <f>+_xlfn.XLOOKUP(B163,MERMA!B:B,MERMA!C:C,"No")</f>
        <v>No</v>
      </c>
      <c r="L163" s="10" t="str">
        <f>+_xlfn.XLOOKUP(B163,MERMA!B:B,MERMA!D:D,"No es merma")</f>
        <v>No es merma</v>
      </c>
    </row>
    <row r="164" spans="1:12" ht="14.5" hidden="1" x14ac:dyDescent="0.35">
      <c r="A164" s="10">
        <v>100080353</v>
      </c>
      <c r="B164">
        <v>2168</v>
      </c>
      <c r="C164" s="10" t="s">
        <v>205</v>
      </c>
      <c r="D164" t="s">
        <v>87</v>
      </c>
      <c r="E164" t="s">
        <v>33</v>
      </c>
      <c r="F164" t="s">
        <v>87</v>
      </c>
      <c r="G164" t="s">
        <v>87</v>
      </c>
      <c r="H164" t="s">
        <v>87</v>
      </c>
      <c r="I164" t="s">
        <v>16</v>
      </c>
      <c r="J164" s="10" t="str">
        <f>+_xlfn.XLOOKUP(B164,INNOVACIÓN!A:A,INNOVACIÓN!B:B,"NO")</f>
        <v>NO</v>
      </c>
      <c r="K164" s="10" t="str">
        <f>+_xlfn.XLOOKUP(B164,MERMA!B:B,MERMA!C:C,"No")</f>
        <v>No</v>
      </c>
      <c r="L164" s="10" t="str">
        <f>+_xlfn.XLOOKUP(B164,MERMA!B:B,MERMA!D:D,"No es merma")</f>
        <v>No es merma</v>
      </c>
    </row>
    <row r="165" spans="1:12" ht="14.5" hidden="1" x14ac:dyDescent="0.35">
      <c r="A165">
        <v>100018038</v>
      </c>
      <c r="B165">
        <v>75069902</v>
      </c>
      <c r="C165" t="s">
        <v>206</v>
      </c>
      <c r="D165" t="s">
        <v>11</v>
      </c>
      <c r="E165" t="s">
        <v>203</v>
      </c>
      <c r="F165" t="s">
        <v>100</v>
      </c>
      <c r="G165" t="s">
        <v>35</v>
      </c>
      <c r="H165" t="s">
        <v>36</v>
      </c>
      <c r="I165" t="s">
        <v>16</v>
      </c>
      <c r="J165" s="10" t="str">
        <f>+_xlfn.XLOOKUP(B165,INNOVACIÓN!A:A,INNOVACIÓN!B:B,"NO")</f>
        <v>NO</v>
      </c>
      <c r="K165" s="10" t="str">
        <f>+_xlfn.XLOOKUP(B165,MERMA!B:B,MERMA!C:C,"No")</f>
        <v>No</v>
      </c>
      <c r="L165" s="10" t="str">
        <f>+_xlfn.XLOOKUP(B165,MERMA!B:B,MERMA!D:D,"No es merma")</f>
        <v>No es merma</v>
      </c>
    </row>
    <row r="166" spans="1:12" ht="14.5" hidden="1" x14ac:dyDescent="0.35">
      <c r="A166" s="10">
        <v>100016254</v>
      </c>
      <c r="B166">
        <v>25900000295</v>
      </c>
      <c r="C166" s="10" t="s">
        <v>207</v>
      </c>
      <c r="D166" t="s">
        <v>87</v>
      </c>
      <c r="E166" t="s">
        <v>33</v>
      </c>
      <c r="F166" t="s">
        <v>87</v>
      </c>
      <c r="G166" t="s">
        <v>87</v>
      </c>
      <c r="H166" t="s">
        <v>87</v>
      </c>
      <c r="I166" t="s">
        <v>16</v>
      </c>
      <c r="J166" s="10" t="str">
        <f>+_xlfn.XLOOKUP(B166,INNOVACIÓN!A:A,INNOVACIÓN!B:B,"NO")</f>
        <v>NO</v>
      </c>
      <c r="K166" s="10" t="str">
        <f>+_xlfn.XLOOKUP(B166,MERMA!B:B,MERMA!C:C,"No")</f>
        <v>No</v>
      </c>
      <c r="L166" s="10" t="str">
        <f>+_xlfn.XLOOKUP(B166,MERMA!B:B,MERMA!D:D,"No es merma")</f>
        <v>No es merma</v>
      </c>
    </row>
    <row r="167" spans="1:12" ht="14.5" hidden="1" x14ac:dyDescent="0.35">
      <c r="A167" s="10">
        <v>100009916</v>
      </c>
      <c r="B167">
        <v>33300200573</v>
      </c>
      <c r="C167" s="10" t="s">
        <v>208</v>
      </c>
      <c r="D167" t="s">
        <v>87</v>
      </c>
      <c r="E167" t="s">
        <v>33</v>
      </c>
      <c r="F167" t="s">
        <v>87</v>
      </c>
      <c r="G167" t="s">
        <v>87</v>
      </c>
      <c r="H167" t="s">
        <v>87</v>
      </c>
      <c r="I167" t="s">
        <v>16</v>
      </c>
      <c r="J167" s="10" t="str">
        <f>+_xlfn.XLOOKUP(B167,INNOVACIÓN!A:A,INNOVACIÓN!B:B,"NO")</f>
        <v>NO</v>
      </c>
      <c r="K167" s="10" t="str">
        <f>+_xlfn.XLOOKUP(B167,MERMA!B:B,MERMA!C:C,"No")</f>
        <v>No</v>
      </c>
      <c r="L167" s="10" t="str">
        <f>+_xlfn.XLOOKUP(B167,MERMA!B:B,MERMA!D:D,"No es merma")</f>
        <v>No es merma</v>
      </c>
    </row>
    <row r="168" spans="1:12" ht="14.5" hidden="1" x14ac:dyDescent="0.35">
      <c r="A168" s="10">
        <v>100080763</v>
      </c>
      <c r="B168">
        <v>7501609506908</v>
      </c>
      <c r="C168" s="10" t="s">
        <v>209</v>
      </c>
      <c r="D168" t="s">
        <v>87</v>
      </c>
      <c r="E168" t="s">
        <v>33</v>
      </c>
      <c r="F168" t="s">
        <v>87</v>
      </c>
      <c r="G168" t="s">
        <v>87</v>
      </c>
      <c r="H168" t="s">
        <v>87</v>
      </c>
      <c r="I168" t="s">
        <v>16</v>
      </c>
      <c r="J168" s="10" t="str">
        <f>+_xlfn.XLOOKUP(B168,INNOVACIÓN!A:A,INNOVACIÓN!B:B,"NO")</f>
        <v>NO</v>
      </c>
      <c r="K168" s="10" t="str">
        <f>+_xlfn.XLOOKUP(B168,MERMA!B:B,MERMA!C:C,"No")</f>
        <v>No</v>
      </c>
      <c r="L168" s="10" t="str">
        <f>+_xlfn.XLOOKUP(B168,MERMA!B:B,MERMA!D:D,"No es merma")</f>
        <v>No es merma</v>
      </c>
    </row>
    <row r="169" spans="1:12" ht="14.5" hidden="1" x14ac:dyDescent="0.35">
      <c r="A169" s="10">
        <v>100080946</v>
      </c>
      <c r="B169">
        <v>7502236550173</v>
      </c>
      <c r="C169" s="10" t="s">
        <v>210</v>
      </c>
      <c r="D169" t="s">
        <v>87</v>
      </c>
      <c r="E169" t="s">
        <v>33</v>
      </c>
      <c r="F169" t="s">
        <v>87</v>
      </c>
      <c r="G169" t="s">
        <v>87</v>
      </c>
      <c r="H169" t="s">
        <v>87</v>
      </c>
      <c r="I169" t="s">
        <v>16</v>
      </c>
      <c r="J169" s="10" t="str">
        <f>+_xlfn.XLOOKUP(B169,INNOVACIÓN!A:A,INNOVACIÓN!B:B,"NO")</f>
        <v>NO</v>
      </c>
      <c r="K169" s="10" t="str">
        <f>+_xlfn.XLOOKUP(B169,MERMA!B:B,MERMA!C:C,"No")</f>
        <v>No</v>
      </c>
      <c r="L169" s="10" t="str">
        <f>+_xlfn.XLOOKUP(B169,MERMA!B:B,MERMA!D:D,"No es merma")</f>
        <v>No es merma</v>
      </c>
    </row>
    <row r="170" spans="1:12" ht="14.5" hidden="1" x14ac:dyDescent="0.35">
      <c r="A170" s="10">
        <v>100080944</v>
      </c>
      <c r="B170">
        <v>7502236550180</v>
      </c>
      <c r="C170" s="10" t="s">
        <v>211</v>
      </c>
      <c r="D170" t="s">
        <v>87</v>
      </c>
      <c r="E170" t="s">
        <v>33</v>
      </c>
      <c r="F170" t="s">
        <v>87</v>
      </c>
      <c r="G170" t="s">
        <v>87</v>
      </c>
      <c r="H170" t="s">
        <v>87</v>
      </c>
      <c r="I170" t="s">
        <v>16</v>
      </c>
      <c r="J170" s="10" t="str">
        <f>+_xlfn.XLOOKUP(B170,INNOVACIÓN!A:A,INNOVACIÓN!B:B,"NO")</f>
        <v>NO</v>
      </c>
      <c r="K170" s="10" t="str">
        <f>+_xlfn.XLOOKUP(B170,MERMA!B:B,MERMA!C:C,"No")</f>
        <v>No</v>
      </c>
      <c r="L170" s="10" t="str">
        <f>+_xlfn.XLOOKUP(B170,MERMA!B:B,MERMA!D:D,"No es merma")</f>
        <v>No es merma</v>
      </c>
    </row>
    <row r="171" spans="1:12" ht="14.5" hidden="1" x14ac:dyDescent="0.35">
      <c r="A171" s="10">
        <v>100080945</v>
      </c>
      <c r="B171">
        <v>7502236550197</v>
      </c>
      <c r="C171" s="10" t="s">
        <v>212</v>
      </c>
      <c r="D171" t="s">
        <v>87</v>
      </c>
      <c r="E171" t="s">
        <v>33</v>
      </c>
      <c r="F171" t="s">
        <v>87</v>
      </c>
      <c r="G171" t="s">
        <v>87</v>
      </c>
      <c r="H171" t="s">
        <v>87</v>
      </c>
      <c r="I171" t="s">
        <v>16</v>
      </c>
      <c r="J171" s="10" t="str">
        <f>+_xlfn.XLOOKUP(B171,INNOVACIÓN!A:A,INNOVACIÓN!B:B,"NO")</f>
        <v>NO</v>
      </c>
      <c r="K171" s="10" t="str">
        <f>+_xlfn.XLOOKUP(B171,MERMA!B:B,MERMA!C:C,"No")</f>
        <v>No</v>
      </c>
      <c r="L171" s="10" t="str">
        <f>+_xlfn.XLOOKUP(B171,MERMA!B:B,MERMA!D:D,"No es merma")</f>
        <v>No es merma</v>
      </c>
    </row>
    <row r="172" spans="1:12" ht="14.5" hidden="1" x14ac:dyDescent="0.35">
      <c r="A172">
        <v>100024320</v>
      </c>
      <c r="B172">
        <v>75006280</v>
      </c>
      <c r="C172" t="s">
        <v>213</v>
      </c>
      <c r="D172" t="s">
        <v>11</v>
      </c>
      <c r="E172" t="s">
        <v>214</v>
      </c>
      <c r="F172" t="s">
        <v>609</v>
      </c>
      <c r="G172" t="s">
        <v>35</v>
      </c>
      <c r="H172" t="s">
        <v>36</v>
      </c>
      <c r="I172" t="s">
        <v>16</v>
      </c>
      <c r="J172" s="10" t="str">
        <f>+_xlfn.XLOOKUP(B172,INNOVACIÓN!A:A,INNOVACIÓN!B:B,"NO")</f>
        <v>NO</v>
      </c>
      <c r="K172" s="10" t="str">
        <f>+_xlfn.XLOOKUP(B172,MERMA!B:B,MERMA!C:C,"No")</f>
        <v>No</v>
      </c>
      <c r="L172" s="10" t="str">
        <f>+_xlfn.XLOOKUP(B172,MERMA!B:B,MERMA!D:D,"No es merma")</f>
        <v>No es merma</v>
      </c>
    </row>
    <row r="173" spans="1:12" ht="14.5" hidden="1" x14ac:dyDescent="0.35">
      <c r="A173">
        <v>100021977</v>
      </c>
      <c r="B173">
        <v>75004385</v>
      </c>
      <c r="C173" t="s">
        <v>215</v>
      </c>
      <c r="D173" t="s">
        <v>11</v>
      </c>
      <c r="E173" t="s">
        <v>214</v>
      </c>
      <c r="F173" t="s">
        <v>609</v>
      </c>
      <c r="G173" t="s">
        <v>35</v>
      </c>
      <c r="H173" t="s">
        <v>36</v>
      </c>
      <c r="I173" t="s">
        <v>16</v>
      </c>
      <c r="J173" s="10" t="str">
        <f>+_xlfn.XLOOKUP(B173,INNOVACIÓN!A:A,INNOVACIÓN!B:B,"NO")</f>
        <v>NO</v>
      </c>
      <c r="K173" s="10" t="str">
        <f>+_xlfn.XLOOKUP(B173,MERMA!B:B,MERMA!C:C,"No")</f>
        <v>No</v>
      </c>
      <c r="L173" s="10" t="str">
        <f>+_xlfn.XLOOKUP(B173,MERMA!B:B,MERMA!D:D,"No es merma")</f>
        <v>No es merma</v>
      </c>
    </row>
    <row r="174" spans="1:12" ht="14.5" hidden="1" x14ac:dyDescent="0.35">
      <c r="A174">
        <v>100080034</v>
      </c>
      <c r="B174">
        <v>75001476</v>
      </c>
      <c r="C174" t="s">
        <v>216</v>
      </c>
      <c r="D174" t="s">
        <v>11</v>
      </c>
      <c r="E174" t="s">
        <v>33</v>
      </c>
      <c r="F174" t="s">
        <v>41</v>
      </c>
      <c r="G174" t="s">
        <v>35</v>
      </c>
      <c r="H174" t="s">
        <v>36</v>
      </c>
      <c r="I174" t="s">
        <v>109</v>
      </c>
      <c r="J174" s="10" t="str">
        <f>+_xlfn.XLOOKUP(B174,INNOVACIÓN!A:A,INNOVACIÓN!B:B,"NO")</f>
        <v>NO</v>
      </c>
      <c r="K174" s="10" t="str">
        <f>+_xlfn.XLOOKUP(B174,MERMA!B:B,MERMA!C:C,"No")</f>
        <v>No</v>
      </c>
      <c r="L174" s="10" t="str">
        <f>+_xlfn.XLOOKUP(B174,MERMA!B:B,MERMA!D:D,"No es merma")</f>
        <v>No es merma</v>
      </c>
    </row>
    <row r="175" spans="1:12" ht="14.5" hidden="1" x14ac:dyDescent="0.35">
      <c r="A175">
        <v>100021814</v>
      </c>
      <c r="B175">
        <v>7503023959490</v>
      </c>
      <c r="C175" t="s">
        <v>217</v>
      </c>
      <c r="D175" t="s">
        <v>32</v>
      </c>
      <c r="E175" t="s">
        <v>590</v>
      </c>
      <c r="F175" t="s">
        <v>46</v>
      </c>
      <c r="G175" t="s">
        <v>14</v>
      </c>
      <c r="H175" t="s">
        <v>36</v>
      </c>
      <c r="I175" t="s">
        <v>16</v>
      </c>
      <c r="J175" s="10" t="str">
        <f>+_xlfn.XLOOKUP(B175,INNOVACIÓN!A:A,INNOVACIÓN!B:B,"NO")</f>
        <v>NO</v>
      </c>
      <c r="K175" s="10" t="str">
        <f>+_xlfn.XLOOKUP(B175,MERMA!B:B,MERMA!C:C,"No")</f>
        <v>No</v>
      </c>
      <c r="L175" s="10" t="str">
        <f>+_xlfn.XLOOKUP(B175,MERMA!B:B,MERMA!D:D,"No es merma")</f>
        <v>No es merma</v>
      </c>
    </row>
    <row r="176" spans="1:12" ht="14.5" hidden="1" x14ac:dyDescent="0.35">
      <c r="A176">
        <v>100014678</v>
      </c>
      <c r="B176">
        <v>7503023959148</v>
      </c>
      <c r="C176" t="s">
        <v>218</v>
      </c>
      <c r="D176" t="s">
        <v>32</v>
      </c>
      <c r="E176" t="s">
        <v>590</v>
      </c>
      <c r="F176" t="s">
        <v>46</v>
      </c>
      <c r="G176" t="s">
        <v>35</v>
      </c>
      <c r="H176" t="s">
        <v>36</v>
      </c>
      <c r="I176" t="s">
        <v>16</v>
      </c>
      <c r="J176" s="10" t="str">
        <f>+_xlfn.XLOOKUP(B176,INNOVACIÓN!A:A,INNOVACIÓN!B:B,"NO")</f>
        <v>SI</v>
      </c>
      <c r="K176" s="10" t="str">
        <f>+_xlfn.XLOOKUP(B176,MERMA!B:B,MERMA!C:C,"No")</f>
        <v>No</v>
      </c>
      <c r="L176" s="10" t="str">
        <f>+_xlfn.XLOOKUP(B176,MERMA!B:B,MERMA!D:D,"No es merma")</f>
        <v>No es merma</v>
      </c>
    </row>
    <row r="177" spans="1:12" ht="14.5" hidden="1" x14ac:dyDescent="0.35">
      <c r="A177">
        <v>100021813</v>
      </c>
      <c r="B177">
        <v>7503023959506</v>
      </c>
      <c r="C177" t="s">
        <v>219</v>
      </c>
      <c r="D177" t="s">
        <v>32</v>
      </c>
      <c r="E177" t="s">
        <v>590</v>
      </c>
      <c r="F177" t="s">
        <v>46</v>
      </c>
      <c r="G177" t="s">
        <v>14</v>
      </c>
      <c r="H177" t="s">
        <v>36</v>
      </c>
      <c r="I177" t="s">
        <v>16</v>
      </c>
      <c r="J177" s="10" t="str">
        <f>+_xlfn.XLOOKUP(B177,INNOVACIÓN!A:A,INNOVACIÓN!B:B,"NO")</f>
        <v>NO</v>
      </c>
      <c r="K177" s="10" t="str">
        <f>+_xlfn.XLOOKUP(B177,MERMA!B:B,MERMA!C:C,"No")</f>
        <v>No</v>
      </c>
      <c r="L177" s="10" t="str">
        <f>+_xlfn.XLOOKUP(B177,MERMA!B:B,MERMA!D:D,"No es merma")</f>
        <v>No es merma</v>
      </c>
    </row>
    <row r="178" spans="1:12" ht="14.5" hidden="1" x14ac:dyDescent="0.35">
      <c r="A178">
        <v>100012957</v>
      </c>
      <c r="B178">
        <v>7503023959001</v>
      </c>
      <c r="C178" t="s">
        <v>220</v>
      </c>
      <c r="D178" t="s">
        <v>32</v>
      </c>
      <c r="E178" t="s">
        <v>33</v>
      </c>
      <c r="F178" t="s">
        <v>39</v>
      </c>
      <c r="G178" t="s">
        <v>35</v>
      </c>
      <c r="H178" t="s">
        <v>36</v>
      </c>
      <c r="I178" t="s">
        <v>109</v>
      </c>
      <c r="J178" s="10" t="str">
        <f>+_xlfn.XLOOKUP(B178,INNOVACIÓN!A:A,INNOVACIÓN!B:B,"NO")</f>
        <v>NO</v>
      </c>
      <c r="K178" s="10" t="str">
        <f>+_xlfn.XLOOKUP(B178,MERMA!B:B,MERMA!C:C,"No")</f>
        <v>No</v>
      </c>
      <c r="L178" s="10" t="str">
        <f>+_xlfn.XLOOKUP(B178,MERMA!B:B,MERMA!D:D,"No es merma")</f>
        <v>No es merma</v>
      </c>
    </row>
    <row r="179" spans="1:12" ht="14.5" hidden="1" x14ac:dyDescent="0.35">
      <c r="A179" s="10">
        <v>100025152</v>
      </c>
      <c r="B179">
        <v>7503023959629</v>
      </c>
      <c r="C179" s="10" t="s">
        <v>221</v>
      </c>
      <c r="D179" t="s">
        <v>32</v>
      </c>
      <c r="E179" t="s">
        <v>590</v>
      </c>
      <c r="F179" t="s">
        <v>46</v>
      </c>
      <c r="G179" t="s">
        <v>14</v>
      </c>
      <c r="H179" t="s">
        <v>36</v>
      </c>
      <c r="I179" t="s">
        <v>16</v>
      </c>
      <c r="J179" s="10" t="str">
        <f>+_xlfn.XLOOKUP(B179,INNOVACIÓN!A:A,INNOVACIÓN!B:B,"NO")</f>
        <v>NO</v>
      </c>
      <c r="K179" s="10" t="str">
        <f>+_xlfn.XLOOKUP(B179,MERMA!B:B,MERMA!C:C,"No")</f>
        <v>No</v>
      </c>
      <c r="L179" s="10" t="str">
        <f>+_xlfn.XLOOKUP(B179,MERMA!B:B,MERMA!D:D,"No es merma")</f>
        <v>No es merma</v>
      </c>
    </row>
    <row r="180" spans="1:12" ht="14.5" hidden="1" x14ac:dyDescent="0.35">
      <c r="A180">
        <v>100022971</v>
      </c>
      <c r="B180">
        <v>7503023959278</v>
      </c>
      <c r="C180" t="s">
        <v>222</v>
      </c>
      <c r="D180" t="s">
        <v>32</v>
      </c>
      <c r="E180" t="s">
        <v>590</v>
      </c>
      <c r="F180" t="s">
        <v>46</v>
      </c>
      <c r="G180" t="s">
        <v>35</v>
      </c>
      <c r="H180" t="s">
        <v>36</v>
      </c>
      <c r="I180" t="s">
        <v>16</v>
      </c>
      <c r="J180" s="10" t="str">
        <f>+_xlfn.XLOOKUP(B180,INNOVACIÓN!A:A,INNOVACIÓN!B:B,"NO")</f>
        <v>NO</v>
      </c>
      <c r="K180" s="10" t="str">
        <f>+_xlfn.XLOOKUP(B180,MERMA!B:B,MERMA!C:C,"No")</f>
        <v>No</v>
      </c>
      <c r="L180" s="10" t="str">
        <f>+_xlfn.XLOOKUP(B180,MERMA!B:B,MERMA!D:D,"No es merma")</f>
        <v>No es merma</v>
      </c>
    </row>
    <row r="181" spans="1:12" ht="14.5" hidden="1" x14ac:dyDescent="0.35">
      <c r="A181">
        <v>100080957</v>
      </c>
      <c r="B181">
        <v>75047337</v>
      </c>
      <c r="C181" t="s">
        <v>223</v>
      </c>
      <c r="D181" t="s">
        <v>11</v>
      </c>
      <c r="E181" t="s">
        <v>224</v>
      </c>
      <c r="F181" t="s">
        <v>39</v>
      </c>
      <c r="G181" t="s">
        <v>54</v>
      </c>
      <c r="H181" t="s">
        <v>36</v>
      </c>
      <c r="I181" t="s">
        <v>16</v>
      </c>
      <c r="J181" s="10" t="str">
        <f>+_xlfn.XLOOKUP(B181,INNOVACIÓN!A:A,INNOVACIÓN!B:B,"NO")</f>
        <v>NO</v>
      </c>
      <c r="K181" s="10" t="str">
        <f>+_xlfn.XLOOKUP(B181,MERMA!B:B,MERMA!C:C,"No")</f>
        <v>No</v>
      </c>
      <c r="L181" s="10" t="str">
        <f>+_xlfn.XLOOKUP(B181,MERMA!B:B,MERMA!D:D,"No es merma")</f>
        <v>No es merma</v>
      </c>
    </row>
    <row r="182" spans="1:12" ht="14.5" hidden="1" x14ac:dyDescent="0.35">
      <c r="A182">
        <v>100009230</v>
      </c>
      <c r="B182">
        <v>75059514</v>
      </c>
      <c r="C182" t="s">
        <v>225</v>
      </c>
      <c r="D182" t="s">
        <v>11</v>
      </c>
      <c r="E182" t="s">
        <v>224</v>
      </c>
      <c r="F182" t="s">
        <v>46</v>
      </c>
      <c r="G182" t="s">
        <v>54</v>
      </c>
      <c r="H182" t="s">
        <v>36</v>
      </c>
      <c r="I182" t="s">
        <v>16</v>
      </c>
      <c r="J182" s="10" t="str">
        <f>+_xlfn.XLOOKUP(B182,INNOVACIÓN!A:A,INNOVACIÓN!B:B,"NO")</f>
        <v>NO</v>
      </c>
      <c r="K182" s="10" t="str">
        <f>+_xlfn.XLOOKUP(B182,MERMA!B:B,MERMA!C:C,"No")</f>
        <v>No</v>
      </c>
      <c r="L182" s="10" t="str">
        <f>+_xlfn.XLOOKUP(B182,MERMA!B:B,MERMA!D:D,"No es merma")</f>
        <v>No es merma</v>
      </c>
    </row>
    <row r="183" spans="1:12" ht="14.5" hidden="1" x14ac:dyDescent="0.35">
      <c r="A183">
        <v>100004048</v>
      </c>
      <c r="B183">
        <v>75050443</v>
      </c>
      <c r="C183" t="s">
        <v>226</v>
      </c>
      <c r="D183" t="s">
        <v>11</v>
      </c>
      <c r="E183" t="s">
        <v>224</v>
      </c>
      <c r="F183" t="s">
        <v>39</v>
      </c>
      <c r="G183" t="s">
        <v>54</v>
      </c>
      <c r="H183" t="s">
        <v>36</v>
      </c>
      <c r="I183" t="s">
        <v>16</v>
      </c>
      <c r="J183" s="10" t="str">
        <f>+_xlfn.XLOOKUP(B183,INNOVACIÓN!A:A,INNOVACIÓN!B:B,"NO")</f>
        <v>NO</v>
      </c>
      <c r="K183" s="10" t="str">
        <f>+_xlfn.XLOOKUP(B183,MERMA!B:B,MERMA!C:C,"No")</f>
        <v>No</v>
      </c>
      <c r="L183" s="10" t="str">
        <f>+_xlfn.XLOOKUP(B183,MERMA!B:B,MERMA!D:D,"No es merma")</f>
        <v>No es merma</v>
      </c>
    </row>
    <row r="184" spans="1:12" ht="14.5" hidden="1" x14ac:dyDescent="0.35">
      <c r="A184">
        <v>100014714</v>
      </c>
      <c r="B184">
        <v>75068776</v>
      </c>
      <c r="C184" t="s">
        <v>227</v>
      </c>
      <c r="D184" t="s">
        <v>11</v>
      </c>
      <c r="E184" t="s">
        <v>224</v>
      </c>
      <c r="F184" t="s">
        <v>39</v>
      </c>
      <c r="G184" t="s">
        <v>71</v>
      </c>
      <c r="H184" t="s">
        <v>36</v>
      </c>
      <c r="I184" t="s">
        <v>16</v>
      </c>
      <c r="J184" s="10" t="str">
        <f>+_xlfn.XLOOKUP(B184,INNOVACIÓN!A:A,INNOVACIÓN!B:B,"NO")</f>
        <v>NO</v>
      </c>
      <c r="K184" s="10" t="str">
        <f>+_xlfn.XLOOKUP(B184,MERMA!B:B,MERMA!C:C,"No")</f>
        <v>No</v>
      </c>
      <c r="L184" s="10" t="str">
        <f>+_xlfn.XLOOKUP(B184,MERMA!B:B,MERMA!D:D,"No es merma")</f>
        <v>No es merma</v>
      </c>
    </row>
    <row r="185" spans="1:12" ht="14.5" hidden="1" x14ac:dyDescent="0.35">
      <c r="A185">
        <v>100007108</v>
      </c>
      <c r="B185">
        <v>75056308</v>
      </c>
      <c r="C185" t="s">
        <v>228</v>
      </c>
      <c r="D185" t="s">
        <v>11</v>
      </c>
      <c r="E185" t="s">
        <v>224</v>
      </c>
      <c r="F185" t="s">
        <v>46</v>
      </c>
      <c r="G185" t="s">
        <v>14</v>
      </c>
      <c r="H185" t="s">
        <v>36</v>
      </c>
      <c r="I185" t="s">
        <v>16</v>
      </c>
      <c r="J185" s="10" t="str">
        <f>+_xlfn.XLOOKUP(B185,INNOVACIÓN!A:A,INNOVACIÓN!B:B,"NO")</f>
        <v>NO</v>
      </c>
      <c r="K185" s="10" t="str">
        <f>+_xlfn.XLOOKUP(B185,MERMA!B:B,MERMA!C:C,"No")</f>
        <v>No</v>
      </c>
      <c r="L185" s="10" t="str">
        <f>+_xlfn.XLOOKUP(B185,MERMA!B:B,MERMA!D:D,"No es merma")</f>
        <v>No es merma</v>
      </c>
    </row>
    <row r="186" spans="1:12" ht="14.5" hidden="1" x14ac:dyDescent="0.35">
      <c r="A186">
        <v>100080440</v>
      </c>
      <c r="B186">
        <v>75016777</v>
      </c>
      <c r="C186" t="s">
        <v>229</v>
      </c>
      <c r="D186" t="s">
        <v>11</v>
      </c>
      <c r="E186" t="s">
        <v>224</v>
      </c>
      <c r="F186" t="s">
        <v>39</v>
      </c>
      <c r="G186" t="s">
        <v>54</v>
      </c>
      <c r="H186" t="s">
        <v>36</v>
      </c>
      <c r="I186" t="s">
        <v>16</v>
      </c>
      <c r="J186" s="10" t="str">
        <f>+_xlfn.XLOOKUP(B186,INNOVACIÓN!A:A,INNOVACIÓN!B:B,"NO")</f>
        <v>NO</v>
      </c>
      <c r="K186" s="10" t="str">
        <f>+_xlfn.XLOOKUP(B186,MERMA!B:B,MERMA!C:C,"No")</f>
        <v>No</v>
      </c>
      <c r="L186" s="10" t="str">
        <f>+_xlfn.XLOOKUP(B186,MERMA!B:B,MERMA!D:D,"No es merma")</f>
        <v>No es merma</v>
      </c>
    </row>
    <row r="187" spans="1:12" ht="14.5" hidden="1" x14ac:dyDescent="0.35">
      <c r="A187" s="10">
        <v>100014779</v>
      </c>
      <c r="B187">
        <v>7503006684425</v>
      </c>
      <c r="C187" s="10" t="s">
        <v>230</v>
      </c>
      <c r="D187" t="s">
        <v>87</v>
      </c>
      <c r="E187" t="s">
        <v>33</v>
      </c>
      <c r="F187" t="s">
        <v>87</v>
      </c>
      <c r="G187" t="s">
        <v>87</v>
      </c>
      <c r="H187" t="s">
        <v>87</v>
      </c>
      <c r="I187" t="s">
        <v>16</v>
      </c>
      <c r="J187" s="10" t="str">
        <f>+_xlfn.XLOOKUP(B187,INNOVACIÓN!A:A,INNOVACIÓN!B:B,"NO")</f>
        <v>NO</v>
      </c>
      <c r="K187" s="10" t="str">
        <f>+_xlfn.XLOOKUP(B187,MERMA!B:B,MERMA!C:C,"No")</f>
        <v>No</v>
      </c>
      <c r="L187" s="10" t="str">
        <f>+_xlfn.XLOOKUP(B187,MERMA!B:B,MERMA!D:D,"No es merma")</f>
        <v>No es merma</v>
      </c>
    </row>
    <row r="188" spans="1:12" ht="14.5" hidden="1" x14ac:dyDescent="0.35">
      <c r="A188" s="10">
        <v>100014778</v>
      </c>
      <c r="B188">
        <v>7502236550005</v>
      </c>
      <c r="C188" s="10" t="s">
        <v>231</v>
      </c>
      <c r="D188" t="s">
        <v>87</v>
      </c>
      <c r="E188" t="s">
        <v>33</v>
      </c>
      <c r="F188" t="s">
        <v>87</v>
      </c>
      <c r="G188" t="s">
        <v>87</v>
      </c>
      <c r="H188" t="s">
        <v>87</v>
      </c>
      <c r="I188" t="s">
        <v>16</v>
      </c>
      <c r="J188" s="10" t="str">
        <f>+_xlfn.XLOOKUP(B188,INNOVACIÓN!A:A,INNOVACIÓN!B:B,"NO")</f>
        <v>NO</v>
      </c>
      <c r="K188" s="10" t="str">
        <f>+_xlfn.XLOOKUP(B188,MERMA!B:B,MERMA!C:C,"No")</f>
        <v>No</v>
      </c>
      <c r="L188" s="10" t="str">
        <f>+_xlfn.XLOOKUP(B188,MERMA!B:B,MERMA!D:D,"No es merma")</f>
        <v>No es merma</v>
      </c>
    </row>
    <row r="189" spans="1:12" ht="14.5" hidden="1" x14ac:dyDescent="0.35">
      <c r="A189" s="10">
        <v>100080948</v>
      </c>
      <c r="B189">
        <v>7502236550067</v>
      </c>
      <c r="C189" s="10" t="s">
        <v>232</v>
      </c>
      <c r="D189" t="s">
        <v>87</v>
      </c>
      <c r="E189" t="s">
        <v>33</v>
      </c>
      <c r="F189" t="s">
        <v>87</v>
      </c>
      <c r="G189" t="s">
        <v>87</v>
      </c>
      <c r="H189" t="s">
        <v>87</v>
      </c>
      <c r="I189" t="s">
        <v>16</v>
      </c>
      <c r="J189" s="10" t="str">
        <f>+_xlfn.XLOOKUP(B189,INNOVACIÓN!A:A,INNOVACIÓN!B:B,"NO")</f>
        <v>NO</v>
      </c>
      <c r="K189" s="10" t="str">
        <f>+_xlfn.XLOOKUP(B189,MERMA!B:B,MERMA!C:C,"No")</f>
        <v>No</v>
      </c>
      <c r="L189" s="10" t="str">
        <f>+_xlfn.XLOOKUP(B189,MERMA!B:B,MERMA!D:D,"No es merma")</f>
        <v>No es merma</v>
      </c>
    </row>
    <row r="190" spans="1:12" ht="14.5" hidden="1" x14ac:dyDescent="0.35">
      <c r="A190" s="10">
        <v>100014777</v>
      </c>
      <c r="B190">
        <v>7503006684388</v>
      </c>
      <c r="C190" s="10" t="s">
        <v>233</v>
      </c>
      <c r="D190" t="s">
        <v>87</v>
      </c>
      <c r="E190" t="s">
        <v>33</v>
      </c>
      <c r="F190" t="s">
        <v>87</v>
      </c>
      <c r="G190" t="s">
        <v>87</v>
      </c>
      <c r="H190" t="s">
        <v>87</v>
      </c>
      <c r="I190" t="s">
        <v>16</v>
      </c>
      <c r="J190" s="10" t="str">
        <f>+_xlfn.XLOOKUP(B190,INNOVACIÓN!A:A,INNOVACIÓN!B:B,"NO")</f>
        <v>NO</v>
      </c>
      <c r="K190" s="10" t="str">
        <f>+_xlfn.XLOOKUP(B190,MERMA!B:B,MERMA!C:C,"No")</f>
        <v>No</v>
      </c>
      <c r="L190" s="10" t="str">
        <f>+_xlfn.XLOOKUP(B190,MERMA!B:B,MERMA!D:D,"No es merma")</f>
        <v>No es merma</v>
      </c>
    </row>
    <row r="191" spans="1:12" ht="14.5" hidden="1" x14ac:dyDescent="0.35">
      <c r="A191" s="10">
        <v>100080947</v>
      </c>
      <c r="B191">
        <v>7502236550043</v>
      </c>
      <c r="C191" s="10" t="s">
        <v>234</v>
      </c>
      <c r="D191" t="s">
        <v>87</v>
      </c>
      <c r="E191" t="s">
        <v>33</v>
      </c>
      <c r="F191" t="s">
        <v>87</v>
      </c>
      <c r="G191" t="s">
        <v>87</v>
      </c>
      <c r="H191" t="s">
        <v>87</v>
      </c>
      <c r="I191" t="s">
        <v>16</v>
      </c>
      <c r="J191" s="10" t="str">
        <f>+_xlfn.XLOOKUP(B191,INNOVACIÓN!A:A,INNOVACIÓN!B:B,"NO")</f>
        <v>NO</v>
      </c>
      <c r="K191" s="10" t="str">
        <f>+_xlfn.XLOOKUP(B191,MERMA!B:B,MERMA!C:C,"No")</f>
        <v>No</v>
      </c>
      <c r="L191" s="10" t="str">
        <f>+_xlfn.XLOOKUP(B191,MERMA!B:B,MERMA!D:D,"No es merma")</f>
        <v>No es merma</v>
      </c>
    </row>
    <row r="192" spans="1:12" ht="14.5" hidden="1" x14ac:dyDescent="0.35">
      <c r="A192" s="10">
        <v>100014775</v>
      </c>
      <c r="B192">
        <v>7502236550012</v>
      </c>
      <c r="C192" s="10" t="s">
        <v>235</v>
      </c>
      <c r="D192" t="s">
        <v>87</v>
      </c>
      <c r="E192" t="s">
        <v>33</v>
      </c>
      <c r="F192" t="s">
        <v>87</v>
      </c>
      <c r="G192" t="s">
        <v>87</v>
      </c>
      <c r="H192" t="s">
        <v>87</v>
      </c>
      <c r="I192" t="s">
        <v>16</v>
      </c>
      <c r="J192" s="10" t="str">
        <f>+_xlfn.XLOOKUP(B192,INNOVACIÓN!A:A,INNOVACIÓN!B:B,"NO")</f>
        <v>NO</v>
      </c>
      <c r="K192" s="10" t="str">
        <f>+_xlfn.XLOOKUP(B192,MERMA!B:B,MERMA!C:C,"No")</f>
        <v>No</v>
      </c>
      <c r="L192" s="10" t="str">
        <f>+_xlfn.XLOOKUP(B192,MERMA!B:B,MERMA!D:D,"No es merma")</f>
        <v>No es merma</v>
      </c>
    </row>
    <row r="193" spans="1:12" ht="14.5" hidden="1" x14ac:dyDescent="0.35">
      <c r="A193" s="10">
        <v>100014774</v>
      </c>
      <c r="B193">
        <v>7503006684487</v>
      </c>
      <c r="C193" s="10" t="s">
        <v>236</v>
      </c>
      <c r="D193" t="s">
        <v>87</v>
      </c>
      <c r="E193" t="s">
        <v>33</v>
      </c>
      <c r="F193" t="s">
        <v>87</v>
      </c>
      <c r="G193" t="s">
        <v>87</v>
      </c>
      <c r="H193" t="s">
        <v>87</v>
      </c>
      <c r="I193" t="s">
        <v>16</v>
      </c>
      <c r="J193" s="10" t="str">
        <f>+_xlfn.XLOOKUP(B193,INNOVACIÓN!A:A,INNOVACIÓN!B:B,"NO")</f>
        <v>NO</v>
      </c>
      <c r="K193" s="10" t="str">
        <f>+_xlfn.XLOOKUP(B193,MERMA!B:B,MERMA!C:C,"No")</f>
        <v>No</v>
      </c>
      <c r="L193" s="10" t="str">
        <f>+_xlfn.XLOOKUP(B193,MERMA!B:B,MERMA!D:D,"No es merma")</f>
        <v>No es merma</v>
      </c>
    </row>
    <row r="194" spans="1:12" ht="14.5" hidden="1" x14ac:dyDescent="0.35">
      <c r="A194" s="10">
        <v>100014772</v>
      </c>
      <c r="B194">
        <v>7503006684326</v>
      </c>
      <c r="C194" s="10" t="s">
        <v>237</v>
      </c>
      <c r="D194" t="s">
        <v>87</v>
      </c>
      <c r="E194" t="s">
        <v>33</v>
      </c>
      <c r="F194" t="s">
        <v>87</v>
      </c>
      <c r="G194" t="s">
        <v>87</v>
      </c>
      <c r="H194" t="s">
        <v>87</v>
      </c>
      <c r="I194" t="s">
        <v>16</v>
      </c>
      <c r="J194" s="10" t="str">
        <f>+_xlfn.XLOOKUP(B194,INNOVACIÓN!A:A,INNOVACIÓN!B:B,"NO")</f>
        <v>NO</v>
      </c>
      <c r="K194" s="10" t="str">
        <f>+_xlfn.XLOOKUP(B194,MERMA!B:B,MERMA!C:C,"No")</f>
        <v>No</v>
      </c>
      <c r="L194" s="10" t="str">
        <f>+_xlfn.XLOOKUP(B194,MERMA!B:B,MERMA!D:D,"No es merma")</f>
        <v>No es merma</v>
      </c>
    </row>
    <row r="195" spans="1:12" ht="14.5" hidden="1" x14ac:dyDescent="0.35">
      <c r="A195" s="10">
        <v>100024288</v>
      </c>
      <c r="B195">
        <v>7622100558453</v>
      </c>
      <c r="C195" s="10" t="s">
        <v>238</v>
      </c>
      <c r="D195" t="s">
        <v>11</v>
      </c>
      <c r="E195" t="s">
        <v>33</v>
      </c>
      <c r="F195" t="s">
        <v>70</v>
      </c>
      <c r="G195" t="s">
        <v>239</v>
      </c>
      <c r="H195" t="s">
        <v>70</v>
      </c>
      <c r="I195" t="s">
        <v>109</v>
      </c>
      <c r="J195" s="10" t="str">
        <f>+_xlfn.XLOOKUP(B195,INNOVACIÓN!A:A,INNOVACIÓN!B:B,"NO")</f>
        <v>NO</v>
      </c>
      <c r="K195" s="10" t="str">
        <f>+_xlfn.XLOOKUP(B195,MERMA!B:B,MERMA!C:C,"No")</f>
        <v>No</v>
      </c>
      <c r="L195" s="10" t="str">
        <f>+_xlfn.XLOOKUP(B195,MERMA!B:B,MERMA!D:D,"No es merma")</f>
        <v>No es merma</v>
      </c>
    </row>
    <row r="196" spans="1:12" ht="14.5" hidden="1" x14ac:dyDescent="0.35">
      <c r="A196" s="10">
        <v>100024859</v>
      </c>
      <c r="B196">
        <v>7622100558323</v>
      </c>
      <c r="C196" s="10" t="s">
        <v>240</v>
      </c>
      <c r="D196" t="s">
        <v>11</v>
      </c>
      <c r="E196" t="s">
        <v>33</v>
      </c>
      <c r="F196" t="s">
        <v>70</v>
      </c>
      <c r="G196" t="s">
        <v>239</v>
      </c>
      <c r="H196" t="s">
        <v>70</v>
      </c>
      <c r="I196" t="s">
        <v>109</v>
      </c>
      <c r="J196" s="10" t="str">
        <f>+_xlfn.XLOOKUP(B196,INNOVACIÓN!A:A,INNOVACIÓN!B:B,"NO")</f>
        <v>NO</v>
      </c>
      <c r="K196" s="10" t="str">
        <f>+_xlfn.XLOOKUP(B196,MERMA!B:B,MERMA!C:C,"No")</f>
        <v>No</v>
      </c>
      <c r="L196" s="10" t="str">
        <f>+_xlfn.XLOOKUP(B196,MERMA!B:B,MERMA!D:D,"No es merma")</f>
        <v>No es merma</v>
      </c>
    </row>
    <row r="197" spans="1:12" ht="14.5" hidden="1" x14ac:dyDescent="0.35">
      <c r="A197" s="10">
        <v>100024286</v>
      </c>
      <c r="B197">
        <v>7622100558309</v>
      </c>
      <c r="C197" s="10" t="s">
        <v>241</v>
      </c>
      <c r="D197" t="s">
        <v>11</v>
      </c>
      <c r="E197" t="s">
        <v>33</v>
      </c>
      <c r="F197" t="s">
        <v>70</v>
      </c>
      <c r="G197" t="s">
        <v>239</v>
      </c>
      <c r="H197" t="s">
        <v>70</v>
      </c>
      <c r="I197" t="s">
        <v>109</v>
      </c>
      <c r="J197" s="10" t="str">
        <f>+_xlfn.XLOOKUP(B197,INNOVACIÓN!A:A,INNOVACIÓN!B:B,"NO")</f>
        <v>NO</v>
      </c>
      <c r="K197" s="10" t="str">
        <f>+_xlfn.XLOOKUP(B197,MERMA!B:B,MERMA!C:C,"No")</f>
        <v>No</v>
      </c>
      <c r="L197" s="10" t="str">
        <f>+_xlfn.XLOOKUP(B197,MERMA!B:B,MERMA!D:D,"No es merma")</f>
        <v>No es merma</v>
      </c>
    </row>
    <row r="198" spans="1:12" ht="14.5" hidden="1" x14ac:dyDescent="0.35">
      <c r="A198" s="10">
        <v>100024282</v>
      </c>
      <c r="B198">
        <v>7622100558293</v>
      </c>
      <c r="C198" s="10" t="s">
        <v>243</v>
      </c>
      <c r="D198" t="s">
        <v>11</v>
      </c>
      <c r="E198" t="s">
        <v>242</v>
      </c>
      <c r="F198" t="s">
        <v>70</v>
      </c>
      <c r="G198" t="s">
        <v>239</v>
      </c>
      <c r="H198" t="s">
        <v>70</v>
      </c>
      <c r="I198" t="s">
        <v>16</v>
      </c>
      <c r="J198" s="10" t="str">
        <f>+_xlfn.XLOOKUP(B198,INNOVACIÓN!A:A,INNOVACIÓN!B:B,"NO")</f>
        <v>NO</v>
      </c>
      <c r="K198" s="10" t="str">
        <f>+_xlfn.XLOOKUP(B198,MERMA!B:B,MERMA!C:C,"No")</f>
        <v>No</v>
      </c>
      <c r="L198" s="10" t="str">
        <f>+_xlfn.XLOOKUP(B198,MERMA!B:B,MERMA!D:D,"No es merma")</f>
        <v>No es merma</v>
      </c>
    </row>
    <row r="199" spans="1:12" ht="14.5" hidden="1" x14ac:dyDescent="0.35">
      <c r="A199" s="10">
        <v>100024862</v>
      </c>
      <c r="B199">
        <v>7622100558446</v>
      </c>
      <c r="C199" s="10" t="s">
        <v>244</v>
      </c>
      <c r="D199" t="s">
        <v>11</v>
      </c>
      <c r="E199" t="s">
        <v>33</v>
      </c>
      <c r="F199" t="s">
        <v>70</v>
      </c>
      <c r="G199" t="s">
        <v>239</v>
      </c>
      <c r="H199" t="s">
        <v>70</v>
      </c>
      <c r="I199" t="s">
        <v>109</v>
      </c>
      <c r="J199" s="10" t="str">
        <f>+_xlfn.XLOOKUP(B199,INNOVACIÓN!A:A,INNOVACIÓN!B:B,"NO")</f>
        <v>NO</v>
      </c>
      <c r="K199" s="10" t="str">
        <f>+_xlfn.XLOOKUP(B199,MERMA!B:B,MERMA!C:C,"No")</f>
        <v>No</v>
      </c>
      <c r="L199" s="10" t="str">
        <f>+_xlfn.XLOOKUP(B199,MERMA!B:B,MERMA!D:D,"No es merma")</f>
        <v>No es merma</v>
      </c>
    </row>
    <row r="200" spans="1:12" ht="14.5" hidden="1" x14ac:dyDescent="0.35">
      <c r="A200" s="10">
        <v>100024861</v>
      </c>
      <c r="B200">
        <v>7622100558248</v>
      </c>
      <c r="C200" s="10" t="s">
        <v>245</v>
      </c>
      <c r="D200" t="s">
        <v>11</v>
      </c>
      <c r="E200" t="s">
        <v>33</v>
      </c>
      <c r="F200" t="s">
        <v>70</v>
      </c>
      <c r="G200" t="s">
        <v>239</v>
      </c>
      <c r="H200" t="s">
        <v>70</v>
      </c>
      <c r="I200" t="s">
        <v>109</v>
      </c>
      <c r="J200" s="10" t="str">
        <f>+_xlfn.XLOOKUP(B200,INNOVACIÓN!A:A,INNOVACIÓN!B:B,"NO")</f>
        <v>NO</v>
      </c>
      <c r="K200" s="10" t="str">
        <f>+_xlfn.XLOOKUP(B200,MERMA!B:B,MERMA!C:C,"No")</f>
        <v>No</v>
      </c>
      <c r="L200" s="10" t="str">
        <f>+_xlfn.XLOOKUP(B200,MERMA!B:B,MERMA!D:D,"No es merma")</f>
        <v>No es merma</v>
      </c>
    </row>
    <row r="201" spans="1:12" ht="14.5" hidden="1" x14ac:dyDescent="0.35">
      <c r="A201">
        <v>100016411</v>
      </c>
      <c r="B201">
        <v>7503023959162</v>
      </c>
      <c r="C201" t="s">
        <v>246</v>
      </c>
      <c r="D201" t="s">
        <v>32</v>
      </c>
      <c r="E201" t="s">
        <v>33</v>
      </c>
      <c r="F201" t="s">
        <v>609</v>
      </c>
      <c r="G201" t="s">
        <v>14</v>
      </c>
      <c r="H201" t="s">
        <v>36</v>
      </c>
      <c r="I201" t="s">
        <v>247</v>
      </c>
      <c r="J201" s="10" t="str">
        <f>+_xlfn.XLOOKUP(B201,INNOVACIÓN!A:A,INNOVACIÓN!B:B,"NO")</f>
        <v>NO</v>
      </c>
      <c r="K201" s="10" t="str">
        <f>+_xlfn.XLOOKUP(B201,MERMA!B:B,MERMA!C:C,"No")</f>
        <v>SI</v>
      </c>
      <c r="L201" s="10">
        <f>+_xlfn.XLOOKUP(B201,MERMA!B:B,MERMA!D:D,"No es merma")</f>
        <v>2025</v>
      </c>
    </row>
    <row r="202" spans="1:12" ht="14.5" hidden="1" x14ac:dyDescent="0.35">
      <c r="A202">
        <v>100014850</v>
      </c>
      <c r="B202">
        <v>4033100094316</v>
      </c>
      <c r="C202" t="s">
        <v>248</v>
      </c>
      <c r="D202" t="s">
        <v>32</v>
      </c>
      <c r="E202" t="s">
        <v>33</v>
      </c>
      <c r="F202" t="s">
        <v>41</v>
      </c>
      <c r="G202" t="s">
        <v>35</v>
      </c>
      <c r="H202" t="s">
        <v>36</v>
      </c>
      <c r="I202" t="s">
        <v>109</v>
      </c>
      <c r="J202" s="10" t="str">
        <f>+_xlfn.XLOOKUP(B202,INNOVACIÓN!A:A,INNOVACIÓN!B:B,"NO")</f>
        <v>NO</v>
      </c>
      <c r="K202" s="10" t="str">
        <f>+_xlfn.XLOOKUP(B202,MERMA!B:B,MERMA!C:C,"No")</f>
        <v>No</v>
      </c>
      <c r="L202" s="10" t="str">
        <f>+_xlfn.XLOOKUP(B202,MERMA!B:B,MERMA!D:D,"No es merma")</f>
        <v>No es merma</v>
      </c>
    </row>
    <row r="203" spans="1:12" ht="14.5" hidden="1" x14ac:dyDescent="0.35">
      <c r="A203">
        <v>100080897</v>
      </c>
      <c r="B203">
        <v>42138037</v>
      </c>
      <c r="C203" t="s">
        <v>249</v>
      </c>
      <c r="D203" t="s">
        <v>32</v>
      </c>
      <c r="E203" t="s">
        <v>33</v>
      </c>
      <c r="F203" t="s">
        <v>41</v>
      </c>
      <c r="G203" t="s">
        <v>35</v>
      </c>
      <c r="H203" t="s">
        <v>36</v>
      </c>
      <c r="I203" t="s">
        <v>109</v>
      </c>
      <c r="J203" s="10" t="str">
        <f>+_xlfn.XLOOKUP(B203,INNOVACIÓN!A:A,INNOVACIÓN!B:B,"NO")</f>
        <v>NO</v>
      </c>
      <c r="K203" s="10" t="str">
        <f>+_xlfn.XLOOKUP(B203,MERMA!B:B,MERMA!C:C,"No")</f>
        <v>No</v>
      </c>
      <c r="L203" s="10" t="str">
        <f>+_xlfn.XLOOKUP(B203,MERMA!B:B,MERMA!D:D,"No es merma")</f>
        <v>No es merma</v>
      </c>
    </row>
    <row r="204" spans="1:12" ht="14.5" hidden="1" x14ac:dyDescent="0.35">
      <c r="A204">
        <v>100080899</v>
      </c>
      <c r="B204">
        <v>40331379</v>
      </c>
      <c r="C204" t="s">
        <v>250</v>
      </c>
      <c r="D204" t="s">
        <v>32</v>
      </c>
      <c r="E204" t="s">
        <v>33</v>
      </c>
      <c r="F204" t="s">
        <v>41</v>
      </c>
      <c r="G204" t="s">
        <v>35</v>
      </c>
      <c r="H204" t="s">
        <v>36</v>
      </c>
      <c r="I204" t="s">
        <v>247</v>
      </c>
      <c r="J204" s="10" t="str">
        <f>+_xlfn.XLOOKUP(B204,INNOVACIÓN!A:A,INNOVACIÓN!B:B,"NO")</f>
        <v>NO</v>
      </c>
      <c r="K204" s="10" t="str">
        <f>+_xlfn.XLOOKUP(B204,MERMA!B:B,MERMA!C:C,"No")</f>
        <v>SI</v>
      </c>
      <c r="L204" s="10">
        <f>+_xlfn.XLOOKUP(B204,MERMA!B:B,MERMA!D:D,"No es merma")</f>
        <v>2025</v>
      </c>
    </row>
    <row r="205" spans="1:12" ht="14.5" hidden="1" x14ac:dyDescent="0.35">
      <c r="A205">
        <v>101000082</v>
      </c>
      <c r="B205">
        <v>7702303464376</v>
      </c>
      <c r="C205" t="s">
        <v>251</v>
      </c>
      <c r="D205" t="s">
        <v>44</v>
      </c>
      <c r="E205" t="s">
        <v>33</v>
      </c>
      <c r="F205" t="s">
        <v>252</v>
      </c>
      <c r="G205" t="s">
        <v>139</v>
      </c>
      <c r="H205" t="s">
        <v>252</v>
      </c>
      <c r="I205" t="s">
        <v>247</v>
      </c>
      <c r="J205" s="10" t="str">
        <f>+_xlfn.XLOOKUP(B205,INNOVACIÓN!A:A,INNOVACIÓN!B:B,"NO")</f>
        <v>NO</v>
      </c>
      <c r="K205" s="10" t="str">
        <f>+_xlfn.XLOOKUP(B205,MERMA!B:B,MERMA!C:C,"No")</f>
        <v>No</v>
      </c>
      <c r="L205" s="10" t="str">
        <f>+_xlfn.XLOOKUP(B205,MERMA!B:B,MERMA!D:D,"No es merma")</f>
        <v>No es merma</v>
      </c>
    </row>
    <row r="206" spans="1:12" ht="14.5" hidden="1" x14ac:dyDescent="0.35">
      <c r="A206">
        <v>101000081</v>
      </c>
      <c r="B206">
        <v>7702303239264</v>
      </c>
      <c r="C206" t="s">
        <v>253</v>
      </c>
      <c r="D206" t="s">
        <v>44</v>
      </c>
      <c r="E206" t="s">
        <v>33</v>
      </c>
      <c r="F206" t="s">
        <v>252</v>
      </c>
      <c r="G206" t="s">
        <v>139</v>
      </c>
      <c r="H206" t="s">
        <v>252</v>
      </c>
      <c r="I206" t="s">
        <v>247</v>
      </c>
      <c r="J206" s="10" t="str">
        <f>+_xlfn.XLOOKUP(B206,INNOVACIÓN!A:A,INNOVACIÓN!B:B,"NO")</f>
        <v>NO</v>
      </c>
      <c r="K206" s="10" t="str">
        <f>+_xlfn.XLOOKUP(B206,MERMA!B:B,MERMA!C:C,"No")</f>
        <v>No</v>
      </c>
      <c r="L206" s="10" t="str">
        <f>+_xlfn.XLOOKUP(B206,MERMA!B:B,MERMA!D:D,"No es merma")</f>
        <v>No es merma</v>
      </c>
    </row>
    <row r="207" spans="1:12" ht="14.5" hidden="1" x14ac:dyDescent="0.35">
      <c r="A207">
        <v>101000080</v>
      </c>
      <c r="B207">
        <v>7702303820974</v>
      </c>
      <c r="C207" t="s">
        <v>254</v>
      </c>
      <c r="D207" t="s">
        <v>44</v>
      </c>
      <c r="E207" t="s">
        <v>33</v>
      </c>
      <c r="F207" t="s">
        <v>252</v>
      </c>
      <c r="G207" t="s">
        <v>139</v>
      </c>
      <c r="H207" t="s">
        <v>252</v>
      </c>
      <c r="I207" t="s">
        <v>247</v>
      </c>
      <c r="J207" s="10" t="str">
        <f>+_xlfn.XLOOKUP(B207,INNOVACIÓN!A:A,INNOVACIÓN!B:B,"NO")</f>
        <v>NO</v>
      </c>
      <c r="K207" s="10" t="str">
        <f>+_xlfn.XLOOKUP(B207,MERMA!B:B,MERMA!C:C,"No")</f>
        <v>No</v>
      </c>
      <c r="L207" s="10" t="str">
        <f>+_xlfn.XLOOKUP(B207,MERMA!B:B,MERMA!D:D,"No es merma")</f>
        <v>No es merma</v>
      </c>
    </row>
    <row r="208" spans="1:12" ht="14.5" hidden="1" x14ac:dyDescent="0.35">
      <c r="A208">
        <v>101000083</v>
      </c>
      <c r="B208">
        <v>7702303238434</v>
      </c>
      <c r="C208" t="s">
        <v>255</v>
      </c>
      <c r="D208" t="s">
        <v>44</v>
      </c>
      <c r="E208" t="s">
        <v>33</v>
      </c>
      <c r="F208" t="s">
        <v>252</v>
      </c>
      <c r="G208" t="s">
        <v>139</v>
      </c>
      <c r="H208" t="s">
        <v>252</v>
      </c>
      <c r="I208" t="s">
        <v>247</v>
      </c>
      <c r="J208" s="10" t="str">
        <f>+_xlfn.XLOOKUP(B208,INNOVACIÓN!A:A,INNOVACIÓN!B:B,"NO")</f>
        <v>NO</v>
      </c>
      <c r="K208" s="10" t="str">
        <f>+_xlfn.XLOOKUP(B208,MERMA!B:B,MERMA!C:C,"No")</f>
        <v>No</v>
      </c>
      <c r="L208" s="10" t="str">
        <f>+_xlfn.XLOOKUP(B208,MERMA!B:B,MERMA!D:D,"No es merma")</f>
        <v>No es merma</v>
      </c>
    </row>
    <row r="209" spans="1:12" ht="14.5" hidden="1" x14ac:dyDescent="0.35">
      <c r="A209" s="10">
        <v>100024729</v>
      </c>
      <c r="B209">
        <v>7707200942736</v>
      </c>
      <c r="C209" s="10" t="s">
        <v>256</v>
      </c>
      <c r="D209" t="s">
        <v>44</v>
      </c>
      <c r="E209" t="s">
        <v>33</v>
      </c>
      <c r="F209" t="s">
        <v>252</v>
      </c>
      <c r="G209" t="s">
        <v>139</v>
      </c>
      <c r="H209" t="s">
        <v>252</v>
      </c>
      <c r="I209" t="s">
        <v>247</v>
      </c>
      <c r="J209" s="10" t="str">
        <f>+_xlfn.XLOOKUP(B209,INNOVACIÓN!A:A,INNOVACIÓN!B:B,"NO")</f>
        <v>NO</v>
      </c>
      <c r="K209" s="10" t="str">
        <f>+_xlfn.XLOOKUP(B209,MERMA!B:B,MERMA!C:C,"No")</f>
        <v>No</v>
      </c>
      <c r="L209" s="10" t="str">
        <f>+_xlfn.XLOOKUP(B209,MERMA!B:B,MERMA!D:D,"No es merma")</f>
        <v>No es merma</v>
      </c>
    </row>
    <row r="210" spans="1:12" ht="14.5" hidden="1" x14ac:dyDescent="0.35">
      <c r="A210" s="10">
        <v>100024658</v>
      </c>
      <c r="B210">
        <v>7707200942736</v>
      </c>
      <c r="C210" s="10" t="s">
        <v>256</v>
      </c>
      <c r="D210" t="s">
        <v>44</v>
      </c>
      <c r="E210" t="s">
        <v>33</v>
      </c>
      <c r="F210" t="s">
        <v>252</v>
      </c>
      <c r="G210" t="s">
        <v>139</v>
      </c>
      <c r="H210" t="s">
        <v>252</v>
      </c>
      <c r="I210" t="s">
        <v>247</v>
      </c>
      <c r="J210" s="10" t="str">
        <f>+_xlfn.XLOOKUP(B210,INNOVACIÓN!A:A,INNOVACIÓN!B:B,"NO")</f>
        <v>NO</v>
      </c>
      <c r="K210" s="10" t="str">
        <f>+_xlfn.XLOOKUP(B210,MERMA!B:B,MERMA!C:C,"No")</f>
        <v>No</v>
      </c>
      <c r="L210" s="10" t="str">
        <f>+_xlfn.XLOOKUP(B210,MERMA!B:B,MERMA!D:D,"No es merma")</f>
        <v>No es merma</v>
      </c>
    </row>
    <row r="211" spans="1:12" ht="14.5" hidden="1" x14ac:dyDescent="0.35">
      <c r="A211" s="10">
        <v>100024727</v>
      </c>
      <c r="B211">
        <v>7702303265324</v>
      </c>
      <c r="C211" s="10" t="s">
        <v>257</v>
      </c>
      <c r="D211" t="s">
        <v>44</v>
      </c>
      <c r="E211" t="s">
        <v>33</v>
      </c>
      <c r="F211" t="s">
        <v>252</v>
      </c>
      <c r="G211" t="s">
        <v>139</v>
      </c>
      <c r="H211" t="s">
        <v>252</v>
      </c>
      <c r="I211" t="s">
        <v>247</v>
      </c>
      <c r="J211" s="10" t="str">
        <f>+_xlfn.XLOOKUP(B211,INNOVACIÓN!A:A,INNOVACIÓN!B:B,"NO")</f>
        <v>NO</v>
      </c>
      <c r="K211" s="10" t="str">
        <f>+_xlfn.XLOOKUP(B211,MERMA!B:B,MERMA!C:C,"No")</f>
        <v>No</v>
      </c>
      <c r="L211" s="10" t="str">
        <f>+_xlfn.XLOOKUP(B211,MERMA!B:B,MERMA!D:D,"No es merma")</f>
        <v>No es merma</v>
      </c>
    </row>
    <row r="212" spans="1:12" ht="14.5" hidden="1" x14ac:dyDescent="0.35">
      <c r="A212" s="10">
        <v>100024656</v>
      </c>
      <c r="B212">
        <v>7702303265324</v>
      </c>
      <c r="C212" s="10" t="s">
        <v>257</v>
      </c>
      <c r="D212" t="s">
        <v>44</v>
      </c>
      <c r="E212" t="s">
        <v>33</v>
      </c>
      <c r="F212" t="s">
        <v>252</v>
      </c>
      <c r="G212" t="s">
        <v>139</v>
      </c>
      <c r="H212" t="s">
        <v>252</v>
      </c>
      <c r="I212" t="s">
        <v>247</v>
      </c>
      <c r="J212" s="10" t="str">
        <f>+_xlfn.XLOOKUP(B212,INNOVACIÓN!A:A,INNOVACIÓN!B:B,"NO")</f>
        <v>NO</v>
      </c>
      <c r="K212" s="10" t="str">
        <f>+_xlfn.XLOOKUP(B212,MERMA!B:B,MERMA!C:C,"No")</f>
        <v>No</v>
      </c>
      <c r="L212" s="10" t="str">
        <f>+_xlfn.XLOOKUP(B212,MERMA!B:B,MERMA!D:D,"No es merma")</f>
        <v>No es merma</v>
      </c>
    </row>
    <row r="213" spans="1:12" ht="14.5" hidden="1" x14ac:dyDescent="0.35">
      <c r="A213" s="10">
        <v>100024726</v>
      </c>
      <c r="B213">
        <v>7702303108812</v>
      </c>
      <c r="C213" s="10" t="s">
        <v>258</v>
      </c>
      <c r="D213" t="s">
        <v>44</v>
      </c>
      <c r="E213" t="s">
        <v>33</v>
      </c>
      <c r="F213" t="s">
        <v>252</v>
      </c>
      <c r="G213" t="s">
        <v>139</v>
      </c>
      <c r="H213" t="s">
        <v>252</v>
      </c>
      <c r="I213" t="s">
        <v>247</v>
      </c>
      <c r="J213" s="10" t="str">
        <f>+_xlfn.XLOOKUP(B213,INNOVACIÓN!A:A,INNOVACIÓN!B:B,"NO")</f>
        <v>NO</v>
      </c>
      <c r="K213" s="10" t="str">
        <f>+_xlfn.XLOOKUP(B213,MERMA!B:B,MERMA!C:C,"No")</f>
        <v>No</v>
      </c>
      <c r="L213" s="10" t="str">
        <f>+_xlfn.XLOOKUP(B213,MERMA!B:B,MERMA!D:D,"No es merma")</f>
        <v>No es merma</v>
      </c>
    </row>
    <row r="214" spans="1:12" ht="14.5" hidden="1" x14ac:dyDescent="0.35">
      <c r="A214" s="10">
        <v>100024655</v>
      </c>
      <c r="B214">
        <v>7702303108812</v>
      </c>
      <c r="C214" s="10" t="s">
        <v>258</v>
      </c>
      <c r="D214" t="s">
        <v>44</v>
      </c>
      <c r="E214" t="s">
        <v>33</v>
      </c>
      <c r="F214" t="s">
        <v>252</v>
      </c>
      <c r="G214" t="s">
        <v>139</v>
      </c>
      <c r="H214" t="s">
        <v>252</v>
      </c>
      <c r="I214" t="s">
        <v>247</v>
      </c>
      <c r="J214" s="10" t="str">
        <f>+_xlfn.XLOOKUP(B214,INNOVACIÓN!A:A,INNOVACIÓN!B:B,"NO")</f>
        <v>NO</v>
      </c>
      <c r="K214" s="10" t="str">
        <f>+_xlfn.XLOOKUP(B214,MERMA!B:B,MERMA!C:C,"No")</f>
        <v>No</v>
      </c>
      <c r="L214" s="10" t="str">
        <f>+_xlfn.XLOOKUP(B214,MERMA!B:B,MERMA!D:D,"No es merma")</f>
        <v>No es merma</v>
      </c>
    </row>
    <row r="215" spans="1:12" ht="14.5" hidden="1" x14ac:dyDescent="0.35">
      <c r="A215" s="10">
        <v>100024728</v>
      </c>
      <c r="B215">
        <v>7702303657044</v>
      </c>
      <c r="C215" s="10" t="s">
        <v>259</v>
      </c>
      <c r="D215" t="s">
        <v>44</v>
      </c>
      <c r="E215" t="s">
        <v>33</v>
      </c>
      <c r="F215" t="s">
        <v>252</v>
      </c>
      <c r="G215" t="s">
        <v>139</v>
      </c>
      <c r="H215" t="s">
        <v>252</v>
      </c>
      <c r="I215" t="s">
        <v>247</v>
      </c>
      <c r="J215" s="10" t="str">
        <f>+_xlfn.XLOOKUP(B215,INNOVACIÓN!A:A,INNOVACIÓN!B:B,"NO")</f>
        <v>NO</v>
      </c>
      <c r="K215" s="10" t="str">
        <f>+_xlfn.XLOOKUP(B215,MERMA!B:B,MERMA!C:C,"No")</f>
        <v>No</v>
      </c>
      <c r="L215" s="10" t="str">
        <f>+_xlfn.XLOOKUP(B215,MERMA!B:B,MERMA!D:D,"No es merma")</f>
        <v>No es merma</v>
      </c>
    </row>
    <row r="216" spans="1:12" ht="14.5" hidden="1" x14ac:dyDescent="0.35">
      <c r="A216" s="10">
        <v>100024657</v>
      </c>
      <c r="B216">
        <v>7702303657044</v>
      </c>
      <c r="C216" s="10" t="s">
        <v>259</v>
      </c>
      <c r="D216" t="s">
        <v>44</v>
      </c>
      <c r="E216" t="s">
        <v>33</v>
      </c>
      <c r="F216" t="s">
        <v>252</v>
      </c>
      <c r="G216" t="s">
        <v>139</v>
      </c>
      <c r="H216" t="s">
        <v>252</v>
      </c>
      <c r="I216" t="s">
        <v>247</v>
      </c>
      <c r="J216" s="10" t="str">
        <f>+_xlfn.XLOOKUP(B216,INNOVACIÓN!A:A,INNOVACIÓN!B:B,"NO")</f>
        <v>NO</v>
      </c>
      <c r="K216" s="10" t="str">
        <f>+_xlfn.XLOOKUP(B216,MERMA!B:B,MERMA!C:C,"No")</f>
        <v>No</v>
      </c>
      <c r="L216" s="10" t="str">
        <f>+_xlfn.XLOOKUP(B216,MERMA!B:B,MERMA!D:D,"No es merma")</f>
        <v>No es merma</v>
      </c>
    </row>
    <row r="217" spans="1:12" ht="14.5" hidden="1" x14ac:dyDescent="0.35">
      <c r="A217">
        <v>100023126</v>
      </c>
      <c r="B217">
        <v>7501031701520</v>
      </c>
      <c r="C217" t="s">
        <v>260</v>
      </c>
      <c r="D217" t="s">
        <v>44</v>
      </c>
      <c r="E217" t="s">
        <v>33</v>
      </c>
      <c r="F217" t="s">
        <v>252</v>
      </c>
      <c r="G217" t="s">
        <v>139</v>
      </c>
      <c r="H217" t="s">
        <v>252</v>
      </c>
      <c r="I217" t="s">
        <v>247</v>
      </c>
      <c r="J217" s="10" t="str">
        <f>+_xlfn.XLOOKUP(B217,INNOVACIÓN!A:A,INNOVACIÓN!B:B,"NO")</f>
        <v>NO</v>
      </c>
      <c r="K217" s="10" t="str">
        <f>+_xlfn.XLOOKUP(B217,MERMA!B:B,MERMA!C:C,"No")</f>
        <v>No</v>
      </c>
      <c r="L217" s="10" t="str">
        <f>+_xlfn.XLOOKUP(B217,MERMA!B:B,MERMA!D:D,"No es merma")</f>
        <v>No es merma</v>
      </c>
    </row>
    <row r="218" spans="1:12" ht="14.5" hidden="1" x14ac:dyDescent="0.35">
      <c r="A218" s="10">
        <v>100024725</v>
      </c>
      <c r="B218">
        <v>7707200944563</v>
      </c>
      <c r="C218" s="10" t="s">
        <v>261</v>
      </c>
      <c r="D218" t="s">
        <v>44</v>
      </c>
      <c r="E218" t="s">
        <v>33</v>
      </c>
      <c r="F218" t="s">
        <v>252</v>
      </c>
      <c r="G218" t="s">
        <v>139</v>
      </c>
      <c r="H218" t="s">
        <v>252</v>
      </c>
      <c r="I218" t="s">
        <v>247</v>
      </c>
      <c r="J218" s="10" t="str">
        <f>+_xlfn.XLOOKUP(B218,INNOVACIÓN!A:A,INNOVACIÓN!B:B,"NO")</f>
        <v>NO</v>
      </c>
      <c r="K218" s="10" t="str">
        <f>+_xlfn.XLOOKUP(B218,MERMA!B:B,MERMA!C:C,"No")</f>
        <v>No</v>
      </c>
      <c r="L218" s="10" t="str">
        <f>+_xlfn.XLOOKUP(B218,MERMA!B:B,MERMA!D:D,"No es merma")</f>
        <v>No es merma</v>
      </c>
    </row>
    <row r="219" spans="1:12" ht="14.5" hidden="1" x14ac:dyDescent="0.35">
      <c r="A219">
        <v>101000088</v>
      </c>
      <c r="B219">
        <v>7702303342513</v>
      </c>
      <c r="C219" t="s">
        <v>262</v>
      </c>
      <c r="D219" t="s">
        <v>44</v>
      </c>
      <c r="E219" t="s">
        <v>33</v>
      </c>
      <c r="F219" t="s">
        <v>252</v>
      </c>
      <c r="G219" t="s">
        <v>139</v>
      </c>
      <c r="H219" t="s">
        <v>252</v>
      </c>
      <c r="I219" t="s">
        <v>247</v>
      </c>
      <c r="J219" s="10" t="str">
        <f>+_xlfn.XLOOKUP(B219,INNOVACIÓN!A:A,INNOVACIÓN!B:B,"NO")</f>
        <v>NO</v>
      </c>
      <c r="K219" s="10" t="str">
        <f>+_xlfn.XLOOKUP(B219,MERMA!B:B,MERMA!C:C,"No")</f>
        <v>No</v>
      </c>
      <c r="L219" s="10" t="str">
        <f>+_xlfn.XLOOKUP(B219,MERMA!B:B,MERMA!D:D,"No es merma")</f>
        <v>No es merma</v>
      </c>
    </row>
    <row r="220" spans="1:12" ht="14.5" hidden="1" x14ac:dyDescent="0.35">
      <c r="A220">
        <v>101000087</v>
      </c>
      <c r="B220">
        <v>7702303419598</v>
      </c>
      <c r="C220" t="s">
        <v>263</v>
      </c>
      <c r="D220" t="s">
        <v>44</v>
      </c>
      <c r="E220" t="s">
        <v>33</v>
      </c>
      <c r="F220" t="s">
        <v>252</v>
      </c>
      <c r="G220" t="s">
        <v>139</v>
      </c>
      <c r="H220" t="s">
        <v>252</v>
      </c>
      <c r="I220" t="s">
        <v>247</v>
      </c>
      <c r="J220" s="10" t="str">
        <f>+_xlfn.XLOOKUP(B220,INNOVACIÓN!A:A,INNOVACIÓN!B:B,"NO")</f>
        <v>NO</v>
      </c>
      <c r="K220" s="10" t="str">
        <f>+_xlfn.XLOOKUP(B220,MERMA!B:B,MERMA!C:C,"No")</f>
        <v>No</v>
      </c>
      <c r="L220" s="10" t="str">
        <f>+_xlfn.XLOOKUP(B220,MERMA!B:B,MERMA!D:D,"No es merma")</f>
        <v>No es merma</v>
      </c>
    </row>
    <row r="221" spans="1:12" ht="14.5" hidden="1" x14ac:dyDescent="0.35">
      <c r="A221">
        <v>101000085</v>
      </c>
      <c r="B221">
        <v>7707200941753</v>
      </c>
      <c r="C221" t="s">
        <v>264</v>
      </c>
      <c r="D221" t="s">
        <v>44</v>
      </c>
      <c r="E221" t="s">
        <v>33</v>
      </c>
      <c r="F221" t="s">
        <v>252</v>
      </c>
      <c r="G221" t="s">
        <v>139</v>
      </c>
      <c r="H221" t="s">
        <v>252</v>
      </c>
      <c r="I221" t="s">
        <v>247</v>
      </c>
      <c r="J221" s="10" t="str">
        <f>+_xlfn.XLOOKUP(B221,INNOVACIÓN!A:A,INNOVACIÓN!B:B,"NO")</f>
        <v>NO</v>
      </c>
      <c r="K221" s="10" t="str">
        <f>+_xlfn.XLOOKUP(B221,MERMA!B:B,MERMA!C:C,"No")</f>
        <v>No</v>
      </c>
      <c r="L221" s="10" t="str">
        <f>+_xlfn.XLOOKUP(B221,MERMA!B:B,MERMA!D:D,"No es merma")</f>
        <v>No es merma</v>
      </c>
    </row>
    <row r="222" spans="1:12" ht="14.5" hidden="1" x14ac:dyDescent="0.35">
      <c r="A222">
        <v>101000086</v>
      </c>
      <c r="B222">
        <v>7702303173667</v>
      </c>
      <c r="C222" t="s">
        <v>265</v>
      </c>
      <c r="D222" t="s">
        <v>44</v>
      </c>
      <c r="E222" t="s">
        <v>33</v>
      </c>
      <c r="F222" t="s">
        <v>252</v>
      </c>
      <c r="G222" t="s">
        <v>139</v>
      </c>
      <c r="H222" t="s">
        <v>252</v>
      </c>
      <c r="I222" t="s">
        <v>247</v>
      </c>
      <c r="J222" s="10" t="str">
        <f>+_xlfn.XLOOKUP(B222,INNOVACIÓN!A:A,INNOVACIÓN!B:B,"NO")</f>
        <v>NO</v>
      </c>
      <c r="K222" s="10" t="str">
        <f>+_xlfn.XLOOKUP(B222,MERMA!B:B,MERMA!C:C,"No")</f>
        <v>No</v>
      </c>
      <c r="L222" s="10" t="str">
        <f>+_xlfn.XLOOKUP(B222,MERMA!B:B,MERMA!D:D,"No es merma")</f>
        <v>No es merma</v>
      </c>
    </row>
    <row r="223" spans="1:12" ht="14.5" hidden="1" x14ac:dyDescent="0.35">
      <c r="A223" s="10">
        <v>100024653</v>
      </c>
      <c r="B223">
        <v>7707200947311</v>
      </c>
      <c r="C223" s="10" t="s">
        <v>266</v>
      </c>
      <c r="D223" t="s">
        <v>44</v>
      </c>
      <c r="E223" t="s">
        <v>33</v>
      </c>
      <c r="F223" t="s">
        <v>252</v>
      </c>
      <c r="G223" t="s">
        <v>139</v>
      </c>
      <c r="H223" t="s">
        <v>252</v>
      </c>
      <c r="I223" t="s">
        <v>247</v>
      </c>
      <c r="J223" s="10" t="str">
        <f>+_xlfn.XLOOKUP(B223,INNOVACIÓN!A:A,INNOVACIÓN!B:B,"NO")</f>
        <v>NO</v>
      </c>
      <c r="K223" s="10" t="str">
        <f>+_xlfn.XLOOKUP(B223,MERMA!B:B,MERMA!C:C,"No")</f>
        <v>No</v>
      </c>
      <c r="L223" s="10" t="str">
        <f>+_xlfn.XLOOKUP(B223,MERMA!B:B,MERMA!D:D,"No es merma")</f>
        <v>No es merma</v>
      </c>
    </row>
    <row r="224" spans="1:12" ht="14.5" hidden="1" x14ac:dyDescent="0.35">
      <c r="A224" s="10">
        <v>100024649</v>
      </c>
      <c r="B224">
        <v>7707200945799</v>
      </c>
      <c r="C224" s="10" t="s">
        <v>267</v>
      </c>
      <c r="D224" t="s">
        <v>44</v>
      </c>
      <c r="E224" t="s">
        <v>33</v>
      </c>
      <c r="F224" t="s">
        <v>252</v>
      </c>
      <c r="G224" t="s">
        <v>139</v>
      </c>
      <c r="H224" t="s">
        <v>252</v>
      </c>
      <c r="I224" t="s">
        <v>247</v>
      </c>
      <c r="J224" s="10" t="str">
        <f>+_xlfn.XLOOKUP(B224,INNOVACIÓN!A:A,INNOVACIÓN!B:B,"NO")</f>
        <v>NO</v>
      </c>
      <c r="K224" s="10" t="str">
        <f>+_xlfn.XLOOKUP(B224,MERMA!B:B,MERMA!C:C,"No")</f>
        <v>No</v>
      </c>
      <c r="L224" s="10" t="str">
        <f>+_xlfn.XLOOKUP(B224,MERMA!B:B,MERMA!D:D,"No es merma")</f>
        <v>No es merma</v>
      </c>
    </row>
    <row r="225" spans="1:12" ht="14.5" hidden="1" x14ac:dyDescent="0.35">
      <c r="A225" s="10">
        <v>100024722</v>
      </c>
      <c r="B225">
        <v>7707200945072</v>
      </c>
      <c r="C225" s="10" t="s">
        <v>268</v>
      </c>
      <c r="D225" t="s">
        <v>44</v>
      </c>
      <c r="E225" t="s">
        <v>33</v>
      </c>
      <c r="F225" t="s">
        <v>252</v>
      </c>
      <c r="G225" t="s">
        <v>139</v>
      </c>
      <c r="H225" t="s">
        <v>252</v>
      </c>
      <c r="I225" t="s">
        <v>247</v>
      </c>
      <c r="J225" s="10" t="str">
        <f>+_xlfn.XLOOKUP(B225,INNOVACIÓN!A:A,INNOVACIÓN!B:B,"NO")</f>
        <v>NO</v>
      </c>
      <c r="K225" s="10" t="str">
        <f>+_xlfn.XLOOKUP(B225,MERMA!B:B,MERMA!C:C,"No")</f>
        <v>No</v>
      </c>
      <c r="L225" s="10" t="str">
        <f>+_xlfn.XLOOKUP(B225,MERMA!B:B,MERMA!D:D,"No es merma")</f>
        <v>No es merma</v>
      </c>
    </row>
    <row r="226" spans="1:12" ht="14.5" hidden="1" x14ac:dyDescent="0.35">
      <c r="A226" s="10">
        <v>100024652</v>
      </c>
      <c r="B226">
        <v>7707200945072</v>
      </c>
      <c r="C226" s="10" t="s">
        <v>269</v>
      </c>
      <c r="D226" t="s">
        <v>44</v>
      </c>
      <c r="E226" t="s">
        <v>33</v>
      </c>
      <c r="F226" t="s">
        <v>252</v>
      </c>
      <c r="G226" t="s">
        <v>139</v>
      </c>
      <c r="H226" t="s">
        <v>252</v>
      </c>
      <c r="I226" t="s">
        <v>247</v>
      </c>
      <c r="J226" s="10" t="str">
        <f>+_xlfn.XLOOKUP(B226,INNOVACIÓN!A:A,INNOVACIÓN!B:B,"NO")</f>
        <v>NO</v>
      </c>
      <c r="K226" s="10" t="str">
        <f>+_xlfn.XLOOKUP(B226,MERMA!B:B,MERMA!C:C,"No")</f>
        <v>No</v>
      </c>
      <c r="L226" s="10" t="str">
        <f>+_xlfn.XLOOKUP(B226,MERMA!B:B,MERMA!D:D,"No es merma")</f>
        <v>No es merma</v>
      </c>
    </row>
    <row r="227" spans="1:12" ht="14.5" hidden="1" x14ac:dyDescent="0.35">
      <c r="A227" s="10">
        <v>100024720</v>
      </c>
      <c r="B227">
        <v>7707200949285</v>
      </c>
      <c r="C227" s="10" t="s">
        <v>270</v>
      </c>
      <c r="D227" t="s">
        <v>44</v>
      </c>
      <c r="E227" t="s">
        <v>33</v>
      </c>
      <c r="F227" t="s">
        <v>252</v>
      </c>
      <c r="G227" t="s">
        <v>139</v>
      </c>
      <c r="H227" t="s">
        <v>252</v>
      </c>
      <c r="I227" t="s">
        <v>247</v>
      </c>
      <c r="J227" s="10" t="str">
        <f>+_xlfn.XLOOKUP(B227,INNOVACIÓN!A:A,INNOVACIÓN!B:B,"NO")</f>
        <v>NO</v>
      </c>
      <c r="K227" s="10" t="str">
        <f>+_xlfn.XLOOKUP(B227,MERMA!B:B,MERMA!C:C,"No")</f>
        <v>No</v>
      </c>
      <c r="L227" s="10" t="str">
        <f>+_xlfn.XLOOKUP(B227,MERMA!B:B,MERMA!D:D,"No es merma")</f>
        <v>No es merma</v>
      </c>
    </row>
    <row r="228" spans="1:12" ht="14.5" hidden="1" x14ac:dyDescent="0.35">
      <c r="A228" s="10">
        <v>100024650</v>
      </c>
      <c r="B228">
        <v>7707200949285</v>
      </c>
      <c r="C228" s="10" t="s">
        <v>271</v>
      </c>
      <c r="D228" t="s">
        <v>44</v>
      </c>
      <c r="E228" t="s">
        <v>33</v>
      </c>
      <c r="F228" t="s">
        <v>252</v>
      </c>
      <c r="G228" t="s">
        <v>139</v>
      </c>
      <c r="H228" t="s">
        <v>252</v>
      </c>
      <c r="I228" t="s">
        <v>247</v>
      </c>
      <c r="J228" s="10" t="str">
        <f>+_xlfn.XLOOKUP(B228,INNOVACIÓN!A:A,INNOVACIÓN!B:B,"NO")</f>
        <v>NO</v>
      </c>
      <c r="K228" s="10" t="str">
        <f>+_xlfn.XLOOKUP(B228,MERMA!B:B,MERMA!C:C,"No")</f>
        <v>No</v>
      </c>
      <c r="L228" s="10" t="str">
        <f>+_xlfn.XLOOKUP(B228,MERMA!B:B,MERMA!D:D,"No es merma")</f>
        <v>No es merma</v>
      </c>
    </row>
    <row r="229" spans="1:12" ht="14.5" hidden="1" x14ac:dyDescent="0.35">
      <c r="A229" s="10">
        <v>100024721</v>
      </c>
      <c r="B229">
        <v>7707200949551</v>
      </c>
      <c r="C229" s="10" t="s">
        <v>272</v>
      </c>
      <c r="D229" t="s">
        <v>44</v>
      </c>
      <c r="E229" t="s">
        <v>33</v>
      </c>
      <c r="F229" t="s">
        <v>252</v>
      </c>
      <c r="G229" t="s">
        <v>139</v>
      </c>
      <c r="H229" t="s">
        <v>252</v>
      </c>
      <c r="I229" t="s">
        <v>247</v>
      </c>
      <c r="J229" s="10" t="str">
        <f>+_xlfn.XLOOKUP(B229,INNOVACIÓN!A:A,INNOVACIÓN!B:B,"NO")</f>
        <v>NO</v>
      </c>
      <c r="K229" s="10" t="str">
        <f>+_xlfn.XLOOKUP(B229,MERMA!B:B,MERMA!C:C,"No")</f>
        <v>No</v>
      </c>
      <c r="L229" s="10" t="str">
        <f>+_xlfn.XLOOKUP(B229,MERMA!B:B,MERMA!D:D,"No es merma")</f>
        <v>No es merma</v>
      </c>
    </row>
    <row r="230" spans="1:12" ht="14.5" hidden="1" x14ac:dyDescent="0.35">
      <c r="A230" s="10">
        <v>100024651</v>
      </c>
      <c r="B230">
        <v>7707200949551</v>
      </c>
      <c r="C230" s="10" t="s">
        <v>273</v>
      </c>
      <c r="D230" t="s">
        <v>44</v>
      </c>
      <c r="E230" t="s">
        <v>33</v>
      </c>
      <c r="F230" t="s">
        <v>252</v>
      </c>
      <c r="G230" t="s">
        <v>139</v>
      </c>
      <c r="H230" t="s">
        <v>252</v>
      </c>
      <c r="I230" t="s">
        <v>247</v>
      </c>
      <c r="J230" s="10" t="str">
        <f>+_xlfn.XLOOKUP(B230,INNOVACIÓN!A:A,INNOVACIÓN!B:B,"NO")</f>
        <v>NO</v>
      </c>
      <c r="K230" s="10" t="str">
        <f>+_xlfn.XLOOKUP(B230,MERMA!B:B,MERMA!C:C,"No")</f>
        <v>No</v>
      </c>
      <c r="L230" s="10" t="str">
        <f>+_xlfn.XLOOKUP(B230,MERMA!B:B,MERMA!D:D,"No es merma")</f>
        <v>No es merma</v>
      </c>
    </row>
    <row r="231" spans="1:12" ht="14.5" hidden="1" x14ac:dyDescent="0.35">
      <c r="A231" s="10">
        <v>100024724</v>
      </c>
      <c r="B231">
        <v>7707200944037</v>
      </c>
      <c r="C231" s="10" t="s">
        <v>274</v>
      </c>
      <c r="D231" t="s">
        <v>44</v>
      </c>
      <c r="E231" t="s">
        <v>33</v>
      </c>
      <c r="F231" t="s">
        <v>252</v>
      </c>
      <c r="G231" t="s">
        <v>139</v>
      </c>
      <c r="H231" t="s">
        <v>252</v>
      </c>
      <c r="I231" t="s">
        <v>247</v>
      </c>
      <c r="J231" s="10" t="str">
        <f>+_xlfn.XLOOKUP(B231,INNOVACIÓN!A:A,INNOVACIÓN!B:B,"NO")</f>
        <v>NO</v>
      </c>
      <c r="K231" s="10" t="str">
        <f>+_xlfn.XLOOKUP(B231,MERMA!B:B,MERMA!C:C,"No")</f>
        <v>No</v>
      </c>
      <c r="L231" s="10" t="str">
        <f>+_xlfn.XLOOKUP(B231,MERMA!B:B,MERMA!D:D,"No es merma")</f>
        <v>No es merma</v>
      </c>
    </row>
    <row r="232" spans="1:12" ht="14.5" hidden="1" x14ac:dyDescent="0.35">
      <c r="A232" s="10">
        <v>100024654</v>
      </c>
      <c r="B232">
        <v>7707200944037</v>
      </c>
      <c r="C232" s="10" t="s">
        <v>275</v>
      </c>
      <c r="D232" t="s">
        <v>44</v>
      </c>
      <c r="E232" t="s">
        <v>33</v>
      </c>
      <c r="F232" t="s">
        <v>252</v>
      </c>
      <c r="G232" t="s">
        <v>139</v>
      </c>
      <c r="H232" t="s">
        <v>252</v>
      </c>
      <c r="I232" t="s">
        <v>247</v>
      </c>
      <c r="J232" s="10" t="str">
        <f>+_xlfn.XLOOKUP(B232,INNOVACIÓN!A:A,INNOVACIÓN!B:B,"NO")</f>
        <v>NO</v>
      </c>
      <c r="K232" s="10" t="str">
        <f>+_xlfn.XLOOKUP(B232,MERMA!B:B,MERMA!C:C,"No")</f>
        <v>No</v>
      </c>
      <c r="L232" s="10" t="str">
        <f>+_xlfn.XLOOKUP(B232,MERMA!B:B,MERMA!D:D,"No es merma")</f>
        <v>No es merma</v>
      </c>
    </row>
    <row r="233" spans="1:12" ht="14.5" hidden="1" x14ac:dyDescent="0.35">
      <c r="A233">
        <v>101000089</v>
      </c>
      <c r="B233">
        <v>7702303023221</v>
      </c>
      <c r="C233" t="s">
        <v>276</v>
      </c>
      <c r="D233" t="s">
        <v>44</v>
      </c>
      <c r="E233" t="s">
        <v>33</v>
      </c>
      <c r="F233" t="s">
        <v>252</v>
      </c>
      <c r="G233" t="s">
        <v>139</v>
      </c>
      <c r="H233" t="s">
        <v>252</v>
      </c>
      <c r="I233" t="s">
        <v>247</v>
      </c>
      <c r="J233" s="10" t="str">
        <f>+_xlfn.XLOOKUP(B233,INNOVACIÓN!A:A,INNOVACIÓN!B:B,"NO")</f>
        <v>NO</v>
      </c>
      <c r="K233" s="10" t="str">
        <f>+_xlfn.XLOOKUP(B233,MERMA!B:B,MERMA!C:C,"No")</f>
        <v>No</v>
      </c>
      <c r="L233" s="10" t="str">
        <f>+_xlfn.XLOOKUP(B233,MERMA!B:B,MERMA!D:D,"No es merma")</f>
        <v>No es merma</v>
      </c>
    </row>
    <row r="234" spans="1:12" ht="14.5" hidden="1" x14ac:dyDescent="0.35">
      <c r="A234" s="10">
        <v>100024414</v>
      </c>
      <c r="B234">
        <v>7702303906036</v>
      </c>
      <c r="C234" s="10" t="s">
        <v>277</v>
      </c>
      <c r="D234" t="s">
        <v>44</v>
      </c>
      <c r="E234" t="s">
        <v>33</v>
      </c>
      <c r="F234" t="s">
        <v>252</v>
      </c>
      <c r="G234" t="s">
        <v>139</v>
      </c>
      <c r="H234" t="s">
        <v>252</v>
      </c>
      <c r="I234" t="s">
        <v>247</v>
      </c>
      <c r="J234" s="10" t="str">
        <f>+_xlfn.XLOOKUP(B234,INNOVACIÓN!A:A,INNOVACIÓN!B:B,"NO")</f>
        <v>NO</v>
      </c>
      <c r="K234" s="10" t="str">
        <f>+_xlfn.XLOOKUP(B234,MERMA!B:B,MERMA!C:C,"No")</f>
        <v>No</v>
      </c>
      <c r="L234" s="10" t="str">
        <f>+_xlfn.XLOOKUP(B234,MERMA!B:B,MERMA!D:D,"No es merma")</f>
        <v>No es merma</v>
      </c>
    </row>
    <row r="235" spans="1:12" ht="14.5" hidden="1" x14ac:dyDescent="0.35">
      <c r="A235">
        <v>101000092</v>
      </c>
      <c r="B235">
        <v>7702303007979</v>
      </c>
      <c r="C235" t="s">
        <v>278</v>
      </c>
      <c r="D235" t="s">
        <v>44</v>
      </c>
      <c r="E235" t="s">
        <v>33</v>
      </c>
      <c r="F235" t="s">
        <v>252</v>
      </c>
      <c r="G235" t="s">
        <v>139</v>
      </c>
      <c r="H235" t="s">
        <v>252</v>
      </c>
      <c r="I235" t="s">
        <v>247</v>
      </c>
      <c r="J235" s="10" t="str">
        <f>+_xlfn.XLOOKUP(B235,INNOVACIÓN!A:A,INNOVACIÓN!B:B,"NO")</f>
        <v>NO</v>
      </c>
      <c r="K235" s="10" t="str">
        <f>+_xlfn.XLOOKUP(B235,MERMA!B:B,MERMA!C:C,"No")</f>
        <v>No</v>
      </c>
      <c r="L235" s="10" t="str">
        <f>+_xlfn.XLOOKUP(B235,MERMA!B:B,MERMA!D:D,"No es merma")</f>
        <v>No es merma</v>
      </c>
    </row>
    <row r="236" spans="1:12" ht="14.5" hidden="1" x14ac:dyDescent="0.35">
      <c r="A236">
        <v>101000090</v>
      </c>
      <c r="B236">
        <v>7702303936590</v>
      </c>
      <c r="C236" t="s">
        <v>279</v>
      </c>
      <c r="D236" t="s">
        <v>44</v>
      </c>
      <c r="E236" t="s">
        <v>33</v>
      </c>
      <c r="F236" t="s">
        <v>252</v>
      </c>
      <c r="G236" t="s">
        <v>139</v>
      </c>
      <c r="H236" t="s">
        <v>252</v>
      </c>
      <c r="I236" t="s">
        <v>247</v>
      </c>
      <c r="J236" s="10" t="str">
        <f>+_xlfn.XLOOKUP(B236,INNOVACIÓN!A:A,INNOVACIÓN!B:B,"NO")</f>
        <v>NO</v>
      </c>
      <c r="K236" s="10" t="str">
        <f>+_xlfn.XLOOKUP(B236,MERMA!B:B,MERMA!C:C,"No")</f>
        <v>No</v>
      </c>
      <c r="L236" s="10" t="str">
        <f>+_xlfn.XLOOKUP(B236,MERMA!B:B,MERMA!D:D,"No es merma")</f>
        <v>No es merma</v>
      </c>
    </row>
    <row r="237" spans="1:12" ht="14.5" hidden="1" x14ac:dyDescent="0.35">
      <c r="A237">
        <v>101000091</v>
      </c>
      <c r="B237">
        <v>7702303890434</v>
      </c>
      <c r="C237" t="s">
        <v>280</v>
      </c>
      <c r="D237" t="s">
        <v>44</v>
      </c>
      <c r="E237" t="s">
        <v>33</v>
      </c>
      <c r="F237" t="s">
        <v>252</v>
      </c>
      <c r="G237" t="s">
        <v>139</v>
      </c>
      <c r="H237" t="s">
        <v>252</v>
      </c>
      <c r="I237" t="s">
        <v>247</v>
      </c>
      <c r="J237" s="10" t="str">
        <f>+_xlfn.XLOOKUP(B237,INNOVACIÓN!A:A,INNOVACIÓN!B:B,"NO")</f>
        <v>NO</v>
      </c>
      <c r="K237" s="10" t="str">
        <f>+_xlfn.XLOOKUP(B237,MERMA!B:B,MERMA!C:C,"No")</f>
        <v>No</v>
      </c>
      <c r="L237" s="10" t="str">
        <f>+_xlfn.XLOOKUP(B237,MERMA!B:B,MERMA!D:D,"No es merma")</f>
        <v>No es merma</v>
      </c>
    </row>
    <row r="238" spans="1:12" ht="14.5" hidden="1" x14ac:dyDescent="0.35">
      <c r="A238">
        <v>101000093</v>
      </c>
      <c r="B238">
        <v>7702303182898</v>
      </c>
      <c r="C238" t="s">
        <v>281</v>
      </c>
      <c r="D238" t="s">
        <v>44</v>
      </c>
      <c r="E238" t="s">
        <v>33</v>
      </c>
      <c r="F238" t="s">
        <v>252</v>
      </c>
      <c r="G238" t="s">
        <v>139</v>
      </c>
      <c r="H238" t="s">
        <v>252</v>
      </c>
      <c r="I238" t="s">
        <v>247</v>
      </c>
      <c r="J238" s="10" t="str">
        <f>+_xlfn.XLOOKUP(B238,INNOVACIÓN!A:A,INNOVACIÓN!B:B,"NO")</f>
        <v>NO</v>
      </c>
      <c r="K238" s="10" t="str">
        <f>+_xlfn.XLOOKUP(B238,MERMA!B:B,MERMA!C:C,"No")</f>
        <v>No</v>
      </c>
      <c r="L238" s="10" t="str">
        <f>+_xlfn.XLOOKUP(B238,MERMA!B:B,MERMA!D:D,"No es merma")</f>
        <v>No es merma</v>
      </c>
    </row>
    <row r="239" spans="1:12" ht="14.5" hidden="1" x14ac:dyDescent="0.35">
      <c r="A239" s="10">
        <v>100024714</v>
      </c>
      <c r="B239">
        <v>7707200942019</v>
      </c>
      <c r="C239" s="10" t="s">
        <v>282</v>
      </c>
      <c r="D239" t="s">
        <v>44</v>
      </c>
      <c r="E239" t="s">
        <v>33</v>
      </c>
      <c r="F239" t="s">
        <v>252</v>
      </c>
      <c r="G239" t="s">
        <v>139</v>
      </c>
      <c r="H239" t="s">
        <v>252</v>
      </c>
      <c r="I239" t="s">
        <v>247</v>
      </c>
      <c r="J239" s="10" t="str">
        <f>+_xlfn.XLOOKUP(B239,INNOVACIÓN!A:A,INNOVACIÓN!B:B,"NO")</f>
        <v>NO</v>
      </c>
      <c r="K239" s="10" t="str">
        <f>+_xlfn.XLOOKUP(B239,MERMA!B:B,MERMA!C:C,"No")</f>
        <v>No</v>
      </c>
      <c r="L239" s="10" t="str">
        <f>+_xlfn.XLOOKUP(B239,MERMA!B:B,MERMA!D:D,"No es merma")</f>
        <v>No es merma</v>
      </c>
    </row>
    <row r="240" spans="1:12" ht="14.5" hidden="1" x14ac:dyDescent="0.35">
      <c r="A240" s="10">
        <v>100024627</v>
      </c>
      <c r="B240">
        <v>7707200945430</v>
      </c>
      <c r="C240" s="10" t="s">
        <v>283</v>
      </c>
      <c r="D240" t="s">
        <v>44</v>
      </c>
      <c r="E240" t="s">
        <v>33</v>
      </c>
      <c r="F240" t="s">
        <v>252</v>
      </c>
      <c r="G240" t="s">
        <v>139</v>
      </c>
      <c r="H240" t="s">
        <v>252</v>
      </c>
      <c r="I240" t="s">
        <v>247</v>
      </c>
      <c r="J240" s="10" t="str">
        <f>+_xlfn.XLOOKUP(B240,INNOVACIÓN!A:A,INNOVACIÓN!B:B,"NO")</f>
        <v>NO</v>
      </c>
      <c r="K240" s="10" t="str">
        <f>+_xlfn.XLOOKUP(B240,MERMA!B:B,MERMA!C:C,"No")</f>
        <v>No</v>
      </c>
      <c r="L240" s="10" t="str">
        <f>+_xlfn.XLOOKUP(B240,MERMA!B:B,MERMA!D:D,"No es merma")</f>
        <v>No es merma</v>
      </c>
    </row>
    <row r="241" spans="1:12" ht="14.5" hidden="1" x14ac:dyDescent="0.35">
      <c r="A241" s="10">
        <v>100024625</v>
      </c>
      <c r="B241">
        <v>7707200947854</v>
      </c>
      <c r="C241" s="10" t="s">
        <v>284</v>
      </c>
      <c r="D241" t="s">
        <v>44</v>
      </c>
      <c r="E241" t="s">
        <v>33</v>
      </c>
      <c r="F241" t="s">
        <v>252</v>
      </c>
      <c r="G241" t="s">
        <v>139</v>
      </c>
      <c r="H241" t="s">
        <v>252</v>
      </c>
      <c r="I241" t="s">
        <v>247</v>
      </c>
      <c r="J241" s="10" t="str">
        <f>+_xlfn.XLOOKUP(B241,INNOVACIÓN!A:A,INNOVACIÓN!B:B,"NO")</f>
        <v>NO</v>
      </c>
      <c r="K241" s="10" t="str">
        <f>+_xlfn.XLOOKUP(B241,MERMA!B:B,MERMA!C:C,"No")</f>
        <v>No</v>
      </c>
      <c r="L241" s="10" t="str">
        <f>+_xlfn.XLOOKUP(B241,MERMA!B:B,MERMA!D:D,"No es merma")</f>
        <v>No es merma</v>
      </c>
    </row>
    <row r="242" spans="1:12" ht="14.5" hidden="1" x14ac:dyDescent="0.35">
      <c r="A242" s="10">
        <v>100024712</v>
      </c>
      <c r="B242">
        <v>7707200946239</v>
      </c>
      <c r="C242" s="10" t="s">
        <v>285</v>
      </c>
      <c r="D242" t="s">
        <v>44</v>
      </c>
      <c r="E242" t="s">
        <v>33</v>
      </c>
      <c r="F242" t="s">
        <v>252</v>
      </c>
      <c r="G242" t="s">
        <v>139</v>
      </c>
      <c r="H242" t="s">
        <v>252</v>
      </c>
      <c r="I242" t="s">
        <v>247</v>
      </c>
      <c r="J242" s="10" t="str">
        <f>+_xlfn.XLOOKUP(B242,INNOVACIÓN!A:A,INNOVACIÓN!B:B,"NO")</f>
        <v>NO</v>
      </c>
      <c r="K242" s="10" t="str">
        <f>+_xlfn.XLOOKUP(B242,MERMA!B:B,MERMA!C:C,"No")</f>
        <v>No</v>
      </c>
      <c r="L242" s="10" t="str">
        <f>+_xlfn.XLOOKUP(B242,MERMA!B:B,MERMA!D:D,"No es merma")</f>
        <v>No es merma</v>
      </c>
    </row>
    <row r="243" spans="1:12" ht="14.5" hidden="1" x14ac:dyDescent="0.35">
      <c r="A243" s="10">
        <v>100024715</v>
      </c>
      <c r="B243">
        <v>7707200946987</v>
      </c>
      <c r="C243" s="10" t="s">
        <v>286</v>
      </c>
      <c r="D243" t="s">
        <v>44</v>
      </c>
      <c r="E243" t="s">
        <v>33</v>
      </c>
      <c r="F243" t="s">
        <v>252</v>
      </c>
      <c r="G243" t="s">
        <v>139</v>
      </c>
      <c r="H243" t="s">
        <v>252</v>
      </c>
      <c r="I243" t="s">
        <v>247</v>
      </c>
      <c r="J243" s="10" t="str">
        <f>+_xlfn.XLOOKUP(B243,INNOVACIÓN!A:A,INNOVACIÓN!B:B,"NO")</f>
        <v>NO</v>
      </c>
      <c r="K243" s="10" t="str">
        <f>+_xlfn.XLOOKUP(B243,MERMA!B:B,MERMA!C:C,"No")</f>
        <v>No</v>
      </c>
      <c r="L243" s="10" t="str">
        <f>+_xlfn.XLOOKUP(B243,MERMA!B:B,MERMA!D:D,"No es merma")</f>
        <v>No es merma</v>
      </c>
    </row>
    <row r="244" spans="1:12" ht="14.5" hidden="1" x14ac:dyDescent="0.35">
      <c r="A244" s="10">
        <v>100024623</v>
      </c>
      <c r="B244">
        <v>7707200946987</v>
      </c>
      <c r="C244" s="10" t="s">
        <v>287</v>
      </c>
      <c r="D244" t="s">
        <v>44</v>
      </c>
      <c r="E244" t="s">
        <v>33</v>
      </c>
      <c r="F244" t="s">
        <v>252</v>
      </c>
      <c r="G244" t="s">
        <v>139</v>
      </c>
      <c r="H244" t="s">
        <v>252</v>
      </c>
      <c r="I244" t="s">
        <v>247</v>
      </c>
      <c r="J244" s="10" t="str">
        <f>+_xlfn.XLOOKUP(B244,INNOVACIÓN!A:A,INNOVACIÓN!B:B,"NO")</f>
        <v>NO</v>
      </c>
      <c r="K244" s="10" t="str">
        <f>+_xlfn.XLOOKUP(B244,MERMA!B:B,MERMA!C:C,"No")</f>
        <v>No</v>
      </c>
      <c r="L244" s="10" t="str">
        <f>+_xlfn.XLOOKUP(B244,MERMA!B:B,MERMA!D:D,"No es merma")</f>
        <v>No es merma</v>
      </c>
    </row>
    <row r="245" spans="1:12" ht="14.5" hidden="1" x14ac:dyDescent="0.35">
      <c r="A245" s="10">
        <v>100024716</v>
      </c>
      <c r="B245">
        <v>7707200940220</v>
      </c>
      <c r="C245" s="10" t="s">
        <v>288</v>
      </c>
      <c r="D245" t="s">
        <v>44</v>
      </c>
      <c r="E245" t="s">
        <v>33</v>
      </c>
      <c r="F245" t="s">
        <v>252</v>
      </c>
      <c r="G245" t="s">
        <v>139</v>
      </c>
      <c r="H245" t="s">
        <v>252</v>
      </c>
      <c r="I245" t="s">
        <v>247</v>
      </c>
      <c r="J245" s="10" t="str">
        <f>+_xlfn.XLOOKUP(B245,INNOVACIÓN!A:A,INNOVACIÓN!B:B,"NO")</f>
        <v>NO</v>
      </c>
      <c r="K245" s="10" t="str">
        <f>+_xlfn.XLOOKUP(B245,MERMA!B:B,MERMA!C:C,"No")</f>
        <v>No</v>
      </c>
      <c r="L245" s="10" t="str">
        <f>+_xlfn.XLOOKUP(B245,MERMA!B:B,MERMA!D:D,"No es merma")</f>
        <v>No es merma</v>
      </c>
    </row>
    <row r="246" spans="1:12" ht="14.5" hidden="1" x14ac:dyDescent="0.35">
      <c r="A246" s="10">
        <v>100024624</v>
      </c>
      <c r="B246">
        <v>7707200940220</v>
      </c>
      <c r="C246" s="10" t="s">
        <v>289</v>
      </c>
      <c r="D246" t="s">
        <v>44</v>
      </c>
      <c r="E246" t="s">
        <v>33</v>
      </c>
      <c r="F246" t="s">
        <v>252</v>
      </c>
      <c r="G246" t="s">
        <v>139</v>
      </c>
      <c r="H246" t="s">
        <v>252</v>
      </c>
      <c r="I246" t="s">
        <v>247</v>
      </c>
      <c r="J246" s="10" t="str">
        <f>+_xlfn.XLOOKUP(B246,INNOVACIÓN!A:A,INNOVACIÓN!B:B,"NO")</f>
        <v>NO</v>
      </c>
      <c r="K246" s="10" t="str">
        <f>+_xlfn.XLOOKUP(B246,MERMA!B:B,MERMA!C:C,"No")</f>
        <v>No</v>
      </c>
      <c r="L246" s="10" t="str">
        <f>+_xlfn.XLOOKUP(B246,MERMA!B:B,MERMA!D:D,"No es merma")</f>
        <v>No es merma</v>
      </c>
    </row>
    <row r="247" spans="1:12" ht="14.5" hidden="1" x14ac:dyDescent="0.35">
      <c r="A247">
        <v>100023339</v>
      </c>
      <c r="B247">
        <v>7501031701667</v>
      </c>
      <c r="C247" t="s">
        <v>290</v>
      </c>
      <c r="D247" t="s">
        <v>44</v>
      </c>
      <c r="E247" t="s">
        <v>33</v>
      </c>
      <c r="F247" t="s">
        <v>252</v>
      </c>
      <c r="G247" t="s">
        <v>139</v>
      </c>
      <c r="H247" t="s">
        <v>252</v>
      </c>
      <c r="I247" t="s">
        <v>247</v>
      </c>
      <c r="J247" s="10" t="str">
        <f>+_xlfn.XLOOKUP(B247,INNOVACIÓN!A:A,INNOVACIÓN!B:B,"NO")</f>
        <v>NO</v>
      </c>
      <c r="K247" s="10" t="str">
        <f>+_xlfn.XLOOKUP(B247,MERMA!B:B,MERMA!C:C,"No")</f>
        <v>No</v>
      </c>
      <c r="L247" s="10" t="str">
        <f>+_xlfn.XLOOKUP(B247,MERMA!B:B,MERMA!D:D,"No es merma")</f>
        <v>No es merma</v>
      </c>
    </row>
    <row r="248" spans="1:12" ht="14.5" hidden="1" x14ac:dyDescent="0.35">
      <c r="A248">
        <v>100022786</v>
      </c>
      <c r="B248">
        <v>7501031701636</v>
      </c>
      <c r="C248" t="s">
        <v>291</v>
      </c>
      <c r="D248" t="s">
        <v>44</v>
      </c>
      <c r="E248" t="s">
        <v>33</v>
      </c>
      <c r="F248" t="s">
        <v>252</v>
      </c>
      <c r="G248" t="s">
        <v>139</v>
      </c>
      <c r="H248" t="s">
        <v>252</v>
      </c>
      <c r="I248" t="s">
        <v>247</v>
      </c>
      <c r="J248" s="10" t="str">
        <f>+_xlfn.XLOOKUP(B248,INNOVACIÓN!A:A,INNOVACIÓN!B:B,"NO")</f>
        <v>NO</v>
      </c>
      <c r="K248" s="10" t="str">
        <f>+_xlfn.XLOOKUP(B248,MERMA!B:B,MERMA!C:C,"No")</f>
        <v>No</v>
      </c>
      <c r="L248" s="10" t="str">
        <f>+_xlfn.XLOOKUP(B248,MERMA!B:B,MERMA!D:D,"No es merma")</f>
        <v>No es merma</v>
      </c>
    </row>
    <row r="249" spans="1:12" ht="14.5" hidden="1" x14ac:dyDescent="0.35">
      <c r="A249">
        <v>100022785</v>
      </c>
      <c r="B249">
        <v>7501031701698</v>
      </c>
      <c r="C249" t="s">
        <v>292</v>
      </c>
      <c r="D249" t="s">
        <v>44</v>
      </c>
      <c r="E249" t="s">
        <v>33</v>
      </c>
      <c r="F249" t="s">
        <v>252</v>
      </c>
      <c r="G249" t="s">
        <v>139</v>
      </c>
      <c r="H249" t="s">
        <v>252</v>
      </c>
      <c r="I249" t="s">
        <v>247</v>
      </c>
      <c r="J249" s="10" t="str">
        <f>+_xlfn.XLOOKUP(B249,INNOVACIÓN!A:A,INNOVACIÓN!B:B,"NO")</f>
        <v>NO</v>
      </c>
      <c r="K249" s="10" t="str">
        <f>+_xlfn.XLOOKUP(B249,MERMA!B:B,MERMA!C:C,"No")</f>
        <v>No</v>
      </c>
      <c r="L249" s="10" t="str">
        <f>+_xlfn.XLOOKUP(B249,MERMA!B:B,MERMA!D:D,"No es merma")</f>
        <v>No es merma</v>
      </c>
    </row>
    <row r="250" spans="1:12" ht="14.5" hidden="1" x14ac:dyDescent="0.35">
      <c r="A250">
        <v>100023338</v>
      </c>
      <c r="B250">
        <v>7501031701575</v>
      </c>
      <c r="C250" t="s">
        <v>293</v>
      </c>
      <c r="D250" t="s">
        <v>44</v>
      </c>
      <c r="E250" t="s">
        <v>33</v>
      </c>
      <c r="F250" t="s">
        <v>252</v>
      </c>
      <c r="G250" t="s">
        <v>139</v>
      </c>
      <c r="H250" t="s">
        <v>252</v>
      </c>
      <c r="I250" t="s">
        <v>247</v>
      </c>
      <c r="J250" s="10" t="str">
        <f>+_xlfn.XLOOKUP(B250,INNOVACIÓN!A:A,INNOVACIÓN!B:B,"NO")</f>
        <v>NO</v>
      </c>
      <c r="K250" s="10" t="str">
        <f>+_xlfn.XLOOKUP(B250,MERMA!B:B,MERMA!C:C,"No")</f>
        <v>No</v>
      </c>
      <c r="L250" s="10" t="str">
        <f>+_xlfn.XLOOKUP(B250,MERMA!B:B,MERMA!D:D,"No es merma")</f>
        <v>No es merma</v>
      </c>
    </row>
    <row r="251" spans="1:12" ht="14.5" hidden="1" x14ac:dyDescent="0.35">
      <c r="A251">
        <v>100023094</v>
      </c>
      <c r="B251">
        <v>7501031701759</v>
      </c>
      <c r="C251" t="s">
        <v>294</v>
      </c>
      <c r="D251" t="s">
        <v>44</v>
      </c>
      <c r="E251" t="s">
        <v>33</v>
      </c>
      <c r="F251" t="s">
        <v>252</v>
      </c>
      <c r="G251" t="s">
        <v>139</v>
      </c>
      <c r="H251" t="s">
        <v>252</v>
      </c>
      <c r="I251" t="s">
        <v>247</v>
      </c>
      <c r="J251" s="10" t="str">
        <f>+_xlfn.XLOOKUP(B251,INNOVACIÓN!A:A,INNOVACIÓN!B:B,"NO")</f>
        <v>NO</v>
      </c>
      <c r="K251" s="10" t="str">
        <f>+_xlfn.XLOOKUP(B251,MERMA!B:B,MERMA!C:C,"No")</f>
        <v>No</v>
      </c>
      <c r="L251" s="10" t="str">
        <f>+_xlfn.XLOOKUP(B251,MERMA!B:B,MERMA!D:D,"No es merma")</f>
        <v>No es merma</v>
      </c>
    </row>
    <row r="252" spans="1:12" ht="14.5" hidden="1" x14ac:dyDescent="0.35">
      <c r="A252">
        <v>100023336</v>
      </c>
      <c r="B252">
        <v>7501031701704</v>
      </c>
      <c r="C252" t="s">
        <v>295</v>
      </c>
      <c r="D252" t="s">
        <v>44</v>
      </c>
      <c r="E252" t="s">
        <v>33</v>
      </c>
      <c r="F252" t="s">
        <v>252</v>
      </c>
      <c r="G252" t="s">
        <v>139</v>
      </c>
      <c r="H252" t="s">
        <v>252</v>
      </c>
      <c r="I252" t="s">
        <v>247</v>
      </c>
      <c r="J252" s="10" t="str">
        <f>+_xlfn.XLOOKUP(B252,INNOVACIÓN!A:A,INNOVACIÓN!B:B,"NO")</f>
        <v>NO</v>
      </c>
      <c r="K252" s="10" t="str">
        <f>+_xlfn.XLOOKUP(B252,MERMA!B:B,MERMA!C:C,"No")</f>
        <v>No</v>
      </c>
      <c r="L252" s="10" t="str">
        <f>+_xlfn.XLOOKUP(B252,MERMA!B:B,MERMA!D:D,"No es merma")</f>
        <v>No es merma</v>
      </c>
    </row>
    <row r="253" spans="1:12" ht="14.5" hidden="1" x14ac:dyDescent="0.35">
      <c r="A253">
        <v>100023337</v>
      </c>
      <c r="B253">
        <v>7501031701735</v>
      </c>
      <c r="C253" t="s">
        <v>296</v>
      </c>
      <c r="D253" t="s">
        <v>44</v>
      </c>
      <c r="E253" t="s">
        <v>33</v>
      </c>
      <c r="F253" t="s">
        <v>252</v>
      </c>
      <c r="G253" t="s">
        <v>139</v>
      </c>
      <c r="H253" t="s">
        <v>252</v>
      </c>
      <c r="I253" t="s">
        <v>247</v>
      </c>
      <c r="J253" s="10" t="str">
        <f>+_xlfn.XLOOKUP(B253,INNOVACIÓN!A:A,INNOVACIÓN!B:B,"NO")</f>
        <v>NO</v>
      </c>
      <c r="K253" s="10" t="str">
        <f>+_xlfn.XLOOKUP(B253,MERMA!B:B,MERMA!C:C,"No")</f>
        <v>No</v>
      </c>
      <c r="L253" s="10" t="str">
        <f>+_xlfn.XLOOKUP(B253,MERMA!B:B,MERMA!D:D,"No es merma")</f>
        <v>No es merma</v>
      </c>
    </row>
    <row r="254" spans="1:12" ht="14.5" hidden="1" x14ac:dyDescent="0.35">
      <c r="A254" s="10">
        <v>100020897</v>
      </c>
      <c r="B254">
        <v>7501031701834</v>
      </c>
      <c r="C254" s="10" t="s">
        <v>297</v>
      </c>
      <c r="D254" t="s">
        <v>44</v>
      </c>
      <c r="E254" t="s">
        <v>33</v>
      </c>
      <c r="F254" t="s">
        <v>252</v>
      </c>
      <c r="G254" t="s">
        <v>139</v>
      </c>
      <c r="H254" t="s">
        <v>252</v>
      </c>
      <c r="I254" t="s">
        <v>247</v>
      </c>
      <c r="J254" s="10" t="str">
        <f>+_xlfn.XLOOKUP(B254,INNOVACIÓN!A:A,INNOVACIÓN!B:B,"NO")</f>
        <v>NO</v>
      </c>
      <c r="K254" s="10" t="str">
        <f>+_xlfn.XLOOKUP(B254,MERMA!B:B,MERMA!C:C,"No")</f>
        <v>No</v>
      </c>
      <c r="L254" s="10" t="str">
        <f>+_xlfn.XLOOKUP(B254,MERMA!B:B,MERMA!D:D,"No es merma")</f>
        <v>No es merma</v>
      </c>
    </row>
    <row r="255" spans="1:12" ht="14.5" hidden="1" x14ac:dyDescent="0.35">
      <c r="A255">
        <v>100020894</v>
      </c>
      <c r="B255">
        <v>7501031701674</v>
      </c>
      <c r="C255" t="s">
        <v>298</v>
      </c>
      <c r="D255" t="s">
        <v>44</v>
      </c>
      <c r="E255" t="s">
        <v>33</v>
      </c>
      <c r="F255" t="s">
        <v>252</v>
      </c>
      <c r="G255" t="s">
        <v>139</v>
      </c>
      <c r="H255" t="s">
        <v>252</v>
      </c>
      <c r="I255" t="s">
        <v>247</v>
      </c>
      <c r="J255" s="10" t="str">
        <f>+_xlfn.XLOOKUP(B255,INNOVACIÓN!A:A,INNOVACIÓN!B:B,"NO")</f>
        <v>NO</v>
      </c>
      <c r="K255" s="10" t="str">
        <f>+_xlfn.XLOOKUP(B255,MERMA!B:B,MERMA!C:C,"No")</f>
        <v>No</v>
      </c>
      <c r="L255" s="10" t="str">
        <f>+_xlfn.XLOOKUP(B255,MERMA!B:B,MERMA!D:D,"No es merma")</f>
        <v>No es merma</v>
      </c>
    </row>
    <row r="256" spans="1:12" ht="14.5" hidden="1" x14ac:dyDescent="0.35">
      <c r="A256">
        <v>100020893</v>
      </c>
      <c r="B256">
        <v>7501031701889</v>
      </c>
      <c r="C256" t="s">
        <v>299</v>
      </c>
      <c r="D256" t="s">
        <v>44</v>
      </c>
      <c r="E256" t="s">
        <v>33</v>
      </c>
      <c r="F256" t="s">
        <v>252</v>
      </c>
      <c r="G256" t="s">
        <v>139</v>
      </c>
      <c r="H256" t="s">
        <v>252</v>
      </c>
      <c r="I256" t="s">
        <v>247</v>
      </c>
      <c r="J256" s="10" t="str">
        <f>+_xlfn.XLOOKUP(B256,INNOVACIÓN!A:A,INNOVACIÓN!B:B,"NO")</f>
        <v>NO</v>
      </c>
      <c r="K256" s="10" t="str">
        <f>+_xlfn.XLOOKUP(B256,MERMA!B:B,MERMA!C:C,"No")</f>
        <v>No</v>
      </c>
      <c r="L256" s="10" t="str">
        <f>+_xlfn.XLOOKUP(B256,MERMA!B:B,MERMA!D:D,"No es merma")</f>
        <v>No es merma</v>
      </c>
    </row>
    <row r="257" spans="1:12" ht="14.5" hidden="1" x14ac:dyDescent="0.35">
      <c r="A257">
        <v>100020892</v>
      </c>
      <c r="B257">
        <v>7501031701711</v>
      </c>
      <c r="C257" t="s">
        <v>300</v>
      </c>
      <c r="D257" t="s">
        <v>44</v>
      </c>
      <c r="E257" t="s">
        <v>33</v>
      </c>
      <c r="F257" t="s">
        <v>252</v>
      </c>
      <c r="G257" t="s">
        <v>139</v>
      </c>
      <c r="H257" t="s">
        <v>252</v>
      </c>
      <c r="I257" t="s">
        <v>247</v>
      </c>
      <c r="J257" s="10" t="str">
        <f>+_xlfn.XLOOKUP(B257,INNOVACIÓN!A:A,INNOVACIÓN!B:B,"NO")</f>
        <v>NO</v>
      </c>
      <c r="K257" s="10" t="str">
        <f>+_xlfn.XLOOKUP(B257,MERMA!B:B,MERMA!C:C,"No")</f>
        <v>No</v>
      </c>
      <c r="L257" s="10" t="str">
        <f>+_xlfn.XLOOKUP(B257,MERMA!B:B,MERMA!D:D,"No es merma")</f>
        <v>No es merma</v>
      </c>
    </row>
    <row r="258" spans="1:12" ht="14.5" hidden="1" x14ac:dyDescent="0.35">
      <c r="A258" s="10">
        <v>100020890</v>
      </c>
      <c r="B258">
        <v>7501031701780</v>
      </c>
      <c r="C258" s="10" t="s">
        <v>301</v>
      </c>
      <c r="D258" t="s">
        <v>44</v>
      </c>
      <c r="E258" t="s">
        <v>33</v>
      </c>
      <c r="F258" t="s">
        <v>252</v>
      </c>
      <c r="G258" t="s">
        <v>139</v>
      </c>
      <c r="H258" t="s">
        <v>252</v>
      </c>
      <c r="I258" t="s">
        <v>247</v>
      </c>
      <c r="J258" s="10" t="str">
        <f>+_xlfn.XLOOKUP(B258,INNOVACIÓN!A:A,INNOVACIÓN!B:B,"NO")</f>
        <v>NO</v>
      </c>
      <c r="K258" s="10" t="str">
        <f>+_xlfn.XLOOKUP(B258,MERMA!B:B,MERMA!C:C,"No")</f>
        <v>No</v>
      </c>
      <c r="L258" s="10" t="str">
        <f>+_xlfn.XLOOKUP(B258,MERMA!B:B,MERMA!D:D,"No es merma")</f>
        <v>No es merma</v>
      </c>
    </row>
    <row r="259" spans="1:12" ht="14.5" hidden="1" x14ac:dyDescent="0.35">
      <c r="A259">
        <v>100020888</v>
      </c>
      <c r="B259">
        <v>7501031701582</v>
      </c>
      <c r="C259" t="s">
        <v>302</v>
      </c>
      <c r="D259" t="s">
        <v>44</v>
      </c>
      <c r="E259" t="s">
        <v>33</v>
      </c>
      <c r="F259" t="s">
        <v>252</v>
      </c>
      <c r="G259" t="s">
        <v>139</v>
      </c>
      <c r="H259" t="s">
        <v>252</v>
      </c>
      <c r="I259" t="s">
        <v>247</v>
      </c>
      <c r="J259" s="10" t="str">
        <f>+_xlfn.XLOOKUP(B259,INNOVACIÓN!A:A,INNOVACIÓN!B:B,"NO")</f>
        <v>NO</v>
      </c>
      <c r="K259" s="10" t="str">
        <f>+_xlfn.XLOOKUP(B259,MERMA!B:B,MERMA!C:C,"No")</f>
        <v>No</v>
      </c>
      <c r="L259" s="10" t="str">
        <f>+_xlfn.XLOOKUP(B259,MERMA!B:B,MERMA!D:D,"No es merma")</f>
        <v>No es merma</v>
      </c>
    </row>
    <row r="260" spans="1:12" ht="14.5" hidden="1" x14ac:dyDescent="0.35">
      <c r="A260">
        <v>100020886</v>
      </c>
      <c r="B260">
        <v>7501031701803</v>
      </c>
      <c r="C260" t="s">
        <v>303</v>
      </c>
      <c r="D260" t="s">
        <v>44</v>
      </c>
      <c r="E260" t="s">
        <v>33</v>
      </c>
      <c r="F260" t="s">
        <v>252</v>
      </c>
      <c r="G260" t="s">
        <v>139</v>
      </c>
      <c r="H260" t="s">
        <v>252</v>
      </c>
      <c r="I260" t="s">
        <v>247</v>
      </c>
      <c r="J260" s="10" t="str">
        <f>+_xlfn.XLOOKUP(B260,INNOVACIÓN!A:A,INNOVACIÓN!B:B,"NO")</f>
        <v>NO</v>
      </c>
      <c r="K260" s="10" t="str">
        <f>+_xlfn.XLOOKUP(B260,MERMA!B:B,MERMA!C:C,"No")</f>
        <v>No</v>
      </c>
      <c r="L260" s="10" t="str">
        <f>+_xlfn.XLOOKUP(B260,MERMA!B:B,MERMA!D:D,"No es merma")</f>
        <v>No es merma</v>
      </c>
    </row>
    <row r="261" spans="1:12" ht="14.5" hidden="1" x14ac:dyDescent="0.35">
      <c r="A261">
        <v>100020885</v>
      </c>
      <c r="B261">
        <v>7501031701766</v>
      </c>
      <c r="C261" t="s">
        <v>304</v>
      </c>
      <c r="D261" t="s">
        <v>44</v>
      </c>
      <c r="E261" t="s">
        <v>33</v>
      </c>
      <c r="F261" t="s">
        <v>252</v>
      </c>
      <c r="G261" t="s">
        <v>139</v>
      </c>
      <c r="H261" t="s">
        <v>252</v>
      </c>
      <c r="I261" t="s">
        <v>247</v>
      </c>
      <c r="J261" s="10" t="str">
        <f>+_xlfn.XLOOKUP(B261,INNOVACIÓN!A:A,INNOVACIÓN!B:B,"NO")</f>
        <v>NO</v>
      </c>
      <c r="K261" s="10" t="str">
        <f>+_xlfn.XLOOKUP(B261,MERMA!B:B,MERMA!C:C,"No")</f>
        <v>No</v>
      </c>
      <c r="L261" s="10" t="str">
        <f>+_xlfn.XLOOKUP(B261,MERMA!B:B,MERMA!D:D,"No es merma")</f>
        <v>No es merma</v>
      </c>
    </row>
    <row r="262" spans="1:12" ht="14.5" hidden="1" x14ac:dyDescent="0.35">
      <c r="A262">
        <v>100020883</v>
      </c>
      <c r="B262">
        <v>7501031701810</v>
      </c>
      <c r="C262" t="s">
        <v>305</v>
      </c>
      <c r="D262" t="s">
        <v>44</v>
      </c>
      <c r="E262" t="s">
        <v>33</v>
      </c>
      <c r="F262" t="s">
        <v>252</v>
      </c>
      <c r="G262" t="s">
        <v>139</v>
      </c>
      <c r="H262" t="s">
        <v>252</v>
      </c>
      <c r="I262" t="s">
        <v>247</v>
      </c>
      <c r="J262" s="10" t="str">
        <f>+_xlfn.XLOOKUP(B262,INNOVACIÓN!A:A,INNOVACIÓN!B:B,"NO")</f>
        <v>NO</v>
      </c>
      <c r="K262" s="10" t="str">
        <f>+_xlfn.XLOOKUP(B262,MERMA!B:B,MERMA!C:C,"No")</f>
        <v>No</v>
      </c>
      <c r="L262" s="10" t="str">
        <f>+_xlfn.XLOOKUP(B262,MERMA!B:B,MERMA!D:D,"No es merma")</f>
        <v>No es merma</v>
      </c>
    </row>
    <row r="263" spans="1:12" ht="14.5" hidden="1" x14ac:dyDescent="0.35">
      <c r="A263">
        <v>100020882</v>
      </c>
      <c r="B263">
        <v>7501031701629</v>
      </c>
      <c r="C263" t="s">
        <v>306</v>
      </c>
      <c r="D263" t="s">
        <v>44</v>
      </c>
      <c r="E263" t="s">
        <v>33</v>
      </c>
      <c r="F263" t="s">
        <v>252</v>
      </c>
      <c r="G263" t="s">
        <v>139</v>
      </c>
      <c r="H263" t="s">
        <v>252</v>
      </c>
      <c r="I263" t="s">
        <v>247</v>
      </c>
      <c r="J263" s="10" t="str">
        <f>+_xlfn.XLOOKUP(B263,INNOVACIÓN!A:A,INNOVACIÓN!B:B,"NO")</f>
        <v>NO</v>
      </c>
      <c r="K263" s="10" t="str">
        <f>+_xlfn.XLOOKUP(B263,MERMA!B:B,MERMA!C:C,"No")</f>
        <v>No</v>
      </c>
      <c r="L263" s="10" t="str">
        <f>+_xlfn.XLOOKUP(B263,MERMA!B:B,MERMA!D:D,"No es merma")</f>
        <v>No es merma</v>
      </c>
    </row>
    <row r="264" spans="1:12" ht="14.5" hidden="1" x14ac:dyDescent="0.35">
      <c r="A264">
        <v>100020879</v>
      </c>
      <c r="B264">
        <v>7501031701742</v>
      </c>
      <c r="C264" t="s">
        <v>307</v>
      </c>
      <c r="D264" t="s">
        <v>44</v>
      </c>
      <c r="E264" t="s">
        <v>33</v>
      </c>
      <c r="F264" t="s">
        <v>252</v>
      </c>
      <c r="G264" t="s">
        <v>139</v>
      </c>
      <c r="H264" t="s">
        <v>252</v>
      </c>
      <c r="I264" t="s">
        <v>247</v>
      </c>
      <c r="J264" s="10" t="str">
        <f>+_xlfn.XLOOKUP(B264,INNOVACIÓN!A:A,INNOVACIÓN!B:B,"NO")</f>
        <v>NO</v>
      </c>
      <c r="K264" s="10" t="str">
        <f>+_xlfn.XLOOKUP(B264,MERMA!B:B,MERMA!C:C,"No")</f>
        <v>No</v>
      </c>
      <c r="L264" s="10" t="str">
        <f>+_xlfn.XLOOKUP(B264,MERMA!B:B,MERMA!D:D,"No es merma")</f>
        <v>No es merma</v>
      </c>
    </row>
    <row r="265" spans="1:12" ht="14.5" hidden="1" x14ac:dyDescent="0.35">
      <c r="A265">
        <v>100020880</v>
      </c>
      <c r="B265">
        <v>7501031701728</v>
      </c>
      <c r="C265" t="s">
        <v>307</v>
      </c>
      <c r="D265" t="s">
        <v>44</v>
      </c>
      <c r="E265" t="s">
        <v>33</v>
      </c>
      <c r="F265" t="s">
        <v>252</v>
      </c>
      <c r="G265" t="s">
        <v>139</v>
      </c>
      <c r="H265" t="s">
        <v>252</v>
      </c>
      <c r="I265" t="s">
        <v>247</v>
      </c>
      <c r="J265" s="10" t="str">
        <f>+_xlfn.XLOOKUP(B265,INNOVACIÓN!A:A,INNOVACIÓN!B:B,"NO")</f>
        <v>NO</v>
      </c>
      <c r="K265" s="10" t="str">
        <f>+_xlfn.XLOOKUP(B265,MERMA!B:B,MERMA!C:C,"No")</f>
        <v>No</v>
      </c>
      <c r="L265" s="10" t="str">
        <f>+_xlfn.XLOOKUP(B265,MERMA!B:B,MERMA!D:D,"No es merma")</f>
        <v>No es merma</v>
      </c>
    </row>
    <row r="266" spans="1:12" ht="14.5" hidden="1" x14ac:dyDescent="0.35">
      <c r="A266" s="10">
        <v>100020881</v>
      </c>
      <c r="B266">
        <v>7501031701896</v>
      </c>
      <c r="C266" s="10" t="s">
        <v>307</v>
      </c>
      <c r="D266" t="s">
        <v>44</v>
      </c>
      <c r="E266" t="s">
        <v>33</v>
      </c>
      <c r="F266" t="s">
        <v>252</v>
      </c>
      <c r="G266" t="s">
        <v>139</v>
      </c>
      <c r="H266" t="s">
        <v>252</v>
      </c>
      <c r="I266" t="s">
        <v>247</v>
      </c>
      <c r="J266" s="10" t="str">
        <f>+_xlfn.XLOOKUP(B266,INNOVACIÓN!A:A,INNOVACIÓN!B:B,"NO")</f>
        <v>NO</v>
      </c>
      <c r="K266" s="10" t="str">
        <f>+_xlfn.XLOOKUP(B266,MERMA!B:B,MERMA!C:C,"No")</f>
        <v>No</v>
      </c>
      <c r="L266" s="10" t="str">
        <f>+_xlfn.XLOOKUP(B266,MERMA!B:B,MERMA!D:D,"No es merma")</f>
        <v>No es merma</v>
      </c>
    </row>
    <row r="267" spans="1:12" ht="14.5" hidden="1" x14ac:dyDescent="0.35">
      <c r="A267">
        <v>100020878</v>
      </c>
      <c r="B267">
        <v>7501031701773</v>
      </c>
      <c r="C267" t="s">
        <v>308</v>
      </c>
      <c r="D267" t="s">
        <v>44</v>
      </c>
      <c r="E267" t="s">
        <v>33</v>
      </c>
      <c r="F267" t="s">
        <v>252</v>
      </c>
      <c r="G267" t="s">
        <v>139</v>
      </c>
      <c r="H267" t="s">
        <v>252</v>
      </c>
      <c r="I267" t="s">
        <v>247</v>
      </c>
      <c r="J267" s="10" t="str">
        <f>+_xlfn.XLOOKUP(B267,INNOVACIÓN!A:A,INNOVACIÓN!B:B,"NO")</f>
        <v>NO</v>
      </c>
      <c r="K267" s="10" t="str">
        <f>+_xlfn.XLOOKUP(B267,MERMA!B:B,MERMA!C:C,"No")</f>
        <v>No</v>
      </c>
      <c r="L267" s="10" t="str">
        <f>+_xlfn.XLOOKUP(B267,MERMA!B:B,MERMA!D:D,"No es merma")</f>
        <v>No es merma</v>
      </c>
    </row>
    <row r="268" spans="1:12" ht="14.5" hidden="1" x14ac:dyDescent="0.35">
      <c r="A268">
        <v>100020877</v>
      </c>
      <c r="B268">
        <v>7501031701612</v>
      </c>
      <c r="C268" t="s">
        <v>309</v>
      </c>
      <c r="D268" t="s">
        <v>44</v>
      </c>
      <c r="E268" t="s">
        <v>33</v>
      </c>
      <c r="F268" t="s">
        <v>252</v>
      </c>
      <c r="G268" t="s">
        <v>139</v>
      </c>
      <c r="H268" t="s">
        <v>252</v>
      </c>
      <c r="I268" t="s">
        <v>247</v>
      </c>
      <c r="J268" s="10" t="str">
        <f>+_xlfn.XLOOKUP(B268,INNOVACIÓN!A:A,INNOVACIÓN!B:B,"NO")</f>
        <v>NO</v>
      </c>
      <c r="K268" s="10" t="str">
        <f>+_xlfn.XLOOKUP(B268,MERMA!B:B,MERMA!C:C,"No")</f>
        <v>No</v>
      </c>
      <c r="L268" s="10" t="str">
        <f>+_xlfn.XLOOKUP(B268,MERMA!B:B,MERMA!D:D,"No es merma")</f>
        <v>No es merma</v>
      </c>
    </row>
    <row r="269" spans="1:12" ht="14.5" hidden="1" x14ac:dyDescent="0.35">
      <c r="A269">
        <v>100020875</v>
      </c>
      <c r="B269">
        <v>7501031701681</v>
      </c>
      <c r="C269" t="s">
        <v>310</v>
      </c>
      <c r="D269" t="s">
        <v>44</v>
      </c>
      <c r="E269" t="s">
        <v>33</v>
      </c>
      <c r="F269" t="s">
        <v>252</v>
      </c>
      <c r="G269" t="s">
        <v>139</v>
      </c>
      <c r="H269" t="s">
        <v>252</v>
      </c>
      <c r="I269" t="s">
        <v>247</v>
      </c>
      <c r="J269" s="10" t="str">
        <f>+_xlfn.XLOOKUP(B269,INNOVACIÓN!A:A,INNOVACIÓN!B:B,"NO")</f>
        <v>NO</v>
      </c>
      <c r="K269" s="10" t="str">
        <f>+_xlfn.XLOOKUP(B269,MERMA!B:B,MERMA!C:C,"No")</f>
        <v>No</v>
      </c>
      <c r="L269" s="10" t="str">
        <f>+_xlfn.XLOOKUP(B269,MERMA!B:B,MERMA!D:D,"No es merma")</f>
        <v>No es merma</v>
      </c>
    </row>
    <row r="270" spans="1:12" ht="14.5" hidden="1" x14ac:dyDescent="0.35">
      <c r="A270" s="10">
        <v>100020874</v>
      </c>
      <c r="B270">
        <v>7501031701797</v>
      </c>
      <c r="C270" s="10" t="s">
        <v>311</v>
      </c>
      <c r="D270" t="s">
        <v>44</v>
      </c>
      <c r="E270" t="s">
        <v>33</v>
      </c>
      <c r="F270" t="s">
        <v>252</v>
      </c>
      <c r="G270" t="s">
        <v>139</v>
      </c>
      <c r="H270" t="s">
        <v>252</v>
      </c>
      <c r="I270" t="s">
        <v>247</v>
      </c>
      <c r="J270" s="10" t="str">
        <f>+_xlfn.XLOOKUP(B270,INNOVACIÓN!A:A,INNOVACIÓN!B:B,"NO")</f>
        <v>NO</v>
      </c>
      <c r="K270" s="10" t="str">
        <f>+_xlfn.XLOOKUP(B270,MERMA!B:B,MERMA!C:C,"No")</f>
        <v>No</v>
      </c>
      <c r="L270" s="10" t="str">
        <f>+_xlfn.XLOOKUP(B270,MERMA!B:B,MERMA!D:D,"No es merma")</f>
        <v>No es merma</v>
      </c>
    </row>
    <row r="271" spans="1:12" ht="14.5" hidden="1" x14ac:dyDescent="0.35">
      <c r="A271">
        <v>100020873</v>
      </c>
      <c r="B271">
        <v>7501031701605</v>
      </c>
      <c r="C271" t="s">
        <v>312</v>
      </c>
      <c r="D271" t="s">
        <v>44</v>
      </c>
      <c r="E271" t="s">
        <v>33</v>
      </c>
      <c r="F271" t="s">
        <v>252</v>
      </c>
      <c r="G271" t="s">
        <v>139</v>
      </c>
      <c r="H271" t="s">
        <v>252</v>
      </c>
      <c r="I271" t="s">
        <v>247</v>
      </c>
      <c r="J271" s="10" t="str">
        <f>+_xlfn.XLOOKUP(B271,INNOVACIÓN!A:A,INNOVACIÓN!B:B,"NO")</f>
        <v>NO</v>
      </c>
      <c r="K271" s="10" t="str">
        <f>+_xlfn.XLOOKUP(B271,MERMA!B:B,MERMA!C:C,"No")</f>
        <v>No</v>
      </c>
      <c r="L271" s="10" t="str">
        <f>+_xlfn.XLOOKUP(B271,MERMA!B:B,MERMA!D:D,"No es merma")</f>
        <v>No es merma</v>
      </c>
    </row>
    <row r="272" spans="1:12" ht="14.5" hidden="1" x14ac:dyDescent="0.35">
      <c r="A272">
        <v>100020871</v>
      </c>
      <c r="B272">
        <v>7501031701599</v>
      </c>
      <c r="C272" t="s">
        <v>313</v>
      </c>
      <c r="D272" t="s">
        <v>44</v>
      </c>
      <c r="E272" t="s">
        <v>33</v>
      </c>
      <c r="F272" t="s">
        <v>252</v>
      </c>
      <c r="G272" t="s">
        <v>139</v>
      </c>
      <c r="H272" t="s">
        <v>252</v>
      </c>
      <c r="I272" t="s">
        <v>247</v>
      </c>
      <c r="J272" s="10" t="str">
        <f>+_xlfn.XLOOKUP(B272,INNOVACIÓN!A:A,INNOVACIÓN!B:B,"NO")</f>
        <v>NO</v>
      </c>
      <c r="K272" s="10" t="str">
        <f>+_xlfn.XLOOKUP(B272,MERMA!B:B,MERMA!C:C,"No")</f>
        <v>No</v>
      </c>
      <c r="L272" s="10" t="str">
        <f>+_xlfn.XLOOKUP(B272,MERMA!B:B,MERMA!D:D,"No es merma")</f>
        <v>No es merma</v>
      </c>
    </row>
    <row r="273" spans="1:12" ht="14.5" hidden="1" x14ac:dyDescent="0.35">
      <c r="A273">
        <v>100020899</v>
      </c>
      <c r="B273">
        <v>7501031701537</v>
      </c>
      <c r="C273" t="s">
        <v>314</v>
      </c>
      <c r="D273" t="s">
        <v>44</v>
      </c>
      <c r="E273" t="s">
        <v>33</v>
      </c>
      <c r="F273" t="s">
        <v>252</v>
      </c>
      <c r="G273" t="s">
        <v>139</v>
      </c>
      <c r="H273" t="s">
        <v>252</v>
      </c>
      <c r="I273" t="s">
        <v>247</v>
      </c>
      <c r="J273" s="10" t="str">
        <f>+_xlfn.XLOOKUP(B273,INNOVACIÓN!A:A,INNOVACIÓN!B:B,"NO")</f>
        <v>NO</v>
      </c>
      <c r="K273" s="10" t="str">
        <f>+_xlfn.XLOOKUP(B273,MERMA!B:B,MERMA!C:C,"No")</f>
        <v>No</v>
      </c>
      <c r="L273" s="10" t="str">
        <f>+_xlfn.XLOOKUP(B273,MERMA!B:B,MERMA!D:D,"No es merma")</f>
        <v>No es merma</v>
      </c>
    </row>
    <row r="274" spans="1:12" ht="14.5" hidden="1" x14ac:dyDescent="0.35">
      <c r="A274">
        <v>100020898</v>
      </c>
      <c r="B274">
        <v>7501031701551</v>
      </c>
      <c r="C274" t="s">
        <v>315</v>
      </c>
      <c r="D274" t="s">
        <v>44</v>
      </c>
      <c r="E274" t="s">
        <v>33</v>
      </c>
      <c r="F274" t="s">
        <v>252</v>
      </c>
      <c r="G274" t="s">
        <v>139</v>
      </c>
      <c r="H274" t="s">
        <v>252</v>
      </c>
      <c r="I274" t="s">
        <v>247</v>
      </c>
      <c r="J274" s="10" t="str">
        <f>+_xlfn.XLOOKUP(B274,INNOVACIÓN!A:A,INNOVACIÓN!B:B,"NO")</f>
        <v>NO</v>
      </c>
      <c r="K274" s="10" t="str">
        <f>+_xlfn.XLOOKUP(B274,MERMA!B:B,MERMA!C:C,"No")</f>
        <v>No</v>
      </c>
      <c r="L274" s="10" t="str">
        <f>+_xlfn.XLOOKUP(B274,MERMA!B:B,MERMA!D:D,"No es merma")</f>
        <v>No es merma</v>
      </c>
    </row>
    <row r="275" spans="1:12" ht="14.5" hidden="1" x14ac:dyDescent="0.35">
      <c r="A275">
        <v>100022784</v>
      </c>
      <c r="B275">
        <v>7501031701544</v>
      </c>
      <c r="C275" t="s">
        <v>316</v>
      </c>
      <c r="D275" t="s">
        <v>44</v>
      </c>
      <c r="E275" t="s">
        <v>33</v>
      </c>
      <c r="F275" t="s">
        <v>252</v>
      </c>
      <c r="G275" t="s">
        <v>139</v>
      </c>
      <c r="H275" t="s">
        <v>252</v>
      </c>
      <c r="I275" t="s">
        <v>247</v>
      </c>
      <c r="J275" s="10" t="str">
        <f>+_xlfn.XLOOKUP(B275,INNOVACIÓN!A:A,INNOVACIÓN!B:B,"NO")</f>
        <v>NO</v>
      </c>
      <c r="K275" s="10" t="str">
        <f>+_xlfn.XLOOKUP(B275,MERMA!B:B,MERMA!C:C,"No")</f>
        <v>No</v>
      </c>
      <c r="L275" s="10" t="str">
        <f>+_xlfn.XLOOKUP(B275,MERMA!B:B,MERMA!D:D,"No es merma")</f>
        <v>No es merma</v>
      </c>
    </row>
    <row r="276" spans="1:12" ht="14.5" hidden="1" x14ac:dyDescent="0.35">
      <c r="A276">
        <v>101000084</v>
      </c>
      <c r="B276">
        <v>7707200941241</v>
      </c>
      <c r="C276" t="s">
        <v>317</v>
      </c>
      <c r="D276" t="s">
        <v>44</v>
      </c>
      <c r="E276" t="s">
        <v>33</v>
      </c>
      <c r="F276" t="s">
        <v>252</v>
      </c>
      <c r="G276" t="s">
        <v>139</v>
      </c>
      <c r="H276" t="s">
        <v>252</v>
      </c>
      <c r="I276" t="s">
        <v>247</v>
      </c>
      <c r="J276" s="10" t="str">
        <f>+_xlfn.XLOOKUP(B276,INNOVACIÓN!A:A,INNOVACIÓN!B:B,"NO")</f>
        <v>NO</v>
      </c>
      <c r="K276" s="10" t="str">
        <f>+_xlfn.XLOOKUP(B276,MERMA!B:B,MERMA!C:C,"No")</f>
        <v>No</v>
      </c>
      <c r="L276" s="10" t="str">
        <f>+_xlfn.XLOOKUP(B276,MERMA!B:B,MERMA!D:D,"No es merma")</f>
        <v>No es merma</v>
      </c>
    </row>
    <row r="277" spans="1:12" ht="14.5" hidden="1" x14ac:dyDescent="0.35">
      <c r="A277" s="10">
        <v>100025449</v>
      </c>
      <c r="B277">
        <v>7503031949216</v>
      </c>
      <c r="C277" s="10" t="s">
        <v>318</v>
      </c>
      <c r="D277" t="s">
        <v>11</v>
      </c>
      <c r="E277" t="s">
        <v>33</v>
      </c>
      <c r="F277" t="s">
        <v>46</v>
      </c>
      <c r="G277" t="s">
        <v>14</v>
      </c>
      <c r="H277" t="s">
        <v>36</v>
      </c>
      <c r="I277" t="s">
        <v>109</v>
      </c>
      <c r="J277" s="10" t="str">
        <f>+_xlfn.XLOOKUP(B277,INNOVACIÓN!A:A,INNOVACIÓN!B:B,"NO")</f>
        <v>NO</v>
      </c>
      <c r="K277" s="10" t="str">
        <f>+_xlfn.XLOOKUP(B277,MERMA!B:B,MERMA!C:C,"No")</f>
        <v>No</v>
      </c>
      <c r="L277" s="10" t="str">
        <f>+_xlfn.XLOOKUP(B277,MERMA!B:B,MERMA!D:D,"No es merma")</f>
        <v>No es merma</v>
      </c>
    </row>
    <row r="278" spans="1:12" ht="14.5" hidden="1" x14ac:dyDescent="0.35">
      <c r="A278">
        <v>100023684</v>
      </c>
      <c r="B278">
        <v>75006952</v>
      </c>
      <c r="C278" t="s">
        <v>319</v>
      </c>
      <c r="D278" t="s">
        <v>11</v>
      </c>
      <c r="E278" t="s">
        <v>33</v>
      </c>
      <c r="F278" t="s">
        <v>39</v>
      </c>
      <c r="G278" t="s">
        <v>75</v>
      </c>
      <c r="H278" t="s">
        <v>70</v>
      </c>
      <c r="I278" t="s">
        <v>109</v>
      </c>
      <c r="J278" s="10" t="str">
        <f>+_xlfn.XLOOKUP(B278,INNOVACIÓN!A:A,INNOVACIÓN!B:B,"NO")</f>
        <v>NO</v>
      </c>
      <c r="K278" s="10" t="str">
        <f>+_xlfn.XLOOKUP(B278,MERMA!B:B,MERMA!C:C,"No")</f>
        <v>SI</v>
      </c>
      <c r="L278" s="10">
        <f>+_xlfn.XLOOKUP(B278,MERMA!B:B,MERMA!D:D,"No es merma")</f>
        <v>2025</v>
      </c>
    </row>
    <row r="279" spans="1:12" ht="14.5" hidden="1" x14ac:dyDescent="0.35">
      <c r="A279">
        <v>100023683</v>
      </c>
      <c r="B279">
        <v>75006341</v>
      </c>
      <c r="C279" t="s">
        <v>320</v>
      </c>
      <c r="D279" t="s">
        <v>11</v>
      </c>
      <c r="E279" t="s">
        <v>33</v>
      </c>
      <c r="F279" t="s">
        <v>39</v>
      </c>
      <c r="G279" t="s">
        <v>75</v>
      </c>
      <c r="H279" t="s">
        <v>70</v>
      </c>
      <c r="I279" t="s">
        <v>109</v>
      </c>
      <c r="J279" s="10" t="str">
        <f>+_xlfn.XLOOKUP(B279,INNOVACIÓN!A:A,INNOVACIÓN!B:B,"NO")</f>
        <v>NO</v>
      </c>
      <c r="K279" s="10" t="str">
        <f>+_xlfn.XLOOKUP(B279,MERMA!B:B,MERMA!C:C,"No")</f>
        <v>SI</v>
      </c>
      <c r="L279" s="10">
        <f>+_xlfn.XLOOKUP(B279,MERMA!B:B,MERMA!D:D,"No es merma")</f>
        <v>2025</v>
      </c>
    </row>
    <row r="280" spans="1:12" ht="14.5" hidden="1" x14ac:dyDescent="0.35">
      <c r="A280">
        <v>100023680</v>
      </c>
      <c r="B280">
        <v>75032777</v>
      </c>
      <c r="C280" t="s">
        <v>321</v>
      </c>
      <c r="D280" t="s">
        <v>11</v>
      </c>
      <c r="E280" t="s">
        <v>33</v>
      </c>
      <c r="F280" t="s">
        <v>39</v>
      </c>
      <c r="G280" t="s">
        <v>75</v>
      </c>
      <c r="H280" t="s">
        <v>70</v>
      </c>
      <c r="I280" t="s">
        <v>109</v>
      </c>
      <c r="J280" s="10" t="str">
        <f>+_xlfn.XLOOKUP(B280,INNOVACIÓN!A:A,INNOVACIÓN!B:B,"NO")</f>
        <v>NO</v>
      </c>
      <c r="K280" s="10" t="str">
        <f>+_xlfn.XLOOKUP(B280,MERMA!B:B,MERMA!C:C,"No")</f>
        <v>SI</v>
      </c>
      <c r="L280" s="10">
        <f>+_xlfn.XLOOKUP(B280,MERMA!B:B,MERMA!D:D,"No es merma")</f>
        <v>2025</v>
      </c>
    </row>
    <row r="281" spans="1:12" ht="14.5" hidden="1" x14ac:dyDescent="0.35">
      <c r="A281" s="10">
        <v>100080015</v>
      </c>
      <c r="B281" s="10">
        <v>8308713</v>
      </c>
      <c r="C281" s="10" t="s">
        <v>322</v>
      </c>
      <c r="D281" t="s">
        <v>32</v>
      </c>
      <c r="E281" t="s">
        <v>33</v>
      </c>
      <c r="F281" t="s">
        <v>41</v>
      </c>
      <c r="G281" t="s">
        <v>54</v>
      </c>
      <c r="H281" t="s">
        <v>36</v>
      </c>
      <c r="I281" t="s">
        <v>247</v>
      </c>
      <c r="J281" s="10" t="str">
        <f>+_xlfn.XLOOKUP(B281,INNOVACIÓN!A:A,INNOVACIÓN!B:B,"NO")</f>
        <v>NO</v>
      </c>
      <c r="K281" s="10" t="str">
        <f>+_xlfn.XLOOKUP(B281,MERMA!B:B,MERMA!C:C,"No")</f>
        <v>No</v>
      </c>
      <c r="L281" s="10" t="str">
        <f>+_xlfn.XLOOKUP(B281,MERMA!B:B,MERMA!D:D,"No es merma")</f>
        <v>No es merma</v>
      </c>
    </row>
    <row r="282" spans="1:12" ht="14.5" hidden="1" x14ac:dyDescent="0.35">
      <c r="A282">
        <v>100019228</v>
      </c>
      <c r="B282">
        <v>75074883</v>
      </c>
      <c r="C282" t="s">
        <v>323</v>
      </c>
      <c r="D282" t="s">
        <v>44</v>
      </c>
      <c r="E282" t="s">
        <v>33</v>
      </c>
      <c r="F282" t="s">
        <v>46</v>
      </c>
      <c r="G282" t="s">
        <v>54</v>
      </c>
      <c r="H282" t="s">
        <v>36</v>
      </c>
      <c r="I282" t="s">
        <v>109</v>
      </c>
      <c r="J282" s="10" t="str">
        <f>+_xlfn.XLOOKUP(B282,INNOVACIÓN!A:A,INNOVACIÓN!B:B,"NO")</f>
        <v>NO</v>
      </c>
      <c r="K282" s="10" t="str">
        <f>+_xlfn.XLOOKUP(B282,MERMA!B:B,MERMA!C:C,"No")</f>
        <v>No</v>
      </c>
      <c r="L282" s="10" t="str">
        <f>+_xlfn.XLOOKUP(B282,MERMA!B:B,MERMA!D:D,"No es merma")</f>
        <v>No es merma</v>
      </c>
    </row>
    <row r="283" spans="1:12" ht="14.5" hidden="1" x14ac:dyDescent="0.35">
      <c r="A283" s="10">
        <v>100019050</v>
      </c>
      <c r="B283">
        <v>75074029</v>
      </c>
      <c r="C283" s="10" t="s">
        <v>324</v>
      </c>
      <c r="D283" t="s">
        <v>44</v>
      </c>
      <c r="E283" t="s">
        <v>33</v>
      </c>
      <c r="F283" t="s">
        <v>46</v>
      </c>
      <c r="G283" t="s">
        <v>136</v>
      </c>
      <c r="H283" t="s">
        <v>36</v>
      </c>
      <c r="I283" t="s">
        <v>109</v>
      </c>
      <c r="J283" s="10" t="str">
        <f>+_xlfn.XLOOKUP(B283,INNOVACIÓN!A:A,INNOVACIÓN!B:B,"NO")</f>
        <v>NO</v>
      </c>
      <c r="K283" s="10" t="str">
        <f>+_xlfn.XLOOKUP(B283,MERMA!B:B,MERMA!C:C,"No")</f>
        <v>No</v>
      </c>
      <c r="L283" s="10" t="str">
        <f>+_xlfn.XLOOKUP(B283,MERMA!B:B,MERMA!D:D,"No es merma")</f>
        <v>No es merma</v>
      </c>
    </row>
    <row r="284" spans="1:12" ht="14.5" hidden="1" x14ac:dyDescent="0.35">
      <c r="A284">
        <v>100020839</v>
      </c>
      <c r="B284">
        <v>75076450</v>
      </c>
      <c r="C284" t="s">
        <v>325</v>
      </c>
      <c r="D284" t="s">
        <v>44</v>
      </c>
      <c r="E284" t="s">
        <v>33</v>
      </c>
      <c r="F284" t="s">
        <v>46</v>
      </c>
      <c r="G284" t="s">
        <v>54</v>
      </c>
      <c r="H284" t="s">
        <v>36</v>
      </c>
      <c r="I284" t="s">
        <v>247</v>
      </c>
      <c r="J284" s="10" t="str">
        <f>+_xlfn.XLOOKUP(B284,INNOVACIÓN!A:A,INNOVACIÓN!B:B,"NO")</f>
        <v>NO</v>
      </c>
      <c r="K284" s="10" t="str">
        <f>+_xlfn.XLOOKUP(B284,MERMA!B:B,MERMA!C:C,"No")</f>
        <v>No</v>
      </c>
      <c r="L284" s="10" t="str">
        <f>+_xlfn.XLOOKUP(B284,MERMA!B:B,MERMA!D:D,"No es merma")</f>
        <v>No es merma</v>
      </c>
    </row>
    <row r="285" spans="1:12" ht="14.5" hidden="1" x14ac:dyDescent="0.35">
      <c r="A285">
        <v>100019232</v>
      </c>
      <c r="B285">
        <v>75074876</v>
      </c>
      <c r="C285" t="s">
        <v>326</v>
      </c>
      <c r="D285" t="s">
        <v>44</v>
      </c>
      <c r="E285" t="s">
        <v>33</v>
      </c>
      <c r="F285" t="s">
        <v>46</v>
      </c>
      <c r="G285" t="s">
        <v>54</v>
      </c>
      <c r="H285" t="s">
        <v>36</v>
      </c>
      <c r="I285" t="s">
        <v>109</v>
      </c>
      <c r="J285" s="10" t="str">
        <f>+_xlfn.XLOOKUP(B285,INNOVACIÓN!A:A,INNOVACIÓN!B:B,"NO")</f>
        <v>NO</v>
      </c>
      <c r="K285" s="10" t="str">
        <f>+_xlfn.XLOOKUP(B285,MERMA!B:B,MERMA!C:C,"No")</f>
        <v>No</v>
      </c>
      <c r="L285" s="10" t="str">
        <f>+_xlfn.XLOOKUP(B285,MERMA!B:B,MERMA!D:D,"No es merma")</f>
        <v>No es merma</v>
      </c>
    </row>
    <row r="286" spans="1:12" ht="14.5" hidden="1" x14ac:dyDescent="0.35">
      <c r="A286">
        <v>100019051</v>
      </c>
      <c r="B286">
        <v>75074012</v>
      </c>
      <c r="C286" t="s">
        <v>327</v>
      </c>
      <c r="D286" t="s">
        <v>44</v>
      </c>
      <c r="E286" t="s">
        <v>33</v>
      </c>
      <c r="F286" t="s">
        <v>46</v>
      </c>
      <c r="G286" t="s">
        <v>35</v>
      </c>
      <c r="H286" t="s">
        <v>36</v>
      </c>
      <c r="I286" t="s">
        <v>247</v>
      </c>
      <c r="J286" s="10" t="str">
        <f>+_xlfn.XLOOKUP(B286,INNOVACIÓN!A:A,INNOVACIÓN!B:B,"NO")</f>
        <v>NO</v>
      </c>
      <c r="K286" s="10" t="str">
        <f>+_xlfn.XLOOKUP(B286,MERMA!B:B,MERMA!C:C,"No")</f>
        <v>No</v>
      </c>
      <c r="L286" s="10" t="str">
        <f>+_xlfn.XLOOKUP(B286,MERMA!B:B,MERMA!D:D,"No es merma")</f>
        <v>No es merma</v>
      </c>
    </row>
    <row r="287" spans="1:12" ht="14.5" hidden="1" x14ac:dyDescent="0.35">
      <c r="A287">
        <v>100019958</v>
      </c>
      <c r="B287">
        <v>75074920</v>
      </c>
      <c r="C287" t="s">
        <v>328</v>
      </c>
      <c r="D287" t="s">
        <v>44</v>
      </c>
      <c r="E287" t="s">
        <v>33</v>
      </c>
      <c r="F287" t="s">
        <v>46</v>
      </c>
      <c r="G287" t="s">
        <v>54</v>
      </c>
      <c r="H287" t="s">
        <v>36</v>
      </c>
      <c r="I287" t="s">
        <v>109</v>
      </c>
      <c r="J287" s="10" t="str">
        <f>+_xlfn.XLOOKUP(B287,INNOVACIÓN!A:A,INNOVACIÓN!B:B,"NO")</f>
        <v>NO</v>
      </c>
      <c r="K287" s="10" t="str">
        <f>+_xlfn.XLOOKUP(B287,MERMA!B:B,MERMA!C:C,"No")</f>
        <v>No</v>
      </c>
      <c r="L287" s="10" t="str">
        <f>+_xlfn.XLOOKUP(B287,MERMA!B:B,MERMA!D:D,"No es merma")</f>
        <v>No es merma</v>
      </c>
    </row>
    <row r="288" spans="1:12" ht="14.5" hidden="1" x14ac:dyDescent="0.35">
      <c r="A288">
        <v>100020528</v>
      </c>
      <c r="B288">
        <v>75074937</v>
      </c>
      <c r="C288" t="s">
        <v>329</v>
      </c>
      <c r="D288" t="s">
        <v>44</v>
      </c>
      <c r="E288" t="s">
        <v>33</v>
      </c>
      <c r="F288" t="s">
        <v>46</v>
      </c>
      <c r="G288" t="s">
        <v>14</v>
      </c>
      <c r="H288" t="s">
        <v>36</v>
      </c>
      <c r="I288" t="s">
        <v>109</v>
      </c>
      <c r="J288" s="10" t="str">
        <f>+_xlfn.XLOOKUP(B288,INNOVACIÓN!A:A,INNOVACIÓN!B:B,"NO")</f>
        <v>NO</v>
      </c>
      <c r="K288" s="10" t="str">
        <f>+_xlfn.XLOOKUP(B288,MERMA!B:B,MERMA!C:C,"No")</f>
        <v>SI</v>
      </c>
      <c r="L288" s="10">
        <f>+_xlfn.XLOOKUP(B288,MERMA!B:B,MERMA!D:D,"No es merma")</f>
        <v>2025</v>
      </c>
    </row>
    <row r="289" spans="1:12" ht="14.5" hidden="1" x14ac:dyDescent="0.35">
      <c r="A289" s="10">
        <v>100014061</v>
      </c>
      <c r="B289" s="10">
        <v>75066888</v>
      </c>
      <c r="C289" s="10" t="s">
        <v>330</v>
      </c>
      <c r="D289" t="s">
        <v>44</v>
      </c>
      <c r="E289" t="s">
        <v>33</v>
      </c>
      <c r="F289" t="s">
        <v>46</v>
      </c>
      <c r="G289" t="s">
        <v>52</v>
      </c>
      <c r="H289" t="s">
        <v>36</v>
      </c>
      <c r="I289" t="s">
        <v>247</v>
      </c>
      <c r="J289" s="10" t="str">
        <f>+_xlfn.XLOOKUP(B289,INNOVACIÓN!A:A,INNOVACIÓN!B:B,"NO")</f>
        <v>NO</v>
      </c>
      <c r="K289" s="10" t="str">
        <f>+_xlfn.XLOOKUP(B289,MERMA!B:B,MERMA!C:C,"No")</f>
        <v>No</v>
      </c>
      <c r="L289" s="10" t="str">
        <f>+_xlfn.XLOOKUP(B289,MERMA!B:B,MERMA!D:D,"No es merma")</f>
        <v>No es merma</v>
      </c>
    </row>
    <row r="290" spans="1:12" ht="14.5" hidden="1" x14ac:dyDescent="0.35">
      <c r="A290">
        <v>100080991</v>
      </c>
      <c r="B290">
        <v>75050047</v>
      </c>
      <c r="C290" t="s">
        <v>331</v>
      </c>
      <c r="D290" t="s">
        <v>44</v>
      </c>
      <c r="E290" t="s">
        <v>33</v>
      </c>
      <c r="F290" t="s">
        <v>46</v>
      </c>
      <c r="G290" t="s">
        <v>52</v>
      </c>
      <c r="H290" t="s">
        <v>36</v>
      </c>
      <c r="I290" t="s">
        <v>247</v>
      </c>
      <c r="J290" s="10" t="str">
        <f>+_xlfn.XLOOKUP(B290,INNOVACIÓN!A:A,INNOVACIÓN!B:B,"NO")</f>
        <v>NO</v>
      </c>
      <c r="K290" s="10" t="str">
        <f>+_xlfn.XLOOKUP(B290,MERMA!B:B,MERMA!C:C,"No")</f>
        <v>No</v>
      </c>
      <c r="L290" s="10" t="str">
        <f>+_xlfn.XLOOKUP(B290,MERMA!B:B,MERMA!D:D,"No es merma")</f>
        <v>No es merma</v>
      </c>
    </row>
    <row r="291" spans="1:12" ht="14.5" hidden="1" x14ac:dyDescent="0.35">
      <c r="A291">
        <v>100019959</v>
      </c>
      <c r="B291">
        <v>75074913</v>
      </c>
      <c r="C291" t="s">
        <v>332</v>
      </c>
      <c r="D291" t="s">
        <v>44</v>
      </c>
      <c r="E291" t="s">
        <v>33</v>
      </c>
      <c r="F291" t="s">
        <v>46</v>
      </c>
      <c r="G291" t="s">
        <v>52</v>
      </c>
      <c r="H291" t="s">
        <v>36</v>
      </c>
      <c r="I291" t="s">
        <v>109</v>
      </c>
      <c r="J291" s="10" t="str">
        <f>+_xlfn.XLOOKUP(B291,INNOVACIÓN!A:A,INNOVACIÓN!B:B,"NO")</f>
        <v>NO</v>
      </c>
      <c r="K291" s="10" t="str">
        <f>+_xlfn.XLOOKUP(B291,MERMA!B:B,MERMA!C:C,"No")</f>
        <v>SI</v>
      </c>
      <c r="L291" s="10">
        <f>+_xlfn.XLOOKUP(B291,MERMA!B:B,MERMA!D:D,"No es merma")</f>
        <v>2025</v>
      </c>
    </row>
    <row r="292" spans="1:12" ht="14.5" hidden="1" x14ac:dyDescent="0.35">
      <c r="A292">
        <v>100010175</v>
      </c>
      <c r="B292">
        <v>75061654</v>
      </c>
      <c r="C292" t="s">
        <v>333</v>
      </c>
      <c r="D292" t="s">
        <v>44</v>
      </c>
      <c r="E292" t="s">
        <v>33</v>
      </c>
      <c r="F292" t="s">
        <v>46</v>
      </c>
      <c r="G292" t="s">
        <v>54</v>
      </c>
      <c r="H292" t="s">
        <v>36</v>
      </c>
      <c r="I292" t="s">
        <v>247</v>
      </c>
      <c r="J292" s="10" t="str">
        <f>+_xlfn.XLOOKUP(B292,INNOVACIÓN!A:A,INNOVACIÓN!B:B,"NO")</f>
        <v>NO</v>
      </c>
      <c r="K292" s="10" t="str">
        <f>+_xlfn.XLOOKUP(B292,MERMA!B:B,MERMA!C:C,"No")</f>
        <v>No</v>
      </c>
      <c r="L292" s="10" t="str">
        <f>+_xlfn.XLOOKUP(B292,MERMA!B:B,MERMA!D:D,"No es merma")</f>
        <v>No es merma</v>
      </c>
    </row>
    <row r="293" spans="1:12" ht="14.5" hidden="1" x14ac:dyDescent="0.35">
      <c r="A293">
        <v>100006386</v>
      </c>
      <c r="B293">
        <v>75053673</v>
      </c>
      <c r="C293" t="s">
        <v>334</v>
      </c>
      <c r="D293" t="s">
        <v>44</v>
      </c>
      <c r="E293" t="s">
        <v>33</v>
      </c>
      <c r="F293" t="s">
        <v>46</v>
      </c>
      <c r="G293" t="s">
        <v>52</v>
      </c>
      <c r="H293" t="s">
        <v>36</v>
      </c>
      <c r="I293" t="s">
        <v>247</v>
      </c>
      <c r="J293" s="10" t="str">
        <f>+_xlfn.XLOOKUP(B293,INNOVACIÓN!A:A,INNOVACIÓN!B:B,"NO")</f>
        <v>NO</v>
      </c>
      <c r="K293" s="10" t="str">
        <f>+_xlfn.XLOOKUP(B293,MERMA!B:B,MERMA!C:C,"No")</f>
        <v>SI</v>
      </c>
      <c r="L293" s="10">
        <f>+_xlfn.XLOOKUP(B293,MERMA!B:B,MERMA!D:D,"No es merma")</f>
        <v>2025</v>
      </c>
    </row>
    <row r="294" spans="1:12" ht="14.5" hidden="1" x14ac:dyDescent="0.35">
      <c r="A294">
        <v>100080878</v>
      </c>
      <c r="B294">
        <v>75039875</v>
      </c>
      <c r="C294" t="s">
        <v>335</v>
      </c>
      <c r="D294" t="s">
        <v>44</v>
      </c>
      <c r="E294" t="s">
        <v>33</v>
      </c>
      <c r="F294" t="s">
        <v>46</v>
      </c>
      <c r="G294" t="s">
        <v>54</v>
      </c>
      <c r="H294" t="s">
        <v>36</v>
      </c>
      <c r="I294" t="s">
        <v>109</v>
      </c>
      <c r="J294" s="10" t="str">
        <f>+_xlfn.XLOOKUP(B294,INNOVACIÓN!A:A,INNOVACIÓN!B:B,"NO")</f>
        <v>NO</v>
      </c>
      <c r="K294" s="10" t="str">
        <f>+_xlfn.XLOOKUP(B294,MERMA!B:B,MERMA!C:C,"No")</f>
        <v>No</v>
      </c>
      <c r="L294" s="10" t="str">
        <f>+_xlfn.XLOOKUP(B294,MERMA!B:B,MERMA!D:D,"No es merma")</f>
        <v>No es merma</v>
      </c>
    </row>
    <row r="295" spans="1:12" ht="14.5" hidden="1" x14ac:dyDescent="0.35">
      <c r="A295">
        <v>100023316</v>
      </c>
      <c r="B295">
        <v>75079642</v>
      </c>
      <c r="C295" t="s">
        <v>336</v>
      </c>
      <c r="D295" t="s">
        <v>44</v>
      </c>
      <c r="E295" t="s">
        <v>33</v>
      </c>
      <c r="F295" t="s">
        <v>46</v>
      </c>
      <c r="G295" t="s">
        <v>14</v>
      </c>
      <c r="H295" t="s">
        <v>36</v>
      </c>
      <c r="I295" t="s">
        <v>247</v>
      </c>
      <c r="J295" s="10" t="str">
        <f>+_xlfn.XLOOKUP(B295,INNOVACIÓN!A:A,INNOVACIÓN!B:B,"NO")</f>
        <v>NO</v>
      </c>
      <c r="K295" s="10" t="str">
        <f>+_xlfn.XLOOKUP(B295,MERMA!B:B,MERMA!C:C,"No")</f>
        <v>No</v>
      </c>
      <c r="L295" s="10" t="str">
        <f>+_xlfn.XLOOKUP(B295,MERMA!B:B,MERMA!D:D,"No es merma")</f>
        <v>No es merma</v>
      </c>
    </row>
    <row r="296" spans="1:12" ht="14.5" hidden="1" x14ac:dyDescent="0.35">
      <c r="A296" s="10">
        <v>100025444</v>
      </c>
      <c r="B296">
        <v>75083953</v>
      </c>
      <c r="C296" s="10" t="s">
        <v>337</v>
      </c>
      <c r="D296" t="s">
        <v>44</v>
      </c>
      <c r="E296" t="s">
        <v>33</v>
      </c>
      <c r="F296" t="s">
        <v>46</v>
      </c>
      <c r="G296" t="s">
        <v>14</v>
      </c>
      <c r="H296" t="s">
        <v>36</v>
      </c>
      <c r="I296" t="s">
        <v>109</v>
      </c>
      <c r="J296" s="10" t="str">
        <f>+_xlfn.XLOOKUP(B296,INNOVACIÓN!A:A,INNOVACIÓN!B:B,"NO")</f>
        <v>NO</v>
      </c>
      <c r="K296" s="10" t="str">
        <f>+_xlfn.XLOOKUP(B296,MERMA!B:B,MERMA!C:C,"No")</f>
        <v>No</v>
      </c>
      <c r="L296" s="10" t="str">
        <f>+_xlfn.XLOOKUP(B296,MERMA!B:B,MERMA!D:D,"No es merma")</f>
        <v>No es merma</v>
      </c>
    </row>
    <row r="297" spans="1:12" ht="14.5" hidden="1" x14ac:dyDescent="0.35">
      <c r="A297">
        <v>100080892</v>
      </c>
      <c r="B297">
        <v>75042943</v>
      </c>
      <c r="C297" t="s">
        <v>338</v>
      </c>
      <c r="D297" t="s">
        <v>44</v>
      </c>
      <c r="E297" t="s">
        <v>33</v>
      </c>
      <c r="F297" t="s">
        <v>46</v>
      </c>
      <c r="G297" t="s">
        <v>54</v>
      </c>
      <c r="H297" t="s">
        <v>36</v>
      </c>
      <c r="I297" t="s">
        <v>109</v>
      </c>
      <c r="J297" s="10" t="str">
        <f>+_xlfn.XLOOKUP(B297,INNOVACIÓN!A:A,INNOVACIÓN!B:B,"NO")</f>
        <v>NO</v>
      </c>
      <c r="K297" s="10" t="str">
        <f>+_xlfn.XLOOKUP(B297,MERMA!B:B,MERMA!C:C,"No")</f>
        <v>No</v>
      </c>
      <c r="L297" s="10" t="str">
        <f>+_xlfn.XLOOKUP(B297,MERMA!B:B,MERMA!D:D,"No es merma")</f>
        <v>No es merma</v>
      </c>
    </row>
    <row r="298" spans="1:12" ht="14.5" hidden="1" x14ac:dyDescent="0.35">
      <c r="A298">
        <v>100023314</v>
      </c>
      <c r="B298">
        <v>75079659</v>
      </c>
      <c r="C298" t="s">
        <v>339</v>
      </c>
      <c r="D298" t="s">
        <v>44</v>
      </c>
      <c r="E298" t="s">
        <v>33</v>
      </c>
      <c r="F298" t="s">
        <v>46</v>
      </c>
      <c r="G298" t="s">
        <v>14</v>
      </c>
      <c r="H298" t="s">
        <v>36</v>
      </c>
      <c r="I298" t="s">
        <v>247</v>
      </c>
      <c r="J298" s="10" t="str">
        <f>+_xlfn.XLOOKUP(B298,INNOVACIÓN!A:A,INNOVACIÓN!B:B,"NO")</f>
        <v>NO</v>
      </c>
      <c r="K298" s="10" t="str">
        <f>+_xlfn.XLOOKUP(B298,MERMA!B:B,MERMA!C:C,"No")</f>
        <v>No</v>
      </c>
      <c r="L298" s="10" t="str">
        <f>+_xlfn.XLOOKUP(B298,MERMA!B:B,MERMA!D:D,"No es merma")</f>
        <v>No es merma</v>
      </c>
    </row>
    <row r="299" spans="1:12" ht="14.5" hidden="1" x14ac:dyDescent="0.35">
      <c r="A299" s="10">
        <v>100025443</v>
      </c>
      <c r="B299">
        <v>75083946</v>
      </c>
      <c r="C299" s="10" t="s">
        <v>340</v>
      </c>
      <c r="D299" t="s">
        <v>44</v>
      </c>
      <c r="E299" t="s">
        <v>33</v>
      </c>
      <c r="F299" t="s">
        <v>46</v>
      </c>
      <c r="G299" t="s">
        <v>14</v>
      </c>
      <c r="H299" t="s">
        <v>36</v>
      </c>
      <c r="I299" t="s">
        <v>109</v>
      </c>
      <c r="J299" s="10" t="str">
        <f>+_xlfn.XLOOKUP(B299,INNOVACIÓN!A:A,INNOVACIÓN!B:B,"NO")</f>
        <v>NO</v>
      </c>
      <c r="K299" s="10" t="str">
        <f>+_xlfn.XLOOKUP(B299,MERMA!B:B,MERMA!C:C,"No")</f>
        <v>No</v>
      </c>
      <c r="L299" s="10" t="str">
        <f>+_xlfn.XLOOKUP(B299,MERMA!B:B,MERMA!D:D,"No es merma")</f>
        <v>No es merma</v>
      </c>
    </row>
    <row r="300" spans="1:12" ht="14.5" hidden="1" x14ac:dyDescent="0.35">
      <c r="A300">
        <v>100013594</v>
      </c>
      <c r="B300">
        <v>75067960</v>
      </c>
      <c r="C300" t="s">
        <v>341</v>
      </c>
      <c r="D300" t="s">
        <v>44</v>
      </c>
      <c r="E300" t="s">
        <v>33</v>
      </c>
      <c r="F300" t="s">
        <v>46</v>
      </c>
      <c r="G300" t="s">
        <v>35</v>
      </c>
      <c r="H300" t="s">
        <v>36</v>
      </c>
      <c r="I300" t="s">
        <v>247</v>
      </c>
      <c r="J300" s="10" t="str">
        <f>+_xlfn.XLOOKUP(B300,INNOVACIÓN!A:A,INNOVACIÓN!B:B,"NO")</f>
        <v>NO</v>
      </c>
      <c r="K300" s="10" t="str">
        <f>+_xlfn.XLOOKUP(B300,MERMA!B:B,MERMA!C:C,"No")</f>
        <v>No</v>
      </c>
      <c r="L300" s="10" t="str">
        <f>+_xlfn.XLOOKUP(B300,MERMA!B:B,MERMA!D:D,"No es merma")</f>
        <v>No es merma</v>
      </c>
    </row>
    <row r="301" spans="1:12" ht="14.5" hidden="1" x14ac:dyDescent="0.35">
      <c r="A301">
        <v>100015341</v>
      </c>
      <c r="B301">
        <v>75070090</v>
      </c>
      <c r="C301" t="s">
        <v>342</v>
      </c>
      <c r="D301" t="s">
        <v>44</v>
      </c>
      <c r="E301" t="s">
        <v>33</v>
      </c>
      <c r="F301" t="s">
        <v>46</v>
      </c>
      <c r="G301" t="s">
        <v>14</v>
      </c>
      <c r="H301" t="s">
        <v>36</v>
      </c>
      <c r="I301" t="s">
        <v>109</v>
      </c>
      <c r="J301" s="10" t="str">
        <f>+_xlfn.XLOOKUP(B301,INNOVACIÓN!A:A,INNOVACIÓN!B:B,"NO")</f>
        <v>NO</v>
      </c>
      <c r="K301" s="10" t="str">
        <f>+_xlfn.XLOOKUP(B301,MERMA!B:B,MERMA!C:C,"No")</f>
        <v>SI</v>
      </c>
      <c r="L301" s="10" t="str">
        <f>+_xlfn.XLOOKUP(B301,MERMA!B:B,MERMA!D:D,"No es merma")</f>
        <v>2026 H1</v>
      </c>
    </row>
    <row r="302" spans="1:12" ht="14.5" hidden="1" x14ac:dyDescent="0.35">
      <c r="A302" s="10">
        <v>100025445</v>
      </c>
      <c r="B302">
        <v>75083977</v>
      </c>
      <c r="C302" s="10" t="s">
        <v>343</v>
      </c>
      <c r="D302" t="s">
        <v>44</v>
      </c>
      <c r="E302" t="s">
        <v>33</v>
      </c>
      <c r="F302" t="s">
        <v>46</v>
      </c>
      <c r="G302" t="s">
        <v>14</v>
      </c>
      <c r="H302" t="s">
        <v>36</v>
      </c>
      <c r="I302" t="s">
        <v>109</v>
      </c>
      <c r="J302" s="10" t="str">
        <f>+_xlfn.XLOOKUP(B302,INNOVACIÓN!A:A,INNOVACIÓN!B:B,"NO")</f>
        <v>NO</v>
      </c>
      <c r="K302" s="10" t="str">
        <f>+_xlfn.XLOOKUP(B302,MERMA!B:B,MERMA!C:C,"No")</f>
        <v>SI</v>
      </c>
      <c r="L302" s="10" t="str">
        <f>+_xlfn.XLOOKUP(B302,MERMA!B:B,MERMA!D:D,"No es merma")</f>
        <v>2026 H1</v>
      </c>
    </row>
    <row r="303" spans="1:12" ht="14.5" hidden="1" x14ac:dyDescent="0.35">
      <c r="A303">
        <v>100021888</v>
      </c>
      <c r="B303">
        <v>75077433</v>
      </c>
      <c r="C303" t="s">
        <v>344</v>
      </c>
      <c r="D303" t="s">
        <v>44</v>
      </c>
      <c r="E303" t="s">
        <v>33</v>
      </c>
      <c r="F303" t="s">
        <v>46</v>
      </c>
      <c r="G303" t="s">
        <v>52</v>
      </c>
      <c r="H303" t="s">
        <v>36</v>
      </c>
      <c r="I303" t="s">
        <v>247</v>
      </c>
      <c r="J303" s="10" t="str">
        <f>+_xlfn.XLOOKUP(B303,INNOVACIÓN!A:A,INNOVACIÓN!B:B,"NO")</f>
        <v>NO</v>
      </c>
      <c r="K303" s="10" t="str">
        <f>+_xlfn.XLOOKUP(B303,MERMA!B:B,MERMA!C:C,"No")</f>
        <v>No</v>
      </c>
      <c r="L303" s="10" t="str">
        <f>+_xlfn.XLOOKUP(B303,MERMA!B:B,MERMA!D:D,"No es merma")</f>
        <v>No es merma</v>
      </c>
    </row>
    <row r="304" spans="1:12" ht="14.5" hidden="1" x14ac:dyDescent="0.35">
      <c r="A304">
        <v>100021889</v>
      </c>
      <c r="B304">
        <v>75077426</v>
      </c>
      <c r="C304" t="s">
        <v>345</v>
      </c>
      <c r="D304" t="s">
        <v>44</v>
      </c>
      <c r="E304" t="s">
        <v>33</v>
      </c>
      <c r="F304" t="s">
        <v>46</v>
      </c>
      <c r="G304" t="s">
        <v>52</v>
      </c>
      <c r="H304" t="s">
        <v>36</v>
      </c>
      <c r="I304" t="s">
        <v>247</v>
      </c>
      <c r="J304" s="10" t="str">
        <f>+_xlfn.XLOOKUP(B304,INNOVACIÓN!A:A,INNOVACIÓN!B:B,"NO")</f>
        <v>NO</v>
      </c>
      <c r="K304" s="10" t="str">
        <f>+_xlfn.XLOOKUP(B304,MERMA!B:B,MERMA!C:C,"No")</f>
        <v>No</v>
      </c>
      <c r="L304" s="10" t="str">
        <f>+_xlfn.XLOOKUP(B304,MERMA!B:B,MERMA!D:D,"No es merma")</f>
        <v>No es merma</v>
      </c>
    </row>
    <row r="305" spans="1:12" ht="14.5" hidden="1" x14ac:dyDescent="0.35">
      <c r="A305">
        <v>100021887</v>
      </c>
      <c r="B305">
        <v>75077402</v>
      </c>
      <c r="C305" t="s">
        <v>346</v>
      </c>
      <c r="D305" t="s">
        <v>44</v>
      </c>
      <c r="E305" t="s">
        <v>33</v>
      </c>
      <c r="F305" t="s">
        <v>46</v>
      </c>
      <c r="G305" t="s">
        <v>14</v>
      </c>
      <c r="H305" t="s">
        <v>36</v>
      </c>
      <c r="I305" t="s">
        <v>247</v>
      </c>
      <c r="J305" s="10" t="str">
        <f>+_xlfn.XLOOKUP(B305,INNOVACIÓN!A:A,INNOVACIÓN!B:B,"NO")</f>
        <v>NO</v>
      </c>
      <c r="K305" s="10" t="str">
        <f>+_xlfn.XLOOKUP(B305,MERMA!B:B,MERMA!C:C,"No")</f>
        <v>No</v>
      </c>
      <c r="L305" s="10" t="str">
        <f>+_xlfn.XLOOKUP(B305,MERMA!B:B,MERMA!D:D,"No es merma")</f>
        <v>No es merma</v>
      </c>
    </row>
    <row r="306" spans="1:12" ht="14.5" hidden="1" x14ac:dyDescent="0.35">
      <c r="A306">
        <v>100021886</v>
      </c>
      <c r="B306">
        <v>75077389</v>
      </c>
      <c r="C306" t="s">
        <v>347</v>
      </c>
      <c r="D306" t="s">
        <v>44</v>
      </c>
      <c r="E306" t="s">
        <v>33</v>
      </c>
      <c r="F306" t="s">
        <v>46</v>
      </c>
      <c r="G306" t="s">
        <v>54</v>
      </c>
      <c r="H306" t="s">
        <v>36</v>
      </c>
      <c r="I306" t="s">
        <v>247</v>
      </c>
      <c r="J306" s="10" t="str">
        <f>+_xlfn.XLOOKUP(B306,INNOVACIÓN!A:A,INNOVACIÓN!B:B,"NO")</f>
        <v>NO</v>
      </c>
      <c r="K306" s="10" t="str">
        <f>+_xlfn.XLOOKUP(B306,MERMA!B:B,MERMA!C:C,"No")</f>
        <v>SI</v>
      </c>
      <c r="L306" s="10">
        <f>+_xlfn.XLOOKUP(B306,MERMA!B:B,MERMA!D:D,"No es merma")</f>
        <v>2025</v>
      </c>
    </row>
    <row r="307" spans="1:12" ht="14.5" hidden="1" x14ac:dyDescent="0.35">
      <c r="A307" s="10">
        <v>100025446</v>
      </c>
      <c r="B307">
        <v>75083960</v>
      </c>
      <c r="C307" s="10" t="s">
        <v>348</v>
      </c>
      <c r="D307" t="s">
        <v>44</v>
      </c>
      <c r="E307" t="s">
        <v>33</v>
      </c>
      <c r="F307" t="s">
        <v>46</v>
      </c>
      <c r="G307" t="s">
        <v>14</v>
      </c>
      <c r="H307" t="s">
        <v>36</v>
      </c>
      <c r="I307" t="s">
        <v>109</v>
      </c>
      <c r="J307" s="10" t="str">
        <f>+_xlfn.XLOOKUP(B307,INNOVACIÓN!A:A,INNOVACIÓN!B:B,"NO")</f>
        <v>NO</v>
      </c>
      <c r="K307" s="10" t="str">
        <f>+_xlfn.XLOOKUP(B307,MERMA!B:B,MERMA!C:C,"No")</f>
        <v>No</v>
      </c>
      <c r="L307" s="10" t="str">
        <f>+_xlfn.XLOOKUP(B307,MERMA!B:B,MERMA!D:D,"No es merma")</f>
        <v>No es merma</v>
      </c>
    </row>
    <row r="308" spans="1:12" ht="14.5" hidden="1" x14ac:dyDescent="0.35">
      <c r="A308" s="10">
        <v>100025284</v>
      </c>
      <c r="B308">
        <v>75083892</v>
      </c>
      <c r="C308" s="10" t="s">
        <v>349</v>
      </c>
      <c r="D308" t="s">
        <v>44</v>
      </c>
      <c r="E308" t="s">
        <v>33</v>
      </c>
      <c r="F308" t="s">
        <v>46</v>
      </c>
      <c r="G308" t="s">
        <v>14</v>
      </c>
      <c r="H308" t="s">
        <v>36</v>
      </c>
      <c r="I308" t="s">
        <v>109</v>
      </c>
      <c r="J308" s="10" t="str">
        <f>+_xlfn.XLOOKUP(B308,INNOVACIÓN!A:A,INNOVACIÓN!B:B,"NO")</f>
        <v>NO</v>
      </c>
      <c r="K308" s="10" t="str">
        <f>+_xlfn.XLOOKUP(B308,MERMA!B:B,MERMA!C:C,"No")</f>
        <v>No</v>
      </c>
      <c r="L308" s="10" t="str">
        <f>+_xlfn.XLOOKUP(B308,MERMA!B:B,MERMA!D:D,"No es merma")</f>
        <v>No es merma</v>
      </c>
    </row>
    <row r="309" spans="1:12" ht="14.5" hidden="1" x14ac:dyDescent="0.35">
      <c r="A309" s="10">
        <v>100025283</v>
      </c>
      <c r="B309">
        <v>75083885</v>
      </c>
      <c r="C309" s="10" t="s">
        <v>350</v>
      </c>
      <c r="D309" t="s">
        <v>44</v>
      </c>
      <c r="E309" t="s">
        <v>33</v>
      </c>
      <c r="F309" t="s">
        <v>46</v>
      </c>
      <c r="G309" t="s">
        <v>14</v>
      </c>
      <c r="H309" t="s">
        <v>36</v>
      </c>
      <c r="I309" t="s">
        <v>109</v>
      </c>
      <c r="J309" s="10" t="str">
        <f>+_xlfn.XLOOKUP(B309,INNOVACIÓN!A:A,INNOVACIÓN!B:B,"NO")</f>
        <v>NO</v>
      </c>
      <c r="K309" s="10" t="str">
        <f>+_xlfn.XLOOKUP(B309,MERMA!B:B,MERMA!C:C,"No")</f>
        <v>No</v>
      </c>
      <c r="L309" s="10" t="str">
        <f>+_xlfn.XLOOKUP(B309,MERMA!B:B,MERMA!D:D,"No es merma")</f>
        <v>No es merma</v>
      </c>
    </row>
    <row r="310" spans="1:12" ht="14.5" hidden="1" x14ac:dyDescent="0.35">
      <c r="A310">
        <v>100010317</v>
      </c>
      <c r="B310">
        <v>75062620</v>
      </c>
      <c r="C310" t="s">
        <v>351</v>
      </c>
      <c r="D310" t="s">
        <v>44</v>
      </c>
      <c r="E310" t="s">
        <v>33</v>
      </c>
      <c r="F310" t="s">
        <v>46</v>
      </c>
      <c r="G310" t="s">
        <v>52</v>
      </c>
      <c r="H310" t="s">
        <v>36</v>
      </c>
      <c r="I310" t="s">
        <v>247</v>
      </c>
      <c r="J310" s="10" t="str">
        <f>+_xlfn.XLOOKUP(B310,INNOVACIÓN!A:A,INNOVACIÓN!B:B,"NO")</f>
        <v>NO</v>
      </c>
      <c r="K310" s="10" t="str">
        <f>+_xlfn.XLOOKUP(B310,MERMA!B:B,MERMA!C:C,"No")</f>
        <v>No</v>
      </c>
      <c r="L310" s="10" t="str">
        <f>+_xlfn.XLOOKUP(B310,MERMA!B:B,MERMA!D:D,"No es merma")</f>
        <v>No es merma</v>
      </c>
    </row>
    <row r="311" spans="1:12" ht="14.5" hidden="1" x14ac:dyDescent="0.35">
      <c r="A311">
        <v>100080803</v>
      </c>
      <c r="B311">
        <v>75027667</v>
      </c>
      <c r="C311" t="s">
        <v>352</v>
      </c>
      <c r="D311" t="s">
        <v>44</v>
      </c>
      <c r="E311" t="s">
        <v>33</v>
      </c>
      <c r="F311" t="s">
        <v>46</v>
      </c>
      <c r="G311" t="s">
        <v>54</v>
      </c>
      <c r="H311" t="s">
        <v>36</v>
      </c>
      <c r="I311" t="s">
        <v>247</v>
      </c>
      <c r="J311" s="10" t="str">
        <f>+_xlfn.XLOOKUP(B311,INNOVACIÓN!A:A,INNOVACIÓN!B:B,"NO")</f>
        <v>NO</v>
      </c>
      <c r="K311" s="10" t="str">
        <f>+_xlfn.XLOOKUP(B311,MERMA!B:B,MERMA!C:C,"No")</f>
        <v>No</v>
      </c>
      <c r="L311" s="10" t="str">
        <f>+_xlfn.XLOOKUP(B311,MERMA!B:B,MERMA!D:D,"No es merma")</f>
        <v>No es merma</v>
      </c>
    </row>
    <row r="312" spans="1:12" ht="14.5" hidden="1" x14ac:dyDescent="0.35">
      <c r="A312">
        <v>100080834</v>
      </c>
      <c r="B312">
        <v>75034665</v>
      </c>
      <c r="C312" t="s">
        <v>353</v>
      </c>
      <c r="D312" t="s">
        <v>44</v>
      </c>
      <c r="E312" t="s">
        <v>33</v>
      </c>
      <c r="F312" t="s">
        <v>46</v>
      </c>
      <c r="G312" t="s">
        <v>52</v>
      </c>
      <c r="H312" t="s">
        <v>36</v>
      </c>
      <c r="I312" t="s">
        <v>247</v>
      </c>
      <c r="J312" s="10" t="str">
        <f>+_xlfn.XLOOKUP(B312,INNOVACIÓN!A:A,INNOVACIÓN!B:B,"NO")</f>
        <v>NO</v>
      </c>
      <c r="K312" s="10" t="str">
        <f>+_xlfn.XLOOKUP(B312,MERMA!B:B,MERMA!C:C,"No")</f>
        <v>No</v>
      </c>
      <c r="L312" s="10" t="str">
        <f>+_xlfn.XLOOKUP(B312,MERMA!B:B,MERMA!D:D,"No es merma")</f>
        <v>No es merma</v>
      </c>
    </row>
    <row r="313" spans="1:12" ht="14.5" hidden="1" x14ac:dyDescent="0.35">
      <c r="A313">
        <v>100080891</v>
      </c>
      <c r="B313">
        <v>75042936</v>
      </c>
      <c r="C313" t="s">
        <v>354</v>
      </c>
      <c r="D313" t="s">
        <v>44</v>
      </c>
      <c r="E313" t="s">
        <v>33</v>
      </c>
      <c r="F313" t="s">
        <v>46</v>
      </c>
      <c r="G313" t="s">
        <v>52</v>
      </c>
      <c r="H313" t="s">
        <v>36</v>
      </c>
      <c r="I313" t="s">
        <v>247</v>
      </c>
      <c r="J313" s="10" t="str">
        <f>+_xlfn.XLOOKUP(B313,INNOVACIÓN!A:A,INNOVACIÓN!B:B,"NO")</f>
        <v>NO</v>
      </c>
      <c r="K313" s="10" t="str">
        <f>+_xlfn.XLOOKUP(B313,MERMA!B:B,MERMA!C:C,"No")</f>
        <v>No</v>
      </c>
      <c r="L313" s="10" t="str">
        <f>+_xlfn.XLOOKUP(B313,MERMA!B:B,MERMA!D:D,"No es merma")</f>
        <v>No es merma</v>
      </c>
    </row>
    <row r="314" spans="1:12" ht="14.5" hidden="1" x14ac:dyDescent="0.35">
      <c r="A314">
        <v>100080877</v>
      </c>
      <c r="B314">
        <v>75039868</v>
      </c>
      <c r="C314" t="s">
        <v>355</v>
      </c>
      <c r="D314" t="s">
        <v>44</v>
      </c>
      <c r="E314" t="s">
        <v>33</v>
      </c>
      <c r="F314" t="s">
        <v>46</v>
      </c>
      <c r="G314" t="s">
        <v>52</v>
      </c>
      <c r="H314" t="s">
        <v>36</v>
      </c>
      <c r="I314" t="s">
        <v>247</v>
      </c>
      <c r="J314" s="10" t="str">
        <f>+_xlfn.XLOOKUP(B314,INNOVACIÓN!A:A,INNOVACIÓN!B:B,"NO")</f>
        <v>NO</v>
      </c>
      <c r="K314" s="10" t="str">
        <f>+_xlfn.XLOOKUP(B314,MERMA!B:B,MERMA!C:C,"No")</f>
        <v>No</v>
      </c>
      <c r="L314" s="10" t="str">
        <f>+_xlfn.XLOOKUP(B314,MERMA!B:B,MERMA!D:D,"No es merma")</f>
        <v>No es merma</v>
      </c>
    </row>
    <row r="315" spans="1:12" ht="14.5" hidden="1" x14ac:dyDescent="0.35">
      <c r="A315">
        <v>100080806</v>
      </c>
      <c r="B315">
        <v>75027803</v>
      </c>
      <c r="C315" t="s">
        <v>356</v>
      </c>
      <c r="D315" t="s">
        <v>44</v>
      </c>
      <c r="E315" t="s">
        <v>33</v>
      </c>
      <c r="F315" t="s">
        <v>41</v>
      </c>
      <c r="G315" t="s">
        <v>35</v>
      </c>
      <c r="H315" t="s">
        <v>36</v>
      </c>
      <c r="I315" t="s">
        <v>247</v>
      </c>
      <c r="J315" s="10" t="str">
        <f>+_xlfn.XLOOKUP(B315,INNOVACIÓN!A:A,INNOVACIÓN!B:B,"NO")</f>
        <v>NO</v>
      </c>
      <c r="K315" s="10" t="str">
        <f>+_xlfn.XLOOKUP(B315,MERMA!B:B,MERMA!C:C,"No")</f>
        <v>No</v>
      </c>
      <c r="L315" s="10" t="str">
        <f>+_xlfn.XLOOKUP(B315,MERMA!B:B,MERMA!D:D,"No es merma")</f>
        <v>No es merma</v>
      </c>
    </row>
    <row r="316" spans="1:12" ht="14.5" hidden="1" x14ac:dyDescent="0.35">
      <c r="A316" s="10">
        <v>100080888</v>
      </c>
      <c r="B316" s="10">
        <v>8308014</v>
      </c>
      <c r="C316" s="10" t="s">
        <v>357</v>
      </c>
      <c r="D316" t="s">
        <v>44</v>
      </c>
      <c r="E316" t="s">
        <v>33</v>
      </c>
      <c r="F316" t="s">
        <v>41</v>
      </c>
      <c r="G316" t="s">
        <v>136</v>
      </c>
      <c r="H316" t="s">
        <v>36</v>
      </c>
      <c r="I316" t="s">
        <v>247</v>
      </c>
      <c r="J316" s="10" t="str">
        <f>+_xlfn.XLOOKUP(B316,INNOVACIÓN!A:A,INNOVACIÓN!B:B,"NO")</f>
        <v>NO</v>
      </c>
      <c r="K316" s="10" t="str">
        <f>+_xlfn.XLOOKUP(B316,MERMA!B:B,MERMA!C:C,"No")</f>
        <v>No</v>
      </c>
      <c r="L316" s="10" t="str">
        <f>+_xlfn.XLOOKUP(B316,MERMA!B:B,MERMA!D:D,"No es merma")</f>
        <v>No es merma</v>
      </c>
    </row>
    <row r="317" spans="1:12" ht="14.5" hidden="1" x14ac:dyDescent="0.35">
      <c r="A317">
        <v>100015215</v>
      </c>
      <c r="B317">
        <v>75069490</v>
      </c>
      <c r="C317" t="s">
        <v>358</v>
      </c>
      <c r="D317" t="s">
        <v>44</v>
      </c>
      <c r="E317" t="s">
        <v>33</v>
      </c>
      <c r="F317" t="s">
        <v>46</v>
      </c>
      <c r="G317" t="s">
        <v>54</v>
      </c>
      <c r="H317" t="s">
        <v>36</v>
      </c>
      <c r="I317" t="s">
        <v>247</v>
      </c>
      <c r="J317" s="10" t="str">
        <f>+_xlfn.XLOOKUP(B317,INNOVACIÓN!A:A,INNOVACIÓN!B:B,"NO")</f>
        <v>NO</v>
      </c>
      <c r="K317" s="10" t="str">
        <f>+_xlfn.XLOOKUP(B317,MERMA!B:B,MERMA!C:C,"No")</f>
        <v>SI</v>
      </c>
      <c r="L317" s="10">
        <f>+_xlfn.XLOOKUP(B317,MERMA!B:B,MERMA!D:D,"No es merma")</f>
        <v>2025</v>
      </c>
    </row>
    <row r="318" spans="1:12" ht="14.5" hidden="1" x14ac:dyDescent="0.35">
      <c r="A318" s="10">
        <v>100011743</v>
      </c>
      <c r="B318" s="10">
        <v>75064587</v>
      </c>
      <c r="C318" s="10" t="s">
        <v>359</v>
      </c>
      <c r="D318" t="s">
        <v>44</v>
      </c>
      <c r="E318" t="s">
        <v>33</v>
      </c>
      <c r="F318" t="s">
        <v>46</v>
      </c>
      <c r="G318" t="s">
        <v>52</v>
      </c>
      <c r="H318" t="s">
        <v>36</v>
      </c>
      <c r="I318" t="s">
        <v>247</v>
      </c>
      <c r="J318" s="10" t="str">
        <f>+_xlfn.XLOOKUP(B318,INNOVACIÓN!A:A,INNOVACIÓN!B:B,"NO")</f>
        <v>NO</v>
      </c>
      <c r="K318" s="10" t="str">
        <f>+_xlfn.XLOOKUP(B318,MERMA!B:B,MERMA!C:C,"No")</f>
        <v>No</v>
      </c>
      <c r="L318" s="10" t="str">
        <f>+_xlfn.XLOOKUP(B318,MERMA!B:B,MERMA!D:D,"No es merma")</f>
        <v>No es merma</v>
      </c>
    </row>
    <row r="319" spans="1:12" ht="14.5" x14ac:dyDescent="0.35">
      <c r="A319">
        <v>100023315</v>
      </c>
      <c r="B319">
        <v>75079697</v>
      </c>
      <c r="C319" t="s">
        <v>360</v>
      </c>
      <c r="D319" t="s">
        <v>44</v>
      </c>
      <c r="E319" t="s">
        <v>33</v>
      </c>
      <c r="F319" t="s">
        <v>46</v>
      </c>
      <c r="G319" t="s">
        <v>54</v>
      </c>
      <c r="H319" t="s">
        <v>36</v>
      </c>
      <c r="I319" t="s">
        <v>247</v>
      </c>
      <c r="J319" s="10" t="str">
        <f>+_xlfn.XLOOKUP(B319,INNOVACIÓN!A:A,INNOVACIÓN!B:B,"NO")</f>
        <v>NO</v>
      </c>
      <c r="K319" s="10" t="str">
        <f>+_xlfn.XLOOKUP(B319,MERMA!B:B,MERMA!C:C,"No")</f>
        <v>No</v>
      </c>
      <c r="L319" s="10" t="str">
        <f>+_xlfn.XLOOKUP(B319,MERMA!B:B,MERMA!D:D,"No es merma")</f>
        <v>No es merma</v>
      </c>
    </row>
    <row r="320" spans="1:12" x14ac:dyDescent="0.35">
      <c r="A320" s="10">
        <v>100025442</v>
      </c>
      <c r="B320">
        <v>75083939</v>
      </c>
      <c r="C320" s="10" t="s">
        <v>361</v>
      </c>
      <c r="D320" t="s">
        <v>44</v>
      </c>
      <c r="E320" t="s">
        <v>33</v>
      </c>
      <c r="F320" t="s">
        <v>46</v>
      </c>
      <c r="G320" t="s">
        <v>14</v>
      </c>
      <c r="H320" t="s">
        <v>36</v>
      </c>
      <c r="I320" t="s">
        <v>109</v>
      </c>
      <c r="J320" s="10" t="str">
        <f>+_xlfn.XLOOKUP(B320,INNOVACIÓN!A:A,INNOVACIÓN!B:B,"NO")</f>
        <v>NO</v>
      </c>
      <c r="K320" s="10" t="str">
        <f>+_xlfn.XLOOKUP(B320,MERMA!B:B,MERMA!C:C,"No")</f>
        <v>No</v>
      </c>
      <c r="L320" s="10" t="str">
        <f>+_xlfn.XLOOKUP(B320,MERMA!B:B,MERMA!D:D,"No es merma")</f>
        <v>No es merma</v>
      </c>
    </row>
    <row r="321" spans="1:12" x14ac:dyDescent="0.35">
      <c r="A321" s="10">
        <v>100025448</v>
      </c>
      <c r="B321">
        <v>75083922</v>
      </c>
      <c r="C321" s="10" t="s">
        <v>362</v>
      </c>
      <c r="D321" t="s">
        <v>44</v>
      </c>
      <c r="E321" t="s">
        <v>33</v>
      </c>
      <c r="F321" t="s">
        <v>46</v>
      </c>
      <c r="G321" t="s">
        <v>14</v>
      </c>
      <c r="H321" t="s">
        <v>36</v>
      </c>
      <c r="I321" t="s">
        <v>109</v>
      </c>
      <c r="J321" s="10" t="str">
        <f>+_xlfn.XLOOKUP(B321,INNOVACIÓN!A:A,INNOVACIÓN!B:B,"NO")</f>
        <v>NO</v>
      </c>
      <c r="K321" s="10" t="str">
        <f>+_xlfn.XLOOKUP(B321,MERMA!B:B,MERMA!C:C,"No")</f>
        <v>No</v>
      </c>
      <c r="L321" s="10" t="str">
        <f>+_xlfn.XLOOKUP(B321,MERMA!B:B,MERMA!D:D,"No es merma")</f>
        <v>No es merma</v>
      </c>
    </row>
    <row r="322" spans="1:12" ht="14.5" hidden="1" x14ac:dyDescent="0.35">
      <c r="A322" s="10">
        <v>100024884</v>
      </c>
      <c r="B322">
        <v>75082284</v>
      </c>
      <c r="C322" s="10" t="s">
        <v>363</v>
      </c>
      <c r="D322" t="s">
        <v>44</v>
      </c>
      <c r="E322" t="s">
        <v>33</v>
      </c>
      <c r="F322" t="s">
        <v>46</v>
      </c>
      <c r="G322" t="s">
        <v>14</v>
      </c>
      <c r="H322" t="s">
        <v>36</v>
      </c>
      <c r="I322" t="s">
        <v>109</v>
      </c>
      <c r="J322" s="10" t="str">
        <f>+_xlfn.XLOOKUP(B322,INNOVACIÓN!A:A,INNOVACIÓN!B:B,"NO")</f>
        <v>NO</v>
      </c>
      <c r="K322" s="10" t="str">
        <f>+_xlfn.XLOOKUP(B322,MERMA!B:B,MERMA!C:C,"No")</f>
        <v>No</v>
      </c>
      <c r="L322" s="10" t="str">
        <f>+_xlfn.XLOOKUP(B322,MERMA!B:B,MERMA!D:D,"No es merma")</f>
        <v>No es merma</v>
      </c>
    </row>
    <row r="323" spans="1:12" ht="14.5" hidden="1" x14ac:dyDescent="0.35">
      <c r="A323" s="10">
        <v>100024885</v>
      </c>
      <c r="B323">
        <v>75082291</v>
      </c>
      <c r="C323" s="10" t="s">
        <v>364</v>
      </c>
      <c r="D323" t="s">
        <v>44</v>
      </c>
      <c r="E323" t="s">
        <v>33</v>
      </c>
      <c r="F323" t="s">
        <v>46</v>
      </c>
      <c r="G323" t="s">
        <v>14</v>
      </c>
      <c r="H323" t="s">
        <v>36</v>
      </c>
      <c r="I323" t="s">
        <v>109</v>
      </c>
      <c r="J323" s="10" t="str">
        <f>+_xlfn.XLOOKUP(B323,INNOVACIÓN!A:A,INNOVACIÓN!B:B,"NO")</f>
        <v>NO</v>
      </c>
      <c r="K323" s="10" t="str">
        <f>+_xlfn.XLOOKUP(B323,MERMA!B:B,MERMA!C:C,"No")</f>
        <v>No</v>
      </c>
      <c r="L323" s="10" t="str">
        <f>+_xlfn.XLOOKUP(B323,MERMA!B:B,MERMA!D:D,"No es merma")</f>
        <v>No es merma</v>
      </c>
    </row>
    <row r="324" spans="1:12" ht="14.5" hidden="1" x14ac:dyDescent="0.35">
      <c r="A324" s="10">
        <v>100024888</v>
      </c>
      <c r="B324">
        <v>75082338</v>
      </c>
      <c r="C324" s="10" t="s">
        <v>365</v>
      </c>
      <c r="D324" t="s">
        <v>44</v>
      </c>
      <c r="E324" t="s">
        <v>33</v>
      </c>
      <c r="F324" t="s">
        <v>46</v>
      </c>
      <c r="G324" t="s">
        <v>14</v>
      </c>
      <c r="H324" t="s">
        <v>36</v>
      </c>
      <c r="I324" t="s">
        <v>109</v>
      </c>
      <c r="J324" s="10" t="str">
        <f>+_xlfn.XLOOKUP(B324,INNOVACIÓN!A:A,INNOVACIÓN!B:B,"NO")</f>
        <v>NO</v>
      </c>
      <c r="K324" s="10" t="str">
        <f>+_xlfn.XLOOKUP(B324,MERMA!B:B,MERMA!C:C,"No")</f>
        <v>No</v>
      </c>
      <c r="L324" s="10" t="str">
        <f>+_xlfn.XLOOKUP(B324,MERMA!B:B,MERMA!D:D,"No es merma")</f>
        <v>No es merma</v>
      </c>
    </row>
    <row r="325" spans="1:12" ht="14.5" hidden="1" x14ac:dyDescent="0.35">
      <c r="A325" s="10">
        <v>100024886</v>
      </c>
      <c r="B325">
        <v>75082314</v>
      </c>
      <c r="C325" s="10" t="s">
        <v>366</v>
      </c>
      <c r="D325" t="s">
        <v>44</v>
      </c>
      <c r="E325" t="s">
        <v>33</v>
      </c>
      <c r="F325" t="s">
        <v>46</v>
      </c>
      <c r="G325" t="s">
        <v>14</v>
      </c>
      <c r="H325" t="s">
        <v>36</v>
      </c>
      <c r="I325" t="s">
        <v>109</v>
      </c>
      <c r="J325" s="10" t="str">
        <f>+_xlfn.XLOOKUP(B325,INNOVACIÓN!A:A,INNOVACIÓN!B:B,"NO")</f>
        <v>NO</v>
      </c>
      <c r="K325" s="10" t="str">
        <f>+_xlfn.XLOOKUP(B325,MERMA!B:B,MERMA!C:C,"No")</f>
        <v>No</v>
      </c>
      <c r="L325" s="10" t="str">
        <f>+_xlfn.XLOOKUP(B325,MERMA!B:B,MERMA!D:D,"No es merma")</f>
        <v>No es merma</v>
      </c>
    </row>
    <row r="326" spans="1:12" ht="14.5" hidden="1" x14ac:dyDescent="0.35">
      <c r="A326" s="10">
        <v>100024887</v>
      </c>
      <c r="B326">
        <v>75082307</v>
      </c>
      <c r="C326" s="10" t="s">
        <v>367</v>
      </c>
      <c r="D326" t="s">
        <v>44</v>
      </c>
      <c r="E326" t="s">
        <v>33</v>
      </c>
      <c r="F326" t="s">
        <v>46</v>
      </c>
      <c r="G326" t="s">
        <v>14</v>
      </c>
      <c r="H326" t="s">
        <v>36</v>
      </c>
      <c r="I326" t="s">
        <v>109</v>
      </c>
      <c r="J326" s="10" t="str">
        <f>+_xlfn.XLOOKUP(B326,INNOVACIÓN!A:A,INNOVACIÓN!B:B,"NO")</f>
        <v>NO</v>
      </c>
      <c r="K326" s="10" t="str">
        <f>+_xlfn.XLOOKUP(B326,MERMA!B:B,MERMA!C:C,"No")</f>
        <v>No</v>
      </c>
      <c r="L326" s="10" t="str">
        <f>+_xlfn.XLOOKUP(B326,MERMA!B:B,MERMA!D:D,"No es merma")</f>
        <v>No es merma</v>
      </c>
    </row>
    <row r="327" spans="1:12" ht="14.5" hidden="1" x14ac:dyDescent="0.35">
      <c r="A327" s="10">
        <v>100024883</v>
      </c>
      <c r="B327">
        <v>75082321</v>
      </c>
      <c r="C327" s="10" t="s">
        <v>368</v>
      </c>
      <c r="D327" t="s">
        <v>44</v>
      </c>
      <c r="E327" t="s">
        <v>33</v>
      </c>
      <c r="F327" t="s">
        <v>46</v>
      </c>
      <c r="G327" t="s">
        <v>14</v>
      </c>
      <c r="H327" t="s">
        <v>36</v>
      </c>
      <c r="I327" t="s">
        <v>109</v>
      </c>
      <c r="J327" s="10" t="str">
        <f>+_xlfn.XLOOKUP(B327,INNOVACIÓN!A:A,INNOVACIÓN!B:B,"NO")</f>
        <v>NO</v>
      </c>
      <c r="K327" s="10" t="str">
        <f>+_xlfn.XLOOKUP(B327,MERMA!B:B,MERMA!C:C,"No")</f>
        <v>No</v>
      </c>
      <c r="L327" s="10" t="str">
        <f>+_xlfn.XLOOKUP(B327,MERMA!B:B,MERMA!D:D,"No es merma")</f>
        <v>No es merma</v>
      </c>
    </row>
    <row r="328" spans="1:12" x14ac:dyDescent="0.35">
      <c r="A328" s="10">
        <v>100024882</v>
      </c>
      <c r="B328">
        <v>75082277</v>
      </c>
      <c r="C328" s="10" t="s">
        <v>369</v>
      </c>
      <c r="D328" t="s">
        <v>44</v>
      </c>
      <c r="E328" t="s">
        <v>33</v>
      </c>
      <c r="F328" t="s">
        <v>46</v>
      </c>
      <c r="G328" t="s">
        <v>14</v>
      </c>
      <c r="H328" t="s">
        <v>36</v>
      </c>
      <c r="I328" t="s">
        <v>109</v>
      </c>
      <c r="J328" s="10" t="str">
        <f>+_xlfn.XLOOKUP(B328,INNOVACIÓN!A:A,INNOVACIÓN!B:B,"NO")</f>
        <v>NO</v>
      </c>
      <c r="K328" s="10" t="str">
        <f>+_xlfn.XLOOKUP(B328,MERMA!B:B,MERMA!C:C,"No")</f>
        <v>No</v>
      </c>
      <c r="L328" s="10" t="str">
        <f>+_xlfn.XLOOKUP(B328,MERMA!B:B,MERMA!D:D,"No es merma")</f>
        <v>No es merma</v>
      </c>
    </row>
    <row r="329" spans="1:12" ht="14.5" hidden="1" x14ac:dyDescent="0.35">
      <c r="A329">
        <v>100019052</v>
      </c>
      <c r="B329">
        <v>75074784</v>
      </c>
      <c r="C329" t="s">
        <v>370</v>
      </c>
      <c r="D329" t="s">
        <v>44</v>
      </c>
      <c r="E329" t="s">
        <v>33</v>
      </c>
      <c r="F329" t="s">
        <v>41</v>
      </c>
      <c r="G329" t="s">
        <v>35</v>
      </c>
      <c r="H329" t="s">
        <v>36</v>
      </c>
      <c r="I329" t="s">
        <v>109</v>
      </c>
      <c r="J329" s="10" t="str">
        <f>+_xlfn.XLOOKUP(B329,INNOVACIÓN!A:A,INNOVACIÓN!B:B,"NO")</f>
        <v>NO</v>
      </c>
      <c r="K329" s="10" t="str">
        <f>+_xlfn.XLOOKUP(B329,MERMA!B:B,MERMA!C:C,"No")</f>
        <v>SI</v>
      </c>
      <c r="L329" s="10">
        <f>+_xlfn.XLOOKUP(B329,MERMA!B:B,MERMA!D:D,"No es merma")</f>
        <v>2025</v>
      </c>
    </row>
    <row r="330" spans="1:12" ht="14.5" hidden="1" x14ac:dyDescent="0.35">
      <c r="A330">
        <v>100080808</v>
      </c>
      <c r="B330">
        <v>75030728</v>
      </c>
      <c r="C330" t="s">
        <v>371</v>
      </c>
      <c r="D330" t="s">
        <v>11</v>
      </c>
      <c r="E330" t="s">
        <v>33</v>
      </c>
      <c r="F330" t="s">
        <v>46</v>
      </c>
      <c r="G330" t="s">
        <v>14</v>
      </c>
      <c r="H330" t="s">
        <v>36</v>
      </c>
      <c r="I330" t="s">
        <v>109</v>
      </c>
      <c r="J330" s="10" t="str">
        <f>+_xlfn.XLOOKUP(B330,INNOVACIÓN!A:A,INNOVACIÓN!B:B,"NO")</f>
        <v>NO</v>
      </c>
      <c r="K330" s="10" t="str">
        <f>+_xlfn.XLOOKUP(B330,MERMA!B:B,MERMA!C:C,"No")</f>
        <v>No</v>
      </c>
      <c r="L330" s="10" t="str">
        <f>+_xlfn.XLOOKUP(B330,MERMA!B:B,MERMA!D:D,"No es merma")</f>
        <v>No es merma</v>
      </c>
    </row>
    <row r="331" spans="1:12" ht="14.5" hidden="1" x14ac:dyDescent="0.35">
      <c r="A331">
        <v>100020770</v>
      </c>
      <c r="B331">
        <v>75074753</v>
      </c>
      <c r="C331" t="s">
        <v>372</v>
      </c>
      <c r="D331" t="s">
        <v>11</v>
      </c>
      <c r="E331" t="s">
        <v>33</v>
      </c>
      <c r="F331" t="s">
        <v>46</v>
      </c>
      <c r="G331" t="s">
        <v>14</v>
      </c>
      <c r="H331" t="s">
        <v>36</v>
      </c>
      <c r="I331" t="s">
        <v>109</v>
      </c>
      <c r="J331" s="10" t="str">
        <f>+_xlfn.XLOOKUP(B331,INNOVACIÓN!A:A,INNOVACIÓN!B:B,"NO")</f>
        <v>NO</v>
      </c>
      <c r="K331" s="10" t="str">
        <f>+_xlfn.XLOOKUP(B331,MERMA!B:B,MERMA!C:C,"No")</f>
        <v>SI</v>
      </c>
      <c r="L331" s="10">
        <f>+_xlfn.XLOOKUP(B331,MERMA!B:B,MERMA!D:D,"No es merma")</f>
        <v>2025</v>
      </c>
    </row>
    <row r="332" spans="1:12" ht="14.5" hidden="1" x14ac:dyDescent="0.35">
      <c r="A332">
        <v>100024301</v>
      </c>
      <c r="B332">
        <v>7503031950960</v>
      </c>
      <c r="C332" t="s">
        <v>373</v>
      </c>
      <c r="D332" t="s">
        <v>11</v>
      </c>
      <c r="E332" t="s">
        <v>33</v>
      </c>
      <c r="F332" t="s">
        <v>46</v>
      </c>
      <c r="G332" t="s">
        <v>14</v>
      </c>
      <c r="H332" t="s">
        <v>36</v>
      </c>
      <c r="I332" t="s">
        <v>109</v>
      </c>
      <c r="J332" s="10" t="str">
        <f>+_xlfn.XLOOKUP(B332,INNOVACIÓN!A:A,INNOVACIÓN!B:B,"NO")</f>
        <v>NO</v>
      </c>
      <c r="K332" s="10" t="str">
        <f>+_xlfn.XLOOKUP(B332,MERMA!B:B,MERMA!C:C,"No")</f>
        <v>No</v>
      </c>
      <c r="L332" s="10" t="str">
        <f>+_xlfn.XLOOKUP(B332,MERMA!B:B,MERMA!D:D,"No es merma")</f>
        <v>No es merma</v>
      </c>
    </row>
    <row r="333" spans="1:12" ht="14.5" hidden="1" x14ac:dyDescent="0.35">
      <c r="A333" s="10">
        <v>100025452</v>
      </c>
      <c r="B333">
        <v>7503031949322</v>
      </c>
      <c r="C333" s="10" t="s">
        <v>374</v>
      </c>
      <c r="D333" t="s">
        <v>11</v>
      </c>
      <c r="E333" t="s">
        <v>33</v>
      </c>
      <c r="F333" t="s">
        <v>46</v>
      </c>
      <c r="G333" t="s">
        <v>14</v>
      </c>
      <c r="H333" t="s">
        <v>36</v>
      </c>
      <c r="I333" t="s">
        <v>109</v>
      </c>
      <c r="J333" s="10" t="str">
        <f>+_xlfn.XLOOKUP(B333,INNOVACIÓN!A:A,INNOVACIÓN!B:B,"NO")</f>
        <v>NO</v>
      </c>
      <c r="K333" s="10" t="str">
        <f>+_xlfn.XLOOKUP(B333,MERMA!B:B,MERMA!C:C,"No")</f>
        <v>No</v>
      </c>
      <c r="L333" s="10" t="str">
        <f>+_xlfn.XLOOKUP(B333,MERMA!B:B,MERMA!D:D,"No es merma")</f>
        <v>No es merma</v>
      </c>
    </row>
    <row r="334" spans="1:12" ht="14.5" hidden="1" x14ac:dyDescent="0.35">
      <c r="A334">
        <v>100024303</v>
      </c>
      <c r="B334">
        <v>7503031950977</v>
      </c>
      <c r="C334" t="s">
        <v>375</v>
      </c>
      <c r="D334" t="s">
        <v>11</v>
      </c>
      <c r="E334" t="s">
        <v>33</v>
      </c>
      <c r="F334" t="s">
        <v>46</v>
      </c>
      <c r="G334" t="s">
        <v>14</v>
      </c>
      <c r="H334" t="s">
        <v>36</v>
      </c>
      <c r="I334" t="s">
        <v>109</v>
      </c>
      <c r="J334" s="10" t="str">
        <f>+_xlfn.XLOOKUP(B334,INNOVACIÓN!A:A,INNOVACIÓN!B:B,"NO")</f>
        <v>NO</v>
      </c>
      <c r="K334" s="10" t="str">
        <f>+_xlfn.XLOOKUP(B334,MERMA!B:B,MERMA!C:C,"No")</f>
        <v>No</v>
      </c>
      <c r="L334" s="10" t="str">
        <f>+_xlfn.XLOOKUP(B334,MERMA!B:B,MERMA!D:D,"No es merma")</f>
        <v>No es merma</v>
      </c>
    </row>
    <row r="335" spans="1:12" ht="14.5" hidden="1" x14ac:dyDescent="0.35">
      <c r="A335">
        <v>100024306</v>
      </c>
      <c r="B335">
        <v>7503031949094</v>
      </c>
      <c r="C335" t="s">
        <v>376</v>
      </c>
      <c r="D335" t="s">
        <v>11</v>
      </c>
      <c r="E335" t="s">
        <v>33</v>
      </c>
      <c r="F335" t="s">
        <v>46</v>
      </c>
      <c r="G335" t="s">
        <v>14</v>
      </c>
      <c r="H335" t="s">
        <v>36</v>
      </c>
      <c r="I335" t="s">
        <v>109</v>
      </c>
      <c r="J335" s="10" t="str">
        <f>+_xlfn.XLOOKUP(B335,INNOVACIÓN!A:A,INNOVACIÓN!B:B,"NO")</f>
        <v>NO</v>
      </c>
      <c r="K335" s="10" t="str">
        <f>+_xlfn.XLOOKUP(B335,MERMA!B:B,MERMA!C:C,"No")</f>
        <v>SI</v>
      </c>
      <c r="L335" s="10">
        <f>+_xlfn.XLOOKUP(B335,MERMA!B:B,MERMA!D:D,"No es merma")</f>
        <v>2025</v>
      </c>
    </row>
    <row r="336" spans="1:12" ht="14.5" hidden="1" x14ac:dyDescent="0.35">
      <c r="A336" s="10">
        <v>100025451</v>
      </c>
      <c r="B336">
        <v>7503031949209</v>
      </c>
      <c r="C336" s="10" t="s">
        <v>377</v>
      </c>
      <c r="D336" t="s">
        <v>11</v>
      </c>
      <c r="E336" t="s">
        <v>33</v>
      </c>
      <c r="F336" t="s">
        <v>46</v>
      </c>
      <c r="G336" t="s">
        <v>14</v>
      </c>
      <c r="H336" t="s">
        <v>36</v>
      </c>
      <c r="I336" t="s">
        <v>109</v>
      </c>
      <c r="J336" s="10" t="str">
        <f>+_xlfn.XLOOKUP(B336,INNOVACIÓN!A:A,INNOVACIÓN!B:B,"NO")</f>
        <v>NO</v>
      </c>
      <c r="K336" s="10" t="str">
        <f>+_xlfn.XLOOKUP(B336,MERMA!B:B,MERMA!C:C,"No")</f>
        <v>No</v>
      </c>
      <c r="L336" s="10" t="str">
        <f>+_xlfn.XLOOKUP(B336,MERMA!B:B,MERMA!D:D,"No es merma")</f>
        <v>No es merma</v>
      </c>
    </row>
    <row r="337" spans="1:12" ht="14.5" hidden="1" x14ac:dyDescent="0.35">
      <c r="A337">
        <v>100024305</v>
      </c>
      <c r="B337">
        <v>7503031949001</v>
      </c>
      <c r="C337" t="s">
        <v>378</v>
      </c>
      <c r="D337" t="s">
        <v>11</v>
      </c>
      <c r="E337" t="s">
        <v>33</v>
      </c>
      <c r="F337" t="s">
        <v>46</v>
      </c>
      <c r="G337" t="s">
        <v>14</v>
      </c>
      <c r="H337" t="s">
        <v>36</v>
      </c>
      <c r="I337" t="s">
        <v>109</v>
      </c>
      <c r="J337" s="10" t="str">
        <f>+_xlfn.XLOOKUP(B337,INNOVACIÓN!A:A,INNOVACIÓN!B:B,"NO")</f>
        <v>NO</v>
      </c>
      <c r="K337" s="10" t="str">
        <f>+_xlfn.XLOOKUP(B337,MERMA!B:B,MERMA!C:C,"No")</f>
        <v>SI</v>
      </c>
      <c r="L337" s="10">
        <f>+_xlfn.XLOOKUP(B337,MERMA!B:B,MERMA!D:D,"No es merma")</f>
        <v>2025</v>
      </c>
    </row>
    <row r="338" spans="1:12" ht="14.5" hidden="1" x14ac:dyDescent="0.35">
      <c r="A338" s="10">
        <v>100025450</v>
      </c>
      <c r="B338">
        <v>7503031949223</v>
      </c>
      <c r="C338" s="10" t="s">
        <v>379</v>
      </c>
      <c r="D338" t="s">
        <v>11</v>
      </c>
      <c r="E338" t="s">
        <v>33</v>
      </c>
      <c r="F338" t="s">
        <v>46</v>
      </c>
      <c r="G338" t="s">
        <v>14</v>
      </c>
      <c r="H338" t="s">
        <v>36</v>
      </c>
      <c r="I338" t="s">
        <v>109</v>
      </c>
      <c r="J338" s="10" t="str">
        <f>+_xlfn.XLOOKUP(B338,INNOVACIÓN!A:A,INNOVACIÓN!B:B,"NO")</f>
        <v>NO</v>
      </c>
      <c r="K338" s="10" t="str">
        <f>+_xlfn.XLOOKUP(B338,MERMA!B:B,MERMA!C:C,"No")</f>
        <v>No</v>
      </c>
      <c r="L338" s="10" t="str">
        <f>+_xlfn.XLOOKUP(B338,MERMA!B:B,MERMA!D:D,"No es merma")</f>
        <v>No es merma</v>
      </c>
    </row>
    <row r="339" spans="1:12" ht="14.5" hidden="1" x14ac:dyDescent="0.35">
      <c r="A339">
        <v>100022332</v>
      </c>
      <c r="B339">
        <v>75018832</v>
      </c>
      <c r="C339" t="s">
        <v>380</v>
      </c>
      <c r="D339" t="s">
        <v>11</v>
      </c>
      <c r="E339" t="s">
        <v>33</v>
      </c>
      <c r="F339" t="s">
        <v>46</v>
      </c>
      <c r="G339" t="s">
        <v>14</v>
      </c>
      <c r="H339" t="s">
        <v>36</v>
      </c>
      <c r="I339" t="s">
        <v>109</v>
      </c>
      <c r="J339" s="10" t="str">
        <f>+_xlfn.XLOOKUP(B339,INNOVACIÓN!A:A,INNOVACIÓN!B:B,"NO")</f>
        <v>NO</v>
      </c>
      <c r="K339" s="10" t="str">
        <f>+_xlfn.XLOOKUP(B339,MERMA!B:B,MERMA!C:C,"No")</f>
        <v>SI</v>
      </c>
      <c r="L339" s="10">
        <f>+_xlfn.XLOOKUP(B339,MERMA!B:B,MERMA!D:D,"No es merma")</f>
        <v>2025</v>
      </c>
    </row>
    <row r="340" spans="1:12" ht="14.5" hidden="1" x14ac:dyDescent="0.35">
      <c r="A340">
        <v>100024304</v>
      </c>
      <c r="B340">
        <v>7503031950991</v>
      </c>
      <c r="C340" t="s">
        <v>381</v>
      </c>
      <c r="D340" t="s">
        <v>11</v>
      </c>
      <c r="E340" t="s">
        <v>33</v>
      </c>
      <c r="F340" t="s">
        <v>46</v>
      </c>
      <c r="G340" t="s">
        <v>14</v>
      </c>
      <c r="H340" t="s">
        <v>36</v>
      </c>
      <c r="I340" t="s">
        <v>109</v>
      </c>
      <c r="J340" s="10" t="str">
        <f>+_xlfn.XLOOKUP(B340,INNOVACIÓN!A:A,INNOVACIÓN!B:B,"NO")</f>
        <v>NO</v>
      </c>
      <c r="K340" s="10" t="str">
        <f>+_xlfn.XLOOKUP(B340,MERMA!B:B,MERMA!C:C,"No")</f>
        <v>SI</v>
      </c>
      <c r="L340" s="10">
        <f>+_xlfn.XLOOKUP(B340,MERMA!B:B,MERMA!D:D,"No es merma")</f>
        <v>2025</v>
      </c>
    </row>
    <row r="341" spans="1:12" ht="14.5" hidden="1" x14ac:dyDescent="0.35">
      <c r="A341">
        <v>100022331</v>
      </c>
      <c r="B341">
        <v>75004408</v>
      </c>
      <c r="C341" t="s">
        <v>382</v>
      </c>
      <c r="D341" t="s">
        <v>11</v>
      </c>
      <c r="E341" t="s">
        <v>33</v>
      </c>
      <c r="F341" t="s">
        <v>46</v>
      </c>
      <c r="G341" t="s">
        <v>54</v>
      </c>
      <c r="H341" t="s">
        <v>36</v>
      </c>
      <c r="I341" t="s">
        <v>109</v>
      </c>
      <c r="J341" s="10" t="str">
        <f>+_xlfn.XLOOKUP(B341,INNOVACIÓN!A:A,INNOVACIÓN!B:B,"NO")</f>
        <v>NO</v>
      </c>
      <c r="K341" s="10" t="str">
        <f>+_xlfn.XLOOKUP(B341,MERMA!B:B,MERMA!C:C,"No")</f>
        <v>SI</v>
      </c>
      <c r="L341" s="10">
        <f>+_xlfn.XLOOKUP(B341,MERMA!B:B,MERMA!D:D,"No es merma")</f>
        <v>2025</v>
      </c>
    </row>
    <row r="342" spans="1:12" ht="14.5" hidden="1" x14ac:dyDescent="0.35">
      <c r="A342">
        <v>100019003</v>
      </c>
      <c r="B342">
        <v>75001445</v>
      </c>
      <c r="C342" t="s">
        <v>383</v>
      </c>
      <c r="D342" t="s">
        <v>11</v>
      </c>
      <c r="E342" t="s">
        <v>33</v>
      </c>
      <c r="F342" t="s">
        <v>46</v>
      </c>
      <c r="G342" t="s">
        <v>14</v>
      </c>
      <c r="H342" t="s">
        <v>36</v>
      </c>
      <c r="I342" t="s">
        <v>109</v>
      </c>
      <c r="J342" s="10" t="str">
        <f>+_xlfn.XLOOKUP(B342,INNOVACIÓN!A:A,INNOVACIÓN!B:B,"NO")</f>
        <v>NO</v>
      </c>
      <c r="K342" s="10" t="str">
        <f>+_xlfn.XLOOKUP(B342,MERMA!B:B,MERMA!C:C,"No")</f>
        <v>No</v>
      </c>
      <c r="L342" s="10" t="str">
        <f>+_xlfn.XLOOKUP(B342,MERMA!B:B,MERMA!D:D,"No es merma")</f>
        <v>No es merma</v>
      </c>
    </row>
    <row r="343" spans="1:12" ht="14.5" hidden="1" x14ac:dyDescent="0.35">
      <c r="A343">
        <v>100006296</v>
      </c>
      <c r="B343">
        <v>75053758</v>
      </c>
      <c r="C343" t="s">
        <v>384</v>
      </c>
      <c r="D343" t="s">
        <v>11</v>
      </c>
      <c r="E343" t="s">
        <v>33</v>
      </c>
      <c r="F343" t="s">
        <v>41</v>
      </c>
      <c r="G343" t="s">
        <v>35</v>
      </c>
      <c r="H343" t="s">
        <v>36</v>
      </c>
      <c r="I343" t="s">
        <v>109</v>
      </c>
      <c r="J343" s="10" t="str">
        <f>+_xlfn.XLOOKUP(B343,INNOVACIÓN!A:A,INNOVACIÓN!B:B,"NO")</f>
        <v>NO</v>
      </c>
      <c r="K343" s="10" t="str">
        <f>+_xlfn.XLOOKUP(B343,MERMA!B:B,MERMA!C:C,"No")</f>
        <v>SI</v>
      </c>
      <c r="L343" s="10">
        <f>+_xlfn.XLOOKUP(B343,MERMA!B:B,MERMA!D:D,"No es merma")</f>
        <v>2025</v>
      </c>
    </row>
    <row r="344" spans="1:12" ht="14.5" hidden="1" x14ac:dyDescent="0.35">
      <c r="A344">
        <v>100022139</v>
      </c>
      <c r="B344">
        <v>7503031950274</v>
      </c>
      <c r="C344" t="s">
        <v>385</v>
      </c>
      <c r="D344" t="s">
        <v>11</v>
      </c>
      <c r="E344" t="s">
        <v>33</v>
      </c>
      <c r="F344" t="s">
        <v>46</v>
      </c>
      <c r="G344" t="s">
        <v>14</v>
      </c>
      <c r="H344" t="s">
        <v>36</v>
      </c>
      <c r="I344" t="s">
        <v>109</v>
      </c>
      <c r="J344" s="10" t="str">
        <f>+_xlfn.XLOOKUP(B344,INNOVACIÓN!A:A,INNOVACIÓN!B:B,"NO")</f>
        <v>NO</v>
      </c>
      <c r="K344" s="10" t="str">
        <f>+_xlfn.XLOOKUP(B344,MERMA!B:B,MERMA!C:C,"No")</f>
        <v>SI</v>
      </c>
      <c r="L344" s="10">
        <f>+_xlfn.XLOOKUP(B344,MERMA!B:B,MERMA!D:D,"No es merma")</f>
        <v>2025</v>
      </c>
    </row>
    <row r="345" spans="1:12" ht="14.5" hidden="1" x14ac:dyDescent="0.35">
      <c r="A345">
        <v>100022845</v>
      </c>
      <c r="B345">
        <v>7503031950458</v>
      </c>
      <c r="C345" t="s">
        <v>386</v>
      </c>
      <c r="D345" t="s">
        <v>11</v>
      </c>
      <c r="E345" t="s">
        <v>33</v>
      </c>
      <c r="F345" t="s">
        <v>46</v>
      </c>
      <c r="G345" t="s">
        <v>14</v>
      </c>
      <c r="H345" t="s">
        <v>36</v>
      </c>
      <c r="I345" t="s">
        <v>109</v>
      </c>
      <c r="J345" s="10" t="str">
        <f>+_xlfn.XLOOKUP(B345,INNOVACIÓN!A:A,INNOVACIÓN!B:B,"NO")</f>
        <v>NO</v>
      </c>
      <c r="K345" s="10" t="str">
        <f>+_xlfn.XLOOKUP(B345,MERMA!B:B,MERMA!C:C,"No")</f>
        <v>SI</v>
      </c>
      <c r="L345" s="10">
        <f>+_xlfn.XLOOKUP(B345,MERMA!B:B,MERMA!D:D,"No es merma")</f>
        <v>2025</v>
      </c>
    </row>
    <row r="346" spans="1:12" ht="14.5" hidden="1" x14ac:dyDescent="0.35">
      <c r="A346">
        <v>100023891</v>
      </c>
      <c r="B346">
        <v>7503031950939</v>
      </c>
      <c r="C346" t="s">
        <v>387</v>
      </c>
      <c r="D346" t="s">
        <v>11</v>
      </c>
      <c r="E346" t="s">
        <v>33</v>
      </c>
      <c r="F346" t="s">
        <v>46</v>
      </c>
      <c r="G346" t="s">
        <v>14</v>
      </c>
      <c r="H346" t="s">
        <v>36</v>
      </c>
      <c r="I346" t="s">
        <v>109</v>
      </c>
      <c r="J346" s="10" t="str">
        <f>+_xlfn.XLOOKUP(B346,INNOVACIÓN!A:A,INNOVACIÓN!B:B,"NO")</f>
        <v>NO</v>
      </c>
      <c r="K346" s="10" t="str">
        <f>+_xlfn.XLOOKUP(B346,MERMA!B:B,MERMA!C:C,"No")</f>
        <v>SI</v>
      </c>
      <c r="L346" s="10">
        <f>+_xlfn.XLOOKUP(B346,MERMA!B:B,MERMA!D:D,"No es merma")</f>
        <v>2025</v>
      </c>
    </row>
    <row r="347" spans="1:12" ht="14.5" hidden="1" x14ac:dyDescent="0.35">
      <c r="A347">
        <v>100022968</v>
      </c>
      <c r="B347">
        <v>75025359</v>
      </c>
      <c r="C347" t="s">
        <v>388</v>
      </c>
      <c r="D347" t="s">
        <v>11</v>
      </c>
      <c r="E347" t="s">
        <v>33</v>
      </c>
      <c r="F347" t="s">
        <v>46</v>
      </c>
      <c r="G347" t="s">
        <v>14</v>
      </c>
      <c r="H347" t="s">
        <v>36</v>
      </c>
      <c r="I347" t="s">
        <v>109</v>
      </c>
      <c r="J347" s="10" t="str">
        <f>+_xlfn.XLOOKUP(B347,INNOVACIÓN!A:A,INNOVACIÓN!B:B,"NO")</f>
        <v>NO</v>
      </c>
      <c r="K347" s="10" t="str">
        <f>+_xlfn.XLOOKUP(B347,MERMA!B:B,MERMA!C:C,"No")</f>
        <v>SI</v>
      </c>
      <c r="L347" s="10">
        <f>+_xlfn.XLOOKUP(B347,MERMA!B:B,MERMA!D:D,"No es merma")</f>
        <v>2025</v>
      </c>
    </row>
    <row r="348" spans="1:12" ht="14.5" hidden="1" x14ac:dyDescent="0.35">
      <c r="A348">
        <v>100010332</v>
      </c>
      <c r="B348">
        <v>75062736</v>
      </c>
      <c r="C348" t="s">
        <v>389</v>
      </c>
      <c r="D348" t="s">
        <v>11</v>
      </c>
      <c r="E348" t="s">
        <v>33</v>
      </c>
      <c r="F348" t="s">
        <v>46</v>
      </c>
      <c r="G348" t="s">
        <v>14</v>
      </c>
      <c r="H348" t="s">
        <v>36</v>
      </c>
      <c r="I348" t="s">
        <v>109</v>
      </c>
      <c r="J348" s="10" t="str">
        <f>+_xlfn.XLOOKUP(B348,INNOVACIÓN!A:A,INNOVACIÓN!B:B,"NO")</f>
        <v>NO</v>
      </c>
      <c r="K348" s="10" t="str">
        <f>+_xlfn.XLOOKUP(B348,MERMA!B:B,MERMA!C:C,"No")</f>
        <v>SI</v>
      </c>
      <c r="L348" s="10">
        <f>+_xlfn.XLOOKUP(B348,MERMA!B:B,MERMA!D:D,"No es merma")</f>
        <v>2025</v>
      </c>
    </row>
    <row r="349" spans="1:12" ht="14.5" hidden="1" x14ac:dyDescent="0.35">
      <c r="A349">
        <v>100006294</v>
      </c>
      <c r="B349">
        <v>75053765</v>
      </c>
      <c r="C349" t="s">
        <v>390</v>
      </c>
      <c r="D349" t="s">
        <v>11</v>
      </c>
      <c r="E349" t="s">
        <v>33</v>
      </c>
      <c r="F349" t="s">
        <v>41</v>
      </c>
      <c r="G349" t="s">
        <v>35</v>
      </c>
      <c r="H349" t="s">
        <v>36</v>
      </c>
      <c r="I349" t="s">
        <v>109</v>
      </c>
      <c r="J349" s="10" t="str">
        <f>+_xlfn.XLOOKUP(B349,INNOVACIÓN!A:A,INNOVACIÓN!B:B,"NO")</f>
        <v>NO</v>
      </c>
      <c r="K349" s="10" t="str">
        <f>+_xlfn.XLOOKUP(B349,MERMA!B:B,MERMA!C:C,"No")</f>
        <v>SI</v>
      </c>
      <c r="L349" s="10">
        <f>+_xlfn.XLOOKUP(B349,MERMA!B:B,MERMA!D:D,"No es merma")</f>
        <v>2025</v>
      </c>
    </row>
    <row r="350" spans="1:12" ht="14.5" hidden="1" x14ac:dyDescent="0.35">
      <c r="A350">
        <v>100018586</v>
      </c>
      <c r="B350">
        <v>75001414</v>
      </c>
      <c r="C350" t="s">
        <v>391</v>
      </c>
      <c r="D350" t="s">
        <v>11</v>
      </c>
      <c r="E350" t="s">
        <v>33</v>
      </c>
      <c r="F350" t="s">
        <v>41</v>
      </c>
      <c r="G350" t="s">
        <v>35</v>
      </c>
      <c r="H350" t="s">
        <v>36</v>
      </c>
      <c r="I350" t="s">
        <v>109</v>
      </c>
      <c r="J350" s="10" t="str">
        <f>+_xlfn.XLOOKUP(B350,INNOVACIÓN!A:A,INNOVACIÓN!B:B,"NO")</f>
        <v>NO</v>
      </c>
      <c r="K350" s="10" t="str">
        <f>+_xlfn.XLOOKUP(B350,MERMA!B:B,MERMA!C:C,"No")</f>
        <v>SI</v>
      </c>
      <c r="L350" s="10">
        <f>+_xlfn.XLOOKUP(B350,MERMA!B:B,MERMA!D:D,"No es merma")</f>
        <v>2025</v>
      </c>
    </row>
    <row r="351" spans="1:12" ht="14.5" hidden="1" x14ac:dyDescent="0.35">
      <c r="A351">
        <v>100080990</v>
      </c>
      <c r="B351">
        <v>75050450</v>
      </c>
      <c r="C351" t="s">
        <v>392</v>
      </c>
      <c r="D351" t="s">
        <v>11</v>
      </c>
      <c r="E351" t="s">
        <v>33</v>
      </c>
      <c r="F351" t="s">
        <v>39</v>
      </c>
      <c r="G351" t="s">
        <v>14</v>
      </c>
      <c r="H351" t="s">
        <v>36</v>
      </c>
      <c r="I351" t="s">
        <v>109</v>
      </c>
      <c r="J351" s="10" t="str">
        <f>+_xlfn.XLOOKUP(B351,INNOVACIÓN!A:A,INNOVACIÓN!B:B,"NO")</f>
        <v>NO</v>
      </c>
      <c r="K351" s="10" t="str">
        <f>+_xlfn.XLOOKUP(B351,MERMA!B:B,MERMA!C:C,"No")</f>
        <v>No</v>
      </c>
      <c r="L351" s="10" t="str">
        <f>+_xlfn.XLOOKUP(B351,MERMA!B:B,MERMA!D:D,"No es merma")</f>
        <v>No es merma</v>
      </c>
    </row>
    <row r="352" spans="1:12" ht="14.5" hidden="1" x14ac:dyDescent="0.35">
      <c r="A352">
        <v>100021422</v>
      </c>
      <c r="B352">
        <v>75022242</v>
      </c>
      <c r="C352" t="s">
        <v>393</v>
      </c>
      <c r="D352" t="s">
        <v>11</v>
      </c>
      <c r="E352" t="s">
        <v>33</v>
      </c>
      <c r="F352" t="s">
        <v>39</v>
      </c>
      <c r="G352" t="s">
        <v>54</v>
      </c>
      <c r="H352" t="s">
        <v>36</v>
      </c>
      <c r="I352" t="s">
        <v>109</v>
      </c>
      <c r="J352" s="10" t="str">
        <f>+_xlfn.XLOOKUP(B352,INNOVACIÓN!A:A,INNOVACIÓN!B:B,"NO")</f>
        <v>NO</v>
      </c>
      <c r="K352" s="10" t="str">
        <f>+_xlfn.XLOOKUP(B352,MERMA!B:B,MERMA!C:C,"No")</f>
        <v>No</v>
      </c>
      <c r="L352" s="10" t="str">
        <f>+_xlfn.XLOOKUP(B352,MERMA!B:B,MERMA!D:D,"No es merma")</f>
        <v>No es merma</v>
      </c>
    </row>
    <row r="353" spans="1:12" ht="14.5" hidden="1" x14ac:dyDescent="0.35">
      <c r="A353" s="10">
        <v>100019696</v>
      </c>
      <c r="B353">
        <v>75072612</v>
      </c>
      <c r="C353" s="10" t="s">
        <v>394</v>
      </c>
      <c r="D353" t="s">
        <v>11</v>
      </c>
      <c r="E353" t="s">
        <v>33</v>
      </c>
      <c r="F353" t="s">
        <v>39</v>
      </c>
      <c r="G353" t="s">
        <v>35</v>
      </c>
      <c r="H353" t="s">
        <v>36</v>
      </c>
      <c r="I353" t="s">
        <v>109</v>
      </c>
      <c r="J353" s="10" t="str">
        <f>+_xlfn.XLOOKUP(B353,INNOVACIÓN!A:A,INNOVACIÓN!B:B,"NO")</f>
        <v>NO</v>
      </c>
      <c r="K353" s="10" t="str">
        <f>+_xlfn.XLOOKUP(B353,MERMA!B:B,MERMA!C:C,"No")</f>
        <v>No</v>
      </c>
      <c r="L353" s="10" t="str">
        <f>+_xlfn.XLOOKUP(B353,MERMA!B:B,MERMA!D:D,"No es merma")</f>
        <v>No es merma</v>
      </c>
    </row>
    <row r="354" spans="1:12" ht="14.5" hidden="1" x14ac:dyDescent="0.35">
      <c r="A354">
        <v>100015219</v>
      </c>
      <c r="B354">
        <v>75069933</v>
      </c>
      <c r="C354" t="s">
        <v>395</v>
      </c>
      <c r="D354" t="s">
        <v>11</v>
      </c>
      <c r="E354" t="s">
        <v>33</v>
      </c>
      <c r="F354" t="s">
        <v>39</v>
      </c>
      <c r="G354" t="s">
        <v>35</v>
      </c>
      <c r="H354" t="s">
        <v>36</v>
      </c>
      <c r="I354" t="s">
        <v>109</v>
      </c>
      <c r="J354" s="10" t="str">
        <f>+_xlfn.XLOOKUP(B354,INNOVACIÓN!A:A,INNOVACIÓN!B:B,"NO")</f>
        <v>NO</v>
      </c>
      <c r="K354" s="10" t="str">
        <f>+_xlfn.XLOOKUP(B354,MERMA!B:B,MERMA!C:C,"No")</f>
        <v>SI</v>
      </c>
      <c r="L354" s="10">
        <f>+_xlfn.XLOOKUP(B354,MERMA!B:B,MERMA!D:D,"No es merma")</f>
        <v>2025</v>
      </c>
    </row>
    <row r="355" spans="1:12" ht="14.5" hidden="1" x14ac:dyDescent="0.35">
      <c r="A355">
        <v>100019698</v>
      </c>
      <c r="B355">
        <v>75072605</v>
      </c>
      <c r="C355" t="s">
        <v>396</v>
      </c>
      <c r="D355" t="s">
        <v>11</v>
      </c>
      <c r="E355" t="s">
        <v>33</v>
      </c>
      <c r="F355" t="s">
        <v>39</v>
      </c>
      <c r="G355" t="s">
        <v>54</v>
      </c>
      <c r="H355" t="s">
        <v>36</v>
      </c>
      <c r="I355" t="s">
        <v>109</v>
      </c>
      <c r="J355" s="10" t="str">
        <f>+_xlfn.XLOOKUP(B355,INNOVACIÓN!A:A,INNOVACIÓN!B:B,"NO")</f>
        <v>NO</v>
      </c>
      <c r="K355" s="10" t="str">
        <f>+_xlfn.XLOOKUP(B355,MERMA!B:B,MERMA!C:C,"No")</f>
        <v>SI</v>
      </c>
      <c r="L355" s="10">
        <f>+_xlfn.XLOOKUP(B355,MERMA!B:B,MERMA!D:D,"No es merma")</f>
        <v>2025</v>
      </c>
    </row>
    <row r="356" spans="1:12" ht="14.5" hidden="1" x14ac:dyDescent="0.35">
      <c r="A356">
        <v>100021413</v>
      </c>
      <c r="B356">
        <v>7503031950229</v>
      </c>
      <c r="C356" t="s">
        <v>397</v>
      </c>
      <c r="D356" t="s">
        <v>11</v>
      </c>
      <c r="E356" t="s">
        <v>33</v>
      </c>
      <c r="F356" t="s">
        <v>46</v>
      </c>
      <c r="G356" t="s">
        <v>14</v>
      </c>
      <c r="H356" t="s">
        <v>36</v>
      </c>
      <c r="I356" t="s">
        <v>109</v>
      </c>
      <c r="J356" s="10" t="str">
        <f>+_xlfn.XLOOKUP(B356,INNOVACIÓN!A:A,INNOVACIÓN!B:B,"NO")</f>
        <v>NO</v>
      </c>
      <c r="K356" s="10" t="str">
        <f>+_xlfn.XLOOKUP(B356,MERMA!B:B,MERMA!C:C,"No")</f>
        <v>No</v>
      </c>
      <c r="L356" s="10" t="str">
        <f>+_xlfn.XLOOKUP(B356,MERMA!B:B,MERMA!D:D,"No es merma")</f>
        <v>No es merma</v>
      </c>
    </row>
    <row r="357" spans="1:12" ht="14.5" hidden="1" x14ac:dyDescent="0.35">
      <c r="A357">
        <v>100021421</v>
      </c>
      <c r="B357">
        <v>75012717</v>
      </c>
      <c r="C357" t="s">
        <v>398</v>
      </c>
      <c r="D357" t="s">
        <v>11</v>
      </c>
      <c r="E357" t="s">
        <v>33</v>
      </c>
      <c r="F357" t="s">
        <v>39</v>
      </c>
      <c r="G357" t="s">
        <v>54</v>
      </c>
      <c r="H357" t="s">
        <v>36</v>
      </c>
      <c r="I357" t="s">
        <v>109</v>
      </c>
      <c r="J357" s="10" t="str">
        <f>+_xlfn.XLOOKUP(B357,INNOVACIÓN!A:A,INNOVACIÓN!B:B,"NO")</f>
        <v>NO</v>
      </c>
      <c r="K357" s="10" t="str">
        <f>+_xlfn.XLOOKUP(B357,MERMA!B:B,MERMA!C:C,"No")</f>
        <v>SI</v>
      </c>
      <c r="L357" s="10">
        <f>+_xlfn.XLOOKUP(B357,MERMA!B:B,MERMA!D:D,"No es merma")</f>
        <v>2025</v>
      </c>
    </row>
    <row r="358" spans="1:12" ht="14.5" hidden="1" x14ac:dyDescent="0.35">
      <c r="A358">
        <v>100021415</v>
      </c>
      <c r="B358">
        <v>75022259</v>
      </c>
      <c r="C358" t="s">
        <v>399</v>
      </c>
      <c r="D358" t="s">
        <v>11</v>
      </c>
      <c r="E358" t="s">
        <v>33</v>
      </c>
      <c r="F358" t="s">
        <v>39</v>
      </c>
      <c r="G358" t="s">
        <v>54</v>
      </c>
      <c r="H358" t="s">
        <v>36</v>
      </c>
      <c r="I358" t="s">
        <v>109</v>
      </c>
      <c r="J358" s="10" t="str">
        <f>+_xlfn.XLOOKUP(B358,INNOVACIÓN!A:A,INNOVACIÓN!B:B,"NO")</f>
        <v>NO</v>
      </c>
      <c r="K358" s="10" t="str">
        <f>+_xlfn.XLOOKUP(B358,MERMA!B:B,MERMA!C:C,"No")</f>
        <v>SI</v>
      </c>
      <c r="L358" s="10">
        <f>+_xlfn.XLOOKUP(B358,MERMA!B:B,MERMA!D:D,"No es merma")</f>
        <v>2025</v>
      </c>
    </row>
    <row r="359" spans="1:12" ht="14.5" hidden="1" x14ac:dyDescent="0.35">
      <c r="A359">
        <v>100021411</v>
      </c>
      <c r="B359">
        <v>7503031950236</v>
      </c>
      <c r="C359" t="s">
        <v>400</v>
      </c>
      <c r="D359" t="s">
        <v>11</v>
      </c>
      <c r="E359" t="s">
        <v>33</v>
      </c>
      <c r="F359" t="s">
        <v>46</v>
      </c>
      <c r="G359" t="s">
        <v>14</v>
      </c>
      <c r="H359" t="s">
        <v>36</v>
      </c>
      <c r="I359" t="s">
        <v>109</v>
      </c>
      <c r="J359" s="10" t="str">
        <f>+_xlfn.XLOOKUP(B359,INNOVACIÓN!A:A,INNOVACIÓN!B:B,"NO")</f>
        <v>NO</v>
      </c>
      <c r="K359" s="10" t="str">
        <f>+_xlfn.XLOOKUP(B359,MERMA!B:B,MERMA!C:C,"No")</f>
        <v>No</v>
      </c>
      <c r="L359" s="10" t="str">
        <f>+_xlfn.XLOOKUP(B359,MERMA!B:B,MERMA!D:D,"No es merma")</f>
        <v>No es merma</v>
      </c>
    </row>
    <row r="360" spans="1:12" ht="14.5" hidden="1" x14ac:dyDescent="0.35">
      <c r="A360">
        <v>100021409</v>
      </c>
      <c r="B360">
        <v>7503031950250</v>
      </c>
      <c r="C360" t="s">
        <v>401</v>
      </c>
      <c r="D360" t="s">
        <v>11</v>
      </c>
      <c r="E360" t="s">
        <v>33</v>
      </c>
      <c r="F360" t="s">
        <v>46</v>
      </c>
      <c r="G360" t="s">
        <v>14</v>
      </c>
      <c r="H360" t="s">
        <v>36</v>
      </c>
      <c r="I360" t="s">
        <v>109</v>
      </c>
      <c r="J360" s="10" t="str">
        <f>+_xlfn.XLOOKUP(B360,INNOVACIÓN!A:A,INNOVACIÓN!B:B,"NO")</f>
        <v>NO</v>
      </c>
      <c r="K360" s="10" t="str">
        <f>+_xlfn.XLOOKUP(B360,MERMA!B:B,MERMA!C:C,"No")</f>
        <v>No</v>
      </c>
      <c r="L360" s="10" t="str">
        <f>+_xlfn.XLOOKUP(B360,MERMA!B:B,MERMA!D:D,"No es merma")</f>
        <v>No es merma</v>
      </c>
    </row>
    <row r="361" spans="1:12" ht="14.5" hidden="1" x14ac:dyDescent="0.35">
      <c r="A361">
        <v>100021407</v>
      </c>
      <c r="B361">
        <v>7503031950243</v>
      </c>
      <c r="C361" t="s">
        <v>402</v>
      </c>
      <c r="D361" t="s">
        <v>11</v>
      </c>
      <c r="E361" t="s">
        <v>33</v>
      </c>
      <c r="F361" t="s">
        <v>46</v>
      </c>
      <c r="G361" t="s">
        <v>54</v>
      </c>
      <c r="H361" t="s">
        <v>36</v>
      </c>
      <c r="I361" t="s">
        <v>109</v>
      </c>
      <c r="J361" s="10" t="str">
        <f>+_xlfn.XLOOKUP(B361,INNOVACIÓN!A:A,INNOVACIÓN!B:B,"NO")</f>
        <v>NO</v>
      </c>
      <c r="K361" s="10" t="str">
        <f>+_xlfn.XLOOKUP(B361,MERMA!B:B,MERMA!C:C,"No")</f>
        <v>No</v>
      </c>
      <c r="L361" s="10" t="str">
        <f>+_xlfn.XLOOKUP(B361,MERMA!B:B,MERMA!D:D,"No es merma")</f>
        <v>No es merma</v>
      </c>
    </row>
    <row r="362" spans="1:12" ht="14.5" hidden="1" x14ac:dyDescent="0.35">
      <c r="A362">
        <v>100021418</v>
      </c>
      <c r="B362">
        <v>75015718</v>
      </c>
      <c r="C362" t="s">
        <v>403</v>
      </c>
      <c r="D362" t="s">
        <v>11</v>
      </c>
      <c r="E362" t="s">
        <v>33</v>
      </c>
      <c r="F362" t="s">
        <v>39</v>
      </c>
      <c r="G362" t="s">
        <v>54</v>
      </c>
      <c r="H362" t="s">
        <v>36</v>
      </c>
      <c r="I362" t="s">
        <v>109</v>
      </c>
      <c r="J362" s="10" t="str">
        <f>+_xlfn.XLOOKUP(B362,INNOVACIÓN!A:A,INNOVACIÓN!B:B,"NO")</f>
        <v>NO</v>
      </c>
      <c r="K362" s="10" t="str">
        <f>+_xlfn.XLOOKUP(B362,MERMA!B:B,MERMA!C:C,"No")</f>
        <v>No</v>
      </c>
      <c r="L362" s="10" t="str">
        <f>+_xlfn.XLOOKUP(B362,MERMA!B:B,MERMA!D:D,"No es merma")</f>
        <v>No es merma</v>
      </c>
    </row>
    <row r="363" spans="1:12" ht="14.5" hidden="1" x14ac:dyDescent="0.35">
      <c r="A363">
        <v>100022334</v>
      </c>
      <c r="B363">
        <v>7503031950441</v>
      </c>
      <c r="C363" t="s">
        <v>404</v>
      </c>
      <c r="D363" t="s">
        <v>11</v>
      </c>
      <c r="E363" t="s">
        <v>33</v>
      </c>
      <c r="F363" t="s">
        <v>46</v>
      </c>
      <c r="G363" t="s">
        <v>54</v>
      </c>
      <c r="H363" t="s">
        <v>36</v>
      </c>
      <c r="I363" t="s">
        <v>109</v>
      </c>
      <c r="J363" s="10" t="str">
        <f>+_xlfn.XLOOKUP(B363,INNOVACIÓN!A:A,INNOVACIÓN!B:B,"NO")</f>
        <v>NO</v>
      </c>
      <c r="K363" s="10" t="str">
        <f>+_xlfn.XLOOKUP(B363,MERMA!B:B,MERMA!C:C,"No")</f>
        <v>No</v>
      </c>
      <c r="L363" s="10" t="str">
        <f>+_xlfn.XLOOKUP(B363,MERMA!B:B,MERMA!D:D,"No es merma")</f>
        <v>No es merma</v>
      </c>
    </row>
    <row r="364" spans="1:12" ht="14.5" hidden="1" x14ac:dyDescent="0.35">
      <c r="A364">
        <v>100020135</v>
      </c>
      <c r="B364">
        <v>7503031950137</v>
      </c>
      <c r="C364" t="s">
        <v>405</v>
      </c>
      <c r="D364" t="s">
        <v>11</v>
      </c>
      <c r="E364" t="s">
        <v>33</v>
      </c>
      <c r="F364" t="s">
        <v>46</v>
      </c>
      <c r="G364" t="s">
        <v>14</v>
      </c>
      <c r="H364" t="s">
        <v>36</v>
      </c>
      <c r="I364" t="s">
        <v>109</v>
      </c>
      <c r="J364" s="10" t="str">
        <f>+_xlfn.XLOOKUP(B364,INNOVACIÓN!A:A,INNOVACIÓN!B:B,"NO")</f>
        <v>NO</v>
      </c>
      <c r="K364" s="10" t="str">
        <f>+_xlfn.XLOOKUP(B364,MERMA!B:B,MERMA!C:C,"No")</f>
        <v>No</v>
      </c>
      <c r="L364" s="10" t="str">
        <f>+_xlfn.XLOOKUP(B364,MERMA!B:B,MERMA!D:D,"No es merma")</f>
        <v>No es merma</v>
      </c>
    </row>
    <row r="365" spans="1:12" ht="14.5" hidden="1" x14ac:dyDescent="0.35">
      <c r="A365">
        <v>100020134</v>
      </c>
      <c r="B365">
        <v>7503031950144</v>
      </c>
      <c r="C365" t="s">
        <v>406</v>
      </c>
      <c r="D365" t="s">
        <v>11</v>
      </c>
      <c r="E365" t="s">
        <v>33</v>
      </c>
      <c r="F365" t="s">
        <v>46</v>
      </c>
      <c r="G365" t="s">
        <v>14</v>
      </c>
      <c r="H365" t="s">
        <v>36</v>
      </c>
      <c r="I365" t="s">
        <v>109</v>
      </c>
      <c r="J365" s="10" t="str">
        <f>+_xlfn.XLOOKUP(B365,INNOVACIÓN!A:A,INNOVACIÓN!B:B,"NO")</f>
        <v>NO</v>
      </c>
      <c r="K365" s="10" t="str">
        <f>+_xlfn.XLOOKUP(B365,MERMA!B:B,MERMA!C:C,"No")</f>
        <v>No</v>
      </c>
      <c r="L365" s="10" t="str">
        <f>+_xlfn.XLOOKUP(B365,MERMA!B:B,MERMA!D:D,"No es merma")</f>
        <v>No es merma</v>
      </c>
    </row>
    <row r="366" spans="1:12" ht="14.5" hidden="1" x14ac:dyDescent="0.35">
      <c r="A366" s="10">
        <v>100020136</v>
      </c>
      <c r="B366">
        <v>7503031950151</v>
      </c>
      <c r="C366" s="10" t="s">
        <v>407</v>
      </c>
      <c r="D366" t="s">
        <v>11</v>
      </c>
      <c r="E366" t="s">
        <v>33</v>
      </c>
      <c r="F366" t="s">
        <v>46</v>
      </c>
      <c r="G366" t="s">
        <v>54</v>
      </c>
      <c r="H366" t="s">
        <v>36</v>
      </c>
      <c r="I366" t="s">
        <v>109</v>
      </c>
      <c r="J366" s="10" t="str">
        <f>+_xlfn.XLOOKUP(B366,INNOVACIÓN!A:A,INNOVACIÓN!B:B,"NO")</f>
        <v>NO</v>
      </c>
      <c r="K366" s="10" t="str">
        <f>+_xlfn.XLOOKUP(B366,MERMA!B:B,MERMA!C:C,"No")</f>
        <v>No</v>
      </c>
      <c r="L366" s="10" t="str">
        <f>+_xlfn.XLOOKUP(B366,MERMA!B:B,MERMA!D:D,"No es merma")</f>
        <v>No es merma</v>
      </c>
    </row>
    <row r="367" spans="1:12" ht="14.5" hidden="1" x14ac:dyDescent="0.35">
      <c r="A367" s="10">
        <v>100019578</v>
      </c>
      <c r="B367">
        <v>7503031950052</v>
      </c>
      <c r="C367" s="10" t="s">
        <v>408</v>
      </c>
      <c r="D367" t="s">
        <v>11</v>
      </c>
      <c r="E367" t="s">
        <v>33</v>
      </c>
      <c r="F367" t="s">
        <v>46</v>
      </c>
      <c r="G367" t="s">
        <v>14</v>
      </c>
      <c r="H367" t="s">
        <v>36</v>
      </c>
      <c r="I367" t="s">
        <v>109</v>
      </c>
      <c r="J367" s="10" t="str">
        <f>+_xlfn.XLOOKUP(B367,INNOVACIÓN!A:A,INNOVACIÓN!B:B,"NO")</f>
        <v>NO</v>
      </c>
      <c r="K367" s="10" t="str">
        <f>+_xlfn.XLOOKUP(B367,MERMA!B:B,MERMA!C:C,"No")</f>
        <v>No</v>
      </c>
      <c r="L367" s="10" t="str">
        <f>+_xlfn.XLOOKUP(B367,MERMA!B:B,MERMA!D:D,"No es merma")</f>
        <v>No es merma</v>
      </c>
    </row>
    <row r="368" spans="1:12" ht="14.5" hidden="1" x14ac:dyDescent="0.35">
      <c r="A368">
        <v>100020724</v>
      </c>
      <c r="B368">
        <v>7503031950182</v>
      </c>
      <c r="C368" t="s">
        <v>409</v>
      </c>
      <c r="D368" t="s">
        <v>11</v>
      </c>
      <c r="E368" t="s">
        <v>33</v>
      </c>
      <c r="F368" t="s">
        <v>46</v>
      </c>
      <c r="G368" t="s">
        <v>14</v>
      </c>
      <c r="H368" t="s">
        <v>36</v>
      </c>
      <c r="I368" t="s">
        <v>109</v>
      </c>
      <c r="J368" s="10" t="str">
        <f>+_xlfn.XLOOKUP(B368,INNOVACIÓN!A:A,INNOVACIÓN!B:B,"NO")</f>
        <v>NO</v>
      </c>
      <c r="K368" s="10" t="str">
        <f>+_xlfn.XLOOKUP(B368,MERMA!B:B,MERMA!C:C,"No")</f>
        <v>No</v>
      </c>
      <c r="L368" s="10" t="str">
        <f>+_xlfn.XLOOKUP(B368,MERMA!B:B,MERMA!D:D,"No es merma")</f>
        <v>No es merma</v>
      </c>
    </row>
    <row r="369" spans="1:12" ht="14.5" hidden="1" x14ac:dyDescent="0.35">
      <c r="A369">
        <v>100020725</v>
      </c>
      <c r="B369">
        <v>7503031950199</v>
      </c>
      <c r="C369" t="s">
        <v>410</v>
      </c>
      <c r="D369" t="s">
        <v>11</v>
      </c>
      <c r="E369" t="s">
        <v>33</v>
      </c>
      <c r="F369" t="s">
        <v>46</v>
      </c>
      <c r="G369" t="s">
        <v>14</v>
      </c>
      <c r="H369" t="s">
        <v>36</v>
      </c>
      <c r="I369" t="s">
        <v>109</v>
      </c>
      <c r="J369" s="10" t="str">
        <f>+_xlfn.XLOOKUP(B369,INNOVACIÓN!A:A,INNOVACIÓN!B:B,"NO")</f>
        <v>NO</v>
      </c>
      <c r="K369" s="10" t="str">
        <f>+_xlfn.XLOOKUP(B369,MERMA!B:B,MERMA!C:C,"No")</f>
        <v>No</v>
      </c>
      <c r="L369" s="10" t="str">
        <f>+_xlfn.XLOOKUP(B369,MERMA!B:B,MERMA!D:D,"No es merma")</f>
        <v>No es merma</v>
      </c>
    </row>
    <row r="370" spans="1:12" ht="14.5" hidden="1" x14ac:dyDescent="0.35">
      <c r="A370">
        <v>100020726</v>
      </c>
      <c r="B370">
        <v>7503031950205</v>
      </c>
      <c r="C370" t="s">
        <v>411</v>
      </c>
      <c r="D370" t="s">
        <v>11</v>
      </c>
      <c r="E370" t="s">
        <v>33</v>
      </c>
      <c r="F370" t="s">
        <v>46</v>
      </c>
      <c r="G370" t="s">
        <v>54</v>
      </c>
      <c r="H370" t="s">
        <v>36</v>
      </c>
      <c r="I370" t="s">
        <v>109</v>
      </c>
      <c r="J370" s="10" t="str">
        <f>+_xlfn.XLOOKUP(B370,INNOVACIÓN!A:A,INNOVACIÓN!B:B,"NO")</f>
        <v>NO</v>
      </c>
      <c r="K370" s="10" t="str">
        <f>+_xlfn.XLOOKUP(B370,MERMA!B:B,MERMA!C:C,"No")</f>
        <v>No</v>
      </c>
      <c r="L370" s="10" t="str">
        <f>+_xlfn.XLOOKUP(B370,MERMA!B:B,MERMA!D:D,"No es merma")</f>
        <v>No es merma</v>
      </c>
    </row>
    <row r="371" spans="1:12" ht="14.5" hidden="1" x14ac:dyDescent="0.35">
      <c r="A371" s="10">
        <v>100019576</v>
      </c>
      <c r="B371">
        <v>7503031950069</v>
      </c>
      <c r="C371" s="10" t="s">
        <v>412</v>
      </c>
      <c r="D371" t="s">
        <v>11</v>
      </c>
      <c r="E371" t="s">
        <v>33</v>
      </c>
      <c r="F371" t="s">
        <v>46</v>
      </c>
      <c r="G371" t="s">
        <v>14</v>
      </c>
      <c r="H371" t="s">
        <v>36</v>
      </c>
      <c r="I371" t="s">
        <v>109</v>
      </c>
      <c r="J371" s="10" t="str">
        <f>+_xlfn.XLOOKUP(B371,INNOVACIÓN!A:A,INNOVACIÓN!B:B,"NO")</f>
        <v>NO</v>
      </c>
      <c r="K371" s="10" t="str">
        <f>+_xlfn.XLOOKUP(B371,MERMA!B:B,MERMA!C:C,"No")</f>
        <v>No</v>
      </c>
      <c r="L371" s="10" t="str">
        <f>+_xlfn.XLOOKUP(B371,MERMA!B:B,MERMA!D:D,"No es merma")</f>
        <v>No es merma</v>
      </c>
    </row>
    <row r="372" spans="1:12" ht="14.5" hidden="1" x14ac:dyDescent="0.35">
      <c r="A372">
        <v>100020429</v>
      </c>
      <c r="B372">
        <v>7503031950175</v>
      </c>
      <c r="C372" t="s">
        <v>413</v>
      </c>
      <c r="D372" t="s">
        <v>11</v>
      </c>
      <c r="E372" t="s">
        <v>33</v>
      </c>
      <c r="F372" t="s">
        <v>46</v>
      </c>
      <c r="G372" t="s">
        <v>14</v>
      </c>
      <c r="H372" t="s">
        <v>36</v>
      </c>
      <c r="I372" t="s">
        <v>109</v>
      </c>
      <c r="J372" s="10" t="str">
        <f>+_xlfn.XLOOKUP(B372,INNOVACIÓN!A:A,INNOVACIÓN!B:B,"NO")</f>
        <v>NO</v>
      </c>
      <c r="K372" s="10" t="str">
        <f>+_xlfn.XLOOKUP(B372,MERMA!B:B,MERMA!C:C,"No")</f>
        <v>No</v>
      </c>
      <c r="L372" s="10" t="str">
        <f>+_xlfn.XLOOKUP(B372,MERMA!B:B,MERMA!D:D,"No es merma")</f>
        <v>No es merma</v>
      </c>
    </row>
    <row r="373" spans="1:12" ht="14.5" hidden="1" x14ac:dyDescent="0.35">
      <c r="A373">
        <v>100021091</v>
      </c>
      <c r="B373">
        <v>7503031950212</v>
      </c>
      <c r="C373" t="s">
        <v>414</v>
      </c>
      <c r="D373" t="s">
        <v>11</v>
      </c>
      <c r="E373" t="s">
        <v>33</v>
      </c>
      <c r="F373" t="s">
        <v>46</v>
      </c>
      <c r="G373" t="s">
        <v>14</v>
      </c>
      <c r="H373" t="s">
        <v>36</v>
      </c>
      <c r="I373" t="s">
        <v>109</v>
      </c>
      <c r="J373" s="10" t="str">
        <f>+_xlfn.XLOOKUP(B373,INNOVACIÓN!A:A,INNOVACIÓN!B:B,"NO")</f>
        <v>NO</v>
      </c>
      <c r="K373" s="10" t="str">
        <f>+_xlfn.XLOOKUP(B373,MERMA!B:B,MERMA!C:C,"No")</f>
        <v>SI</v>
      </c>
      <c r="L373" s="10">
        <f>+_xlfn.XLOOKUP(B373,MERMA!B:B,MERMA!D:D,"No es merma")</f>
        <v>2025</v>
      </c>
    </row>
    <row r="374" spans="1:12" ht="14.5" hidden="1" x14ac:dyDescent="0.35">
      <c r="A374">
        <v>100022138</v>
      </c>
      <c r="B374">
        <v>7503031950281</v>
      </c>
      <c r="C374" t="s">
        <v>415</v>
      </c>
      <c r="D374" t="s">
        <v>11</v>
      </c>
      <c r="E374" t="s">
        <v>33</v>
      </c>
      <c r="F374" t="s">
        <v>46</v>
      </c>
      <c r="G374" t="s">
        <v>14</v>
      </c>
      <c r="H374" t="s">
        <v>36</v>
      </c>
      <c r="I374" t="s">
        <v>109</v>
      </c>
      <c r="J374" s="10" t="str">
        <f>+_xlfn.XLOOKUP(B374,INNOVACIÓN!A:A,INNOVACIÓN!B:B,"NO")</f>
        <v>NO</v>
      </c>
      <c r="K374" s="10" t="str">
        <f>+_xlfn.XLOOKUP(B374,MERMA!B:B,MERMA!C:C,"No")</f>
        <v>SI</v>
      </c>
      <c r="L374" s="10">
        <f>+_xlfn.XLOOKUP(B374,MERMA!B:B,MERMA!D:D,"No es merma")</f>
        <v>2025</v>
      </c>
    </row>
    <row r="375" spans="1:12" ht="14.5" hidden="1" x14ac:dyDescent="0.35">
      <c r="A375">
        <v>100022849</v>
      </c>
      <c r="B375">
        <v>7503031950465</v>
      </c>
      <c r="C375" t="s">
        <v>416</v>
      </c>
      <c r="D375" t="s">
        <v>11</v>
      </c>
      <c r="E375" t="s">
        <v>33</v>
      </c>
      <c r="F375" t="s">
        <v>46</v>
      </c>
      <c r="G375" t="s">
        <v>14</v>
      </c>
      <c r="H375" t="s">
        <v>36</v>
      </c>
      <c r="I375" t="s">
        <v>109</v>
      </c>
      <c r="J375" s="10" t="str">
        <f>+_xlfn.XLOOKUP(B375,INNOVACIÓN!A:A,INNOVACIÓN!B:B,"NO")</f>
        <v>NO</v>
      </c>
      <c r="K375" s="10" t="str">
        <f>+_xlfn.XLOOKUP(B375,MERMA!B:B,MERMA!C:C,"No")</f>
        <v>SI</v>
      </c>
      <c r="L375" s="10">
        <f>+_xlfn.XLOOKUP(B375,MERMA!B:B,MERMA!D:D,"No es merma")</f>
        <v>2025</v>
      </c>
    </row>
    <row r="376" spans="1:12" ht="14.5" hidden="1" x14ac:dyDescent="0.35">
      <c r="A376">
        <v>100023889</v>
      </c>
      <c r="B376">
        <v>7503031950953</v>
      </c>
      <c r="C376" t="s">
        <v>417</v>
      </c>
      <c r="D376" t="s">
        <v>11</v>
      </c>
      <c r="E376" t="s">
        <v>33</v>
      </c>
      <c r="F376" t="s">
        <v>46</v>
      </c>
      <c r="G376" t="s">
        <v>14</v>
      </c>
      <c r="H376" t="s">
        <v>36</v>
      </c>
      <c r="I376" t="s">
        <v>109</v>
      </c>
      <c r="J376" s="10" t="str">
        <f>+_xlfn.XLOOKUP(B376,INNOVACIÓN!A:A,INNOVACIÓN!B:B,"NO")</f>
        <v>NO</v>
      </c>
      <c r="K376" s="10" t="str">
        <f>+_xlfn.XLOOKUP(B376,MERMA!B:B,MERMA!C:C,"No")</f>
        <v>SI</v>
      </c>
      <c r="L376" s="10">
        <f>+_xlfn.XLOOKUP(B376,MERMA!B:B,MERMA!D:D,"No es merma")</f>
        <v>2025</v>
      </c>
    </row>
    <row r="377" spans="1:12" ht="14.5" hidden="1" x14ac:dyDescent="0.35">
      <c r="A377">
        <v>100022276</v>
      </c>
      <c r="B377">
        <v>75004415</v>
      </c>
      <c r="C377" t="s">
        <v>418</v>
      </c>
      <c r="D377" t="s">
        <v>11</v>
      </c>
      <c r="E377" t="s">
        <v>33</v>
      </c>
      <c r="F377" t="s">
        <v>46</v>
      </c>
      <c r="G377" t="s">
        <v>14</v>
      </c>
      <c r="H377" t="s">
        <v>36</v>
      </c>
      <c r="I377" t="s">
        <v>109</v>
      </c>
      <c r="J377" s="10" t="str">
        <f>+_xlfn.XLOOKUP(B377,INNOVACIÓN!A:A,INNOVACIÓN!B:B,"NO")</f>
        <v>NO</v>
      </c>
      <c r="K377" s="10" t="str">
        <f>+_xlfn.XLOOKUP(B377,MERMA!B:B,MERMA!C:C,"No")</f>
        <v>SI</v>
      </c>
      <c r="L377" s="10">
        <f>+_xlfn.XLOOKUP(B377,MERMA!B:B,MERMA!D:D,"No es merma")</f>
        <v>2025</v>
      </c>
    </row>
    <row r="378" spans="1:12" ht="14.5" hidden="1" x14ac:dyDescent="0.35">
      <c r="A378">
        <v>100023362</v>
      </c>
      <c r="B378">
        <v>7503031950533</v>
      </c>
      <c r="C378" t="s">
        <v>419</v>
      </c>
      <c r="D378" t="s">
        <v>11</v>
      </c>
      <c r="E378" t="s">
        <v>33</v>
      </c>
      <c r="F378" t="s">
        <v>41</v>
      </c>
      <c r="G378" t="s">
        <v>35</v>
      </c>
      <c r="H378" t="s">
        <v>36</v>
      </c>
      <c r="I378" t="s">
        <v>109</v>
      </c>
      <c r="J378" s="10" t="str">
        <f>+_xlfn.XLOOKUP(B378,INNOVACIÓN!A:A,INNOVACIÓN!B:B,"NO")</f>
        <v>NO</v>
      </c>
      <c r="K378" s="10" t="str">
        <f>+_xlfn.XLOOKUP(B378,MERMA!B:B,MERMA!C:C,"No")</f>
        <v>SI</v>
      </c>
      <c r="L378" s="10">
        <f>+_xlfn.XLOOKUP(B378,MERMA!B:B,MERMA!D:D,"No es merma")</f>
        <v>2025</v>
      </c>
    </row>
    <row r="379" spans="1:12" ht="14.5" hidden="1" x14ac:dyDescent="0.35">
      <c r="A379">
        <v>100020137</v>
      </c>
      <c r="B379">
        <v>7503031950168</v>
      </c>
      <c r="C379" t="s">
        <v>420</v>
      </c>
      <c r="D379" t="s">
        <v>11</v>
      </c>
      <c r="E379" t="s">
        <v>33</v>
      </c>
      <c r="F379" t="s">
        <v>41</v>
      </c>
      <c r="G379" t="s">
        <v>35</v>
      </c>
      <c r="H379" t="s">
        <v>36</v>
      </c>
      <c r="I379" t="s">
        <v>109</v>
      </c>
      <c r="J379" s="10" t="str">
        <f>+_xlfn.XLOOKUP(B379,INNOVACIÓN!A:A,INNOVACIÓN!B:B,"NO")</f>
        <v>NO</v>
      </c>
      <c r="K379" s="10" t="str">
        <f>+_xlfn.XLOOKUP(B379,MERMA!B:B,MERMA!C:C,"No")</f>
        <v>No</v>
      </c>
      <c r="L379" s="10" t="str">
        <f>+_xlfn.XLOOKUP(B379,MERMA!B:B,MERMA!D:D,"No es merma")</f>
        <v>No es merma</v>
      </c>
    </row>
    <row r="380" spans="1:12" ht="14.5" hidden="1" x14ac:dyDescent="0.35">
      <c r="A380">
        <v>100080937</v>
      </c>
      <c r="B380">
        <v>75046781</v>
      </c>
      <c r="C380" t="s">
        <v>421</v>
      </c>
      <c r="D380" t="s">
        <v>11</v>
      </c>
      <c r="E380" t="s">
        <v>33</v>
      </c>
      <c r="F380" t="s">
        <v>39</v>
      </c>
      <c r="G380" t="s">
        <v>35</v>
      </c>
      <c r="H380" t="s">
        <v>36</v>
      </c>
      <c r="I380" t="s">
        <v>109</v>
      </c>
      <c r="J380" s="10" t="str">
        <f>+_xlfn.XLOOKUP(B380,INNOVACIÓN!A:A,INNOVACIÓN!B:B,"NO")</f>
        <v>NO</v>
      </c>
      <c r="K380" s="10" t="str">
        <f>+_xlfn.XLOOKUP(B380,MERMA!B:B,MERMA!C:C,"No")</f>
        <v>SI</v>
      </c>
      <c r="L380" s="10">
        <f>+_xlfn.XLOOKUP(B380,MERMA!B:B,MERMA!D:D,"No es merma")</f>
        <v>2025</v>
      </c>
    </row>
    <row r="381" spans="1:12" ht="14.5" hidden="1" x14ac:dyDescent="0.35">
      <c r="A381">
        <v>100080829</v>
      </c>
      <c r="B381">
        <v>75034375</v>
      </c>
      <c r="C381" t="s">
        <v>422</v>
      </c>
      <c r="D381" t="s">
        <v>11</v>
      </c>
      <c r="E381" t="s">
        <v>33</v>
      </c>
      <c r="F381" t="s">
        <v>39</v>
      </c>
      <c r="G381" t="s">
        <v>35</v>
      </c>
      <c r="H381" t="s">
        <v>36</v>
      </c>
      <c r="I381" t="s">
        <v>109</v>
      </c>
      <c r="J381" s="10" t="str">
        <f>+_xlfn.XLOOKUP(B381,INNOVACIÓN!A:A,INNOVACIÓN!B:B,"NO")</f>
        <v>NO</v>
      </c>
      <c r="K381" s="10" t="str">
        <f>+_xlfn.XLOOKUP(B381,MERMA!B:B,MERMA!C:C,"No")</f>
        <v>SI</v>
      </c>
      <c r="L381" s="10">
        <f>+_xlfn.XLOOKUP(B381,MERMA!B:B,MERMA!D:D,"No es merma")</f>
        <v>2025</v>
      </c>
    </row>
    <row r="382" spans="1:12" ht="14.5" hidden="1" x14ac:dyDescent="0.35">
      <c r="A382">
        <v>100007987</v>
      </c>
      <c r="B382">
        <v>9583</v>
      </c>
      <c r="C382" t="s">
        <v>423</v>
      </c>
      <c r="D382" t="s">
        <v>11</v>
      </c>
      <c r="E382" t="s">
        <v>33</v>
      </c>
      <c r="F382" t="s">
        <v>46</v>
      </c>
      <c r="G382" t="s">
        <v>35</v>
      </c>
      <c r="H382" t="s">
        <v>36</v>
      </c>
      <c r="I382" t="s">
        <v>247</v>
      </c>
      <c r="J382" s="10" t="str">
        <f>+_xlfn.XLOOKUP(B382,INNOVACIÓN!A:A,INNOVACIÓN!B:B,"NO")</f>
        <v>NO</v>
      </c>
      <c r="K382" s="10" t="str">
        <f>+_xlfn.XLOOKUP(B382,MERMA!B:B,MERMA!C:C,"No")</f>
        <v>No</v>
      </c>
      <c r="L382" s="10" t="str">
        <f>+_xlfn.XLOOKUP(B382,MERMA!B:B,MERMA!D:D,"No es merma")</f>
        <v>No es merma</v>
      </c>
    </row>
    <row r="383" spans="1:12" ht="14.5" hidden="1" x14ac:dyDescent="0.35">
      <c r="A383">
        <v>100080029</v>
      </c>
      <c r="B383">
        <v>75001292</v>
      </c>
      <c r="C383" t="s">
        <v>424</v>
      </c>
      <c r="D383" t="s">
        <v>11</v>
      </c>
      <c r="E383" t="s">
        <v>33</v>
      </c>
      <c r="F383" t="s">
        <v>39</v>
      </c>
      <c r="G383" t="s">
        <v>71</v>
      </c>
      <c r="H383" t="s">
        <v>36</v>
      </c>
      <c r="I383" t="s">
        <v>109</v>
      </c>
      <c r="J383" s="10" t="str">
        <f>+_xlfn.XLOOKUP(B383,INNOVACIÓN!A:A,INNOVACIÓN!B:B,"NO")</f>
        <v>NO</v>
      </c>
      <c r="K383" s="10" t="str">
        <f>+_xlfn.XLOOKUP(B383,MERMA!B:B,MERMA!C:C,"No")</f>
        <v>SI</v>
      </c>
      <c r="L383" s="10">
        <f>+_xlfn.XLOOKUP(B383,MERMA!B:B,MERMA!D:D,"No es merma")</f>
        <v>2025</v>
      </c>
    </row>
    <row r="384" spans="1:12" ht="14.5" hidden="1" x14ac:dyDescent="0.35">
      <c r="A384">
        <v>100007989</v>
      </c>
      <c r="B384">
        <v>9584</v>
      </c>
      <c r="C384" t="s">
        <v>425</v>
      </c>
      <c r="D384" t="s">
        <v>11</v>
      </c>
      <c r="E384" t="s">
        <v>33</v>
      </c>
      <c r="F384" t="s">
        <v>46</v>
      </c>
      <c r="G384" t="s">
        <v>71</v>
      </c>
      <c r="H384" t="s">
        <v>36</v>
      </c>
      <c r="I384" t="s">
        <v>109</v>
      </c>
      <c r="J384" s="10" t="str">
        <f>+_xlfn.XLOOKUP(B384,INNOVACIÓN!A:A,INNOVACIÓN!B:B,"NO")</f>
        <v>NO</v>
      </c>
      <c r="K384" s="10" t="str">
        <f>+_xlfn.XLOOKUP(B384,MERMA!B:B,MERMA!C:C,"No")</f>
        <v>No</v>
      </c>
      <c r="L384" s="10" t="str">
        <f>+_xlfn.XLOOKUP(B384,MERMA!B:B,MERMA!D:D,"No es merma")</f>
        <v>No es merma</v>
      </c>
    </row>
    <row r="385" spans="1:12" ht="14.5" hidden="1" x14ac:dyDescent="0.35">
      <c r="A385">
        <v>100080420</v>
      </c>
      <c r="B385">
        <v>75014551</v>
      </c>
      <c r="C385" t="s">
        <v>426</v>
      </c>
      <c r="D385" t="s">
        <v>11</v>
      </c>
      <c r="E385" t="s">
        <v>33</v>
      </c>
      <c r="F385" t="s">
        <v>39</v>
      </c>
      <c r="G385" t="s">
        <v>71</v>
      </c>
      <c r="H385" t="s">
        <v>36</v>
      </c>
      <c r="I385" t="s">
        <v>109</v>
      </c>
      <c r="J385" s="10" t="str">
        <f>+_xlfn.XLOOKUP(B385,INNOVACIÓN!A:A,INNOVACIÓN!B:B,"NO")</f>
        <v>NO</v>
      </c>
      <c r="K385" s="10" t="str">
        <f>+_xlfn.XLOOKUP(B385,MERMA!B:B,MERMA!C:C,"No")</f>
        <v>No</v>
      </c>
      <c r="L385" s="10" t="str">
        <f>+_xlfn.XLOOKUP(B385,MERMA!B:B,MERMA!D:D,"No es merma")</f>
        <v>No es merma</v>
      </c>
    </row>
    <row r="386" spans="1:12" ht="14.5" hidden="1" x14ac:dyDescent="0.35">
      <c r="A386">
        <v>100080769</v>
      </c>
      <c r="B386">
        <v>75027018</v>
      </c>
      <c r="C386" t="s">
        <v>427</v>
      </c>
      <c r="D386" t="s">
        <v>11</v>
      </c>
      <c r="E386" t="s">
        <v>33</v>
      </c>
      <c r="F386" t="s">
        <v>39</v>
      </c>
      <c r="G386" t="s">
        <v>71</v>
      </c>
      <c r="H386" t="s">
        <v>36</v>
      </c>
      <c r="I386" t="s">
        <v>109</v>
      </c>
      <c r="J386" s="10" t="str">
        <f>+_xlfn.XLOOKUP(B386,INNOVACIÓN!A:A,INNOVACIÓN!B:B,"NO")</f>
        <v>NO</v>
      </c>
      <c r="K386" s="10" t="str">
        <f>+_xlfn.XLOOKUP(B386,MERMA!B:B,MERMA!C:C,"No")</f>
        <v>SI</v>
      </c>
      <c r="L386" s="10">
        <f>+_xlfn.XLOOKUP(B386,MERMA!B:B,MERMA!D:D,"No es merma")</f>
        <v>2025</v>
      </c>
    </row>
    <row r="387" spans="1:12" ht="14.5" hidden="1" x14ac:dyDescent="0.35">
      <c r="A387">
        <v>100080797</v>
      </c>
      <c r="B387">
        <v>75029388</v>
      </c>
      <c r="C387" t="s">
        <v>428</v>
      </c>
      <c r="D387" t="s">
        <v>11</v>
      </c>
      <c r="E387" t="s">
        <v>33</v>
      </c>
      <c r="F387" t="s">
        <v>39</v>
      </c>
      <c r="G387" t="s">
        <v>54</v>
      </c>
      <c r="H387" t="s">
        <v>36</v>
      </c>
      <c r="I387" t="s">
        <v>109</v>
      </c>
      <c r="J387" s="10" t="str">
        <f>+_xlfn.XLOOKUP(B387,INNOVACIÓN!A:A,INNOVACIÓN!B:B,"NO")</f>
        <v>NO</v>
      </c>
      <c r="K387" s="10" t="str">
        <f>+_xlfn.XLOOKUP(B387,MERMA!B:B,MERMA!C:C,"No")</f>
        <v>SI</v>
      </c>
      <c r="L387" s="10">
        <f>+_xlfn.XLOOKUP(B387,MERMA!B:B,MERMA!D:D,"No es merma")</f>
        <v>2025</v>
      </c>
    </row>
    <row r="388" spans="1:12" ht="14.5" hidden="1" x14ac:dyDescent="0.35">
      <c r="A388">
        <v>100022848</v>
      </c>
      <c r="B388">
        <v>7503031950496</v>
      </c>
      <c r="C388" t="s">
        <v>429</v>
      </c>
      <c r="D388" t="s">
        <v>11</v>
      </c>
      <c r="E388" t="s">
        <v>33</v>
      </c>
      <c r="F388" t="s">
        <v>46</v>
      </c>
      <c r="G388" t="s">
        <v>14</v>
      </c>
      <c r="H388" t="s">
        <v>36</v>
      </c>
      <c r="I388" t="s">
        <v>109</v>
      </c>
      <c r="J388" s="10" t="str">
        <f>+_xlfn.XLOOKUP(B388,INNOVACIÓN!A:A,INNOVACIÓN!B:B,"NO")</f>
        <v>NO</v>
      </c>
      <c r="K388" s="10" t="str">
        <f>+_xlfn.XLOOKUP(B388,MERMA!B:B,MERMA!C:C,"No")</f>
        <v>SI</v>
      </c>
      <c r="L388" s="10">
        <f>+_xlfn.XLOOKUP(B388,MERMA!B:B,MERMA!D:D,"No es merma")</f>
        <v>2025</v>
      </c>
    </row>
    <row r="389" spans="1:12" ht="14.5" hidden="1" x14ac:dyDescent="0.35">
      <c r="A389">
        <v>101000061</v>
      </c>
      <c r="B389">
        <v>75006204</v>
      </c>
      <c r="C389" t="s">
        <v>430</v>
      </c>
      <c r="D389" t="s">
        <v>11</v>
      </c>
      <c r="E389" t="s">
        <v>33</v>
      </c>
      <c r="F389" t="s">
        <v>46</v>
      </c>
      <c r="G389" t="s">
        <v>14</v>
      </c>
      <c r="H389" t="s">
        <v>36</v>
      </c>
      <c r="I389" t="s">
        <v>109</v>
      </c>
      <c r="J389" s="10" t="str">
        <f>+_xlfn.XLOOKUP(B389,INNOVACIÓN!A:A,INNOVACIÓN!B:B,"NO")</f>
        <v>NO</v>
      </c>
      <c r="K389" s="10" t="str">
        <f>+_xlfn.XLOOKUP(B389,MERMA!B:B,MERMA!C:C,"No")</f>
        <v>SI</v>
      </c>
      <c r="L389" s="10">
        <f>+_xlfn.XLOOKUP(B389,MERMA!B:B,MERMA!D:D,"No es merma")</f>
        <v>2025</v>
      </c>
    </row>
    <row r="390" spans="1:12" ht="14.5" hidden="1" x14ac:dyDescent="0.35">
      <c r="A390">
        <v>100022137</v>
      </c>
      <c r="B390">
        <v>7503031950311</v>
      </c>
      <c r="C390" t="s">
        <v>431</v>
      </c>
      <c r="D390" t="s">
        <v>11</v>
      </c>
      <c r="E390" t="s">
        <v>33</v>
      </c>
      <c r="F390" t="s">
        <v>46</v>
      </c>
      <c r="G390" t="s">
        <v>14</v>
      </c>
      <c r="H390" t="s">
        <v>36</v>
      </c>
      <c r="I390" t="s">
        <v>109</v>
      </c>
      <c r="J390" s="10" t="str">
        <f>+_xlfn.XLOOKUP(B390,INNOVACIÓN!A:A,INNOVACIÓN!B:B,"NO")</f>
        <v>NO</v>
      </c>
      <c r="K390" s="10" t="str">
        <f>+_xlfn.XLOOKUP(B390,MERMA!B:B,MERMA!C:C,"No")</f>
        <v>SI</v>
      </c>
      <c r="L390" s="10">
        <f>+_xlfn.XLOOKUP(B390,MERMA!B:B,MERMA!D:D,"No es merma")</f>
        <v>2025</v>
      </c>
    </row>
    <row r="391" spans="1:12" ht="14.5" hidden="1" x14ac:dyDescent="0.35">
      <c r="A391">
        <v>100023892</v>
      </c>
      <c r="B391">
        <v>7503031950946</v>
      </c>
      <c r="C391" t="s">
        <v>432</v>
      </c>
      <c r="D391" t="s">
        <v>11</v>
      </c>
      <c r="E391" t="s">
        <v>33</v>
      </c>
      <c r="F391" t="s">
        <v>46</v>
      </c>
      <c r="G391" t="s">
        <v>14</v>
      </c>
      <c r="H391" t="s">
        <v>36</v>
      </c>
      <c r="I391" t="s">
        <v>109</v>
      </c>
      <c r="J391" s="10" t="str">
        <f>+_xlfn.XLOOKUP(B391,INNOVACIÓN!A:A,INNOVACIÓN!B:B,"NO")</f>
        <v>NO</v>
      </c>
      <c r="K391" s="10" t="str">
        <f>+_xlfn.XLOOKUP(B391,MERMA!B:B,MERMA!C:C,"No")</f>
        <v>SI</v>
      </c>
      <c r="L391" s="10">
        <f>+_xlfn.XLOOKUP(B391,MERMA!B:B,MERMA!D:D,"No es merma")</f>
        <v>2025</v>
      </c>
    </row>
    <row r="392" spans="1:12" ht="14.5" hidden="1" x14ac:dyDescent="0.35">
      <c r="A392">
        <v>100022846</v>
      </c>
      <c r="B392">
        <v>7503031950489</v>
      </c>
      <c r="C392" t="s">
        <v>433</v>
      </c>
      <c r="D392" t="s">
        <v>11</v>
      </c>
      <c r="E392" t="s">
        <v>33</v>
      </c>
      <c r="F392" t="s">
        <v>46</v>
      </c>
      <c r="G392" t="s">
        <v>14</v>
      </c>
      <c r="H392" t="s">
        <v>36</v>
      </c>
      <c r="I392" t="s">
        <v>109</v>
      </c>
      <c r="J392" s="10" t="str">
        <f>+_xlfn.XLOOKUP(B392,INNOVACIÓN!A:A,INNOVACIÓN!B:B,"NO")</f>
        <v>NO</v>
      </c>
      <c r="K392" s="10" t="str">
        <f>+_xlfn.XLOOKUP(B392,MERMA!B:B,MERMA!C:C,"No")</f>
        <v>No</v>
      </c>
      <c r="L392" s="10" t="str">
        <f>+_xlfn.XLOOKUP(B392,MERMA!B:B,MERMA!D:D,"No es merma")</f>
        <v>No es merma</v>
      </c>
    </row>
    <row r="393" spans="1:12" ht="14.5" hidden="1" x14ac:dyDescent="0.35">
      <c r="A393">
        <v>100022136</v>
      </c>
      <c r="B393">
        <v>7503031950304</v>
      </c>
      <c r="C393" t="s">
        <v>434</v>
      </c>
      <c r="D393" t="s">
        <v>11</v>
      </c>
      <c r="E393" t="s">
        <v>33</v>
      </c>
      <c r="F393" t="s">
        <v>46</v>
      </c>
      <c r="G393" t="s">
        <v>14</v>
      </c>
      <c r="H393" t="s">
        <v>36</v>
      </c>
      <c r="I393" t="s">
        <v>109</v>
      </c>
      <c r="J393" s="10" t="str">
        <f>+_xlfn.XLOOKUP(B393,INNOVACIÓN!A:A,INNOVACIÓN!B:B,"NO")</f>
        <v>NO</v>
      </c>
      <c r="K393" s="10" t="str">
        <f>+_xlfn.XLOOKUP(B393,MERMA!B:B,MERMA!C:C,"No")</f>
        <v>SI</v>
      </c>
      <c r="L393" s="10">
        <f>+_xlfn.XLOOKUP(B393,MERMA!B:B,MERMA!D:D,"No es merma")</f>
        <v>2025</v>
      </c>
    </row>
    <row r="394" spans="1:12" ht="14.5" hidden="1" x14ac:dyDescent="0.35">
      <c r="A394">
        <v>100022847</v>
      </c>
      <c r="B394">
        <v>7503031950472</v>
      </c>
      <c r="C394" t="s">
        <v>435</v>
      </c>
      <c r="D394" t="s">
        <v>11</v>
      </c>
      <c r="E394" t="s">
        <v>33</v>
      </c>
      <c r="F394" t="s">
        <v>46</v>
      </c>
      <c r="G394" t="s">
        <v>54</v>
      </c>
      <c r="H394" t="s">
        <v>36</v>
      </c>
      <c r="I394" t="s">
        <v>109</v>
      </c>
      <c r="J394" s="10" t="str">
        <f>+_xlfn.XLOOKUP(B394,INNOVACIÓN!A:A,INNOVACIÓN!B:B,"NO")</f>
        <v>NO</v>
      </c>
      <c r="K394" s="10" t="str">
        <f>+_xlfn.XLOOKUP(B394,MERMA!B:B,MERMA!C:C,"No")</f>
        <v>SI</v>
      </c>
      <c r="L394" s="10">
        <f>+_xlfn.XLOOKUP(B394,MERMA!B:B,MERMA!D:D,"No es merma")</f>
        <v>2025</v>
      </c>
    </row>
    <row r="395" spans="1:12" ht="14.5" hidden="1" x14ac:dyDescent="0.35">
      <c r="A395">
        <v>100022134</v>
      </c>
      <c r="B395">
        <v>7503031950298</v>
      </c>
      <c r="C395" t="s">
        <v>436</v>
      </c>
      <c r="D395" t="s">
        <v>11</v>
      </c>
      <c r="E395" t="s">
        <v>33</v>
      </c>
      <c r="F395" t="s">
        <v>46</v>
      </c>
      <c r="G395" t="s">
        <v>54</v>
      </c>
      <c r="H395" t="s">
        <v>36</v>
      </c>
      <c r="I395" t="s">
        <v>109</v>
      </c>
      <c r="J395" s="10" t="str">
        <f>+_xlfn.XLOOKUP(B395,INNOVACIÓN!A:A,INNOVACIÓN!B:B,"NO")</f>
        <v>NO</v>
      </c>
      <c r="K395" s="10" t="str">
        <f>+_xlfn.XLOOKUP(B395,MERMA!B:B,MERMA!C:C,"No")</f>
        <v>SI</v>
      </c>
      <c r="L395" s="10">
        <f>+_xlfn.XLOOKUP(B395,MERMA!B:B,MERMA!D:D,"No es merma")</f>
        <v>2025</v>
      </c>
    </row>
    <row r="396" spans="1:12" ht="14.5" hidden="1" x14ac:dyDescent="0.35">
      <c r="A396" s="10">
        <v>100007424</v>
      </c>
      <c r="B396">
        <v>75056001</v>
      </c>
      <c r="C396" s="10" t="s">
        <v>437</v>
      </c>
      <c r="D396" t="s">
        <v>11</v>
      </c>
      <c r="E396" t="s">
        <v>33</v>
      </c>
      <c r="F396" t="s">
        <v>39</v>
      </c>
      <c r="G396" t="s">
        <v>14</v>
      </c>
      <c r="H396" t="s">
        <v>36</v>
      </c>
      <c r="I396" t="s">
        <v>109</v>
      </c>
      <c r="J396" s="10" t="str">
        <f>+_xlfn.XLOOKUP(B396,INNOVACIÓN!A:A,INNOVACIÓN!B:B,"NO")</f>
        <v>NO</v>
      </c>
      <c r="K396" s="10" t="str">
        <f>+_xlfn.XLOOKUP(B396,MERMA!B:B,MERMA!C:C,"No")</f>
        <v>No</v>
      </c>
      <c r="L396" s="10" t="str">
        <f>+_xlfn.XLOOKUP(B396,MERMA!B:B,MERMA!D:D,"No es merma")</f>
        <v>No es merma</v>
      </c>
    </row>
    <row r="397" spans="1:12" ht="14.5" hidden="1" x14ac:dyDescent="0.35">
      <c r="A397">
        <v>100015222</v>
      </c>
      <c r="B397">
        <v>75068790</v>
      </c>
      <c r="C397" t="s">
        <v>438</v>
      </c>
      <c r="D397" t="s">
        <v>11</v>
      </c>
      <c r="E397" t="s">
        <v>33</v>
      </c>
      <c r="F397" t="s">
        <v>39</v>
      </c>
      <c r="G397" t="s">
        <v>14</v>
      </c>
      <c r="H397" t="s">
        <v>36</v>
      </c>
      <c r="I397" t="s">
        <v>109</v>
      </c>
      <c r="J397" s="10" t="str">
        <f>+_xlfn.XLOOKUP(B397,INNOVACIÓN!A:A,INNOVACIÓN!B:B,"NO")</f>
        <v>NO</v>
      </c>
      <c r="K397" s="10" t="str">
        <f>+_xlfn.XLOOKUP(B397,MERMA!B:B,MERMA!C:C,"No")</f>
        <v>SI</v>
      </c>
      <c r="L397" s="10">
        <f>+_xlfn.XLOOKUP(B397,MERMA!B:B,MERMA!D:D,"No es merma")</f>
        <v>2025</v>
      </c>
    </row>
    <row r="398" spans="1:12" ht="14.5" hidden="1" x14ac:dyDescent="0.35">
      <c r="A398">
        <v>100023361</v>
      </c>
      <c r="B398">
        <v>7503031950540</v>
      </c>
      <c r="C398" t="s">
        <v>439</v>
      </c>
      <c r="D398" t="s">
        <v>11</v>
      </c>
      <c r="E398" t="s">
        <v>33</v>
      </c>
      <c r="F398" t="s">
        <v>41</v>
      </c>
      <c r="G398" t="s">
        <v>71</v>
      </c>
      <c r="H398" t="s">
        <v>36</v>
      </c>
      <c r="I398" t="s">
        <v>109</v>
      </c>
      <c r="J398" s="10" t="str">
        <f>+_xlfn.XLOOKUP(B398,INNOVACIÓN!A:A,INNOVACIÓN!B:B,"NO")</f>
        <v>NO</v>
      </c>
      <c r="K398" s="10" t="str">
        <f>+_xlfn.XLOOKUP(B398,MERMA!B:B,MERMA!C:C,"No")</f>
        <v>SI</v>
      </c>
      <c r="L398" s="10">
        <f>+_xlfn.XLOOKUP(B398,MERMA!B:B,MERMA!D:D,"No es merma")</f>
        <v>2025</v>
      </c>
    </row>
    <row r="399" spans="1:12" ht="14.5" hidden="1" x14ac:dyDescent="0.35">
      <c r="A399" s="10">
        <v>100080977</v>
      </c>
      <c r="B399">
        <v>75047078</v>
      </c>
      <c r="C399" s="10" t="s">
        <v>440</v>
      </c>
      <c r="D399" t="s">
        <v>11</v>
      </c>
      <c r="E399" t="s">
        <v>33</v>
      </c>
      <c r="F399" t="s">
        <v>39</v>
      </c>
      <c r="G399" t="s">
        <v>54</v>
      </c>
      <c r="H399" t="s">
        <v>36</v>
      </c>
      <c r="I399" t="s">
        <v>109</v>
      </c>
      <c r="J399" s="10" t="str">
        <f>+_xlfn.XLOOKUP(B399,INNOVACIÓN!A:A,INNOVACIÓN!B:B,"NO")</f>
        <v>NO</v>
      </c>
      <c r="K399" s="10" t="str">
        <f>+_xlfn.XLOOKUP(B399,MERMA!B:B,MERMA!C:C,"No")</f>
        <v>No</v>
      </c>
      <c r="L399" s="10" t="str">
        <f>+_xlfn.XLOOKUP(B399,MERMA!B:B,MERMA!D:D,"No es merma")</f>
        <v>No es merma</v>
      </c>
    </row>
    <row r="400" spans="1:12" ht="14.5" hidden="1" x14ac:dyDescent="0.35">
      <c r="A400">
        <v>100023423</v>
      </c>
      <c r="B400">
        <v>75079888</v>
      </c>
      <c r="C400" t="s">
        <v>441</v>
      </c>
      <c r="D400" t="s">
        <v>44</v>
      </c>
      <c r="E400" t="s">
        <v>33</v>
      </c>
      <c r="F400" t="s">
        <v>39</v>
      </c>
      <c r="G400" t="s">
        <v>58</v>
      </c>
      <c r="H400" t="s">
        <v>36</v>
      </c>
      <c r="I400" t="s">
        <v>109</v>
      </c>
      <c r="J400" s="10" t="str">
        <f>+_xlfn.XLOOKUP(B400,INNOVACIÓN!A:A,INNOVACIÓN!B:B,"NO")</f>
        <v>NO</v>
      </c>
      <c r="K400" s="10" t="str">
        <f>+_xlfn.XLOOKUP(B400,MERMA!B:B,MERMA!C:C,"No")</f>
        <v>SI</v>
      </c>
      <c r="L400" s="10">
        <f>+_xlfn.XLOOKUP(B400,MERMA!B:B,MERMA!D:D,"No es merma")</f>
        <v>2025</v>
      </c>
    </row>
    <row r="401" spans="1:12" ht="14.5" hidden="1" x14ac:dyDescent="0.35">
      <c r="A401">
        <v>100023422</v>
      </c>
      <c r="B401">
        <v>75079901</v>
      </c>
      <c r="C401" t="s">
        <v>442</v>
      </c>
      <c r="D401" t="s">
        <v>44</v>
      </c>
      <c r="E401" t="s">
        <v>33</v>
      </c>
      <c r="F401" t="s">
        <v>39</v>
      </c>
      <c r="G401" t="s">
        <v>35</v>
      </c>
      <c r="H401" t="s">
        <v>36</v>
      </c>
      <c r="I401" t="s">
        <v>109</v>
      </c>
      <c r="J401" s="10" t="str">
        <f>+_xlfn.XLOOKUP(B401,INNOVACIÓN!A:A,INNOVACIÓN!B:B,"NO")</f>
        <v>NO</v>
      </c>
      <c r="K401" s="10" t="str">
        <f>+_xlfn.XLOOKUP(B401,MERMA!B:B,MERMA!C:C,"No")</f>
        <v>SI</v>
      </c>
      <c r="L401" s="10">
        <f>+_xlfn.XLOOKUP(B401,MERMA!B:B,MERMA!D:D,"No es merma")</f>
        <v>2025</v>
      </c>
    </row>
    <row r="402" spans="1:12" ht="14.5" hidden="1" x14ac:dyDescent="0.35">
      <c r="A402">
        <v>100023424</v>
      </c>
      <c r="B402">
        <v>75079895</v>
      </c>
      <c r="C402" t="s">
        <v>443</v>
      </c>
      <c r="D402" t="s">
        <v>44</v>
      </c>
      <c r="E402" t="s">
        <v>33</v>
      </c>
      <c r="F402" t="s">
        <v>39</v>
      </c>
      <c r="G402" t="s">
        <v>35</v>
      </c>
      <c r="H402" t="s">
        <v>36</v>
      </c>
      <c r="I402" t="s">
        <v>109</v>
      </c>
      <c r="J402" s="10" t="str">
        <f>+_xlfn.XLOOKUP(B402,INNOVACIÓN!A:A,INNOVACIÓN!B:B,"NO")</f>
        <v>NO</v>
      </c>
      <c r="K402" s="10" t="str">
        <f>+_xlfn.XLOOKUP(B402,MERMA!B:B,MERMA!C:C,"No")</f>
        <v>SI</v>
      </c>
      <c r="L402" s="10">
        <f>+_xlfn.XLOOKUP(B402,MERMA!B:B,MERMA!D:D,"No es merma")</f>
        <v>2025</v>
      </c>
    </row>
    <row r="403" spans="1:12" ht="14.5" hidden="1" x14ac:dyDescent="0.35">
      <c r="A403">
        <v>100023426</v>
      </c>
      <c r="B403">
        <v>75079956</v>
      </c>
      <c r="C403" t="s">
        <v>444</v>
      </c>
      <c r="D403" t="s">
        <v>44</v>
      </c>
      <c r="E403" t="s">
        <v>33</v>
      </c>
      <c r="F403" t="s">
        <v>41</v>
      </c>
      <c r="G403" t="s">
        <v>35</v>
      </c>
      <c r="H403" t="s">
        <v>36</v>
      </c>
      <c r="I403" t="s">
        <v>109</v>
      </c>
      <c r="J403" s="10" t="str">
        <f>+_xlfn.XLOOKUP(B403,INNOVACIÓN!A:A,INNOVACIÓN!B:B,"NO")</f>
        <v>NO</v>
      </c>
      <c r="K403" s="10" t="str">
        <f>+_xlfn.XLOOKUP(B403,MERMA!B:B,MERMA!C:C,"No")</f>
        <v>SI</v>
      </c>
      <c r="L403" s="10">
        <f>+_xlfn.XLOOKUP(B403,MERMA!B:B,MERMA!D:D,"No es merma")</f>
        <v>2025</v>
      </c>
    </row>
    <row r="404" spans="1:12" ht="14.5" hidden="1" x14ac:dyDescent="0.35">
      <c r="A404">
        <v>100019548</v>
      </c>
      <c r="B404">
        <v>75073978</v>
      </c>
      <c r="C404" t="s">
        <v>445</v>
      </c>
      <c r="D404" t="s">
        <v>44</v>
      </c>
      <c r="E404" t="s">
        <v>33</v>
      </c>
      <c r="F404" t="s">
        <v>41</v>
      </c>
      <c r="G404" t="s">
        <v>14</v>
      </c>
      <c r="H404" t="s">
        <v>36</v>
      </c>
      <c r="I404" t="s">
        <v>109</v>
      </c>
      <c r="J404" s="10" t="str">
        <f>+_xlfn.XLOOKUP(B404,INNOVACIÓN!A:A,INNOVACIÓN!B:B,"NO")</f>
        <v>NO</v>
      </c>
      <c r="K404" s="10" t="str">
        <f>+_xlfn.XLOOKUP(B404,MERMA!B:B,MERMA!C:C,"No")</f>
        <v>SI</v>
      </c>
      <c r="L404" s="10">
        <f>+_xlfn.XLOOKUP(B404,MERMA!B:B,MERMA!D:D,"No es merma")</f>
        <v>2025</v>
      </c>
    </row>
    <row r="405" spans="1:12" ht="14.5" hidden="1" x14ac:dyDescent="0.35">
      <c r="A405">
        <v>100019549</v>
      </c>
      <c r="B405">
        <v>75073985</v>
      </c>
      <c r="C405" t="s">
        <v>446</v>
      </c>
      <c r="D405" t="s">
        <v>44</v>
      </c>
      <c r="E405" t="s">
        <v>33</v>
      </c>
      <c r="F405" t="s">
        <v>46</v>
      </c>
      <c r="G405" t="s">
        <v>54</v>
      </c>
      <c r="H405" t="s">
        <v>36</v>
      </c>
      <c r="I405" t="s">
        <v>247</v>
      </c>
      <c r="J405" s="10" t="str">
        <f>+_xlfn.XLOOKUP(B405,INNOVACIÓN!A:A,INNOVACIÓN!B:B,"NO")</f>
        <v>NO</v>
      </c>
      <c r="K405" s="10" t="str">
        <f>+_xlfn.XLOOKUP(B405,MERMA!B:B,MERMA!C:C,"No")</f>
        <v>SI</v>
      </c>
      <c r="L405" s="10">
        <f>+_xlfn.XLOOKUP(B405,MERMA!B:B,MERMA!D:D,"No es merma")</f>
        <v>2025</v>
      </c>
    </row>
    <row r="406" spans="1:12" ht="14.5" hidden="1" x14ac:dyDescent="0.35">
      <c r="A406">
        <v>100007451</v>
      </c>
      <c r="B406">
        <v>75057732</v>
      </c>
      <c r="C406" t="s">
        <v>447</v>
      </c>
      <c r="D406" t="s">
        <v>44</v>
      </c>
      <c r="E406" t="s">
        <v>33</v>
      </c>
      <c r="F406" t="s">
        <v>46</v>
      </c>
      <c r="G406" t="s">
        <v>54</v>
      </c>
      <c r="H406" t="s">
        <v>36</v>
      </c>
      <c r="I406" t="s">
        <v>247</v>
      </c>
      <c r="J406" s="10" t="str">
        <f>+_xlfn.XLOOKUP(B406,INNOVACIÓN!A:A,INNOVACIÓN!B:B,"NO")</f>
        <v>NO</v>
      </c>
      <c r="K406" s="10" t="str">
        <f>+_xlfn.XLOOKUP(B406,MERMA!B:B,MERMA!C:C,"No")</f>
        <v>No</v>
      </c>
      <c r="L406" s="10" t="str">
        <f>+_xlfn.XLOOKUP(B406,MERMA!B:B,MERMA!D:D,"No es merma")</f>
        <v>No es merma</v>
      </c>
    </row>
    <row r="407" spans="1:12" ht="14.5" hidden="1" x14ac:dyDescent="0.35">
      <c r="A407">
        <v>100023714</v>
      </c>
      <c r="B407">
        <v>75080105</v>
      </c>
      <c r="C407" t="s">
        <v>448</v>
      </c>
      <c r="D407" t="s">
        <v>44</v>
      </c>
      <c r="E407" t="s">
        <v>33</v>
      </c>
      <c r="F407" t="s">
        <v>41</v>
      </c>
      <c r="G407" t="s">
        <v>35</v>
      </c>
      <c r="H407" t="s">
        <v>36</v>
      </c>
      <c r="I407" t="s">
        <v>109</v>
      </c>
      <c r="J407" s="10" t="str">
        <f>+_xlfn.XLOOKUP(B407,INNOVACIÓN!A:A,INNOVACIÓN!B:B,"NO")</f>
        <v>NO</v>
      </c>
      <c r="K407" s="10" t="str">
        <f>+_xlfn.XLOOKUP(B407,MERMA!B:B,MERMA!C:C,"No")</f>
        <v>SI</v>
      </c>
      <c r="L407" s="10">
        <f>+_xlfn.XLOOKUP(B407,MERMA!B:B,MERMA!D:D,"No es merma")</f>
        <v>2025</v>
      </c>
    </row>
    <row r="408" spans="1:12" ht="14.5" hidden="1" x14ac:dyDescent="0.35">
      <c r="A408">
        <v>100017662</v>
      </c>
      <c r="B408">
        <v>75072506</v>
      </c>
      <c r="C408" t="s">
        <v>449</v>
      </c>
      <c r="D408" t="s">
        <v>44</v>
      </c>
      <c r="E408" t="s">
        <v>33</v>
      </c>
      <c r="F408" t="s">
        <v>46</v>
      </c>
      <c r="G408" t="s">
        <v>35</v>
      </c>
      <c r="H408" t="s">
        <v>36</v>
      </c>
      <c r="I408" t="s">
        <v>247</v>
      </c>
      <c r="J408" s="10" t="str">
        <f>+_xlfn.XLOOKUP(B408,INNOVACIÓN!A:A,INNOVACIÓN!B:B,"NO")</f>
        <v>NO</v>
      </c>
      <c r="K408" s="10" t="str">
        <f>+_xlfn.XLOOKUP(B408,MERMA!B:B,MERMA!C:C,"No")</f>
        <v>SI</v>
      </c>
      <c r="L408" s="10">
        <f>+_xlfn.XLOOKUP(B408,MERMA!B:B,MERMA!D:D,"No es merma")</f>
        <v>2025</v>
      </c>
    </row>
    <row r="409" spans="1:12" ht="14.5" hidden="1" x14ac:dyDescent="0.35">
      <c r="A409">
        <v>100011378</v>
      </c>
      <c r="B409">
        <v>75063351</v>
      </c>
      <c r="C409" t="s">
        <v>450</v>
      </c>
      <c r="D409" t="s">
        <v>44</v>
      </c>
      <c r="E409" t="s">
        <v>33</v>
      </c>
      <c r="F409" t="s">
        <v>39</v>
      </c>
      <c r="G409" t="s">
        <v>58</v>
      </c>
      <c r="H409" t="s">
        <v>36</v>
      </c>
      <c r="I409" t="s">
        <v>247</v>
      </c>
      <c r="J409" s="10" t="str">
        <f>+_xlfn.XLOOKUP(B409,INNOVACIÓN!A:A,INNOVACIÓN!B:B,"NO")</f>
        <v>NO</v>
      </c>
      <c r="K409" s="10" t="str">
        <f>+_xlfn.XLOOKUP(B409,MERMA!B:B,MERMA!C:C,"No")</f>
        <v>No</v>
      </c>
      <c r="L409" s="10" t="str">
        <f>+_xlfn.XLOOKUP(B409,MERMA!B:B,MERMA!D:D,"No es merma")</f>
        <v>No es merma</v>
      </c>
    </row>
    <row r="410" spans="1:12" ht="14.5" hidden="1" x14ac:dyDescent="0.35">
      <c r="A410">
        <v>100011380</v>
      </c>
      <c r="B410">
        <v>75063344</v>
      </c>
      <c r="C410" t="s">
        <v>451</v>
      </c>
      <c r="D410" t="s">
        <v>44</v>
      </c>
      <c r="E410" t="s">
        <v>33</v>
      </c>
      <c r="F410" t="s">
        <v>39</v>
      </c>
      <c r="G410" t="s">
        <v>58</v>
      </c>
      <c r="H410" t="s">
        <v>36</v>
      </c>
      <c r="I410" t="s">
        <v>247</v>
      </c>
      <c r="J410" s="10" t="str">
        <f>+_xlfn.XLOOKUP(B410,INNOVACIÓN!A:A,INNOVACIÓN!B:B,"NO")</f>
        <v>NO</v>
      </c>
      <c r="K410" s="10" t="str">
        <f>+_xlfn.XLOOKUP(B410,MERMA!B:B,MERMA!C:C,"No")</f>
        <v>No</v>
      </c>
      <c r="L410" s="10" t="str">
        <f>+_xlfn.XLOOKUP(B410,MERMA!B:B,MERMA!D:D,"No es merma")</f>
        <v>No es merma</v>
      </c>
    </row>
    <row r="411" spans="1:12" ht="14.5" hidden="1" x14ac:dyDescent="0.35">
      <c r="A411">
        <v>100018747</v>
      </c>
      <c r="B411">
        <v>75074197</v>
      </c>
      <c r="C411" t="s">
        <v>452</v>
      </c>
      <c r="D411" t="s">
        <v>44</v>
      </c>
      <c r="E411" t="s">
        <v>33</v>
      </c>
      <c r="F411" t="s">
        <v>46</v>
      </c>
      <c r="G411" t="s">
        <v>35</v>
      </c>
      <c r="H411" t="s">
        <v>36</v>
      </c>
      <c r="I411" t="s">
        <v>247</v>
      </c>
      <c r="J411" s="10" t="str">
        <f>+_xlfn.XLOOKUP(B411,INNOVACIÓN!A:A,INNOVACIÓN!B:B,"NO")</f>
        <v>NO</v>
      </c>
      <c r="K411" s="10" t="str">
        <f>+_xlfn.XLOOKUP(B411,MERMA!B:B,MERMA!C:C,"No")</f>
        <v>No</v>
      </c>
      <c r="L411" s="10" t="str">
        <f>+_xlfn.XLOOKUP(B411,MERMA!B:B,MERMA!D:D,"No es merma")</f>
        <v>No es merma</v>
      </c>
    </row>
    <row r="412" spans="1:12" ht="14.5" hidden="1" x14ac:dyDescent="0.35">
      <c r="A412">
        <v>100018748</v>
      </c>
      <c r="B412">
        <v>75074203</v>
      </c>
      <c r="C412" t="s">
        <v>453</v>
      </c>
      <c r="D412" t="s">
        <v>44</v>
      </c>
      <c r="E412" t="s">
        <v>33</v>
      </c>
      <c r="F412" t="s">
        <v>46</v>
      </c>
      <c r="G412" t="s">
        <v>35</v>
      </c>
      <c r="H412" t="s">
        <v>36</v>
      </c>
      <c r="I412" t="s">
        <v>247</v>
      </c>
      <c r="J412" s="10" t="str">
        <f>+_xlfn.XLOOKUP(B412,INNOVACIÓN!A:A,INNOVACIÓN!B:B,"NO")</f>
        <v>NO</v>
      </c>
      <c r="K412" s="10" t="str">
        <f>+_xlfn.XLOOKUP(B412,MERMA!B:B,MERMA!C:C,"No")</f>
        <v>SI</v>
      </c>
      <c r="L412" s="10">
        <f>+_xlfn.XLOOKUP(B412,MERMA!B:B,MERMA!D:D,"No es merma")</f>
        <v>2025</v>
      </c>
    </row>
    <row r="413" spans="1:12" ht="14.5" hidden="1" x14ac:dyDescent="0.35">
      <c r="A413">
        <v>100008777</v>
      </c>
      <c r="B413">
        <v>75061135</v>
      </c>
      <c r="C413" t="s">
        <v>454</v>
      </c>
      <c r="D413" t="s">
        <v>44</v>
      </c>
      <c r="E413" t="s">
        <v>33</v>
      </c>
      <c r="F413" t="s">
        <v>46</v>
      </c>
      <c r="G413" t="s">
        <v>58</v>
      </c>
      <c r="H413" t="s">
        <v>36</v>
      </c>
      <c r="I413" t="s">
        <v>247</v>
      </c>
      <c r="J413" s="10" t="str">
        <f>+_xlfn.XLOOKUP(B413,INNOVACIÓN!A:A,INNOVACIÓN!B:B,"NO")</f>
        <v>NO</v>
      </c>
      <c r="K413" s="10" t="str">
        <f>+_xlfn.XLOOKUP(B413,MERMA!B:B,MERMA!C:C,"No")</f>
        <v>SI</v>
      </c>
      <c r="L413" s="10">
        <f>+_xlfn.XLOOKUP(B413,MERMA!B:B,MERMA!D:D,"No es merma")</f>
        <v>2025</v>
      </c>
    </row>
    <row r="414" spans="1:12" ht="14.5" hidden="1" x14ac:dyDescent="0.35">
      <c r="A414">
        <v>100080954</v>
      </c>
      <c r="B414">
        <v>75047283</v>
      </c>
      <c r="C414" t="s">
        <v>455</v>
      </c>
      <c r="D414" t="s">
        <v>44</v>
      </c>
      <c r="E414" t="s">
        <v>33</v>
      </c>
      <c r="F414" t="s">
        <v>39</v>
      </c>
      <c r="G414" t="s">
        <v>58</v>
      </c>
      <c r="H414" t="s">
        <v>36</v>
      </c>
      <c r="I414" t="s">
        <v>247</v>
      </c>
      <c r="J414" s="10" t="str">
        <f>+_xlfn.XLOOKUP(B414,INNOVACIÓN!A:A,INNOVACIÓN!B:B,"NO")</f>
        <v>NO</v>
      </c>
      <c r="K414" s="10" t="str">
        <f>+_xlfn.XLOOKUP(B414,MERMA!B:B,MERMA!C:C,"No")</f>
        <v>No</v>
      </c>
      <c r="L414" s="10" t="str">
        <f>+_xlfn.XLOOKUP(B414,MERMA!B:B,MERMA!D:D,"No es merma")</f>
        <v>No es merma</v>
      </c>
    </row>
    <row r="415" spans="1:12" ht="14.5" hidden="1" x14ac:dyDescent="0.35">
      <c r="A415">
        <v>100013301</v>
      </c>
      <c r="B415">
        <v>75066611</v>
      </c>
      <c r="C415" t="s">
        <v>456</v>
      </c>
      <c r="D415" t="s">
        <v>44</v>
      </c>
      <c r="E415" t="s">
        <v>33</v>
      </c>
      <c r="F415" t="s">
        <v>39</v>
      </c>
      <c r="G415" t="s">
        <v>52</v>
      </c>
      <c r="H415" t="s">
        <v>36</v>
      </c>
      <c r="I415" t="s">
        <v>247</v>
      </c>
      <c r="J415" s="10" t="str">
        <f>+_xlfn.XLOOKUP(B415,INNOVACIÓN!A:A,INNOVACIÓN!B:B,"NO")</f>
        <v>NO</v>
      </c>
      <c r="K415" s="10" t="str">
        <f>+_xlfn.XLOOKUP(B415,MERMA!B:B,MERMA!C:C,"No")</f>
        <v>SI</v>
      </c>
      <c r="L415" s="10">
        <f>+_xlfn.XLOOKUP(B415,MERMA!B:B,MERMA!D:D,"No es merma")</f>
        <v>2025</v>
      </c>
    </row>
    <row r="416" spans="1:12" ht="14.5" hidden="1" x14ac:dyDescent="0.35">
      <c r="A416">
        <v>100015645</v>
      </c>
      <c r="B416">
        <v>75070373</v>
      </c>
      <c r="C416" t="s">
        <v>457</v>
      </c>
      <c r="D416" t="s">
        <v>44</v>
      </c>
      <c r="E416" t="s">
        <v>33</v>
      </c>
      <c r="F416" t="s">
        <v>39</v>
      </c>
      <c r="G416" t="s">
        <v>54</v>
      </c>
      <c r="H416" t="s">
        <v>36</v>
      </c>
      <c r="I416" t="s">
        <v>109</v>
      </c>
      <c r="J416" s="10" t="str">
        <f>+_xlfn.XLOOKUP(B416,INNOVACIÓN!A:A,INNOVACIÓN!B:B,"NO")</f>
        <v>NO</v>
      </c>
      <c r="K416" s="10" t="str">
        <f>+_xlfn.XLOOKUP(B416,MERMA!B:B,MERMA!C:C,"No")</f>
        <v>SI</v>
      </c>
      <c r="L416" s="10">
        <f>+_xlfn.XLOOKUP(B416,MERMA!B:B,MERMA!D:D,"No es merma")</f>
        <v>2025</v>
      </c>
    </row>
    <row r="417" spans="1:12" ht="14.5" hidden="1" x14ac:dyDescent="0.35">
      <c r="A417">
        <v>100015174</v>
      </c>
      <c r="B417">
        <v>75067878</v>
      </c>
      <c r="C417" t="s">
        <v>458</v>
      </c>
      <c r="D417" t="s">
        <v>44</v>
      </c>
      <c r="E417" t="s">
        <v>33</v>
      </c>
      <c r="F417" t="s">
        <v>39</v>
      </c>
      <c r="G417" t="s">
        <v>54</v>
      </c>
      <c r="H417" t="s">
        <v>36</v>
      </c>
      <c r="I417" t="s">
        <v>109</v>
      </c>
      <c r="J417" s="10" t="str">
        <f>+_xlfn.XLOOKUP(B417,INNOVACIÓN!A:A,INNOVACIÓN!B:B,"NO")</f>
        <v>NO</v>
      </c>
      <c r="K417" s="10" t="str">
        <f>+_xlfn.XLOOKUP(B417,MERMA!B:B,MERMA!C:C,"No")</f>
        <v>SI</v>
      </c>
      <c r="L417" s="10">
        <f>+_xlfn.XLOOKUP(B417,MERMA!B:B,MERMA!D:D,"No es merma")</f>
        <v>2025</v>
      </c>
    </row>
    <row r="418" spans="1:12" ht="14.5" hidden="1" x14ac:dyDescent="0.35">
      <c r="A418">
        <v>100015648</v>
      </c>
      <c r="B418">
        <v>75070588</v>
      </c>
      <c r="C418" t="s">
        <v>459</v>
      </c>
      <c r="D418" t="s">
        <v>44</v>
      </c>
      <c r="E418" t="s">
        <v>33</v>
      </c>
      <c r="F418" t="s">
        <v>46</v>
      </c>
      <c r="G418" t="s">
        <v>35</v>
      </c>
      <c r="H418" t="s">
        <v>36</v>
      </c>
      <c r="I418" t="s">
        <v>247</v>
      </c>
      <c r="J418" s="10" t="str">
        <f>+_xlfn.XLOOKUP(B418,INNOVACIÓN!A:A,INNOVACIÓN!B:B,"NO")</f>
        <v>NO</v>
      </c>
      <c r="K418" s="10" t="str">
        <f>+_xlfn.XLOOKUP(B418,MERMA!B:B,MERMA!C:C,"No")</f>
        <v>SI</v>
      </c>
      <c r="L418" s="10">
        <f>+_xlfn.XLOOKUP(B418,MERMA!B:B,MERMA!D:D,"No es merma")</f>
        <v>2025</v>
      </c>
    </row>
    <row r="419" spans="1:12" ht="14.5" hidden="1" x14ac:dyDescent="0.35">
      <c r="A419">
        <v>100017624</v>
      </c>
      <c r="B419">
        <v>75072674</v>
      </c>
      <c r="C419" t="s">
        <v>460</v>
      </c>
      <c r="D419" t="s">
        <v>44</v>
      </c>
      <c r="E419" t="s">
        <v>33</v>
      </c>
      <c r="F419" t="s">
        <v>46</v>
      </c>
      <c r="G419" t="s">
        <v>54</v>
      </c>
      <c r="H419" t="s">
        <v>36</v>
      </c>
      <c r="I419" t="s">
        <v>109</v>
      </c>
      <c r="J419" s="10" t="str">
        <f>+_xlfn.XLOOKUP(B419,INNOVACIÓN!A:A,INNOVACIÓN!B:B,"NO")</f>
        <v>NO</v>
      </c>
      <c r="K419" s="10" t="str">
        <f>+_xlfn.XLOOKUP(B419,MERMA!B:B,MERMA!C:C,"No")</f>
        <v>No</v>
      </c>
      <c r="L419" s="10" t="str">
        <f>+_xlfn.XLOOKUP(B419,MERMA!B:B,MERMA!D:D,"No es merma")</f>
        <v>No es merma</v>
      </c>
    </row>
    <row r="420" spans="1:12" ht="14.5" hidden="1" x14ac:dyDescent="0.35">
      <c r="A420">
        <v>100008441</v>
      </c>
      <c r="B420">
        <v>75058470</v>
      </c>
      <c r="C420" t="s">
        <v>461</v>
      </c>
      <c r="D420" t="s">
        <v>44</v>
      </c>
      <c r="E420" t="s">
        <v>33</v>
      </c>
      <c r="F420" t="s">
        <v>46</v>
      </c>
      <c r="G420" t="s">
        <v>58</v>
      </c>
      <c r="H420" t="s">
        <v>36</v>
      </c>
      <c r="I420" t="s">
        <v>247</v>
      </c>
      <c r="J420" s="10" t="str">
        <f>+_xlfn.XLOOKUP(B420,INNOVACIÓN!A:A,INNOVACIÓN!B:B,"NO")</f>
        <v>NO</v>
      </c>
      <c r="K420" s="10" t="str">
        <f>+_xlfn.XLOOKUP(B420,MERMA!B:B,MERMA!C:C,"No")</f>
        <v>No</v>
      </c>
      <c r="L420" s="10" t="str">
        <f>+_xlfn.XLOOKUP(B420,MERMA!B:B,MERMA!D:D,"No es merma")</f>
        <v>No es merma</v>
      </c>
    </row>
    <row r="421" spans="1:12" ht="14.5" hidden="1" x14ac:dyDescent="0.35">
      <c r="A421">
        <v>100010934</v>
      </c>
      <c r="B421">
        <v>75062675</v>
      </c>
      <c r="C421" t="s">
        <v>462</v>
      </c>
      <c r="D421" t="s">
        <v>44</v>
      </c>
      <c r="E421" t="s">
        <v>33</v>
      </c>
      <c r="F421" t="s">
        <v>39</v>
      </c>
      <c r="G421" t="s">
        <v>58</v>
      </c>
      <c r="H421" t="s">
        <v>36</v>
      </c>
      <c r="I421" t="s">
        <v>247</v>
      </c>
      <c r="J421" s="10" t="str">
        <f>+_xlfn.XLOOKUP(B421,INNOVACIÓN!A:A,INNOVACIÓN!B:B,"NO")</f>
        <v>NO</v>
      </c>
      <c r="K421" s="10" t="str">
        <f>+_xlfn.XLOOKUP(B421,MERMA!B:B,MERMA!C:C,"No")</f>
        <v>SI</v>
      </c>
      <c r="L421" s="10">
        <f>+_xlfn.XLOOKUP(B421,MERMA!B:B,MERMA!D:D,"No es merma")</f>
        <v>2025</v>
      </c>
    </row>
    <row r="422" spans="1:12" ht="14.5" hidden="1" x14ac:dyDescent="0.35">
      <c r="A422">
        <v>900000012</v>
      </c>
      <c r="B422">
        <v>8356</v>
      </c>
      <c r="C422" t="s">
        <v>463</v>
      </c>
      <c r="D422" t="s">
        <v>11</v>
      </c>
      <c r="E422" t="s">
        <v>33</v>
      </c>
      <c r="F422" t="s">
        <v>100</v>
      </c>
      <c r="G422" t="s">
        <v>35</v>
      </c>
      <c r="H422" t="s">
        <v>36</v>
      </c>
      <c r="I422" t="s">
        <v>247</v>
      </c>
      <c r="J422" s="10" t="str">
        <f>+_xlfn.XLOOKUP(B422,INNOVACIÓN!A:A,INNOVACIÓN!B:B,"NO")</f>
        <v>NO</v>
      </c>
      <c r="K422" s="10" t="str">
        <f>+_xlfn.XLOOKUP(B422,MERMA!B:B,MERMA!C:C,"No")</f>
        <v>No</v>
      </c>
      <c r="L422" s="10" t="str">
        <f>+_xlfn.XLOOKUP(B422,MERMA!B:B,MERMA!D:D,"No es merma")</f>
        <v>No es merma</v>
      </c>
    </row>
    <row r="423" spans="1:12" ht="14.5" hidden="1" x14ac:dyDescent="0.35">
      <c r="A423" s="10">
        <v>100020228</v>
      </c>
      <c r="B423">
        <v>5410706884555</v>
      </c>
      <c r="C423" s="10" t="s">
        <v>464</v>
      </c>
      <c r="D423" t="s">
        <v>11</v>
      </c>
      <c r="E423" t="s">
        <v>33</v>
      </c>
      <c r="F423" t="s">
        <v>70</v>
      </c>
      <c r="G423" t="s">
        <v>239</v>
      </c>
      <c r="H423" t="s">
        <v>70</v>
      </c>
      <c r="I423" t="s">
        <v>109</v>
      </c>
      <c r="J423" s="10" t="str">
        <f>+_xlfn.XLOOKUP(B423,INNOVACIÓN!A:A,INNOVACIÓN!B:B,"NO")</f>
        <v>NO</v>
      </c>
      <c r="K423" s="10" t="str">
        <f>+_xlfn.XLOOKUP(B423,MERMA!B:B,MERMA!C:C,"No")</f>
        <v>No</v>
      </c>
      <c r="L423" s="10" t="str">
        <f>+_xlfn.XLOOKUP(B423,MERMA!B:B,MERMA!D:D,"No es merma")</f>
        <v>No es merma</v>
      </c>
    </row>
    <row r="424" spans="1:12" ht="14.5" hidden="1" x14ac:dyDescent="0.35">
      <c r="A424">
        <v>100017011</v>
      </c>
      <c r="B424">
        <v>5410706851496</v>
      </c>
      <c r="C424" t="s">
        <v>465</v>
      </c>
      <c r="D424" t="s">
        <v>11</v>
      </c>
      <c r="E424" t="s">
        <v>33</v>
      </c>
      <c r="F424" t="s">
        <v>70</v>
      </c>
      <c r="G424" t="s">
        <v>239</v>
      </c>
      <c r="H424" t="s">
        <v>70</v>
      </c>
      <c r="I424" t="s">
        <v>109</v>
      </c>
      <c r="J424" s="10" t="str">
        <f>+_xlfn.XLOOKUP(B424,INNOVACIÓN!A:A,INNOVACIÓN!B:B,"NO")</f>
        <v>NO</v>
      </c>
      <c r="K424" s="10" t="str">
        <f>+_xlfn.XLOOKUP(B424,MERMA!B:B,MERMA!C:C,"No")</f>
        <v>No</v>
      </c>
      <c r="L424" s="10" t="str">
        <f>+_xlfn.XLOOKUP(B424,MERMA!B:B,MERMA!D:D,"No es merma")</f>
        <v>No es merma</v>
      </c>
    </row>
    <row r="425" spans="1:12" ht="14.5" hidden="1" x14ac:dyDescent="0.35">
      <c r="A425">
        <v>100021272</v>
      </c>
      <c r="B425">
        <v>7622100711049</v>
      </c>
      <c r="C425" t="s">
        <v>466</v>
      </c>
      <c r="D425" t="s">
        <v>11</v>
      </c>
      <c r="E425" t="s">
        <v>33</v>
      </c>
      <c r="F425" t="s">
        <v>70</v>
      </c>
      <c r="G425" t="s">
        <v>239</v>
      </c>
      <c r="H425" t="s">
        <v>70</v>
      </c>
      <c r="I425" t="s">
        <v>109</v>
      </c>
      <c r="J425" s="10" t="str">
        <f>+_xlfn.XLOOKUP(B425,INNOVACIÓN!A:A,INNOVACIÓN!B:B,"NO")</f>
        <v>NO</v>
      </c>
      <c r="K425" s="10" t="str">
        <f>+_xlfn.XLOOKUP(B425,MERMA!B:B,MERMA!C:C,"No")</f>
        <v>SI</v>
      </c>
      <c r="L425" s="10">
        <f>+_xlfn.XLOOKUP(B425,MERMA!B:B,MERMA!D:D,"No es merma")</f>
        <v>2025</v>
      </c>
    </row>
    <row r="426" spans="1:12" ht="14.5" hidden="1" x14ac:dyDescent="0.35">
      <c r="A426">
        <v>100018398</v>
      </c>
      <c r="B426">
        <v>7622100806332</v>
      </c>
      <c r="C426" t="s">
        <v>467</v>
      </c>
      <c r="D426" t="s">
        <v>11</v>
      </c>
      <c r="E426" t="s">
        <v>33</v>
      </c>
      <c r="F426" t="s">
        <v>70</v>
      </c>
      <c r="G426" t="s">
        <v>239</v>
      </c>
      <c r="H426" t="s">
        <v>70</v>
      </c>
      <c r="I426" t="s">
        <v>109</v>
      </c>
      <c r="J426" s="10" t="str">
        <f>+_xlfn.XLOOKUP(B426,INNOVACIÓN!A:A,INNOVACIÓN!B:B,"NO")</f>
        <v>NO</v>
      </c>
      <c r="K426" s="10" t="str">
        <f>+_xlfn.XLOOKUP(B426,MERMA!B:B,MERMA!C:C,"No")</f>
        <v>No</v>
      </c>
      <c r="L426" s="10" t="str">
        <f>+_xlfn.XLOOKUP(B426,MERMA!B:B,MERMA!D:D,"No es merma")</f>
        <v>No es merma</v>
      </c>
    </row>
    <row r="427" spans="1:12" ht="14.5" hidden="1" x14ac:dyDescent="0.35">
      <c r="A427" s="10">
        <v>100020901</v>
      </c>
      <c r="B427">
        <v>5410706903331</v>
      </c>
      <c r="C427" s="10" t="s">
        <v>468</v>
      </c>
      <c r="D427" t="s">
        <v>11</v>
      </c>
      <c r="E427" t="s">
        <v>33</v>
      </c>
      <c r="F427" t="s">
        <v>70</v>
      </c>
      <c r="G427" t="s">
        <v>239</v>
      </c>
      <c r="H427" t="s">
        <v>70</v>
      </c>
      <c r="I427" t="s">
        <v>109</v>
      </c>
      <c r="J427" s="10" t="str">
        <f>+_xlfn.XLOOKUP(B427,INNOVACIÓN!A:A,INNOVACIÓN!B:B,"NO")</f>
        <v>NO</v>
      </c>
      <c r="K427" s="10" t="str">
        <f>+_xlfn.XLOOKUP(B427,MERMA!B:B,MERMA!C:C,"No")</f>
        <v>No</v>
      </c>
      <c r="L427" s="10" t="str">
        <f>+_xlfn.XLOOKUP(B427,MERMA!B:B,MERMA!D:D,"No es merma")</f>
        <v>No es merma</v>
      </c>
    </row>
    <row r="428" spans="1:12" ht="14.5" hidden="1" x14ac:dyDescent="0.35">
      <c r="A428" s="10">
        <v>100020906</v>
      </c>
      <c r="B428">
        <v>5410706903317</v>
      </c>
      <c r="C428" s="10" t="s">
        <v>469</v>
      </c>
      <c r="D428" t="s">
        <v>11</v>
      </c>
      <c r="E428" t="s">
        <v>33</v>
      </c>
      <c r="F428" t="s">
        <v>70</v>
      </c>
      <c r="G428" t="s">
        <v>239</v>
      </c>
      <c r="H428" t="s">
        <v>70</v>
      </c>
      <c r="I428" t="s">
        <v>109</v>
      </c>
      <c r="J428" s="10" t="str">
        <f>+_xlfn.XLOOKUP(B428,INNOVACIÓN!A:A,INNOVACIÓN!B:B,"NO")</f>
        <v>NO</v>
      </c>
      <c r="K428" s="10" t="str">
        <f>+_xlfn.XLOOKUP(B428,MERMA!B:B,MERMA!C:C,"No")</f>
        <v>No</v>
      </c>
      <c r="L428" s="10" t="str">
        <f>+_xlfn.XLOOKUP(B428,MERMA!B:B,MERMA!D:D,"No es merma")</f>
        <v>No es merma</v>
      </c>
    </row>
    <row r="429" spans="1:12" ht="14.5" hidden="1" x14ac:dyDescent="0.35">
      <c r="A429">
        <v>100020904</v>
      </c>
      <c r="B429">
        <v>5410706903294</v>
      </c>
      <c r="C429" t="s">
        <v>470</v>
      </c>
      <c r="D429" t="s">
        <v>11</v>
      </c>
      <c r="E429" t="s">
        <v>33</v>
      </c>
      <c r="F429" t="s">
        <v>70</v>
      </c>
      <c r="G429" t="s">
        <v>239</v>
      </c>
      <c r="H429" t="s">
        <v>70</v>
      </c>
      <c r="I429" t="s">
        <v>109</v>
      </c>
      <c r="J429" s="10" t="str">
        <f>+_xlfn.XLOOKUP(B429,INNOVACIÓN!A:A,INNOVACIÓN!B:B,"NO")</f>
        <v>NO</v>
      </c>
      <c r="K429" s="10" t="str">
        <f>+_xlfn.XLOOKUP(B429,MERMA!B:B,MERMA!C:C,"No")</f>
        <v>No</v>
      </c>
      <c r="L429" s="10" t="str">
        <f>+_xlfn.XLOOKUP(B429,MERMA!B:B,MERMA!D:D,"No es merma")</f>
        <v>No es merma</v>
      </c>
    </row>
    <row r="430" spans="1:12" ht="14.5" hidden="1" x14ac:dyDescent="0.35">
      <c r="A430" s="10">
        <v>100020905</v>
      </c>
      <c r="B430">
        <v>5410706903355</v>
      </c>
      <c r="C430" s="10" t="s">
        <v>471</v>
      </c>
      <c r="D430" t="s">
        <v>11</v>
      </c>
      <c r="E430" t="s">
        <v>33</v>
      </c>
      <c r="F430" t="s">
        <v>70</v>
      </c>
      <c r="G430" t="s">
        <v>239</v>
      </c>
      <c r="H430" t="s">
        <v>70</v>
      </c>
      <c r="I430" t="s">
        <v>109</v>
      </c>
      <c r="J430" s="10" t="str">
        <f>+_xlfn.XLOOKUP(B430,INNOVACIÓN!A:A,INNOVACIÓN!B:B,"NO")</f>
        <v>NO</v>
      </c>
      <c r="K430" s="10" t="str">
        <f>+_xlfn.XLOOKUP(B430,MERMA!B:B,MERMA!C:C,"No")</f>
        <v>No</v>
      </c>
      <c r="L430" s="10" t="str">
        <f>+_xlfn.XLOOKUP(B430,MERMA!B:B,MERMA!D:D,"No es merma")</f>
        <v>No es merma</v>
      </c>
    </row>
    <row r="431" spans="1:12" ht="14.5" hidden="1" x14ac:dyDescent="0.35">
      <c r="A431" s="10">
        <v>100020177</v>
      </c>
      <c r="B431">
        <v>5410706884739</v>
      </c>
      <c r="C431" s="10" t="s">
        <v>472</v>
      </c>
      <c r="D431" t="s">
        <v>11</v>
      </c>
      <c r="E431" t="s">
        <v>33</v>
      </c>
      <c r="F431" t="s">
        <v>70</v>
      </c>
      <c r="G431" t="s">
        <v>239</v>
      </c>
      <c r="H431" t="s">
        <v>70</v>
      </c>
      <c r="I431" t="s">
        <v>109</v>
      </c>
      <c r="J431" s="10" t="str">
        <f>+_xlfn.XLOOKUP(B431,INNOVACIÓN!A:A,INNOVACIÓN!B:B,"NO")</f>
        <v>NO</v>
      </c>
      <c r="K431" s="10" t="str">
        <f>+_xlfn.XLOOKUP(B431,MERMA!B:B,MERMA!C:C,"No")</f>
        <v>No</v>
      </c>
      <c r="L431" s="10" t="str">
        <f>+_xlfn.XLOOKUP(B431,MERMA!B:B,MERMA!D:D,"No es merma")</f>
        <v>No es merma</v>
      </c>
    </row>
    <row r="432" spans="1:12" ht="14.5" hidden="1" x14ac:dyDescent="0.35">
      <c r="A432" s="10">
        <v>100020178</v>
      </c>
      <c r="B432">
        <v>5410706884715</v>
      </c>
      <c r="C432" s="10" t="s">
        <v>473</v>
      </c>
      <c r="D432" t="s">
        <v>11</v>
      </c>
      <c r="E432" t="s">
        <v>33</v>
      </c>
      <c r="F432" t="s">
        <v>70</v>
      </c>
      <c r="G432" t="s">
        <v>239</v>
      </c>
      <c r="H432" t="s">
        <v>70</v>
      </c>
      <c r="I432" t="s">
        <v>109</v>
      </c>
      <c r="J432" s="10" t="str">
        <f>+_xlfn.XLOOKUP(B432,INNOVACIÓN!A:A,INNOVACIÓN!B:B,"NO")</f>
        <v>NO</v>
      </c>
      <c r="K432" s="10" t="str">
        <f>+_xlfn.XLOOKUP(B432,MERMA!B:B,MERMA!C:C,"No")</f>
        <v>No</v>
      </c>
      <c r="L432" s="10" t="str">
        <f>+_xlfn.XLOOKUP(B432,MERMA!B:B,MERMA!D:D,"No es merma")</f>
        <v>No es merma</v>
      </c>
    </row>
    <row r="433" spans="1:12" ht="14.5" hidden="1" x14ac:dyDescent="0.35">
      <c r="A433" s="10">
        <v>100020179</v>
      </c>
      <c r="B433">
        <v>5410706884654</v>
      </c>
      <c r="C433" s="10" t="s">
        <v>474</v>
      </c>
      <c r="D433" t="s">
        <v>11</v>
      </c>
      <c r="E433" t="s">
        <v>33</v>
      </c>
      <c r="F433" t="s">
        <v>70</v>
      </c>
      <c r="G433" t="s">
        <v>239</v>
      </c>
      <c r="H433" t="s">
        <v>70</v>
      </c>
      <c r="I433" t="s">
        <v>109</v>
      </c>
      <c r="J433" s="10" t="str">
        <f>+_xlfn.XLOOKUP(B433,INNOVACIÓN!A:A,INNOVACIÓN!B:B,"NO")</f>
        <v>NO</v>
      </c>
      <c r="K433" s="10" t="str">
        <f>+_xlfn.XLOOKUP(B433,MERMA!B:B,MERMA!C:C,"No")</f>
        <v>No</v>
      </c>
      <c r="L433" s="10" t="str">
        <f>+_xlfn.XLOOKUP(B433,MERMA!B:B,MERMA!D:D,"No es merma")</f>
        <v>No es merma</v>
      </c>
    </row>
    <row r="434" spans="1:12" ht="14.5" hidden="1" x14ac:dyDescent="0.35">
      <c r="A434">
        <v>100020992</v>
      </c>
      <c r="B434">
        <v>5410710000000</v>
      </c>
      <c r="C434" t="s">
        <v>475</v>
      </c>
      <c r="D434" t="s">
        <v>11</v>
      </c>
      <c r="E434" t="s">
        <v>33</v>
      </c>
      <c r="F434" t="s">
        <v>70</v>
      </c>
      <c r="G434" t="s">
        <v>239</v>
      </c>
      <c r="H434" t="s">
        <v>70</v>
      </c>
      <c r="I434" t="s">
        <v>109</v>
      </c>
      <c r="J434" s="10" t="str">
        <f>+_xlfn.XLOOKUP(B434,INNOVACIÓN!A:A,INNOVACIÓN!B:B,"NO")</f>
        <v>NO</v>
      </c>
      <c r="K434" s="10" t="str">
        <f>+_xlfn.XLOOKUP(B434,MERMA!B:B,MERMA!C:C,"No")</f>
        <v>No</v>
      </c>
      <c r="L434" s="10" t="str">
        <f>+_xlfn.XLOOKUP(B434,MERMA!B:B,MERMA!D:D,"No es merma")</f>
        <v>No es merma</v>
      </c>
    </row>
    <row r="435" spans="1:12" ht="14.5" hidden="1" x14ac:dyDescent="0.35">
      <c r="A435">
        <v>100015421</v>
      </c>
      <c r="B435">
        <v>7501045357423</v>
      </c>
      <c r="C435" t="s">
        <v>476</v>
      </c>
      <c r="D435" t="s">
        <v>11</v>
      </c>
      <c r="E435" t="s">
        <v>33</v>
      </c>
      <c r="F435" t="s">
        <v>46</v>
      </c>
      <c r="G435" t="s">
        <v>75</v>
      </c>
      <c r="H435" t="s">
        <v>70</v>
      </c>
      <c r="I435" t="s">
        <v>109</v>
      </c>
      <c r="J435" s="10" t="str">
        <f>+_xlfn.XLOOKUP(B435,INNOVACIÓN!A:A,INNOVACIÓN!B:B,"NO")</f>
        <v>NO</v>
      </c>
      <c r="K435" s="10" t="str">
        <f>+_xlfn.XLOOKUP(B435,MERMA!B:B,MERMA!C:C,"No")</f>
        <v>SI</v>
      </c>
      <c r="L435" s="10">
        <f>+_xlfn.XLOOKUP(B435,MERMA!B:B,MERMA!D:D,"No es merma")</f>
        <v>2025</v>
      </c>
    </row>
    <row r="436" spans="1:12" ht="14.5" hidden="1" x14ac:dyDescent="0.35">
      <c r="A436">
        <v>100015420</v>
      </c>
      <c r="B436">
        <v>7501045357416</v>
      </c>
      <c r="C436" t="s">
        <v>477</v>
      </c>
      <c r="D436" t="s">
        <v>11</v>
      </c>
      <c r="E436" t="s">
        <v>33</v>
      </c>
      <c r="F436" t="s">
        <v>46</v>
      </c>
      <c r="G436" t="s">
        <v>75</v>
      </c>
      <c r="H436" t="s">
        <v>70</v>
      </c>
      <c r="I436" t="s">
        <v>109</v>
      </c>
      <c r="J436" s="10" t="str">
        <f>+_xlfn.XLOOKUP(B436,INNOVACIÓN!A:A,INNOVACIÓN!B:B,"NO")</f>
        <v>NO</v>
      </c>
      <c r="K436" s="10" t="str">
        <f>+_xlfn.XLOOKUP(B436,MERMA!B:B,MERMA!C:C,"No")</f>
        <v>SI</v>
      </c>
      <c r="L436" s="10">
        <f>+_xlfn.XLOOKUP(B436,MERMA!B:B,MERMA!D:D,"No es merma")</f>
        <v>2025</v>
      </c>
    </row>
    <row r="437" spans="1:12" ht="14.5" hidden="1" x14ac:dyDescent="0.35">
      <c r="A437">
        <v>100015419</v>
      </c>
      <c r="B437">
        <v>7501045357430</v>
      </c>
      <c r="C437" t="s">
        <v>478</v>
      </c>
      <c r="D437" t="s">
        <v>11</v>
      </c>
      <c r="E437" t="s">
        <v>33</v>
      </c>
      <c r="F437" t="s">
        <v>46</v>
      </c>
      <c r="G437" t="s">
        <v>75</v>
      </c>
      <c r="H437" t="s">
        <v>70</v>
      </c>
      <c r="I437" t="s">
        <v>109</v>
      </c>
      <c r="J437" s="10" t="str">
        <f>+_xlfn.XLOOKUP(B437,INNOVACIÓN!A:A,INNOVACIÓN!B:B,"NO")</f>
        <v>NO</v>
      </c>
      <c r="K437" s="10" t="str">
        <f>+_xlfn.XLOOKUP(B437,MERMA!B:B,MERMA!C:C,"No")</f>
        <v>SI</v>
      </c>
      <c r="L437" s="10">
        <f>+_xlfn.XLOOKUP(B437,MERMA!B:B,MERMA!D:D,"No es merma")</f>
        <v>2025</v>
      </c>
    </row>
    <row r="438" spans="1:12" ht="14.5" hidden="1" x14ac:dyDescent="0.35">
      <c r="A438">
        <v>100018638</v>
      </c>
      <c r="B438">
        <v>7501045357898</v>
      </c>
      <c r="C438" t="s">
        <v>479</v>
      </c>
      <c r="D438" t="s">
        <v>11</v>
      </c>
      <c r="E438" t="s">
        <v>33</v>
      </c>
      <c r="F438" t="s">
        <v>46</v>
      </c>
      <c r="G438" t="s">
        <v>75</v>
      </c>
      <c r="H438" t="s">
        <v>70</v>
      </c>
      <c r="I438" t="s">
        <v>109</v>
      </c>
      <c r="J438" s="10" t="str">
        <f>+_xlfn.XLOOKUP(B438,INNOVACIÓN!A:A,INNOVACIÓN!B:B,"NO")</f>
        <v>NO</v>
      </c>
      <c r="K438" s="10" t="str">
        <f>+_xlfn.XLOOKUP(B438,MERMA!B:B,MERMA!C:C,"No")</f>
        <v>SI</v>
      </c>
      <c r="L438" s="10">
        <f>+_xlfn.XLOOKUP(B438,MERMA!B:B,MERMA!D:D,"No es merma")</f>
        <v>2025</v>
      </c>
    </row>
    <row r="439" spans="1:12" ht="14.5" hidden="1" x14ac:dyDescent="0.35">
      <c r="A439">
        <v>100015418</v>
      </c>
      <c r="B439">
        <v>7501045357454</v>
      </c>
      <c r="C439" t="s">
        <v>480</v>
      </c>
      <c r="D439" t="s">
        <v>11</v>
      </c>
      <c r="E439" t="s">
        <v>33</v>
      </c>
      <c r="F439" t="s">
        <v>46</v>
      </c>
      <c r="G439" t="s">
        <v>75</v>
      </c>
      <c r="H439" t="s">
        <v>70</v>
      </c>
      <c r="I439" t="s">
        <v>109</v>
      </c>
      <c r="J439" s="10" t="str">
        <f>+_xlfn.XLOOKUP(B439,INNOVACIÓN!A:A,INNOVACIÓN!B:B,"NO")</f>
        <v>NO</v>
      </c>
      <c r="K439" s="10" t="str">
        <f>+_xlfn.XLOOKUP(B439,MERMA!B:B,MERMA!C:C,"No")</f>
        <v>SI</v>
      </c>
      <c r="L439" s="10">
        <f>+_xlfn.XLOOKUP(B439,MERMA!B:B,MERMA!D:D,"No es merma")</f>
        <v>2025</v>
      </c>
    </row>
    <row r="440" spans="1:12" ht="14.5" hidden="1" x14ac:dyDescent="0.35">
      <c r="A440">
        <v>100018639</v>
      </c>
      <c r="B440">
        <v>7501045357966</v>
      </c>
      <c r="C440" t="s">
        <v>481</v>
      </c>
      <c r="D440" t="s">
        <v>11</v>
      </c>
      <c r="E440" t="s">
        <v>33</v>
      </c>
      <c r="F440" t="s">
        <v>46</v>
      </c>
      <c r="G440" t="s">
        <v>75</v>
      </c>
      <c r="H440" t="s">
        <v>70</v>
      </c>
      <c r="I440" t="s">
        <v>109</v>
      </c>
      <c r="J440" s="10" t="str">
        <f>+_xlfn.XLOOKUP(B440,INNOVACIÓN!A:A,INNOVACIÓN!B:B,"NO")</f>
        <v>NO</v>
      </c>
      <c r="K440" s="10" t="str">
        <f>+_xlfn.XLOOKUP(B440,MERMA!B:B,MERMA!C:C,"No")</f>
        <v>SI</v>
      </c>
      <c r="L440" s="10">
        <f>+_xlfn.XLOOKUP(B440,MERMA!B:B,MERMA!D:D,"No es merma")</f>
        <v>2025</v>
      </c>
    </row>
    <row r="441" spans="1:12" ht="14.5" hidden="1" x14ac:dyDescent="0.35">
      <c r="A441">
        <v>100017980</v>
      </c>
      <c r="B441">
        <v>7501050000000</v>
      </c>
      <c r="C441" t="s">
        <v>482</v>
      </c>
      <c r="D441" t="s">
        <v>11</v>
      </c>
      <c r="E441" t="s">
        <v>33</v>
      </c>
      <c r="F441" t="s">
        <v>46</v>
      </c>
      <c r="G441" t="s">
        <v>75</v>
      </c>
      <c r="H441" t="s">
        <v>70</v>
      </c>
      <c r="I441" t="s">
        <v>109</v>
      </c>
      <c r="J441" s="10" t="str">
        <f>+_xlfn.XLOOKUP(B441,INNOVACIÓN!A:A,INNOVACIÓN!B:B,"NO")</f>
        <v>NO</v>
      </c>
      <c r="K441" s="10" t="str">
        <f>+_xlfn.XLOOKUP(B441,MERMA!B:B,MERMA!C:C,"No")</f>
        <v>No</v>
      </c>
      <c r="L441" s="10" t="str">
        <f>+_xlfn.XLOOKUP(B441,MERMA!B:B,MERMA!D:D,"No es merma")</f>
        <v>No es merma</v>
      </c>
    </row>
    <row r="442" spans="1:12" ht="14.5" hidden="1" x14ac:dyDescent="0.35">
      <c r="A442">
        <v>100017980</v>
      </c>
      <c r="B442">
        <v>7501045357881</v>
      </c>
      <c r="C442" t="s">
        <v>482</v>
      </c>
      <c r="D442" t="s">
        <v>11</v>
      </c>
      <c r="E442" t="s">
        <v>33</v>
      </c>
      <c r="F442" t="s">
        <v>46</v>
      </c>
      <c r="G442" t="s">
        <v>75</v>
      </c>
      <c r="H442" t="s">
        <v>70</v>
      </c>
      <c r="I442" t="s">
        <v>109</v>
      </c>
      <c r="J442" s="10" t="str">
        <f>+_xlfn.XLOOKUP(B442,INNOVACIÓN!A:A,INNOVACIÓN!B:B,"NO")</f>
        <v>NO</v>
      </c>
      <c r="K442" s="10" t="str">
        <f>+_xlfn.XLOOKUP(B442,MERMA!B:B,MERMA!C:C,"No")</f>
        <v>SI</v>
      </c>
      <c r="L442" s="10">
        <f>+_xlfn.XLOOKUP(B442,MERMA!B:B,MERMA!D:D,"No es merma")</f>
        <v>2025</v>
      </c>
    </row>
    <row r="443" spans="1:12" ht="14.5" hidden="1" x14ac:dyDescent="0.35">
      <c r="A443">
        <v>100015417</v>
      </c>
      <c r="B443">
        <v>7501045357447</v>
      </c>
      <c r="C443" t="s">
        <v>483</v>
      </c>
      <c r="D443" t="s">
        <v>11</v>
      </c>
      <c r="E443" t="s">
        <v>33</v>
      </c>
      <c r="F443" t="s">
        <v>46</v>
      </c>
      <c r="G443" t="s">
        <v>75</v>
      </c>
      <c r="H443" t="s">
        <v>70</v>
      </c>
      <c r="I443" t="s">
        <v>109</v>
      </c>
      <c r="J443" s="10" t="str">
        <f>+_xlfn.XLOOKUP(B443,INNOVACIÓN!A:A,INNOVACIÓN!B:B,"NO")</f>
        <v>NO</v>
      </c>
      <c r="K443" s="10" t="str">
        <f>+_xlfn.XLOOKUP(B443,MERMA!B:B,MERMA!C:C,"No")</f>
        <v>SI</v>
      </c>
      <c r="L443" s="10">
        <f>+_xlfn.XLOOKUP(B443,MERMA!B:B,MERMA!D:D,"No es merma")</f>
        <v>2025</v>
      </c>
    </row>
    <row r="444" spans="1:12" ht="14.5" hidden="1" x14ac:dyDescent="0.35">
      <c r="A444">
        <v>100022970</v>
      </c>
      <c r="B444">
        <v>7503031950571</v>
      </c>
      <c r="C444" t="s">
        <v>484</v>
      </c>
      <c r="D444" t="s">
        <v>11</v>
      </c>
      <c r="E444" t="s">
        <v>33</v>
      </c>
      <c r="F444" t="s">
        <v>46</v>
      </c>
      <c r="G444" t="s">
        <v>75</v>
      </c>
      <c r="H444" t="s">
        <v>70</v>
      </c>
      <c r="I444" t="s">
        <v>109</v>
      </c>
      <c r="J444" s="10" t="str">
        <f>+_xlfn.XLOOKUP(B444,INNOVACIÓN!A:A,INNOVACIÓN!B:B,"NO")</f>
        <v>NO</v>
      </c>
      <c r="K444" s="10" t="str">
        <f>+_xlfn.XLOOKUP(B444,MERMA!B:B,MERMA!C:C,"No")</f>
        <v>SI</v>
      </c>
      <c r="L444" s="10">
        <f>+_xlfn.XLOOKUP(B444,MERMA!B:B,MERMA!D:D,"No es merma")</f>
        <v>2025</v>
      </c>
    </row>
    <row r="445" spans="1:12" ht="14.5" hidden="1" x14ac:dyDescent="0.35">
      <c r="A445">
        <v>100015416</v>
      </c>
      <c r="B445">
        <v>7501045356259</v>
      </c>
      <c r="C445" t="s">
        <v>485</v>
      </c>
      <c r="D445" t="s">
        <v>11</v>
      </c>
      <c r="E445" t="s">
        <v>33</v>
      </c>
      <c r="F445" t="s">
        <v>46</v>
      </c>
      <c r="G445" t="s">
        <v>75</v>
      </c>
      <c r="H445" t="s">
        <v>70</v>
      </c>
      <c r="I445" t="s">
        <v>109</v>
      </c>
      <c r="J445" s="10" t="str">
        <f>+_xlfn.XLOOKUP(B445,INNOVACIÓN!A:A,INNOVACIÓN!B:B,"NO")</f>
        <v>NO</v>
      </c>
      <c r="K445" s="10" t="str">
        <f>+_xlfn.XLOOKUP(B445,MERMA!B:B,MERMA!C:C,"No")</f>
        <v>SI</v>
      </c>
      <c r="L445" s="10">
        <f>+_xlfn.XLOOKUP(B445,MERMA!B:B,MERMA!D:D,"No es merma")</f>
        <v>2025</v>
      </c>
    </row>
    <row r="446" spans="1:12" ht="14.5" hidden="1" x14ac:dyDescent="0.35">
      <c r="A446">
        <v>100021950</v>
      </c>
      <c r="B446">
        <v>75004392</v>
      </c>
      <c r="C446" t="s">
        <v>486</v>
      </c>
      <c r="D446" t="s">
        <v>11</v>
      </c>
      <c r="E446" t="s">
        <v>214</v>
      </c>
      <c r="F446" t="s">
        <v>609</v>
      </c>
      <c r="G446" t="s">
        <v>35</v>
      </c>
      <c r="H446" t="s">
        <v>36</v>
      </c>
      <c r="I446" t="s">
        <v>16</v>
      </c>
      <c r="J446" s="10" t="str">
        <f>+_xlfn.XLOOKUP(B446,INNOVACIÓN!A:A,INNOVACIÓN!B:B,"NO")</f>
        <v>NO</v>
      </c>
      <c r="K446" s="10" t="str">
        <f>+_xlfn.XLOOKUP(B446,MERMA!B:B,MERMA!C:C,"No")</f>
        <v>No</v>
      </c>
      <c r="L446" s="10" t="str">
        <f>+_xlfn.XLOOKUP(B446,MERMA!B:B,MERMA!D:D,"No es merma")</f>
        <v>No es merma</v>
      </c>
    </row>
    <row r="447" spans="1:12" ht="14.5" hidden="1" x14ac:dyDescent="0.35">
      <c r="A447" s="10">
        <v>100012007</v>
      </c>
      <c r="B447">
        <v>75063900</v>
      </c>
      <c r="C447" s="10" t="s">
        <v>487</v>
      </c>
      <c r="D447" t="s">
        <v>11</v>
      </c>
      <c r="E447" t="s">
        <v>33</v>
      </c>
      <c r="F447" t="s">
        <v>41</v>
      </c>
      <c r="G447" t="s">
        <v>35</v>
      </c>
      <c r="H447" t="s">
        <v>36</v>
      </c>
      <c r="I447" t="s">
        <v>109</v>
      </c>
      <c r="J447" s="10" t="str">
        <f>+_xlfn.XLOOKUP(B447,INNOVACIÓN!A:A,INNOVACIÓN!B:B,"NO")</f>
        <v>NO</v>
      </c>
      <c r="K447" s="10" t="str">
        <f>+_xlfn.XLOOKUP(B447,MERMA!B:B,MERMA!C:C,"No")</f>
        <v>No</v>
      </c>
      <c r="L447" s="10" t="str">
        <f>+_xlfn.XLOOKUP(B447,MERMA!B:B,MERMA!D:D,"No es merma")</f>
        <v>No es merma</v>
      </c>
    </row>
    <row r="448" spans="1:12" ht="14.5" hidden="1" x14ac:dyDescent="0.35">
      <c r="A448" s="10">
        <v>100011702</v>
      </c>
      <c r="B448">
        <v>75063894</v>
      </c>
      <c r="C448" s="10" t="s">
        <v>488</v>
      </c>
      <c r="D448" t="s">
        <v>11</v>
      </c>
      <c r="E448" t="s">
        <v>33</v>
      </c>
      <c r="F448" t="s">
        <v>41</v>
      </c>
      <c r="G448" t="s">
        <v>35</v>
      </c>
      <c r="H448" t="s">
        <v>36</v>
      </c>
      <c r="I448" t="s">
        <v>109</v>
      </c>
      <c r="J448" s="10" t="str">
        <f>+_xlfn.XLOOKUP(B448,INNOVACIÓN!A:A,INNOVACIÓN!B:B,"NO")</f>
        <v>NO</v>
      </c>
      <c r="K448" s="10" t="str">
        <f>+_xlfn.XLOOKUP(B448,MERMA!B:B,MERMA!C:C,"No")</f>
        <v>No</v>
      </c>
      <c r="L448" s="10" t="str">
        <f>+_xlfn.XLOOKUP(B448,MERMA!B:B,MERMA!D:D,"No es merma")</f>
        <v>No es merma</v>
      </c>
    </row>
    <row r="449" spans="1:12" ht="14.5" hidden="1" x14ac:dyDescent="0.35">
      <c r="A449">
        <v>100010267</v>
      </c>
      <c r="B449">
        <v>75061463</v>
      </c>
      <c r="C449" t="s">
        <v>489</v>
      </c>
      <c r="D449" t="s">
        <v>11</v>
      </c>
      <c r="E449" t="s">
        <v>33</v>
      </c>
      <c r="F449" t="s">
        <v>41</v>
      </c>
      <c r="G449" t="s">
        <v>54</v>
      </c>
      <c r="H449" t="s">
        <v>36</v>
      </c>
      <c r="I449" t="s">
        <v>109</v>
      </c>
      <c r="J449" s="10" t="str">
        <f>+_xlfn.XLOOKUP(B449,INNOVACIÓN!A:A,INNOVACIÓN!B:B,"NO")</f>
        <v>NO</v>
      </c>
      <c r="K449" s="10" t="str">
        <f>+_xlfn.XLOOKUP(B449,MERMA!B:B,MERMA!C:C,"No")</f>
        <v>No</v>
      </c>
      <c r="L449" s="10" t="str">
        <f>+_xlfn.XLOOKUP(B449,MERMA!B:B,MERMA!D:D,"No es merma")</f>
        <v>No es merma</v>
      </c>
    </row>
    <row r="450" spans="1:12" ht="14.5" hidden="1" x14ac:dyDescent="0.35">
      <c r="A450" s="10">
        <v>100012003</v>
      </c>
      <c r="B450">
        <v>75063863</v>
      </c>
      <c r="C450" s="10" t="s">
        <v>490</v>
      </c>
      <c r="D450" t="s">
        <v>11</v>
      </c>
      <c r="E450" t="s">
        <v>33</v>
      </c>
      <c r="F450" t="s">
        <v>41</v>
      </c>
      <c r="G450" t="s">
        <v>54</v>
      </c>
      <c r="H450" t="s">
        <v>36</v>
      </c>
      <c r="I450" t="s">
        <v>109</v>
      </c>
      <c r="J450" s="10" t="str">
        <f>+_xlfn.XLOOKUP(B450,INNOVACIÓN!A:A,INNOVACIÓN!B:B,"NO")</f>
        <v>NO</v>
      </c>
      <c r="K450" s="10" t="str">
        <f>+_xlfn.XLOOKUP(B450,MERMA!B:B,MERMA!C:C,"No")</f>
        <v>No</v>
      </c>
      <c r="L450" s="10" t="str">
        <f>+_xlfn.XLOOKUP(B450,MERMA!B:B,MERMA!D:D,"No es merma")</f>
        <v>No es merma</v>
      </c>
    </row>
    <row r="451" spans="1:12" ht="14.5" hidden="1" x14ac:dyDescent="0.35">
      <c r="A451" s="10">
        <v>100009575</v>
      </c>
      <c r="B451">
        <v>75061449</v>
      </c>
      <c r="C451" s="10" t="s">
        <v>491</v>
      </c>
      <c r="D451" t="s">
        <v>11</v>
      </c>
      <c r="E451" t="s">
        <v>33</v>
      </c>
      <c r="F451" t="s">
        <v>41</v>
      </c>
      <c r="G451" t="s">
        <v>35</v>
      </c>
      <c r="H451" t="s">
        <v>36</v>
      </c>
      <c r="I451" t="s">
        <v>109</v>
      </c>
      <c r="J451" s="10" t="str">
        <f>+_xlfn.XLOOKUP(B451,INNOVACIÓN!A:A,INNOVACIÓN!B:B,"NO")</f>
        <v>NO</v>
      </c>
      <c r="K451" s="10" t="str">
        <f>+_xlfn.XLOOKUP(B451,MERMA!B:B,MERMA!C:C,"No")</f>
        <v>No</v>
      </c>
      <c r="L451" s="10" t="str">
        <f>+_xlfn.XLOOKUP(B451,MERMA!B:B,MERMA!D:D,"No es merma")</f>
        <v>No es merma</v>
      </c>
    </row>
    <row r="452" spans="1:12" ht="14.5" hidden="1" x14ac:dyDescent="0.35">
      <c r="A452" s="10">
        <v>100012005</v>
      </c>
      <c r="B452">
        <v>75063948</v>
      </c>
      <c r="C452" s="10" t="s">
        <v>492</v>
      </c>
      <c r="D452" t="s">
        <v>11</v>
      </c>
      <c r="E452" t="s">
        <v>33</v>
      </c>
      <c r="F452" t="s">
        <v>41</v>
      </c>
      <c r="G452" t="s">
        <v>71</v>
      </c>
      <c r="H452" t="s">
        <v>36</v>
      </c>
      <c r="I452" t="s">
        <v>109</v>
      </c>
      <c r="J452" s="10" t="str">
        <f>+_xlfn.XLOOKUP(B452,INNOVACIÓN!A:A,INNOVACIÓN!B:B,"NO")</f>
        <v>NO</v>
      </c>
      <c r="K452" s="10" t="str">
        <f>+_xlfn.XLOOKUP(B452,MERMA!B:B,MERMA!C:C,"No")</f>
        <v>No</v>
      </c>
      <c r="L452" s="10" t="str">
        <f>+_xlfn.XLOOKUP(B452,MERMA!B:B,MERMA!D:D,"No es merma")</f>
        <v>No es merma</v>
      </c>
    </row>
    <row r="453" spans="1:12" ht="14.5" hidden="1" x14ac:dyDescent="0.35">
      <c r="A453" s="10">
        <v>100011705</v>
      </c>
      <c r="B453">
        <v>75063931</v>
      </c>
      <c r="C453" s="10" t="s">
        <v>493</v>
      </c>
      <c r="D453" t="s">
        <v>11</v>
      </c>
      <c r="E453" t="s">
        <v>33</v>
      </c>
      <c r="F453" t="s">
        <v>41</v>
      </c>
      <c r="G453" t="s">
        <v>71</v>
      </c>
      <c r="H453" t="s">
        <v>36</v>
      </c>
      <c r="I453" t="s">
        <v>109</v>
      </c>
      <c r="J453" s="10" t="str">
        <f>+_xlfn.XLOOKUP(B453,INNOVACIÓN!A:A,INNOVACIÓN!B:B,"NO")</f>
        <v>NO</v>
      </c>
      <c r="K453" s="10" t="str">
        <f>+_xlfn.XLOOKUP(B453,MERMA!B:B,MERMA!C:C,"No")</f>
        <v>No</v>
      </c>
      <c r="L453" s="10" t="str">
        <f>+_xlfn.XLOOKUP(B453,MERMA!B:B,MERMA!D:D,"No es merma")</f>
        <v>No es merma</v>
      </c>
    </row>
    <row r="454" spans="1:12" ht="14.5" hidden="1" x14ac:dyDescent="0.35">
      <c r="A454">
        <v>100080984</v>
      </c>
      <c r="B454">
        <v>75049607</v>
      </c>
      <c r="C454" t="s">
        <v>494</v>
      </c>
      <c r="D454" t="s">
        <v>11</v>
      </c>
      <c r="E454" t="s">
        <v>33</v>
      </c>
      <c r="F454" t="s">
        <v>41</v>
      </c>
      <c r="G454" t="s">
        <v>71</v>
      </c>
      <c r="H454" t="s">
        <v>36</v>
      </c>
      <c r="I454" t="s">
        <v>109</v>
      </c>
      <c r="J454" s="10" t="str">
        <f>+_xlfn.XLOOKUP(B454,INNOVACIÓN!A:A,INNOVACIÓN!B:B,"NO")</f>
        <v>NO</v>
      </c>
      <c r="K454" s="10" t="str">
        <f>+_xlfn.XLOOKUP(B454,MERMA!B:B,MERMA!C:C,"No")</f>
        <v>No</v>
      </c>
      <c r="L454" s="10" t="str">
        <f>+_xlfn.XLOOKUP(B454,MERMA!B:B,MERMA!D:D,"No es merma")</f>
        <v>No es merma</v>
      </c>
    </row>
    <row r="455" spans="1:12" ht="14.5" hidden="1" x14ac:dyDescent="0.35">
      <c r="A455" s="10">
        <v>100012002</v>
      </c>
      <c r="B455">
        <v>75063849</v>
      </c>
      <c r="C455" s="10" t="s">
        <v>495</v>
      </c>
      <c r="D455" t="s">
        <v>11</v>
      </c>
      <c r="E455" t="s">
        <v>33</v>
      </c>
      <c r="F455" t="s">
        <v>41</v>
      </c>
      <c r="G455" t="s">
        <v>71</v>
      </c>
      <c r="H455" t="s">
        <v>36</v>
      </c>
      <c r="I455" t="s">
        <v>109</v>
      </c>
      <c r="J455" s="10" t="str">
        <f>+_xlfn.XLOOKUP(B455,INNOVACIÓN!A:A,INNOVACIÓN!B:B,"NO")</f>
        <v>NO</v>
      </c>
      <c r="K455" s="10" t="str">
        <f>+_xlfn.XLOOKUP(B455,MERMA!B:B,MERMA!C:C,"No")</f>
        <v>No</v>
      </c>
      <c r="L455" s="10" t="str">
        <f>+_xlfn.XLOOKUP(B455,MERMA!B:B,MERMA!D:D,"No es merma")</f>
        <v>No es merma</v>
      </c>
    </row>
    <row r="456" spans="1:12" ht="14.5" hidden="1" x14ac:dyDescent="0.35">
      <c r="A456">
        <v>100011706</v>
      </c>
      <c r="B456">
        <v>75063832</v>
      </c>
      <c r="C456" t="s">
        <v>496</v>
      </c>
      <c r="D456" t="s">
        <v>11</v>
      </c>
      <c r="E456" t="s">
        <v>33</v>
      </c>
      <c r="F456" t="s">
        <v>41</v>
      </c>
      <c r="G456" t="s">
        <v>71</v>
      </c>
      <c r="H456" t="s">
        <v>36</v>
      </c>
      <c r="I456" t="s">
        <v>109</v>
      </c>
      <c r="J456" s="10" t="str">
        <f>+_xlfn.XLOOKUP(B456,INNOVACIÓN!A:A,INNOVACIÓN!B:B,"NO")</f>
        <v>NO</v>
      </c>
      <c r="K456" s="10" t="str">
        <f>+_xlfn.XLOOKUP(B456,MERMA!B:B,MERMA!C:C,"No")</f>
        <v>SI</v>
      </c>
      <c r="L456" s="10">
        <f>+_xlfn.XLOOKUP(B456,MERMA!B:B,MERMA!D:D,"No es merma")</f>
        <v>2025</v>
      </c>
    </row>
    <row r="457" spans="1:12" ht="14.5" hidden="1" x14ac:dyDescent="0.35">
      <c r="A457">
        <v>100080976</v>
      </c>
      <c r="B457">
        <v>75049591</v>
      </c>
      <c r="C457" t="s">
        <v>497</v>
      </c>
      <c r="D457" t="s">
        <v>11</v>
      </c>
      <c r="E457" t="s">
        <v>33</v>
      </c>
      <c r="F457" t="s">
        <v>41</v>
      </c>
      <c r="G457" t="s">
        <v>71</v>
      </c>
      <c r="H457" t="s">
        <v>36</v>
      </c>
      <c r="I457" t="s">
        <v>109</v>
      </c>
      <c r="J457" s="10" t="str">
        <f>+_xlfn.XLOOKUP(B457,INNOVACIÓN!A:A,INNOVACIÓN!B:B,"NO")</f>
        <v>NO</v>
      </c>
      <c r="K457" s="10" t="str">
        <f>+_xlfn.XLOOKUP(B457,MERMA!B:B,MERMA!C:C,"No")</f>
        <v>SI</v>
      </c>
      <c r="L457" s="10">
        <f>+_xlfn.XLOOKUP(B457,MERMA!B:B,MERMA!D:D,"No es merma")</f>
        <v>2025</v>
      </c>
    </row>
    <row r="458" spans="1:12" ht="14.5" hidden="1" x14ac:dyDescent="0.35">
      <c r="A458" s="10">
        <v>100080951</v>
      </c>
      <c r="B458">
        <v>75047092</v>
      </c>
      <c r="C458" s="10" t="s">
        <v>498</v>
      </c>
      <c r="D458" t="s">
        <v>11</v>
      </c>
      <c r="E458" t="s">
        <v>33</v>
      </c>
      <c r="F458" t="s">
        <v>41</v>
      </c>
      <c r="G458" t="s">
        <v>71</v>
      </c>
      <c r="H458" t="s">
        <v>36</v>
      </c>
      <c r="I458" t="s">
        <v>109</v>
      </c>
      <c r="J458" s="10" t="str">
        <f>+_xlfn.XLOOKUP(B458,INNOVACIÓN!A:A,INNOVACIÓN!B:B,"NO")</f>
        <v>NO</v>
      </c>
      <c r="K458" s="10" t="str">
        <f>+_xlfn.XLOOKUP(B458,MERMA!B:B,MERMA!C:C,"No")</f>
        <v>No</v>
      </c>
      <c r="L458" s="10" t="str">
        <f>+_xlfn.XLOOKUP(B458,MERMA!B:B,MERMA!D:D,"No es merma")</f>
        <v>No es merma</v>
      </c>
    </row>
    <row r="459" spans="1:12" ht="14.5" hidden="1" x14ac:dyDescent="0.35">
      <c r="A459" s="10">
        <v>100080869</v>
      </c>
      <c r="B459">
        <v>75037048</v>
      </c>
      <c r="C459" s="10" t="s">
        <v>499</v>
      </c>
      <c r="D459" t="s">
        <v>11</v>
      </c>
      <c r="E459" t="s">
        <v>33</v>
      </c>
      <c r="F459" t="s">
        <v>41</v>
      </c>
      <c r="G459" t="s">
        <v>35</v>
      </c>
      <c r="H459" t="s">
        <v>36</v>
      </c>
      <c r="I459" t="s">
        <v>109</v>
      </c>
      <c r="J459" s="10" t="str">
        <f>+_xlfn.XLOOKUP(B459,INNOVACIÓN!A:A,INNOVACIÓN!B:B,"NO")</f>
        <v>NO</v>
      </c>
      <c r="K459" s="10" t="str">
        <f>+_xlfn.XLOOKUP(B459,MERMA!B:B,MERMA!C:C,"No")</f>
        <v>No</v>
      </c>
      <c r="L459" s="10" t="str">
        <f>+_xlfn.XLOOKUP(B459,MERMA!B:B,MERMA!D:D,"No es merma")</f>
        <v>No es merma</v>
      </c>
    </row>
    <row r="460" spans="1:12" ht="14.5" hidden="1" x14ac:dyDescent="0.35">
      <c r="A460" s="10">
        <v>100005287</v>
      </c>
      <c r="B460">
        <v>75053048</v>
      </c>
      <c r="C460" s="10" t="s">
        <v>500</v>
      </c>
      <c r="D460" t="s">
        <v>11</v>
      </c>
      <c r="E460" t="s">
        <v>33</v>
      </c>
      <c r="F460" t="s">
        <v>41</v>
      </c>
      <c r="G460" t="s">
        <v>54</v>
      </c>
      <c r="H460" t="s">
        <v>36</v>
      </c>
      <c r="I460" t="s">
        <v>109</v>
      </c>
      <c r="J460" s="10" t="str">
        <f>+_xlfn.XLOOKUP(B460,INNOVACIÓN!A:A,INNOVACIÓN!B:B,"NO")</f>
        <v>NO</v>
      </c>
      <c r="K460" s="10" t="str">
        <f>+_xlfn.XLOOKUP(B460,MERMA!B:B,MERMA!C:C,"No")</f>
        <v>No</v>
      </c>
      <c r="L460" s="10" t="str">
        <f>+_xlfn.XLOOKUP(B460,MERMA!B:B,MERMA!D:D,"No es merma")</f>
        <v>No es merma</v>
      </c>
    </row>
    <row r="461" spans="1:12" ht="14.5" hidden="1" x14ac:dyDescent="0.35">
      <c r="A461" s="10">
        <v>100012006</v>
      </c>
      <c r="B461">
        <v>75063924</v>
      </c>
      <c r="C461" s="10" t="s">
        <v>501</v>
      </c>
      <c r="D461" t="s">
        <v>11</v>
      </c>
      <c r="E461" t="s">
        <v>33</v>
      </c>
      <c r="F461" t="s">
        <v>41</v>
      </c>
      <c r="G461" t="s">
        <v>35</v>
      </c>
      <c r="H461" t="s">
        <v>36</v>
      </c>
      <c r="I461" t="s">
        <v>109</v>
      </c>
      <c r="J461" s="10" t="str">
        <f>+_xlfn.XLOOKUP(B461,INNOVACIÓN!A:A,INNOVACIÓN!B:B,"NO")</f>
        <v>NO</v>
      </c>
      <c r="K461" s="10" t="str">
        <f>+_xlfn.XLOOKUP(B461,MERMA!B:B,MERMA!C:C,"No")</f>
        <v>No</v>
      </c>
      <c r="L461" s="10" t="str">
        <f>+_xlfn.XLOOKUP(B461,MERMA!B:B,MERMA!D:D,"No es merma")</f>
        <v>No es merma</v>
      </c>
    </row>
    <row r="462" spans="1:12" ht="14.5" hidden="1" x14ac:dyDescent="0.35">
      <c r="A462" s="10">
        <v>100011704</v>
      </c>
      <c r="B462">
        <v>75063917</v>
      </c>
      <c r="C462" s="10" t="s">
        <v>502</v>
      </c>
      <c r="D462" t="s">
        <v>11</v>
      </c>
      <c r="E462" t="s">
        <v>33</v>
      </c>
      <c r="F462" t="s">
        <v>41</v>
      </c>
      <c r="G462" t="s">
        <v>35</v>
      </c>
      <c r="H462" t="s">
        <v>36</v>
      </c>
      <c r="I462" t="s">
        <v>109</v>
      </c>
      <c r="J462" s="10" t="str">
        <f>+_xlfn.XLOOKUP(B462,INNOVACIÓN!A:A,INNOVACIÓN!B:B,"NO")</f>
        <v>NO</v>
      </c>
      <c r="K462" s="10" t="str">
        <f>+_xlfn.XLOOKUP(B462,MERMA!B:B,MERMA!C:C,"No")</f>
        <v>No</v>
      </c>
      <c r="L462" s="10" t="str">
        <f>+_xlfn.XLOOKUP(B462,MERMA!B:B,MERMA!D:D,"No es merma")</f>
        <v>No es merma</v>
      </c>
    </row>
    <row r="463" spans="1:12" ht="14.5" hidden="1" x14ac:dyDescent="0.35">
      <c r="A463">
        <v>100011708</v>
      </c>
      <c r="B463">
        <v>75063870</v>
      </c>
      <c r="C463" t="s">
        <v>503</v>
      </c>
      <c r="D463" t="s">
        <v>11</v>
      </c>
      <c r="E463" t="s">
        <v>33</v>
      </c>
      <c r="F463" t="s">
        <v>41</v>
      </c>
      <c r="G463" t="s">
        <v>35</v>
      </c>
      <c r="H463" t="s">
        <v>36</v>
      </c>
      <c r="I463" t="s">
        <v>109</v>
      </c>
      <c r="J463" s="10" t="str">
        <f>+_xlfn.XLOOKUP(B463,INNOVACIÓN!A:A,INNOVACIÓN!B:B,"NO")</f>
        <v>NO</v>
      </c>
      <c r="K463" s="10" t="str">
        <f>+_xlfn.XLOOKUP(B463,MERMA!B:B,MERMA!C:C,"No")</f>
        <v>SI</v>
      </c>
      <c r="L463" s="10">
        <f>+_xlfn.XLOOKUP(B463,MERMA!B:B,MERMA!D:D,"No es merma")</f>
        <v>2025</v>
      </c>
    </row>
    <row r="464" spans="1:12" ht="14.5" hidden="1" x14ac:dyDescent="0.35">
      <c r="A464" s="10">
        <v>100008186</v>
      </c>
      <c r="B464">
        <v>75057817</v>
      </c>
      <c r="C464" s="10" t="s">
        <v>504</v>
      </c>
      <c r="D464" t="s">
        <v>11</v>
      </c>
      <c r="E464" t="s">
        <v>33</v>
      </c>
      <c r="F464" t="s">
        <v>41</v>
      </c>
      <c r="G464" t="s">
        <v>35</v>
      </c>
      <c r="H464" t="s">
        <v>36</v>
      </c>
      <c r="I464" t="s">
        <v>109</v>
      </c>
      <c r="J464" s="10" t="str">
        <f>+_xlfn.XLOOKUP(B464,INNOVACIÓN!A:A,INNOVACIÓN!B:B,"NO")</f>
        <v>NO</v>
      </c>
      <c r="K464" s="10" t="str">
        <f>+_xlfn.XLOOKUP(B464,MERMA!B:B,MERMA!C:C,"No")</f>
        <v>No</v>
      </c>
      <c r="L464" s="10" t="str">
        <f>+_xlfn.XLOOKUP(B464,MERMA!B:B,MERMA!D:D,"No es merma")</f>
        <v>No es merma</v>
      </c>
    </row>
    <row r="465" spans="1:12" ht="14.5" hidden="1" x14ac:dyDescent="0.35">
      <c r="A465">
        <v>100011671</v>
      </c>
      <c r="B465">
        <v>75063771</v>
      </c>
      <c r="C465" t="s">
        <v>505</v>
      </c>
      <c r="D465" t="s">
        <v>11</v>
      </c>
      <c r="E465" t="s">
        <v>33</v>
      </c>
      <c r="F465" t="s">
        <v>41</v>
      </c>
      <c r="G465" t="s">
        <v>14</v>
      </c>
      <c r="H465" t="s">
        <v>36</v>
      </c>
      <c r="I465" t="s">
        <v>109</v>
      </c>
      <c r="J465" s="10" t="str">
        <f>+_xlfn.XLOOKUP(B465,INNOVACIÓN!A:A,INNOVACIÓN!B:B,"NO")</f>
        <v>NO</v>
      </c>
      <c r="K465" s="10" t="str">
        <f>+_xlfn.XLOOKUP(B465,MERMA!B:B,MERMA!C:C,"No")</f>
        <v>SI</v>
      </c>
      <c r="L465" s="10">
        <f>+_xlfn.XLOOKUP(B465,MERMA!B:B,MERMA!D:D,"No es merma")</f>
        <v>2025</v>
      </c>
    </row>
    <row r="466" spans="1:12" ht="14.5" hidden="1" x14ac:dyDescent="0.35">
      <c r="A466">
        <v>100018204</v>
      </c>
      <c r="B466">
        <v>7501045300139</v>
      </c>
      <c r="C466" t="s">
        <v>506</v>
      </c>
      <c r="D466" t="s">
        <v>11</v>
      </c>
      <c r="E466" t="s">
        <v>33</v>
      </c>
      <c r="F466" t="s">
        <v>41</v>
      </c>
      <c r="G466" t="s">
        <v>14</v>
      </c>
      <c r="H466" t="s">
        <v>36</v>
      </c>
      <c r="I466" t="s">
        <v>109</v>
      </c>
      <c r="J466" s="10" t="str">
        <f>+_xlfn.XLOOKUP(B466,INNOVACIÓN!A:A,INNOVACIÓN!B:B,"NO")</f>
        <v>NO</v>
      </c>
      <c r="K466" s="10" t="str">
        <f>+_xlfn.XLOOKUP(B466,MERMA!B:B,MERMA!C:C,"No")</f>
        <v>No</v>
      </c>
      <c r="L466" s="10" t="str">
        <f>+_xlfn.XLOOKUP(B466,MERMA!B:B,MERMA!D:D,"No es merma")</f>
        <v>No es merma</v>
      </c>
    </row>
    <row r="467" spans="1:12" ht="14.5" hidden="1" x14ac:dyDescent="0.35">
      <c r="A467">
        <v>100018203</v>
      </c>
      <c r="B467">
        <v>7501045300122</v>
      </c>
      <c r="C467" t="s">
        <v>507</v>
      </c>
      <c r="D467" t="s">
        <v>11</v>
      </c>
      <c r="E467" t="s">
        <v>33</v>
      </c>
      <c r="F467" t="s">
        <v>41</v>
      </c>
      <c r="G467" t="s">
        <v>54</v>
      </c>
      <c r="H467" t="s">
        <v>36</v>
      </c>
      <c r="I467" t="s">
        <v>109</v>
      </c>
      <c r="J467" s="10" t="str">
        <f>+_xlfn.XLOOKUP(B467,INNOVACIÓN!A:A,INNOVACIÓN!B:B,"NO")</f>
        <v>NO</v>
      </c>
      <c r="K467" s="10" t="str">
        <f>+_xlfn.XLOOKUP(B467,MERMA!B:B,MERMA!C:C,"No")</f>
        <v>No</v>
      </c>
      <c r="L467" s="10" t="str">
        <f>+_xlfn.XLOOKUP(B467,MERMA!B:B,MERMA!D:D,"No es merma")</f>
        <v>No es merma</v>
      </c>
    </row>
    <row r="468" spans="1:12" ht="14.5" hidden="1" x14ac:dyDescent="0.35">
      <c r="A468" s="10">
        <v>100004742</v>
      </c>
      <c r="B468">
        <v>75052867</v>
      </c>
      <c r="C468" s="10" t="s">
        <v>508</v>
      </c>
      <c r="D468" t="s">
        <v>11</v>
      </c>
      <c r="E468" t="s">
        <v>33</v>
      </c>
      <c r="F468" t="s">
        <v>41</v>
      </c>
      <c r="G468" t="s">
        <v>35</v>
      </c>
      <c r="H468" t="s">
        <v>36</v>
      </c>
      <c r="I468" t="s">
        <v>109</v>
      </c>
      <c r="J468" s="10" t="str">
        <f>+_xlfn.XLOOKUP(B468,INNOVACIÓN!A:A,INNOVACIÓN!B:B,"NO")</f>
        <v>NO</v>
      </c>
      <c r="K468" s="10" t="str">
        <f>+_xlfn.XLOOKUP(B468,MERMA!B:B,MERMA!C:C,"No")</f>
        <v>No</v>
      </c>
      <c r="L468" s="10" t="str">
        <f>+_xlfn.XLOOKUP(B468,MERMA!B:B,MERMA!D:D,"No es merma")</f>
        <v>No es merma</v>
      </c>
    </row>
    <row r="469" spans="1:12" ht="14.5" hidden="1" x14ac:dyDescent="0.35">
      <c r="A469">
        <v>100080980</v>
      </c>
      <c r="B469">
        <v>75049577</v>
      </c>
      <c r="C469" t="s">
        <v>509</v>
      </c>
      <c r="D469" t="s">
        <v>11</v>
      </c>
      <c r="E469" t="s">
        <v>33</v>
      </c>
      <c r="F469" t="s">
        <v>41</v>
      </c>
      <c r="G469" t="s">
        <v>14</v>
      </c>
      <c r="H469" t="s">
        <v>36</v>
      </c>
      <c r="I469" t="s">
        <v>109</v>
      </c>
      <c r="J469" s="10" t="str">
        <f>+_xlfn.XLOOKUP(B469,INNOVACIÓN!A:A,INNOVACIÓN!B:B,"NO")</f>
        <v>NO</v>
      </c>
      <c r="K469" s="10" t="str">
        <f>+_xlfn.XLOOKUP(B469,MERMA!B:B,MERMA!C:C,"No")</f>
        <v>No</v>
      </c>
      <c r="L469" s="10" t="str">
        <f>+_xlfn.XLOOKUP(B469,MERMA!B:B,MERMA!D:D,"No es merma")</f>
        <v>No es merma</v>
      </c>
    </row>
    <row r="470" spans="1:12" ht="14.5" hidden="1" x14ac:dyDescent="0.35">
      <c r="A470">
        <v>100012202</v>
      </c>
      <c r="B470">
        <v>75064112</v>
      </c>
      <c r="C470" t="s">
        <v>510</v>
      </c>
      <c r="D470" t="s">
        <v>11</v>
      </c>
      <c r="E470" t="s">
        <v>33</v>
      </c>
      <c r="F470" t="s">
        <v>41</v>
      </c>
      <c r="G470" t="s">
        <v>35</v>
      </c>
      <c r="H470" t="s">
        <v>36</v>
      </c>
      <c r="I470" t="s">
        <v>109</v>
      </c>
      <c r="J470" s="10" t="str">
        <f>+_xlfn.XLOOKUP(B470,INNOVACIÓN!A:A,INNOVACIÓN!B:B,"NO")</f>
        <v>NO</v>
      </c>
      <c r="K470" s="10" t="str">
        <f>+_xlfn.XLOOKUP(B470,MERMA!B:B,MERMA!C:C,"No")</f>
        <v>SI</v>
      </c>
      <c r="L470" s="10">
        <f>+_xlfn.XLOOKUP(B470,MERMA!B:B,MERMA!D:D,"No es merma")</f>
        <v>2025</v>
      </c>
    </row>
    <row r="471" spans="1:12" ht="14.5" hidden="1" x14ac:dyDescent="0.35">
      <c r="A471">
        <v>100011674</v>
      </c>
      <c r="B471">
        <v>75063726</v>
      </c>
      <c r="C471" t="s">
        <v>511</v>
      </c>
      <c r="D471" t="s">
        <v>11</v>
      </c>
      <c r="E471" t="s">
        <v>33</v>
      </c>
      <c r="F471" t="s">
        <v>41</v>
      </c>
      <c r="G471" t="s">
        <v>35</v>
      </c>
      <c r="H471" t="s">
        <v>36</v>
      </c>
      <c r="I471" t="s">
        <v>109</v>
      </c>
      <c r="J471" s="10" t="str">
        <f>+_xlfn.XLOOKUP(B471,INNOVACIÓN!A:A,INNOVACIÓN!B:B,"NO")</f>
        <v>NO</v>
      </c>
      <c r="K471" s="10" t="str">
        <f>+_xlfn.XLOOKUP(B471,MERMA!B:B,MERMA!C:C,"No")</f>
        <v>No</v>
      </c>
      <c r="L471" s="10" t="str">
        <f>+_xlfn.XLOOKUP(B471,MERMA!B:B,MERMA!D:D,"No es merma")</f>
        <v>No es merma</v>
      </c>
    </row>
    <row r="472" spans="1:12" ht="14.5" hidden="1" x14ac:dyDescent="0.35">
      <c r="A472">
        <v>100011678</v>
      </c>
      <c r="B472">
        <v>75063757</v>
      </c>
      <c r="C472" t="s">
        <v>512</v>
      </c>
      <c r="D472" t="s">
        <v>11</v>
      </c>
      <c r="E472" t="s">
        <v>33</v>
      </c>
      <c r="F472" t="s">
        <v>41</v>
      </c>
      <c r="G472" t="s">
        <v>35</v>
      </c>
      <c r="H472" t="s">
        <v>36</v>
      </c>
      <c r="I472" t="s">
        <v>109</v>
      </c>
      <c r="J472" s="10" t="str">
        <f>+_xlfn.XLOOKUP(B472,INNOVACIÓN!A:A,INNOVACIÓN!B:B,"NO")</f>
        <v>NO</v>
      </c>
      <c r="K472" s="10" t="str">
        <f>+_xlfn.XLOOKUP(B472,MERMA!B:B,MERMA!C:C,"No")</f>
        <v>No</v>
      </c>
      <c r="L472" s="10" t="str">
        <f>+_xlfn.XLOOKUP(B472,MERMA!B:B,MERMA!D:D,"No es merma")</f>
        <v>No es merma</v>
      </c>
    </row>
    <row r="473" spans="1:12" ht="14.5" hidden="1" x14ac:dyDescent="0.35">
      <c r="A473" s="10">
        <v>100018490</v>
      </c>
      <c r="B473">
        <v>7501045300146</v>
      </c>
      <c r="C473" s="10" t="s">
        <v>513</v>
      </c>
      <c r="D473" t="s">
        <v>11</v>
      </c>
      <c r="E473" t="s">
        <v>33</v>
      </c>
      <c r="F473" t="s">
        <v>41</v>
      </c>
      <c r="G473" t="s">
        <v>35</v>
      </c>
      <c r="H473" t="s">
        <v>36</v>
      </c>
      <c r="I473" t="s">
        <v>109</v>
      </c>
      <c r="J473" s="10" t="str">
        <f>+_xlfn.XLOOKUP(B473,INNOVACIÓN!A:A,INNOVACIÓN!B:B,"NO")</f>
        <v>NO</v>
      </c>
      <c r="K473" s="10" t="str">
        <f>+_xlfn.XLOOKUP(B473,MERMA!B:B,MERMA!C:C,"No")</f>
        <v>No</v>
      </c>
      <c r="L473" s="10" t="str">
        <f>+_xlfn.XLOOKUP(B473,MERMA!B:B,MERMA!D:D,"No es merma")</f>
        <v>No es merma</v>
      </c>
    </row>
    <row r="474" spans="1:12" ht="14.5" hidden="1" x14ac:dyDescent="0.35">
      <c r="A474">
        <v>100014571</v>
      </c>
      <c r="B474">
        <v>75069506</v>
      </c>
      <c r="C474" t="s">
        <v>514</v>
      </c>
      <c r="D474" t="s">
        <v>11</v>
      </c>
      <c r="E474" t="s">
        <v>33</v>
      </c>
      <c r="F474" t="s">
        <v>41</v>
      </c>
      <c r="G474" t="s">
        <v>54</v>
      </c>
      <c r="H474" t="s">
        <v>36</v>
      </c>
      <c r="I474" t="s">
        <v>109</v>
      </c>
      <c r="J474" s="10" t="str">
        <f>+_xlfn.XLOOKUP(B474,INNOVACIÓN!A:A,INNOVACIÓN!B:B,"NO")</f>
        <v>NO</v>
      </c>
      <c r="K474" s="10" t="str">
        <f>+_xlfn.XLOOKUP(B474,MERMA!B:B,MERMA!C:C,"No")</f>
        <v>SI</v>
      </c>
      <c r="L474" s="10">
        <f>+_xlfn.XLOOKUP(B474,MERMA!B:B,MERMA!D:D,"No es merma")</f>
        <v>2025</v>
      </c>
    </row>
    <row r="475" spans="1:12" ht="14.5" hidden="1" x14ac:dyDescent="0.35">
      <c r="A475">
        <v>100013983</v>
      </c>
      <c r="B475">
        <v>75067854</v>
      </c>
      <c r="C475" t="s">
        <v>515</v>
      </c>
      <c r="D475" t="s">
        <v>11</v>
      </c>
      <c r="E475" t="s">
        <v>33</v>
      </c>
      <c r="F475" t="s">
        <v>41</v>
      </c>
      <c r="G475" t="s">
        <v>35</v>
      </c>
      <c r="H475" t="s">
        <v>36</v>
      </c>
      <c r="I475" t="s">
        <v>109</v>
      </c>
      <c r="J475" s="10" t="str">
        <f>+_xlfn.XLOOKUP(B475,INNOVACIÓN!A:A,INNOVACIÓN!B:B,"NO")</f>
        <v>NO</v>
      </c>
      <c r="K475" s="10" t="str">
        <f>+_xlfn.XLOOKUP(B475,MERMA!B:B,MERMA!C:C,"No")</f>
        <v>SI</v>
      </c>
      <c r="L475" s="10">
        <f>+_xlfn.XLOOKUP(B475,MERMA!B:B,MERMA!D:D,"No es merma")</f>
        <v>2025</v>
      </c>
    </row>
    <row r="476" spans="1:12" ht="14.5" hidden="1" x14ac:dyDescent="0.35">
      <c r="A476" s="10">
        <v>100013785</v>
      </c>
      <c r="B476">
        <v>75067892</v>
      </c>
      <c r="C476" s="10" t="s">
        <v>516</v>
      </c>
      <c r="D476" t="s">
        <v>11</v>
      </c>
      <c r="E476" t="s">
        <v>33</v>
      </c>
      <c r="F476" t="s">
        <v>41</v>
      </c>
      <c r="G476" t="s">
        <v>35</v>
      </c>
      <c r="H476" t="s">
        <v>36</v>
      </c>
      <c r="I476" t="s">
        <v>109</v>
      </c>
      <c r="J476" s="10" t="str">
        <f>+_xlfn.XLOOKUP(B476,INNOVACIÓN!A:A,INNOVACIÓN!B:B,"NO")</f>
        <v>NO</v>
      </c>
      <c r="K476" s="10" t="str">
        <f>+_xlfn.XLOOKUP(B476,MERMA!B:B,MERMA!C:C,"No")</f>
        <v>No</v>
      </c>
      <c r="L476" s="10" t="str">
        <f>+_xlfn.XLOOKUP(B476,MERMA!B:B,MERMA!D:D,"No es merma")</f>
        <v>No es merma</v>
      </c>
    </row>
    <row r="477" spans="1:12" ht="14.5" hidden="1" x14ac:dyDescent="0.35">
      <c r="A477">
        <v>100013982</v>
      </c>
      <c r="B477">
        <v>75067823</v>
      </c>
      <c r="C477" t="s">
        <v>517</v>
      </c>
      <c r="D477" t="s">
        <v>11</v>
      </c>
      <c r="E477" t="s">
        <v>33</v>
      </c>
      <c r="F477" t="s">
        <v>41</v>
      </c>
      <c r="G477" t="s">
        <v>35</v>
      </c>
      <c r="H477" t="s">
        <v>36</v>
      </c>
      <c r="I477" t="s">
        <v>109</v>
      </c>
      <c r="J477" s="10" t="str">
        <f>+_xlfn.XLOOKUP(B477,INNOVACIÓN!A:A,INNOVACIÓN!B:B,"NO")</f>
        <v>NO</v>
      </c>
      <c r="K477" s="10" t="str">
        <f>+_xlfn.XLOOKUP(B477,MERMA!B:B,MERMA!C:C,"No")</f>
        <v>No</v>
      </c>
      <c r="L477" s="10" t="str">
        <f>+_xlfn.XLOOKUP(B477,MERMA!B:B,MERMA!D:D,"No es merma")</f>
        <v>No es merma</v>
      </c>
    </row>
    <row r="478" spans="1:12" ht="14.5" hidden="1" x14ac:dyDescent="0.35">
      <c r="A478">
        <v>100008185</v>
      </c>
      <c r="B478">
        <v>75057824</v>
      </c>
      <c r="C478" t="s">
        <v>518</v>
      </c>
      <c r="D478" t="s">
        <v>11</v>
      </c>
      <c r="E478" t="s">
        <v>33</v>
      </c>
      <c r="F478" t="s">
        <v>41</v>
      </c>
      <c r="G478" t="s">
        <v>54</v>
      </c>
      <c r="H478" t="s">
        <v>36</v>
      </c>
      <c r="I478" t="s">
        <v>109</v>
      </c>
      <c r="J478" s="10" t="str">
        <f>+_xlfn.XLOOKUP(B478,INNOVACIÓN!A:A,INNOVACIÓN!B:B,"NO")</f>
        <v>NO</v>
      </c>
      <c r="K478" s="10" t="str">
        <f>+_xlfn.XLOOKUP(B478,MERMA!B:B,MERMA!C:C,"No")</f>
        <v>SI</v>
      </c>
      <c r="L478" s="10">
        <f>+_xlfn.XLOOKUP(B478,MERMA!B:B,MERMA!D:D,"No es merma")</f>
        <v>2025</v>
      </c>
    </row>
    <row r="479" spans="1:12" ht="14.5" hidden="1" x14ac:dyDescent="0.35">
      <c r="A479" s="10">
        <v>100080979</v>
      </c>
      <c r="B479">
        <v>75049584</v>
      </c>
      <c r="C479" s="10" t="s">
        <v>519</v>
      </c>
      <c r="D479" t="s">
        <v>11</v>
      </c>
      <c r="E479" t="s">
        <v>33</v>
      </c>
      <c r="F479" t="s">
        <v>41</v>
      </c>
      <c r="G479" t="s">
        <v>54</v>
      </c>
      <c r="H479" t="s">
        <v>36</v>
      </c>
      <c r="I479" t="s">
        <v>109</v>
      </c>
      <c r="J479" s="10" t="str">
        <f>+_xlfn.XLOOKUP(B479,INNOVACIÓN!A:A,INNOVACIÓN!B:B,"NO")</f>
        <v>NO</v>
      </c>
      <c r="K479" s="10" t="str">
        <f>+_xlfn.XLOOKUP(B479,MERMA!B:B,MERMA!C:C,"No")</f>
        <v>No</v>
      </c>
      <c r="L479" s="10" t="str">
        <f>+_xlfn.XLOOKUP(B479,MERMA!B:B,MERMA!D:D,"No es merma")</f>
        <v>No es merma</v>
      </c>
    </row>
    <row r="480" spans="1:12" ht="14.5" hidden="1" x14ac:dyDescent="0.35">
      <c r="A480">
        <v>100021797</v>
      </c>
      <c r="B480">
        <v>7503031950267</v>
      </c>
      <c r="C480" t="s">
        <v>520</v>
      </c>
      <c r="D480" t="s">
        <v>11</v>
      </c>
      <c r="E480" t="s">
        <v>33</v>
      </c>
      <c r="F480" t="s">
        <v>41</v>
      </c>
      <c r="G480" t="s">
        <v>35</v>
      </c>
      <c r="H480" t="s">
        <v>36</v>
      </c>
      <c r="I480" t="s">
        <v>109</v>
      </c>
      <c r="J480" s="10" t="str">
        <f>+_xlfn.XLOOKUP(B480,INNOVACIÓN!A:A,INNOVACIÓN!B:B,"NO")</f>
        <v>NO</v>
      </c>
      <c r="K480" s="10" t="str">
        <f>+_xlfn.XLOOKUP(B480,MERMA!B:B,MERMA!C:C,"No")</f>
        <v>SI</v>
      </c>
      <c r="L480" s="10">
        <f>+_xlfn.XLOOKUP(B480,MERMA!B:B,MERMA!D:D,"No es merma")</f>
        <v>2025</v>
      </c>
    </row>
    <row r="481" spans="1:12" ht="14.5" hidden="1" x14ac:dyDescent="0.35">
      <c r="A481">
        <v>100019960</v>
      </c>
      <c r="B481">
        <v>7503031950113</v>
      </c>
      <c r="C481" t="s">
        <v>521</v>
      </c>
      <c r="D481" t="s">
        <v>11</v>
      </c>
      <c r="E481" t="s">
        <v>33</v>
      </c>
      <c r="F481" t="s">
        <v>41</v>
      </c>
      <c r="G481" t="s">
        <v>14</v>
      </c>
      <c r="H481" t="s">
        <v>36</v>
      </c>
      <c r="I481" t="s">
        <v>109</v>
      </c>
      <c r="J481" s="10" t="str">
        <f>+_xlfn.XLOOKUP(B481,INNOVACIÓN!A:A,INNOVACIÓN!B:B,"NO")</f>
        <v>NO</v>
      </c>
      <c r="K481" s="10" t="str">
        <f>+_xlfn.XLOOKUP(B481,MERMA!B:B,MERMA!C:C,"No")</f>
        <v>No</v>
      </c>
      <c r="L481" s="10" t="str">
        <f>+_xlfn.XLOOKUP(B481,MERMA!B:B,MERMA!D:D,"No es merma")</f>
        <v>No es merma</v>
      </c>
    </row>
    <row r="482" spans="1:12" ht="14.5" hidden="1" x14ac:dyDescent="0.35">
      <c r="A482">
        <v>100019961</v>
      </c>
      <c r="B482">
        <v>7503031950106</v>
      </c>
      <c r="C482" t="s">
        <v>522</v>
      </c>
      <c r="D482" t="s">
        <v>11</v>
      </c>
      <c r="E482" t="s">
        <v>33</v>
      </c>
      <c r="F482" t="s">
        <v>41</v>
      </c>
      <c r="G482" t="s">
        <v>54</v>
      </c>
      <c r="H482" t="s">
        <v>36</v>
      </c>
      <c r="I482" t="s">
        <v>109</v>
      </c>
      <c r="J482" s="10" t="str">
        <f>+_xlfn.XLOOKUP(B482,INNOVACIÓN!A:A,INNOVACIÓN!B:B,"NO")</f>
        <v>NO</v>
      </c>
      <c r="K482" s="10" t="str">
        <f>+_xlfn.XLOOKUP(B482,MERMA!B:B,MERMA!C:C,"No")</f>
        <v>No</v>
      </c>
      <c r="L482" s="10" t="str">
        <f>+_xlfn.XLOOKUP(B482,MERMA!B:B,MERMA!D:D,"No es merma")</f>
        <v>No es merma</v>
      </c>
    </row>
    <row r="483" spans="1:12" ht="14.5" hidden="1" x14ac:dyDescent="0.35">
      <c r="A483">
        <v>100014579</v>
      </c>
      <c r="B483">
        <v>75069773</v>
      </c>
      <c r="C483" t="s">
        <v>523</v>
      </c>
      <c r="D483" t="s">
        <v>11</v>
      </c>
      <c r="E483" t="s">
        <v>33</v>
      </c>
      <c r="F483" t="s">
        <v>41</v>
      </c>
      <c r="G483" t="s">
        <v>14</v>
      </c>
      <c r="H483" t="s">
        <v>36</v>
      </c>
      <c r="I483" t="s">
        <v>109</v>
      </c>
      <c r="J483" s="10" t="str">
        <f>+_xlfn.XLOOKUP(B483,INNOVACIÓN!A:A,INNOVACIÓN!B:B,"NO")</f>
        <v>NO</v>
      </c>
      <c r="K483" s="10" t="str">
        <f>+_xlfn.XLOOKUP(B483,MERMA!B:B,MERMA!C:C,"No")</f>
        <v>No</v>
      </c>
      <c r="L483" s="10" t="str">
        <f>+_xlfn.XLOOKUP(B483,MERMA!B:B,MERMA!D:D,"No es merma")</f>
        <v>No es merma</v>
      </c>
    </row>
    <row r="484" spans="1:12" ht="14.5" hidden="1" x14ac:dyDescent="0.35">
      <c r="A484">
        <v>100080958</v>
      </c>
      <c r="B484">
        <v>75047498</v>
      </c>
      <c r="C484" t="s">
        <v>524</v>
      </c>
      <c r="D484" t="s">
        <v>11</v>
      </c>
      <c r="E484" t="s">
        <v>33</v>
      </c>
      <c r="F484" t="s">
        <v>41</v>
      </c>
      <c r="G484" t="s">
        <v>35</v>
      </c>
      <c r="H484" t="s">
        <v>36</v>
      </c>
      <c r="I484" t="s">
        <v>109</v>
      </c>
      <c r="J484" s="10" t="str">
        <f>+_xlfn.XLOOKUP(B484,INNOVACIÓN!A:A,INNOVACIÓN!B:B,"NO")</f>
        <v>NO</v>
      </c>
      <c r="K484" s="10" t="str">
        <f>+_xlfn.XLOOKUP(B484,MERMA!B:B,MERMA!C:C,"No")</f>
        <v>No</v>
      </c>
      <c r="L484" s="10" t="str">
        <f>+_xlfn.XLOOKUP(B484,MERMA!B:B,MERMA!D:D,"No es merma")</f>
        <v>No es merma</v>
      </c>
    </row>
    <row r="485" spans="1:12" ht="14.5" hidden="1" x14ac:dyDescent="0.35">
      <c r="A485">
        <v>100080961</v>
      </c>
      <c r="B485">
        <v>75047467</v>
      </c>
      <c r="C485" t="s">
        <v>525</v>
      </c>
      <c r="D485" t="s">
        <v>11</v>
      </c>
      <c r="E485" t="s">
        <v>33</v>
      </c>
      <c r="F485" t="s">
        <v>41</v>
      </c>
      <c r="G485" t="s">
        <v>14</v>
      </c>
      <c r="H485" t="s">
        <v>36</v>
      </c>
      <c r="I485" t="s">
        <v>109</v>
      </c>
      <c r="J485" s="10" t="str">
        <f>+_xlfn.XLOOKUP(B485,INNOVACIÓN!A:A,INNOVACIÓN!B:B,"NO")</f>
        <v>NO</v>
      </c>
      <c r="K485" s="10" t="str">
        <f>+_xlfn.XLOOKUP(B485,MERMA!B:B,MERMA!C:C,"No")</f>
        <v>No</v>
      </c>
      <c r="L485" s="10" t="str">
        <f>+_xlfn.XLOOKUP(B485,MERMA!B:B,MERMA!D:D,"No es merma")</f>
        <v>No es merma</v>
      </c>
    </row>
    <row r="486" spans="1:12" ht="14.5" hidden="1" x14ac:dyDescent="0.35">
      <c r="A486">
        <v>100012203</v>
      </c>
      <c r="B486">
        <v>75061715</v>
      </c>
      <c r="C486" t="s">
        <v>526</v>
      </c>
      <c r="D486" t="s">
        <v>11</v>
      </c>
      <c r="E486" t="s">
        <v>33</v>
      </c>
      <c r="F486" t="s">
        <v>41</v>
      </c>
      <c r="G486" t="s">
        <v>71</v>
      </c>
      <c r="H486" t="s">
        <v>36</v>
      </c>
      <c r="I486" t="s">
        <v>109</v>
      </c>
      <c r="J486" s="10" t="str">
        <f>+_xlfn.XLOOKUP(B486,INNOVACIÓN!A:A,INNOVACIÓN!B:B,"NO")</f>
        <v>NO</v>
      </c>
      <c r="K486" s="10" t="str">
        <f>+_xlfn.XLOOKUP(B486,MERMA!B:B,MERMA!C:C,"No")</f>
        <v>No</v>
      </c>
      <c r="L486" s="10" t="str">
        <f>+_xlfn.XLOOKUP(B486,MERMA!B:B,MERMA!D:D,"No es merma")</f>
        <v>No es merma</v>
      </c>
    </row>
    <row r="487" spans="1:12" ht="14.5" hidden="1" x14ac:dyDescent="0.35">
      <c r="A487">
        <v>100011673</v>
      </c>
      <c r="B487">
        <v>75063825</v>
      </c>
      <c r="C487" t="s">
        <v>527</v>
      </c>
      <c r="D487" t="s">
        <v>11</v>
      </c>
      <c r="E487" t="s">
        <v>33</v>
      </c>
      <c r="F487" t="s">
        <v>41</v>
      </c>
      <c r="G487" t="s">
        <v>71</v>
      </c>
      <c r="H487" t="s">
        <v>36</v>
      </c>
      <c r="I487" t="s">
        <v>109</v>
      </c>
      <c r="J487" s="10" t="str">
        <f>+_xlfn.XLOOKUP(B487,INNOVACIÓN!A:A,INNOVACIÓN!B:B,"NO")</f>
        <v>NO</v>
      </c>
      <c r="K487" s="10" t="str">
        <f>+_xlfn.XLOOKUP(B487,MERMA!B:B,MERMA!C:C,"No")</f>
        <v>SI</v>
      </c>
      <c r="L487" s="10">
        <f>+_xlfn.XLOOKUP(B487,MERMA!B:B,MERMA!D:D,"No es merma")</f>
        <v>2025</v>
      </c>
    </row>
    <row r="488" spans="1:12" ht="14.5" hidden="1" x14ac:dyDescent="0.35">
      <c r="A488">
        <v>100008184</v>
      </c>
      <c r="B488">
        <v>75057800</v>
      </c>
      <c r="C488" t="s">
        <v>528</v>
      </c>
      <c r="D488" t="s">
        <v>11</v>
      </c>
      <c r="E488" t="s">
        <v>33</v>
      </c>
      <c r="F488" t="s">
        <v>41</v>
      </c>
      <c r="G488" t="s">
        <v>71</v>
      </c>
      <c r="H488" t="s">
        <v>36</v>
      </c>
      <c r="I488" t="s">
        <v>109</v>
      </c>
      <c r="J488" s="10" t="str">
        <f>+_xlfn.XLOOKUP(B488,INNOVACIÓN!A:A,INNOVACIÓN!B:B,"NO")</f>
        <v>NO</v>
      </c>
      <c r="K488" s="10" t="str">
        <f>+_xlfn.XLOOKUP(B488,MERMA!B:B,MERMA!C:C,"No")</f>
        <v>No</v>
      </c>
      <c r="L488" s="10" t="str">
        <f>+_xlfn.XLOOKUP(B488,MERMA!B:B,MERMA!D:D,"No es merma")</f>
        <v>No es merma</v>
      </c>
    </row>
    <row r="489" spans="1:12" ht="14.5" hidden="1" x14ac:dyDescent="0.35">
      <c r="A489">
        <v>100011677</v>
      </c>
      <c r="B489">
        <v>75063740</v>
      </c>
      <c r="C489" t="s">
        <v>529</v>
      </c>
      <c r="D489" t="s">
        <v>11</v>
      </c>
      <c r="E489" t="s">
        <v>33</v>
      </c>
      <c r="F489" t="s">
        <v>41</v>
      </c>
      <c r="G489" t="s">
        <v>71</v>
      </c>
      <c r="H489" t="s">
        <v>36</v>
      </c>
      <c r="I489" t="s">
        <v>109</v>
      </c>
      <c r="J489" s="10" t="str">
        <f>+_xlfn.XLOOKUP(B489,INNOVACIÓN!A:A,INNOVACIÓN!B:B,"NO")</f>
        <v>NO</v>
      </c>
      <c r="K489" s="10" t="str">
        <f>+_xlfn.XLOOKUP(B489,MERMA!B:B,MERMA!C:C,"No")</f>
        <v>SI</v>
      </c>
      <c r="L489" s="10">
        <f>+_xlfn.XLOOKUP(B489,MERMA!B:B,MERMA!D:D,"No es merma")</f>
        <v>2025</v>
      </c>
    </row>
    <row r="490" spans="1:12" ht="14.5" hidden="1" x14ac:dyDescent="0.35">
      <c r="A490">
        <v>100018931</v>
      </c>
      <c r="B490">
        <v>7503023959346</v>
      </c>
      <c r="C490" t="s">
        <v>530</v>
      </c>
      <c r="D490" t="s">
        <v>32</v>
      </c>
      <c r="E490" t="s">
        <v>33</v>
      </c>
      <c r="F490" t="s">
        <v>39</v>
      </c>
      <c r="G490" t="s">
        <v>35</v>
      </c>
      <c r="H490" t="s">
        <v>36</v>
      </c>
      <c r="I490" t="s">
        <v>247</v>
      </c>
      <c r="J490" s="10" t="str">
        <f>+_xlfn.XLOOKUP(B490,INNOVACIÓN!A:A,INNOVACIÓN!B:B,"NO")</f>
        <v>NO</v>
      </c>
      <c r="K490" s="10" t="str">
        <f>+_xlfn.XLOOKUP(B490,MERMA!B:B,MERMA!C:C,"No")</f>
        <v>SI</v>
      </c>
      <c r="L490" s="10">
        <f>+_xlfn.XLOOKUP(B490,MERMA!B:B,MERMA!D:D,"No es merma")</f>
        <v>2025</v>
      </c>
    </row>
    <row r="491" spans="1:12" ht="14.5" hidden="1" x14ac:dyDescent="0.35">
      <c r="A491">
        <v>100017393</v>
      </c>
      <c r="B491">
        <v>7503023959230</v>
      </c>
      <c r="C491" t="s">
        <v>531</v>
      </c>
      <c r="D491" t="s">
        <v>32</v>
      </c>
      <c r="E491" t="s">
        <v>33</v>
      </c>
      <c r="F491" t="s">
        <v>39</v>
      </c>
      <c r="G491" t="s">
        <v>35</v>
      </c>
      <c r="H491" t="s">
        <v>36</v>
      </c>
      <c r="I491" t="s">
        <v>247</v>
      </c>
      <c r="J491" s="10" t="str">
        <f>+_xlfn.XLOOKUP(B491,INNOVACIÓN!A:A,INNOVACIÓN!B:B,"NO")</f>
        <v>NO</v>
      </c>
      <c r="K491" s="10" t="str">
        <f>+_xlfn.XLOOKUP(B491,MERMA!B:B,MERMA!C:C,"No")</f>
        <v>No</v>
      </c>
      <c r="L491" s="10" t="str">
        <f>+_xlfn.XLOOKUP(B491,MERMA!B:B,MERMA!D:D,"No es merma")</f>
        <v>No es merma</v>
      </c>
    </row>
    <row r="492" spans="1:12" ht="14.5" hidden="1" x14ac:dyDescent="0.35">
      <c r="A492">
        <v>100080917</v>
      </c>
      <c r="B492">
        <v>75045135</v>
      </c>
      <c r="C492" t="s">
        <v>532</v>
      </c>
      <c r="D492" t="s">
        <v>32</v>
      </c>
      <c r="E492" t="s">
        <v>33</v>
      </c>
      <c r="F492" t="s">
        <v>46</v>
      </c>
      <c r="G492" t="s">
        <v>35</v>
      </c>
      <c r="H492" t="s">
        <v>36</v>
      </c>
      <c r="I492" t="s">
        <v>247</v>
      </c>
      <c r="J492" s="10" t="str">
        <f>+_xlfn.XLOOKUP(B492,INNOVACIÓN!A:A,INNOVACIÓN!B:B,"NO")</f>
        <v>NO</v>
      </c>
      <c r="K492" s="10" t="str">
        <f>+_xlfn.XLOOKUP(B492,MERMA!B:B,MERMA!C:C,"No")</f>
        <v>SI</v>
      </c>
      <c r="L492" s="10">
        <f>+_xlfn.XLOOKUP(B492,MERMA!B:B,MERMA!D:D,"No es merma")</f>
        <v>2025</v>
      </c>
    </row>
    <row r="493" spans="1:12" ht="14.5" hidden="1" x14ac:dyDescent="0.35">
      <c r="A493">
        <v>100080184</v>
      </c>
      <c r="B493">
        <v>8308315</v>
      </c>
      <c r="C493" t="s">
        <v>533</v>
      </c>
      <c r="D493" t="s">
        <v>32</v>
      </c>
      <c r="E493" t="s">
        <v>33</v>
      </c>
      <c r="F493" t="s">
        <v>46</v>
      </c>
      <c r="G493" t="s">
        <v>35</v>
      </c>
      <c r="H493" t="s">
        <v>36</v>
      </c>
      <c r="I493" t="s">
        <v>247</v>
      </c>
      <c r="J493" s="10" t="str">
        <f>+_xlfn.XLOOKUP(B493,INNOVACIÓN!A:A,INNOVACIÓN!B:B,"NO")</f>
        <v>NO</v>
      </c>
      <c r="K493" s="10" t="str">
        <f>+_xlfn.XLOOKUP(B493,MERMA!B:B,MERMA!C:C,"No")</f>
        <v>SI</v>
      </c>
      <c r="L493" s="10">
        <f>+_xlfn.XLOOKUP(B493,MERMA!B:B,MERMA!D:D,"No es merma")</f>
        <v>2025</v>
      </c>
    </row>
    <row r="494" spans="1:12" ht="14.5" hidden="1" x14ac:dyDescent="0.35">
      <c r="A494">
        <v>100080865</v>
      </c>
      <c r="B494">
        <v>75039370</v>
      </c>
      <c r="C494" t="s">
        <v>534</v>
      </c>
      <c r="D494" t="s">
        <v>32</v>
      </c>
      <c r="E494" t="s">
        <v>33</v>
      </c>
      <c r="F494" t="s">
        <v>46</v>
      </c>
      <c r="G494" t="s">
        <v>14</v>
      </c>
      <c r="H494" t="s">
        <v>36</v>
      </c>
      <c r="I494" t="s">
        <v>247</v>
      </c>
      <c r="J494" s="10" t="str">
        <f>+_xlfn.XLOOKUP(B494,INNOVACIÓN!A:A,INNOVACIÓN!B:B,"NO")</f>
        <v>NO</v>
      </c>
      <c r="K494" s="10" t="str">
        <f>+_xlfn.XLOOKUP(B494,MERMA!B:B,MERMA!C:C,"No")</f>
        <v>SI</v>
      </c>
      <c r="L494" s="10">
        <f>+_xlfn.XLOOKUP(B494,MERMA!B:B,MERMA!D:D,"No es merma")</f>
        <v>2025</v>
      </c>
    </row>
    <row r="495" spans="1:12" ht="14.5" hidden="1" x14ac:dyDescent="0.35">
      <c r="A495">
        <v>100080895</v>
      </c>
      <c r="B495">
        <v>75043230</v>
      </c>
      <c r="C495" t="s">
        <v>535</v>
      </c>
      <c r="D495" t="s">
        <v>32</v>
      </c>
      <c r="E495" t="s">
        <v>33</v>
      </c>
      <c r="F495" t="s">
        <v>46</v>
      </c>
      <c r="G495" t="s">
        <v>14</v>
      </c>
      <c r="H495" t="s">
        <v>36</v>
      </c>
      <c r="I495" t="s">
        <v>247</v>
      </c>
      <c r="J495" s="10" t="str">
        <f>+_xlfn.XLOOKUP(B495,INNOVACIÓN!A:A,INNOVACIÓN!B:B,"NO")</f>
        <v>NO</v>
      </c>
      <c r="K495" s="10" t="str">
        <f>+_xlfn.XLOOKUP(B495,MERMA!B:B,MERMA!C:C,"No")</f>
        <v>SI</v>
      </c>
      <c r="L495" s="10">
        <f>+_xlfn.XLOOKUP(B495,MERMA!B:B,MERMA!D:D,"No es merma")</f>
        <v>2025</v>
      </c>
    </row>
    <row r="496" spans="1:12" ht="14.5" hidden="1" x14ac:dyDescent="0.35">
      <c r="A496">
        <v>100080695</v>
      </c>
      <c r="B496">
        <v>8338918</v>
      </c>
      <c r="C496" t="s">
        <v>536</v>
      </c>
      <c r="D496" t="s">
        <v>32</v>
      </c>
      <c r="E496" t="s">
        <v>33</v>
      </c>
      <c r="F496" t="s">
        <v>46</v>
      </c>
      <c r="G496" t="s">
        <v>35</v>
      </c>
      <c r="H496" t="s">
        <v>36</v>
      </c>
      <c r="I496" t="s">
        <v>247</v>
      </c>
      <c r="J496" s="10" t="str">
        <f>+_xlfn.XLOOKUP(B496,INNOVACIÓN!A:A,INNOVACIÓN!B:B,"NO")</f>
        <v>NO</v>
      </c>
      <c r="K496" s="10" t="str">
        <f>+_xlfn.XLOOKUP(B496,MERMA!B:B,MERMA!C:C,"No")</f>
        <v>SI</v>
      </c>
      <c r="L496" s="10">
        <f>+_xlfn.XLOOKUP(B496,MERMA!B:B,MERMA!D:D,"No es merma")</f>
        <v>2025</v>
      </c>
    </row>
    <row r="497" spans="1:12" ht="14.5" hidden="1" x14ac:dyDescent="0.35">
      <c r="A497">
        <v>100014240</v>
      </c>
      <c r="B497">
        <v>7503023959025</v>
      </c>
      <c r="C497" t="s">
        <v>537</v>
      </c>
      <c r="D497" t="s">
        <v>32</v>
      </c>
      <c r="E497" t="s">
        <v>33</v>
      </c>
      <c r="F497" t="s">
        <v>46</v>
      </c>
      <c r="G497" t="s">
        <v>35</v>
      </c>
      <c r="H497" t="s">
        <v>36</v>
      </c>
      <c r="I497" t="s">
        <v>247</v>
      </c>
      <c r="J497" s="10" t="str">
        <f>+_xlfn.XLOOKUP(B497,INNOVACIÓN!A:A,INNOVACIÓN!B:B,"NO")</f>
        <v>NO</v>
      </c>
      <c r="K497" s="10" t="str">
        <f>+_xlfn.XLOOKUP(B497,MERMA!B:B,MERMA!C:C,"No")</f>
        <v>No</v>
      </c>
      <c r="L497" s="10" t="str">
        <f>+_xlfn.XLOOKUP(B497,MERMA!B:B,MERMA!D:D,"No es merma")</f>
        <v>No es merma</v>
      </c>
    </row>
    <row r="498" spans="1:12" ht="14.5" hidden="1" x14ac:dyDescent="0.35">
      <c r="A498">
        <v>100014242</v>
      </c>
      <c r="B498">
        <v>7503023959117</v>
      </c>
      <c r="C498" t="s">
        <v>538</v>
      </c>
      <c r="D498" t="s">
        <v>32</v>
      </c>
      <c r="E498" t="s">
        <v>33</v>
      </c>
      <c r="F498" t="s">
        <v>46</v>
      </c>
      <c r="G498" t="s">
        <v>14</v>
      </c>
      <c r="H498" t="s">
        <v>36</v>
      </c>
      <c r="I498" t="s">
        <v>247</v>
      </c>
      <c r="J498" s="10" t="str">
        <f>+_xlfn.XLOOKUP(B498,INNOVACIÓN!A:A,INNOVACIÓN!B:B,"NO")</f>
        <v>NO</v>
      </c>
      <c r="K498" s="10" t="str">
        <f>+_xlfn.XLOOKUP(B498,MERMA!B:B,MERMA!C:C,"No")</f>
        <v>No</v>
      </c>
      <c r="L498" s="10" t="str">
        <f>+_xlfn.XLOOKUP(B498,MERMA!B:B,MERMA!D:D,"No es merma")</f>
        <v>No es merma</v>
      </c>
    </row>
    <row r="499" spans="1:12" ht="14.5" hidden="1" x14ac:dyDescent="0.35">
      <c r="A499">
        <v>100014243</v>
      </c>
      <c r="B499">
        <v>7503023959131</v>
      </c>
      <c r="C499" t="s">
        <v>539</v>
      </c>
      <c r="D499" t="s">
        <v>32</v>
      </c>
      <c r="E499" t="s">
        <v>33</v>
      </c>
      <c r="F499" t="s">
        <v>46</v>
      </c>
      <c r="G499" t="s">
        <v>35</v>
      </c>
      <c r="H499" t="s">
        <v>36</v>
      </c>
      <c r="I499" t="s">
        <v>247</v>
      </c>
      <c r="J499" s="10" t="str">
        <f>+_xlfn.XLOOKUP(B499,INNOVACIÓN!A:A,INNOVACIÓN!B:B,"NO")</f>
        <v>NO</v>
      </c>
      <c r="K499" s="10" t="str">
        <f>+_xlfn.XLOOKUP(B499,MERMA!B:B,MERMA!C:C,"No")</f>
        <v>No</v>
      </c>
      <c r="L499" s="10" t="str">
        <f>+_xlfn.XLOOKUP(B499,MERMA!B:B,MERMA!D:D,"No es merma")</f>
        <v>No es merma</v>
      </c>
    </row>
    <row r="500" spans="1:12" ht="14.5" hidden="1" x14ac:dyDescent="0.35">
      <c r="A500">
        <v>100020727</v>
      </c>
      <c r="B500">
        <v>75015725</v>
      </c>
      <c r="C500" t="s">
        <v>540</v>
      </c>
      <c r="D500" t="s">
        <v>11</v>
      </c>
      <c r="E500" t="s">
        <v>33</v>
      </c>
      <c r="F500" t="s">
        <v>46</v>
      </c>
      <c r="G500" t="s">
        <v>54</v>
      </c>
      <c r="H500" t="s">
        <v>36</v>
      </c>
      <c r="I500" t="s">
        <v>109</v>
      </c>
      <c r="J500" s="10" t="str">
        <f>+_xlfn.XLOOKUP(B500,INNOVACIÓN!A:A,INNOVACIÓN!B:B,"NO")</f>
        <v>NO</v>
      </c>
      <c r="K500" s="10" t="str">
        <f>+_xlfn.XLOOKUP(B500,MERMA!B:B,MERMA!C:C,"No")</f>
        <v>SI</v>
      </c>
      <c r="L500" s="10">
        <f>+_xlfn.XLOOKUP(B500,MERMA!B:B,MERMA!D:D,"No es merma")</f>
        <v>2025</v>
      </c>
    </row>
    <row r="501" spans="1:12" ht="14.5" hidden="1" x14ac:dyDescent="0.35">
      <c r="A501">
        <v>100022210</v>
      </c>
      <c r="B501">
        <v>75012694</v>
      </c>
      <c r="C501" t="s">
        <v>541</v>
      </c>
      <c r="D501" t="s">
        <v>11</v>
      </c>
      <c r="E501" t="s">
        <v>33</v>
      </c>
      <c r="F501" t="s">
        <v>46</v>
      </c>
      <c r="G501" t="s">
        <v>14</v>
      </c>
      <c r="H501" t="s">
        <v>36</v>
      </c>
      <c r="I501" t="s">
        <v>109</v>
      </c>
      <c r="J501" s="10" t="str">
        <f>+_xlfn.XLOOKUP(B501,INNOVACIÓN!A:A,INNOVACIÓN!B:B,"NO")</f>
        <v>NO</v>
      </c>
      <c r="K501" s="10" t="str">
        <f>+_xlfn.XLOOKUP(B501,MERMA!B:B,MERMA!C:C,"No")</f>
        <v>SI</v>
      </c>
      <c r="L501" s="10">
        <f>+_xlfn.XLOOKUP(B501,MERMA!B:B,MERMA!D:D,"No es merma")</f>
        <v>2025</v>
      </c>
    </row>
    <row r="502" spans="1:12" ht="14.5" hidden="1" x14ac:dyDescent="0.35">
      <c r="A502">
        <v>100020728</v>
      </c>
      <c r="B502">
        <v>75018825</v>
      </c>
      <c r="C502" t="s">
        <v>542</v>
      </c>
      <c r="D502" t="s">
        <v>11</v>
      </c>
      <c r="E502" t="s">
        <v>33</v>
      </c>
      <c r="F502" t="s">
        <v>46</v>
      </c>
      <c r="G502" t="s">
        <v>14</v>
      </c>
      <c r="H502" t="s">
        <v>36</v>
      </c>
      <c r="I502" t="s">
        <v>109</v>
      </c>
      <c r="J502" s="10" t="str">
        <f>+_xlfn.XLOOKUP(B502,INNOVACIÓN!A:A,INNOVACIÓN!B:B,"NO")</f>
        <v>NO</v>
      </c>
      <c r="K502" s="10" t="str">
        <f>+_xlfn.XLOOKUP(B502,MERMA!B:B,MERMA!C:C,"No")</f>
        <v>SI</v>
      </c>
      <c r="L502" s="10">
        <f>+_xlfn.XLOOKUP(B502,MERMA!B:B,MERMA!D:D,"No es merma")</f>
        <v>2025</v>
      </c>
    </row>
    <row r="503" spans="1:12" ht="14.5" hidden="1" x14ac:dyDescent="0.35">
      <c r="A503">
        <v>100020729</v>
      </c>
      <c r="B503">
        <v>75012564</v>
      </c>
      <c r="C503" t="s">
        <v>543</v>
      </c>
      <c r="D503" t="s">
        <v>11</v>
      </c>
      <c r="E503" t="s">
        <v>33</v>
      </c>
      <c r="F503" t="s">
        <v>46</v>
      </c>
      <c r="G503" t="s">
        <v>14</v>
      </c>
      <c r="H503" t="s">
        <v>36</v>
      </c>
      <c r="I503" t="s">
        <v>109</v>
      </c>
      <c r="J503" s="10" t="str">
        <f>+_xlfn.XLOOKUP(B503,INNOVACIÓN!A:A,INNOVACIÓN!B:B,"NO")</f>
        <v>NO</v>
      </c>
      <c r="K503" s="10" t="str">
        <f>+_xlfn.XLOOKUP(B503,MERMA!B:B,MERMA!C:C,"No")</f>
        <v>SI</v>
      </c>
      <c r="L503" s="10">
        <f>+_xlfn.XLOOKUP(B503,MERMA!B:B,MERMA!D:D,"No es merma")</f>
        <v>2025</v>
      </c>
    </row>
    <row r="504" spans="1:12" ht="14.5" hidden="1" x14ac:dyDescent="0.35">
      <c r="A504">
        <v>100015187</v>
      </c>
      <c r="B504">
        <v>75068752</v>
      </c>
      <c r="C504" t="s">
        <v>544</v>
      </c>
      <c r="D504" t="s">
        <v>11</v>
      </c>
      <c r="E504" t="s">
        <v>33</v>
      </c>
      <c r="F504" t="s">
        <v>39</v>
      </c>
      <c r="G504" t="s">
        <v>71</v>
      </c>
      <c r="H504" t="s">
        <v>36</v>
      </c>
      <c r="I504" t="s">
        <v>109</v>
      </c>
      <c r="J504" s="10" t="str">
        <f>+_xlfn.XLOOKUP(B504,INNOVACIÓN!A:A,INNOVACIÓN!B:B,"NO")</f>
        <v>NO</v>
      </c>
      <c r="K504" s="10" t="str">
        <f>+_xlfn.XLOOKUP(B504,MERMA!B:B,MERMA!C:C,"No")</f>
        <v>No</v>
      </c>
      <c r="L504" s="10" t="str">
        <f>+_xlfn.XLOOKUP(B504,MERMA!B:B,MERMA!D:D,"No es merma")</f>
        <v>No es merma</v>
      </c>
    </row>
    <row r="505" spans="1:12" ht="14.5" hidden="1" x14ac:dyDescent="0.35">
      <c r="A505">
        <v>100014718</v>
      </c>
      <c r="B505">
        <v>75068806</v>
      </c>
      <c r="C505" t="s">
        <v>545</v>
      </c>
      <c r="D505" t="s">
        <v>11</v>
      </c>
      <c r="E505" t="s">
        <v>33</v>
      </c>
      <c r="F505" t="s">
        <v>39</v>
      </c>
      <c r="G505" t="s">
        <v>71</v>
      </c>
      <c r="H505" t="s">
        <v>36</v>
      </c>
      <c r="I505" t="s">
        <v>109</v>
      </c>
      <c r="J505" s="10" t="str">
        <f>+_xlfn.XLOOKUP(B505,INNOVACIÓN!A:A,INNOVACIÓN!B:B,"NO")</f>
        <v>NO</v>
      </c>
      <c r="K505" s="10" t="str">
        <f>+_xlfn.XLOOKUP(B505,MERMA!B:B,MERMA!C:C,"No")</f>
        <v>SI</v>
      </c>
      <c r="L505" s="10">
        <f>+_xlfn.XLOOKUP(B505,MERMA!B:B,MERMA!D:D,"No es merma")</f>
        <v>2025</v>
      </c>
    </row>
    <row r="506" spans="1:12" ht="14.5" hidden="1" x14ac:dyDescent="0.35">
      <c r="A506">
        <v>100080033</v>
      </c>
      <c r="B506">
        <v>75001247</v>
      </c>
      <c r="C506" t="s">
        <v>546</v>
      </c>
      <c r="D506" t="s">
        <v>11</v>
      </c>
      <c r="E506" t="s">
        <v>33</v>
      </c>
      <c r="F506" t="s">
        <v>39</v>
      </c>
      <c r="G506" t="s">
        <v>54</v>
      </c>
      <c r="H506" t="s">
        <v>36</v>
      </c>
      <c r="I506" t="s">
        <v>109</v>
      </c>
      <c r="J506" s="10" t="str">
        <f>+_xlfn.XLOOKUP(B506,INNOVACIÓN!A:A,INNOVACIÓN!B:B,"NO")</f>
        <v>NO</v>
      </c>
      <c r="K506" s="10" t="str">
        <f>+_xlfn.XLOOKUP(B506,MERMA!B:B,MERMA!C:C,"No")</f>
        <v>No</v>
      </c>
      <c r="L506" s="10" t="str">
        <f>+_xlfn.XLOOKUP(B506,MERMA!B:B,MERMA!D:D,"No es merma")</f>
        <v>No es merma</v>
      </c>
    </row>
    <row r="507" spans="1:12" ht="14.5" hidden="1" x14ac:dyDescent="0.35">
      <c r="A507">
        <v>100080862</v>
      </c>
      <c r="B507">
        <v>75038007</v>
      </c>
      <c r="C507" t="s">
        <v>547</v>
      </c>
      <c r="D507" t="s">
        <v>11</v>
      </c>
      <c r="E507" t="s">
        <v>33</v>
      </c>
      <c r="F507" t="s">
        <v>39</v>
      </c>
      <c r="G507" t="s">
        <v>54</v>
      </c>
      <c r="H507" t="s">
        <v>36</v>
      </c>
      <c r="I507" t="s">
        <v>109</v>
      </c>
      <c r="J507" s="10" t="str">
        <f>+_xlfn.XLOOKUP(B507,INNOVACIÓN!A:A,INNOVACIÓN!B:B,"NO")</f>
        <v>NO</v>
      </c>
      <c r="K507" s="10" t="str">
        <f>+_xlfn.XLOOKUP(B507,MERMA!B:B,MERMA!C:C,"No")</f>
        <v>SI</v>
      </c>
      <c r="L507" s="10">
        <f>+_xlfn.XLOOKUP(B507,MERMA!B:B,MERMA!D:D,"No es merma")</f>
        <v>2025</v>
      </c>
    </row>
    <row r="508" spans="1:12" ht="14.5" hidden="1" x14ac:dyDescent="0.35">
      <c r="A508" s="10">
        <v>100080439</v>
      </c>
      <c r="B508">
        <v>75016760</v>
      </c>
      <c r="C508" s="10" t="s">
        <v>548</v>
      </c>
      <c r="D508" t="s">
        <v>11</v>
      </c>
      <c r="E508" t="s">
        <v>33</v>
      </c>
      <c r="F508" t="s">
        <v>39</v>
      </c>
      <c r="G508" t="s">
        <v>71</v>
      </c>
      <c r="H508" t="s">
        <v>36</v>
      </c>
      <c r="I508" t="s">
        <v>109</v>
      </c>
      <c r="J508" s="10" t="str">
        <f>+_xlfn.XLOOKUP(B508,INNOVACIÓN!A:A,INNOVACIÓN!B:B,"NO")</f>
        <v>NO</v>
      </c>
      <c r="K508" s="10" t="str">
        <f>+_xlfn.XLOOKUP(B508,MERMA!B:B,MERMA!C:C,"No")</f>
        <v>No</v>
      </c>
      <c r="L508" s="10" t="str">
        <f>+_xlfn.XLOOKUP(B508,MERMA!B:B,MERMA!D:D,"No es merma")</f>
        <v>No es merma</v>
      </c>
    </row>
    <row r="509" spans="1:12" ht="14.5" hidden="1" x14ac:dyDescent="0.35">
      <c r="A509">
        <v>100080861</v>
      </c>
      <c r="B509">
        <v>75037994</v>
      </c>
      <c r="C509" t="s">
        <v>549</v>
      </c>
      <c r="D509" t="s">
        <v>11</v>
      </c>
      <c r="E509" t="s">
        <v>33</v>
      </c>
      <c r="F509" t="s">
        <v>39</v>
      </c>
      <c r="G509" t="s">
        <v>71</v>
      </c>
      <c r="H509" t="s">
        <v>36</v>
      </c>
      <c r="I509" t="s">
        <v>109</v>
      </c>
      <c r="J509" s="10" t="str">
        <f>+_xlfn.XLOOKUP(B509,INNOVACIÓN!A:A,INNOVACIÓN!B:B,"NO")</f>
        <v>NO</v>
      </c>
      <c r="K509" s="10" t="str">
        <f>+_xlfn.XLOOKUP(B509,MERMA!B:B,MERMA!C:C,"No")</f>
        <v>SI</v>
      </c>
      <c r="L509" s="10">
        <f>+_xlfn.XLOOKUP(B509,MERMA!B:B,MERMA!D:D,"No es merma")</f>
        <v>2025</v>
      </c>
    </row>
    <row r="510" spans="1:12" ht="14.5" hidden="1" x14ac:dyDescent="0.35">
      <c r="A510">
        <v>100080031</v>
      </c>
      <c r="B510">
        <v>75001254</v>
      </c>
      <c r="C510" t="s">
        <v>550</v>
      </c>
      <c r="D510" t="s">
        <v>11</v>
      </c>
      <c r="E510" t="s">
        <v>33</v>
      </c>
      <c r="F510" t="s">
        <v>39</v>
      </c>
      <c r="G510" t="s">
        <v>71</v>
      </c>
      <c r="H510" t="s">
        <v>36</v>
      </c>
      <c r="I510" t="s">
        <v>109</v>
      </c>
      <c r="J510" s="10" t="str">
        <f>+_xlfn.XLOOKUP(B510,INNOVACIÓN!A:A,INNOVACIÓN!B:B,"NO")</f>
        <v>NO</v>
      </c>
      <c r="K510" s="10" t="str">
        <f>+_xlfn.XLOOKUP(B510,MERMA!B:B,MERMA!C:C,"No")</f>
        <v>SI</v>
      </c>
      <c r="L510" s="10">
        <f>+_xlfn.XLOOKUP(B510,MERMA!B:B,MERMA!D:D,"No es merma")</f>
        <v>2025</v>
      </c>
    </row>
    <row r="511" spans="1:12" ht="14.5" hidden="1" x14ac:dyDescent="0.35">
      <c r="A511">
        <v>100080926</v>
      </c>
      <c r="B511">
        <v>75045692</v>
      </c>
      <c r="C511" t="s">
        <v>551</v>
      </c>
      <c r="D511" t="s">
        <v>11</v>
      </c>
      <c r="E511" t="s">
        <v>33</v>
      </c>
      <c r="F511" t="s">
        <v>39</v>
      </c>
      <c r="G511" t="s">
        <v>54</v>
      </c>
      <c r="H511" t="s">
        <v>36</v>
      </c>
      <c r="I511" t="s">
        <v>109</v>
      </c>
      <c r="J511" s="10" t="str">
        <f>+_xlfn.XLOOKUP(B511,INNOVACIÓN!A:A,INNOVACIÓN!B:B,"NO")</f>
        <v>NO</v>
      </c>
      <c r="K511" s="10" t="str">
        <f>+_xlfn.XLOOKUP(B511,MERMA!B:B,MERMA!C:C,"No")</f>
        <v>No</v>
      </c>
      <c r="L511" s="10" t="str">
        <f>+_xlfn.XLOOKUP(B511,MERMA!B:B,MERMA!D:D,"No es merma")</f>
        <v>No es merma</v>
      </c>
    </row>
    <row r="512" spans="1:12" ht="14.5" hidden="1" x14ac:dyDescent="0.35">
      <c r="A512">
        <v>100022054</v>
      </c>
      <c r="B512">
        <v>7503023959438</v>
      </c>
      <c r="C512" t="s">
        <v>552</v>
      </c>
      <c r="D512" t="s">
        <v>32</v>
      </c>
      <c r="E512" t="s">
        <v>33</v>
      </c>
      <c r="F512" t="s">
        <v>609</v>
      </c>
      <c r="G512" t="s">
        <v>14</v>
      </c>
      <c r="H512" t="s">
        <v>36</v>
      </c>
      <c r="I512" t="s">
        <v>247</v>
      </c>
      <c r="J512" s="10" t="str">
        <f>+_xlfn.XLOOKUP(B512,INNOVACIÓN!A:A,INNOVACIÓN!B:B,"NO")</f>
        <v>SI</v>
      </c>
      <c r="K512" s="10" t="str">
        <f>+_xlfn.XLOOKUP(B512,MERMA!B:B,MERMA!C:C,"No")</f>
        <v>SI</v>
      </c>
      <c r="L512" s="10">
        <f>+_xlfn.XLOOKUP(B512,MERMA!B:B,MERMA!D:D,"No es merma")</f>
        <v>2025</v>
      </c>
    </row>
    <row r="513" spans="1:12" ht="14.5" hidden="1" x14ac:dyDescent="0.35">
      <c r="A513" s="10">
        <v>100026143</v>
      </c>
      <c r="B513" s="10">
        <v>75084011</v>
      </c>
      <c r="C513" s="10" t="s">
        <v>553</v>
      </c>
      <c r="D513" t="s">
        <v>11</v>
      </c>
      <c r="E513" t="s">
        <v>74</v>
      </c>
      <c r="F513" t="s">
        <v>41</v>
      </c>
      <c r="G513" t="s">
        <v>75</v>
      </c>
      <c r="H513" t="s">
        <v>70</v>
      </c>
      <c r="I513" t="s">
        <v>16</v>
      </c>
      <c r="J513" s="10" t="str">
        <f>+_xlfn.XLOOKUP(B513,INNOVACIÓN!A:A,INNOVACIÓN!B:B,"NO")</f>
        <v>NO</v>
      </c>
      <c r="K513" s="10" t="str">
        <f>+_xlfn.XLOOKUP(B513,MERMA!B:B,MERMA!C:C,"No")</f>
        <v>No</v>
      </c>
      <c r="L513" s="10" t="str">
        <f>+_xlfn.XLOOKUP(B513,MERMA!B:B,MERMA!D:D,"No es merma")</f>
        <v>No es merma</v>
      </c>
    </row>
    <row r="514" spans="1:12" ht="14.5" hidden="1" x14ac:dyDescent="0.35">
      <c r="A514" s="10">
        <v>100024418</v>
      </c>
      <c r="B514">
        <v>7702303253338</v>
      </c>
      <c r="C514" s="10" t="s">
        <v>554</v>
      </c>
      <c r="D514" t="s">
        <v>44</v>
      </c>
      <c r="E514" t="s">
        <v>146</v>
      </c>
      <c r="F514" t="s">
        <v>13</v>
      </c>
      <c r="G514" t="s">
        <v>14</v>
      </c>
      <c r="H514" t="s">
        <v>15</v>
      </c>
      <c r="I514" t="s">
        <v>16</v>
      </c>
      <c r="J514" s="10" t="str">
        <f>+_xlfn.XLOOKUP(B514,INNOVACIÓN!A:A,INNOVACIÓN!B:B,"NO")</f>
        <v>NO</v>
      </c>
      <c r="K514" s="10" t="str">
        <f>+_xlfn.XLOOKUP(B514,MERMA!B:B,MERMA!C:C,"No")</f>
        <v>No</v>
      </c>
      <c r="L514" s="10" t="str">
        <f>+_xlfn.XLOOKUP(B514,MERMA!B:B,MERMA!D:D,"No es merma")</f>
        <v>No es merma</v>
      </c>
    </row>
    <row r="515" spans="1:12" ht="14.5" hidden="1" x14ac:dyDescent="0.35">
      <c r="A515" s="10">
        <v>100026302</v>
      </c>
      <c r="B515">
        <v>7503039738553</v>
      </c>
      <c r="C515" s="10" t="s">
        <v>555</v>
      </c>
      <c r="D515" t="s">
        <v>44</v>
      </c>
      <c r="E515" t="s">
        <v>146</v>
      </c>
      <c r="F515" t="s">
        <v>13</v>
      </c>
      <c r="G515" t="s">
        <v>14</v>
      </c>
      <c r="H515" t="s">
        <v>15</v>
      </c>
      <c r="I515" t="s">
        <v>16</v>
      </c>
      <c r="J515" s="10" t="str">
        <f>+_xlfn.XLOOKUP(B515,INNOVACIÓN!A:A,INNOVACIÓN!B:B,"NO")</f>
        <v>NO</v>
      </c>
      <c r="K515" s="10" t="str">
        <f>+_xlfn.XLOOKUP(B515,MERMA!B:B,MERMA!C:C,"No")</f>
        <v>No</v>
      </c>
      <c r="L515" s="10" t="str">
        <f>+_xlfn.XLOOKUP(B515,MERMA!B:B,MERMA!D:D,"No es merma")</f>
        <v>No es merma</v>
      </c>
    </row>
    <row r="516" spans="1:12" ht="14.5" hidden="1" x14ac:dyDescent="0.35">
      <c r="A516" s="10">
        <v>100025296</v>
      </c>
      <c r="B516">
        <v>7503039738409</v>
      </c>
      <c r="C516" s="10" t="s">
        <v>556</v>
      </c>
      <c r="D516" t="s">
        <v>44</v>
      </c>
      <c r="E516" s="10" t="s">
        <v>33</v>
      </c>
      <c r="F516" t="s">
        <v>13</v>
      </c>
      <c r="G516" t="s">
        <v>14</v>
      </c>
      <c r="H516" t="s">
        <v>15</v>
      </c>
      <c r="I516" t="s">
        <v>109</v>
      </c>
      <c r="J516" s="10" t="str">
        <f>+_xlfn.XLOOKUP(B516,INNOVACIÓN!A:A,INNOVACIÓN!B:B,"NO")</f>
        <v>NO</v>
      </c>
      <c r="K516" s="10" t="str">
        <f>+_xlfn.XLOOKUP(B516,MERMA!B:B,MERMA!C:C,"No")</f>
        <v>No</v>
      </c>
      <c r="L516" s="10" t="str">
        <f>+_xlfn.XLOOKUP(B516,MERMA!B:B,MERMA!D:D,"No es merma")</f>
        <v>No es merma</v>
      </c>
    </row>
    <row r="517" spans="1:12" ht="14.5" hidden="1" x14ac:dyDescent="0.35">
      <c r="A517" s="10">
        <v>100026069</v>
      </c>
      <c r="B517">
        <v>7503039738430</v>
      </c>
      <c r="C517" s="10" t="s">
        <v>557</v>
      </c>
      <c r="D517" t="s">
        <v>44</v>
      </c>
      <c r="E517" t="s">
        <v>146</v>
      </c>
      <c r="F517" t="s">
        <v>13</v>
      </c>
      <c r="G517" t="s">
        <v>14</v>
      </c>
      <c r="H517" t="s">
        <v>15</v>
      </c>
      <c r="I517" t="s">
        <v>16</v>
      </c>
      <c r="J517" s="10" t="str">
        <f>+_xlfn.XLOOKUP(B517,INNOVACIÓN!A:A,INNOVACIÓN!B:B,"NO")</f>
        <v>NO</v>
      </c>
      <c r="K517" s="10" t="str">
        <f>+_xlfn.XLOOKUP(B517,MERMA!B:B,MERMA!C:C,"No")</f>
        <v>No</v>
      </c>
      <c r="L517" s="10" t="str">
        <f>+_xlfn.XLOOKUP(B517,MERMA!B:B,MERMA!D:D,"No es merma")</f>
        <v>No es merma</v>
      </c>
    </row>
    <row r="518" spans="1:12" ht="14.5" hidden="1" x14ac:dyDescent="0.35">
      <c r="A518" s="10">
        <v>100024415</v>
      </c>
      <c r="B518">
        <v>7702303630924</v>
      </c>
      <c r="C518" s="10" t="s">
        <v>558</v>
      </c>
      <c r="D518" t="s">
        <v>44</v>
      </c>
      <c r="E518" t="s">
        <v>146</v>
      </c>
      <c r="F518" t="s">
        <v>13</v>
      </c>
      <c r="G518" t="s">
        <v>14</v>
      </c>
      <c r="H518" t="s">
        <v>15</v>
      </c>
      <c r="I518" t="s">
        <v>16</v>
      </c>
      <c r="J518" s="10" t="str">
        <f>+_xlfn.XLOOKUP(B518,INNOVACIÓN!A:A,INNOVACIÓN!B:B,"NO")</f>
        <v>NO</v>
      </c>
      <c r="K518" s="10" t="str">
        <f>+_xlfn.XLOOKUP(B518,MERMA!B:B,MERMA!C:C,"No")</f>
        <v>No</v>
      </c>
      <c r="L518" s="10" t="str">
        <f>+_xlfn.XLOOKUP(B518,MERMA!B:B,MERMA!D:D,"No es merma")</f>
        <v>No es merma</v>
      </c>
    </row>
    <row r="519" spans="1:12" ht="14.5" hidden="1" x14ac:dyDescent="0.35">
      <c r="A519" s="10">
        <v>100026074</v>
      </c>
      <c r="B519">
        <v>7503039738522</v>
      </c>
      <c r="C519" s="10" t="s">
        <v>559</v>
      </c>
      <c r="D519" t="s">
        <v>44</v>
      </c>
      <c r="E519" t="s">
        <v>146</v>
      </c>
      <c r="F519" t="s">
        <v>13</v>
      </c>
      <c r="G519" t="s">
        <v>14</v>
      </c>
      <c r="H519" t="s">
        <v>15</v>
      </c>
      <c r="I519" t="s">
        <v>16</v>
      </c>
      <c r="J519" s="10" t="str">
        <f>+_xlfn.XLOOKUP(B519,INNOVACIÓN!A:A,INNOVACIÓN!B:B,"NO")</f>
        <v>NO</v>
      </c>
      <c r="K519" s="10" t="str">
        <f>+_xlfn.XLOOKUP(B519,MERMA!B:B,MERMA!C:C,"No")</f>
        <v>No</v>
      </c>
      <c r="L519" s="10" t="str">
        <f>+_xlfn.XLOOKUP(B519,MERMA!B:B,MERMA!D:D,"No es merma")</f>
        <v>No es merma</v>
      </c>
    </row>
    <row r="520" spans="1:12" ht="14.5" hidden="1" x14ac:dyDescent="0.35">
      <c r="A520" s="10">
        <v>100024416</v>
      </c>
      <c r="B520">
        <v>7702303813235</v>
      </c>
      <c r="C520" s="10" t="s">
        <v>560</v>
      </c>
      <c r="D520" t="s">
        <v>44</v>
      </c>
      <c r="E520" t="s">
        <v>146</v>
      </c>
      <c r="F520" t="s">
        <v>13</v>
      </c>
      <c r="G520" t="s">
        <v>14</v>
      </c>
      <c r="H520" t="s">
        <v>15</v>
      </c>
      <c r="I520" t="s">
        <v>16</v>
      </c>
      <c r="J520" s="10" t="str">
        <f>+_xlfn.XLOOKUP(B520,INNOVACIÓN!A:A,INNOVACIÓN!B:B,"NO")</f>
        <v>NO</v>
      </c>
      <c r="K520" s="10" t="str">
        <f>+_xlfn.XLOOKUP(B520,MERMA!B:B,MERMA!C:C,"No")</f>
        <v>No</v>
      </c>
      <c r="L520" s="10" t="str">
        <f>+_xlfn.XLOOKUP(B520,MERMA!B:B,MERMA!D:D,"No es merma")</f>
        <v>No es merma</v>
      </c>
    </row>
    <row r="521" spans="1:12" ht="14.5" hidden="1" x14ac:dyDescent="0.35">
      <c r="A521" s="10">
        <v>100026304</v>
      </c>
      <c r="B521">
        <v>7503039738560</v>
      </c>
      <c r="C521" s="10" t="s">
        <v>561</v>
      </c>
      <c r="D521" t="s">
        <v>44</v>
      </c>
      <c r="E521" t="s">
        <v>33</v>
      </c>
      <c r="F521" t="s">
        <v>13</v>
      </c>
      <c r="G521" t="s">
        <v>14</v>
      </c>
      <c r="H521" t="s">
        <v>15</v>
      </c>
      <c r="I521" t="s">
        <v>16</v>
      </c>
      <c r="J521" s="10" t="str">
        <f>+_xlfn.XLOOKUP(B521,INNOVACIÓN!A:A,INNOVACIÓN!B:B,"NO")</f>
        <v>NO</v>
      </c>
      <c r="K521" s="10" t="str">
        <f>+_xlfn.XLOOKUP(B521,MERMA!B:B,MERMA!C:C,"No")</f>
        <v>No</v>
      </c>
      <c r="L521" s="10" t="str">
        <f>+_xlfn.XLOOKUP(B521,MERMA!B:B,MERMA!D:D,"No es merma")</f>
        <v>No es merma</v>
      </c>
    </row>
    <row r="522" spans="1:12" ht="14.5" hidden="1" x14ac:dyDescent="0.35">
      <c r="A522" s="10">
        <v>100026383</v>
      </c>
      <c r="B522">
        <v>75084004</v>
      </c>
      <c r="C522" s="10" t="s">
        <v>562</v>
      </c>
      <c r="D522" t="s">
        <v>11</v>
      </c>
      <c r="E522" t="s">
        <v>33</v>
      </c>
      <c r="F522" t="s">
        <v>46</v>
      </c>
      <c r="G522" t="s">
        <v>75</v>
      </c>
      <c r="H522" t="s">
        <v>70</v>
      </c>
      <c r="I522" t="s">
        <v>16</v>
      </c>
      <c r="J522" s="10" t="str">
        <f>+_xlfn.XLOOKUP(B522,INNOVACIÓN!A:A,INNOVACIÓN!B:B,"NO")</f>
        <v>NO</v>
      </c>
      <c r="K522" s="10" t="str">
        <f>+_xlfn.XLOOKUP(B522,MERMA!B:B,MERMA!C:C,"No")</f>
        <v>No</v>
      </c>
      <c r="L522" s="10" t="str">
        <f>+_xlfn.XLOOKUP(B522,MERMA!B:B,MERMA!D:D,"No es merma")</f>
        <v>No es merma</v>
      </c>
    </row>
    <row r="523" spans="1:12" ht="14.5" hidden="1" x14ac:dyDescent="0.35">
      <c r="A523" s="10">
        <v>100025292</v>
      </c>
      <c r="B523">
        <v>7503039738386</v>
      </c>
      <c r="C523" s="10" t="s">
        <v>563</v>
      </c>
      <c r="D523" t="s">
        <v>44</v>
      </c>
      <c r="E523" s="10" t="s">
        <v>33</v>
      </c>
      <c r="F523" t="s">
        <v>13</v>
      </c>
      <c r="G523" t="s">
        <v>14</v>
      </c>
      <c r="H523" t="s">
        <v>15</v>
      </c>
      <c r="I523" t="s">
        <v>109</v>
      </c>
      <c r="J523" s="10" t="str">
        <f>+_xlfn.XLOOKUP(B523,INNOVACIÓN!A:A,INNOVACIÓN!B:B,"NO")</f>
        <v>NO</v>
      </c>
      <c r="K523" s="10" t="str">
        <f>+_xlfn.XLOOKUP(B523,MERMA!B:B,MERMA!C:C,"No")</f>
        <v>No</v>
      </c>
      <c r="L523" s="10" t="str">
        <f>+_xlfn.XLOOKUP(B523,MERMA!B:B,MERMA!D:D,"No es merma")</f>
        <v>No es merma</v>
      </c>
    </row>
    <row r="524" spans="1:12" ht="14.5" hidden="1" x14ac:dyDescent="0.35">
      <c r="A524" s="10">
        <v>100025895</v>
      </c>
      <c r="B524">
        <v>7503039738478</v>
      </c>
      <c r="C524" s="10" t="s">
        <v>564</v>
      </c>
      <c r="D524" t="s">
        <v>44</v>
      </c>
      <c r="E524" t="s">
        <v>146</v>
      </c>
      <c r="F524" t="s">
        <v>13</v>
      </c>
      <c r="G524" t="s">
        <v>14</v>
      </c>
      <c r="H524" t="s">
        <v>15</v>
      </c>
      <c r="I524" t="s">
        <v>16</v>
      </c>
      <c r="J524" s="10" t="str">
        <f>+_xlfn.XLOOKUP(B524,INNOVACIÓN!A:A,INNOVACIÓN!B:B,"NO")</f>
        <v>NO</v>
      </c>
      <c r="K524" s="10" t="str">
        <f>+_xlfn.XLOOKUP(B524,MERMA!B:B,MERMA!C:C,"No")</f>
        <v>No</v>
      </c>
      <c r="L524" s="10" t="str">
        <f>+_xlfn.XLOOKUP(B524,MERMA!B:B,MERMA!D:D,"No es merma")</f>
        <v>No es merma</v>
      </c>
    </row>
    <row r="525" spans="1:12" ht="14.5" hidden="1" x14ac:dyDescent="0.35">
      <c r="A525" s="10">
        <v>100026382</v>
      </c>
      <c r="B525">
        <v>75085384</v>
      </c>
      <c r="C525" s="10" t="s">
        <v>565</v>
      </c>
      <c r="D525" t="s">
        <v>11</v>
      </c>
      <c r="E525" t="s">
        <v>161</v>
      </c>
      <c r="F525" t="s">
        <v>608</v>
      </c>
      <c r="G525" t="s">
        <v>71</v>
      </c>
      <c r="H525" t="s">
        <v>36</v>
      </c>
      <c r="I525" t="s">
        <v>16</v>
      </c>
      <c r="J525" s="10" t="str">
        <f>+_xlfn.XLOOKUP(B525,INNOVACIÓN!A:A,INNOVACIÓN!B:B,"NO")</f>
        <v>NO</v>
      </c>
      <c r="K525" s="10" t="str">
        <f>+_xlfn.XLOOKUP(B525,MERMA!B:B,MERMA!C:C,"No")</f>
        <v>No</v>
      </c>
      <c r="L525" s="10" t="str">
        <f>+_xlfn.XLOOKUP(B525,MERMA!B:B,MERMA!D:D,"No es merma")</f>
        <v>No es merma</v>
      </c>
    </row>
    <row r="526" spans="1:12" ht="14.5" hidden="1" x14ac:dyDescent="0.35">
      <c r="A526" s="10">
        <v>100026305</v>
      </c>
      <c r="B526">
        <v>7503039738577</v>
      </c>
      <c r="C526" s="10" t="s">
        <v>566</v>
      </c>
      <c r="D526" t="s">
        <v>44</v>
      </c>
      <c r="E526" t="s">
        <v>33</v>
      </c>
      <c r="F526" t="s">
        <v>13</v>
      </c>
      <c r="G526" t="s">
        <v>14</v>
      </c>
      <c r="H526" t="s">
        <v>15</v>
      </c>
      <c r="I526" t="s">
        <v>16</v>
      </c>
      <c r="J526" s="10" t="str">
        <f>+_xlfn.XLOOKUP(B526,INNOVACIÓN!A:A,INNOVACIÓN!B:B,"NO")</f>
        <v>NO</v>
      </c>
      <c r="K526" s="10" t="str">
        <f>+_xlfn.XLOOKUP(B526,MERMA!B:B,MERMA!C:C,"No")</f>
        <v>No</v>
      </c>
      <c r="L526" s="10" t="str">
        <f>+_xlfn.XLOOKUP(B526,MERMA!B:B,MERMA!D:D,"No es merma")</f>
        <v>No es merma</v>
      </c>
    </row>
    <row r="527" spans="1:12" ht="14.5" hidden="1" x14ac:dyDescent="0.35">
      <c r="A527" s="10">
        <v>100026380</v>
      </c>
      <c r="B527">
        <v>75086091</v>
      </c>
      <c r="C527" s="10" t="s">
        <v>567</v>
      </c>
      <c r="D527" t="s">
        <v>11</v>
      </c>
      <c r="E527" t="s">
        <v>161</v>
      </c>
      <c r="F527" t="s">
        <v>608</v>
      </c>
      <c r="G527" t="s">
        <v>71</v>
      </c>
      <c r="H527" t="s">
        <v>36</v>
      </c>
      <c r="I527" t="s">
        <v>16</v>
      </c>
      <c r="J527" s="10" t="str">
        <f>+_xlfn.XLOOKUP(B527,INNOVACIÓN!A:A,INNOVACIÓN!B:B,"NO")</f>
        <v>NO</v>
      </c>
      <c r="K527" s="10" t="str">
        <f>+_xlfn.XLOOKUP(B527,MERMA!B:B,MERMA!C:C,"No")</f>
        <v>No</v>
      </c>
      <c r="L527" s="10" t="str">
        <f>+_xlfn.XLOOKUP(B527,MERMA!B:B,MERMA!D:D,"No es merma")</f>
        <v>No es merma</v>
      </c>
    </row>
    <row r="528" spans="1:12" ht="14.5" hidden="1" x14ac:dyDescent="0.35">
      <c r="A528">
        <v>100011672</v>
      </c>
      <c r="B528">
        <v>75063801</v>
      </c>
      <c r="C528" t="s">
        <v>568</v>
      </c>
      <c r="D528" t="s">
        <v>11</v>
      </c>
      <c r="E528" t="s">
        <v>161</v>
      </c>
      <c r="F528" t="s">
        <v>608</v>
      </c>
      <c r="G528" t="s">
        <v>54</v>
      </c>
      <c r="H528" t="s">
        <v>36</v>
      </c>
      <c r="I528" t="s">
        <v>16</v>
      </c>
      <c r="J528" s="10" t="str">
        <f>+_xlfn.XLOOKUP(B528,INNOVACIÓN!A:A,INNOVACIÓN!B:B,"NO")</f>
        <v>NO</v>
      </c>
      <c r="K528" s="10" t="str">
        <f>+_xlfn.XLOOKUP(B528,MERMA!B:B,MERMA!C:C,"No")</f>
        <v>No</v>
      </c>
      <c r="L528" s="10" t="str">
        <f>+_xlfn.XLOOKUP(B528,MERMA!B:B,MERMA!D:D,"No es merma")</f>
        <v>No es merma</v>
      </c>
    </row>
    <row r="529" spans="1:12" ht="14.5" hidden="1" x14ac:dyDescent="0.35">
      <c r="A529" s="10">
        <v>100026471</v>
      </c>
      <c r="B529">
        <v>7622100510727</v>
      </c>
      <c r="C529" s="10" t="s">
        <v>569</v>
      </c>
      <c r="D529" t="s">
        <v>11</v>
      </c>
      <c r="E529" t="s">
        <v>242</v>
      </c>
      <c r="F529" t="s">
        <v>70</v>
      </c>
      <c r="G529" t="s">
        <v>239</v>
      </c>
      <c r="H529" t="s">
        <v>70</v>
      </c>
      <c r="I529" t="s">
        <v>16</v>
      </c>
      <c r="J529" s="10" t="str">
        <f>+_xlfn.XLOOKUP(B529,INNOVACIÓN!A:A,INNOVACIÓN!B:B,"NO")</f>
        <v>NO</v>
      </c>
      <c r="K529" s="10" t="str">
        <f>+_xlfn.XLOOKUP(B529,MERMA!B:B,MERMA!C:C,"No")</f>
        <v>No</v>
      </c>
      <c r="L529" s="10" t="str">
        <f>+_xlfn.XLOOKUP(B529,MERMA!B:B,MERMA!D:D,"No es merma")</f>
        <v>No es merma</v>
      </c>
    </row>
    <row r="530" spans="1:12" ht="14.5" hidden="1" x14ac:dyDescent="0.35">
      <c r="A530" s="10">
        <v>100026467</v>
      </c>
      <c r="B530">
        <v>7622100511076</v>
      </c>
      <c r="C530" s="10" t="s">
        <v>570</v>
      </c>
      <c r="D530" t="s">
        <v>11</v>
      </c>
      <c r="E530" t="s">
        <v>242</v>
      </c>
      <c r="F530" t="s">
        <v>70</v>
      </c>
      <c r="G530" t="s">
        <v>239</v>
      </c>
      <c r="H530" t="s">
        <v>70</v>
      </c>
      <c r="I530" t="s">
        <v>16</v>
      </c>
      <c r="J530" s="10" t="str">
        <f>+_xlfn.XLOOKUP(B530,INNOVACIÓN!A:A,INNOVACIÓN!B:B,"NO")</f>
        <v>NO</v>
      </c>
      <c r="K530" s="10" t="str">
        <f>+_xlfn.XLOOKUP(B530,MERMA!B:B,MERMA!C:C,"No")</f>
        <v>No</v>
      </c>
      <c r="L530" s="10" t="str">
        <f>+_xlfn.XLOOKUP(B530,MERMA!B:B,MERMA!D:D,"No es merma")</f>
        <v>No es merma</v>
      </c>
    </row>
    <row r="531" spans="1:12" ht="14.5" hidden="1" x14ac:dyDescent="0.35">
      <c r="A531" s="10">
        <v>100026473</v>
      </c>
      <c r="B531">
        <v>7622100510765</v>
      </c>
      <c r="C531" s="10" t="s">
        <v>571</v>
      </c>
      <c r="D531" t="s">
        <v>11</v>
      </c>
      <c r="E531" t="s">
        <v>242</v>
      </c>
      <c r="F531" t="s">
        <v>70</v>
      </c>
      <c r="G531" t="s">
        <v>239</v>
      </c>
      <c r="H531" t="s">
        <v>70</v>
      </c>
      <c r="I531" t="s">
        <v>16</v>
      </c>
      <c r="J531" s="10" t="str">
        <f>+_xlfn.XLOOKUP(B531,INNOVACIÓN!A:A,INNOVACIÓN!B:B,"NO")</f>
        <v>NO</v>
      </c>
      <c r="K531" s="10" t="str">
        <f>+_xlfn.XLOOKUP(B531,MERMA!B:B,MERMA!C:C,"No")</f>
        <v>No</v>
      </c>
      <c r="L531" s="10" t="str">
        <f>+_xlfn.XLOOKUP(B531,MERMA!B:B,MERMA!D:D,"No es merma")</f>
        <v>No es merma</v>
      </c>
    </row>
    <row r="532" spans="1:12" ht="14.5" hidden="1" x14ac:dyDescent="0.35">
      <c r="A532" s="10">
        <v>100026616</v>
      </c>
      <c r="B532">
        <v>7622100511038</v>
      </c>
      <c r="C532" s="10" t="s">
        <v>587</v>
      </c>
      <c r="D532" t="s">
        <v>11</v>
      </c>
      <c r="E532" t="s">
        <v>242</v>
      </c>
      <c r="F532" t="s">
        <v>70</v>
      </c>
      <c r="G532" t="s">
        <v>239</v>
      </c>
      <c r="H532" t="s">
        <v>70</v>
      </c>
      <c r="I532" t="s">
        <v>16</v>
      </c>
      <c r="J532" s="10" t="str">
        <f>+_xlfn.XLOOKUP(B532,INNOVACIÓN!A:A,INNOVACIÓN!B:B,"NO")</f>
        <v>NO</v>
      </c>
      <c r="K532" s="10" t="str">
        <f>+_xlfn.XLOOKUP(B532,MERMA!B:B,MERMA!C:C,"No")</f>
        <v>No</v>
      </c>
      <c r="L532" s="10" t="str">
        <f>+_xlfn.XLOOKUP(B532,MERMA!B:B,MERMA!D:D,"No es merma")</f>
        <v>No es merma</v>
      </c>
    </row>
    <row r="533" spans="1:12" x14ac:dyDescent="0.35">
      <c r="A533" s="10">
        <v>100026687</v>
      </c>
      <c r="B533" s="10">
        <v>75084585</v>
      </c>
      <c r="C533" s="10" t="s">
        <v>591</v>
      </c>
      <c r="D533" t="s">
        <v>44</v>
      </c>
      <c r="E533" t="s">
        <v>33</v>
      </c>
      <c r="F533" t="s">
        <v>46</v>
      </c>
      <c r="H533" t="s">
        <v>36</v>
      </c>
      <c r="I533" t="s">
        <v>16</v>
      </c>
      <c r="J533" s="10" t="str">
        <f>+_xlfn.XLOOKUP(B533,INNOVACIÓN!A:A,INNOVACIÓN!B:B,"NO")</f>
        <v>NO</v>
      </c>
      <c r="K533" s="10" t="str">
        <f>+_xlfn.XLOOKUP(B533,MERMA!B:B,MERMA!C:C,"No")</f>
        <v>No</v>
      </c>
      <c r="L533" s="10" t="str">
        <f>+_xlfn.XLOOKUP(B533,MERMA!B:B,MERMA!D:D,"No es merma")</f>
        <v>No es merma</v>
      </c>
    </row>
    <row r="534" spans="1:12" ht="14.5" hidden="1" x14ac:dyDescent="0.35">
      <c r="A534" s="10">
        <v>100026688</v>
      </c>
      <c r="B534" s="10">
        <v>75084608</v>
      </c>
      <c r="C534" s="10" t="s">
        <v>592</v>
      </c>
      <c r="D534" t="s">
        <v>44</v>
      </c>
      <c r="E534" t="s">
        <v>33</v>
      </c>
      <c r="F534" t="s">
        <v>46</v>
      </c>
      <c r="H534" t="s">
        <v>36</v>
      </c>
      <c r="I534" t="s">
        <v>16</v>
      </c>
      <c r="J534" s="10" t="str">
        <f>+_xlfn.XLOOKUP(B534,INNOVACIÓN!A:A,INNOVACIÓN!B:B,"NO")</f>
        <v>NO</v>
      </c>
      <c r="K534" s="10" t="str">
        <f>+_xlfn.XLOOKUP(B534,MERMA!B:B,MERMA!C:C,"No")</f>
        <v>No</v>
      </c>
      <c r="L534" s="10" t="str">
        <f>+_xlfn.XLOOKUP(B534,MERMA!B:B,MERMA!D:D,"No es merma")</f>
        <v>No es merma</v>
      </c>
    </row>
    <row r="535" spans="1:12" ht="14.5" hidden="1" x14ac:dyDescent="0.35">
      <c r="A535" s="10">
        <v>100026689</v>
      </c>
      <c r="B535" s="10">
        <v>75084592</v>
      </c>
      <c r="C535" s="10" t="s">
        <v>593</v>
      </c>
      <c r="D535" t="s">
        <v>44</v>
      </c>
      <c r="E535" t="s">
        <v>33</v>
      </c>
      <c r="F535" t="s">
        <v>46</v>
      </c>
      <c r="H535" t="s">
        <v>36</v>
      </c>
      <c r="I535" t="s">
        <v>16</v>
      </c>
      <c r="J535" s="10" t="str">
        <f>+_xlfn.XLOOKUP(B535,INNOVACIÓN!A:A,INNOVACIÓN!B:B,"NO")</f>
        <v>NO</v>
      </c>
      <c r="K535" s="10" t="str">
        <f>+_xlfn.XLOOKUP(B535,MERMA!B:B,MERMA!C:C,"No")</f>
        <v>No</v>
      </c>
      <c r="L535" s="10" t="str">
        <f>+_xlfn.XLOOKUP(B535,MERMA!B:B,MERMA!D:D,"No es merma")</f>
        <v>No es merma</v>
      </c>
    </row>
    <row r="536" spans="1:12" ht="14.5" hidden="1" x14ac:dyDescent="0.35">
      <c r="A536" s="10">
        <v>100026690</v>
      </c>
      <c r="B536" s="10">
        <v>75084646</v>
      </c>
      <c r="C536" s="10" t="s">
        <v>594</v>
      </c>
      <c r="D536" t="s">
        <v>44</v>
      </c>
      <c r="E536" t="s">
        <v>33</v>
      </c>
      <c r="F536" t="s">
        <v>46</v>
      </c>
      <c r="H536" t="s">
        <v>36</v>
      </c>
      <c r="I536" t="s">
        <v>16</v>
      </c>
      <c r="J536" s="10" t="str">
        <f>+_xlfn.XLOOKUP(B536,INNOVACIÓN!A:A,INNOVACIÓN!B:B,"NO")</f>
        <v>NO</v>
      </c>
      <c r="K536" s="10" t="str">
        <f>+_xlfn.XLOOKUP(B536,MERMA!B:B,MERMA!C:C,"No")</f>
        <v>No</v>
      </c>
      <c r="L536" s="10" t="str">
        <f>+_xlfn.XLOOKUP(B536,MERMA!B:B,MERMA!D:D,"No es merma")</f>
        <v>No es merma</v>
      </c>
    </row>
    <row r="537" spans="1:12" ht="14.5" hidden="1" x14ac:dyDescent="0.35">
      <c r="A537" s="10">
        <v>100026691</v>
      </c>
      <c r="B537" s="10">
        <v>75084639</v>
      </c>
      <c r="C537" s="10" t="s">
        <v>595</v>
      </c>
      <c r="D537" t="s">
        <v>44</v>
      </c>
      <c r="E537" t="s">
        <v>33</v>
      </c>
      <c r="F537" t="s">
        <v>46</v>
      </c>
      <c r="H537" t="s">
        <v>36</v>
      </c>
      <c r="I537" t="s">
        <v>16</v>
      </c>
      <c r="J537" s="10" t="str">
        <f>+_xlfn.XLOOKUP(B537,INNOVACIÓN!A:A,INNOVACIÓN!B:B,"NO")</f>
        <v>NO</v>
      </c>
      <c r="K537" s="10" t="str">
        <f>+_xlfn.XLOOKUP(B537,MERMA!B:B,MERMA!C:C,"No")</f>
        <v>No</v>
      </c>
      <c r="L537" s="10" t="str">
        <f>+_xlfn.XLOOKUP(B537,MERMA!B:B,MERMA!D:D,"No es merma")</f>
        <v>No es merma</v>
      </c>
    </row>
    <row r="538" spans="1:12" ht="14.5" hidden="1" x14ac:dyDescent="0.35">
      <c r="A538" s="10">
        <v>100026692</v>
      </c>
      <c r="B538" s="10">
        <v>75084653</v>
      </c>
      <c r="C538" s="10" t="s">
        <v>596</v>
      </c>
      <c r="D538" t="s">
        <v>44</v>
      </c>
      <c r="E538" t="s">
        <v>33</v>
      </c>
      <c r="F538" t="s">
        <v>46</v>
      </c>
      <c r="H538" t="s">
        <v>36</v>
      </c>
      <c r="I538" t="s">
        <v>16</v>
      </c>
      <c r="J538" s="10" t="str">
        <f>+_xlfn.XLOOKUP(B538,INNOVACIÓN!A:A,INNOVACIÓN!B:B,"NO")</f>
        <v>NO</v>
      </c>
      <c r="K538" s="10" t="str">
        <f>+_xlfn.XLOOKUP(B538,MERMA!B:B,MERMA!C:C,"No")</f>
        <v>No</v>
      </c>
      <c r="L538" s="10" t="str">
        <f>+_xlfn.XLOOKUP(B538,MERMA!B:B,MERMA!D:D,"No es merma")</f>
        <v>No es merma</v>
      </c>
    </row>
    <row r="539" spans="1:12" x14ac:dyDescent="0.35">
      <c r="A539" s="10">
        <v>100026676</v>
      </c>
      <c r="B539" s="10">
        <v>75087142</v>
      </c>
      <c r="C539" s="10" t="s">
        <v>597</v>
      </c>
      <c r="D539" t="s">
        <v>44</v>
      </c>
      <c r="E539" t="s">
        <v>33</v>
      </c>
      <c r="F539" t="s">
        <v>39</v>
      </c>
      <c r="H539" t="s">
        <v>36</v>
      </c>
      <c r="I539" t="s">
        <v>16</v>
      </c>
      <c r="J539" s="10" t="str">
        <f>+_xlfn.XLOOKUP(B539,INNOVACIÓN!A:A,INNOVACIÓN!B:B,"NO")</f>
        <v>SI</v>
      </c>
      <c r="K539" s="10" t="str">
        <f>+_xlfn.XLOOKUP(B539,MERMA!B:B,MERMA!C:C,"No")</f>
        <v>No</v>
      </c>
      <c r="L539" s="10" t="str">
        <f>+_xlfn.XLOOKUP(B539,MERMA!B:B,MERMA!D:D,"No es merma")</f>
        <v>No es merma</v>
      </c>
    </row>
    <row r="540" spans="1:12" ht="14.5" hidden="1" x14ac:dyDescent="0.35">
      <c r="A540" s="10">
        <v>100026677</v>
      </c>
      <c r="B540" s="10">
        <v>75087159</v>
      </c>
      <c r="C540" s="10" t="s">
        <v>598</v>
      </c>
      <c r="D540" t="s">
        <v>44</v>
      </c>
      <c r="E540" t="s">
        <v>33</v>
      </c>
      <c r="F540" t="s">
        <v>39</v>
      </c>
      <c r="H540" t="s">
        <v>36</v>
      </c>
      <c r="I540" t="s">
        <v>16</v>
      </c>
      <c r="J540" s="10" t="str">
        <f>+_xlfn.XLOOKUP(B540,INNOVACIÓN!A:A,INNOVACIÓN!B:B,"NO")</f>
        <v>SI</v>
      </c>
      <c r="K540" s="10" t="str">
        <f>+_xlfn.XLOOKUP(B540,MERMA!B:B,MERMA!C:C,"No")</f>
        <v>No</v>
      </c>
      <c r="L540" s="10" t="str">
        <f>+_xlfn.XLOOKUP(B540,MERMA!B:B,MERMA!D:D,"No es merma")</f>
        <v>No es merma</v>
      </c>
    </row>
    <row r="541" spans="1:12" ht="14.5" hidden="1" x14ac:dyDescent="0.35">
      <c r="A541" s="10">
        <v>100026678</v>
      </c>
      <c r="B541" s="10">
        <v>75087166</v>
      </c>
      <c r="C541" s="10" t="s">
        <v>599</v>
      </c>
      <c r="D541" t="s">
        <v>44</v>
      </c>
      <c r="E541" t="s">
        <v>33</v>
      </c>
      <c r="F541" t="s">
        <v>39</v>
      </c>
      <c r="H541" t="s">
        <v>36</v>
      </c>
      <c r="I541" t="s">
        <v>16</v>
      </c>
      <c r="J541" s="10" t="str">
        <f>+_xlfn.XLOOKUP(B541,INNOVACIÓN!A:A,INNOVACIÓN!B:B,"NO")</f>
        <v>SI</v>
      </c>
      <c r="K541" s="10" t="str">
        <f>+_xlfn.XLOOKUP(B541,MERMA!B:B,MERMA!C:C,"No")</f>
        <v>No</v>
      </c>
      <c r="L541" s="10" t="str">
        <f>+_xlfn.XLOOKUP(B541,MERMA!B:B,MERMA!D:D,"No es merma")</f>
        <v>No es merma</v>
      </c>
    </row>
    <row r="542" spans="1:12" ht="14.5" hidden="1" x14ac:dyDescent="0.35">
      <c r="A542" s="10">
        <v>100026679</v>
      </c>
      <c r="B542" s="10">
        <v>75087173</v>
      </c>
      <c r="C542" s="10" t="s">
        <v>600</v>
      </c>
      <c r="D542" t="s">
        <v>44</v>
      </c>
      <c r="E542" t="s">
        <v>33</v>
      </c>
      <c r="F542" t="s">
        <v>39</v>
      </c>
      <c r="H542" t="s">
        <v>36</v>
      </c>
      <c r="I542" t="s">
        <v>16</v>
      </c>
      <c r="J542" s="10" t="str">
        <f>+_xlfn.XLOOKUP(B542,INNOVACIÓN!A:A,INNOVACIÓN!B:B,"NO")</f>
        <v>SI</v>
      </c>
      <c r="K542" s="10" t="str">
        <f>+_xlfn.XLOOKUP(B542,MERMA!B:B,MERMA!C:C,"No")</f>
        <v>No</v>
      </c>
      <c r="L542" s="10" t="str">
        <f>+_xlfn.XLOOKUP(B542,MERMA!B:B,MERMA!D:D,"No es merma")</f>
        <v>No es merma</v>
      </c>
    </row>
    <row r="543" spans="1:12" ht="14.5" hidden="1" x14ac:dyDescent="0.35">
      <c r="A543" s="10">
        <v>100026680</v>
      </c>
      <c r="B543" s="10">
        <v>75087180</v>
      </c>
      <c r="C543" s="10" t="s">
        <v>601</v>
      </c>
      <c r="D543" t="s">
        <v>44</v>
      </c>
      <c r="E543" t="s">
        <v>33</v>
      </c>
      <c r="F543" t="s">
        <v>39</v>
      </c>
      <c r="H543" t="s">
        <v>36</v>
      </c>
      <c r="I543" t="s">
        <v>16</v>
      </c>
      <c r="J543" s="10" t="str">
        <f>+_xlfn.XLOOKUP(B543,INNOVACIÓN!A:A,INNOVACIÓN!B:B,"NO")</f>
        <v>SI</v>
      </c>
      <c r="K543" s="10" t="str">
        <f>+_xlfn.XLOOKUP(B543,MERMA!B:B,MERMA!C:C,"No")</f>
        <v>No</v>
      </c>
      <c r="L543" s="10" t="str">
        <f>+_xlfn.XLOOKUP(B543,MERMA!B:B,MERMA!D:D,"No es merma")</f>
        <v>No es merma</v>
      </c>
    </row>
    <row r="544" spans="1:12" ht="14.5" hidden="1" x14ac:dyDescent="0.35">
      <c r="A544" s="10">
        <v>100026684</v>
      </c>
      <c r="B544" s="10">
        <v>75084493</v>
      </c>
      <c r="C544" s="10" t="s">
        <v>602</v>
      </c>
      <c r="D544" t="s">
        <v>44</v>
      </c>
      <c r="E544" t="s">
        <v>67</v>
      </c>
      <c r="F544" t="s">
        <v>608</v>
      </c>
      <c r="H544" t="s">
        <v>36</v>
      </c>
      <c r="I544" t="s">
        <v>16</v>
      </c>
      <c r="J544" s="10" t="str">
        <f>+_xlfn.XLOOKUP(B544,INNOVACIÓN!A:A,INNOVACIÓN!B:B,"NO")</f>
        <v>SI</v>
      </c>
      <c r="K544" s="10" t="str">
        <f>+_xlfn.XLOOKUP(B544,MERMA!B:B,MERMA!C:C,"No")</f>
        <v>No</v>
      </c>
      <c r="L544" s="10" t="str">
        <f>+_xlfn.XLOOKUP(B544,MERMA!B:B,MERMA!D:D,"No es merma")</f>
        <v>No es merma</v>
      </c>
    </row>
    <row r="545" spans="1:12" ht="14.5" hidden="1" x14ac:dyDescent="0.35">
      <c r="A545" s="10">
        <v>100026681</v>
      </c>
      <c r="B545" s="10">
        <v>75087197</v>
      </c>
      <c r="C545" s="10" t="s">
        <v>603</v>
      </c>
      <c r="D545" t="s">
        <v>44</v>
      </c>
      <c r="E545" t="s">
        <v>33</v>
      </c>
      <c r="F545" t="s">
        <v>609</v>
      </c>
      <c r="H545" t="s">
        <v>36</v>
      </c>
      <c r="I545" t="s">
        <v>16</v>
      </c>
      <c r="J545" s="10" t="str">
        <f>+_xlfn.XLOOKUP(B545,INNOVACIÓN!A:A,INNOVACIÓN!B:B,"NO")</f>
        <v>SI</v>
      </c>
      <c r="K545" s="10" t="str">
        <f>+_xlfn.XLOOKUP(B545,MERMA!B:B,MERMA!C:C,"No")</f>
        <v>No</v>
      </c>
      <c r="L545" s="10" t="str">
        <f>+_xlfn.XLOOKUP(B545,MERMA!B:B,MERMA!D:D,"No es merma")</f>
        <v>No es merma</v>
      </c>
    </row>
    <row r="546" spans="1:12" ht="14.5" hidden="1" x14ac:dyDescent="0.35">
      <c r="A546" s="10">
        <v>100026682</v>
      </c>
      <c r="B546" s="10">
        <v>75087203</v>
      </c>
      <c r="C546" s="10" t="s">
        <v>604</v>
      </c>
      <c r="D546" t="s">
        <v>44</v>
      </c>
      <c r="E546" t="s">
        <v>33</v>
      </c>
      <c r="F546" t="s">
        <v>46</v>
      </c>
      <c r="H546" t="s">
        <v>36</v>
      </c>
      <c r="I546" t="s">
        <v>16</v>
      </c>
      <c r="J546" s="10" t="str">
        <f>+_xlfn.XLOOKUP(B546,INNOVACIÓN!A:A,INNOVACIÓN!B:B,"NO")</f>
        <v>SI</v>
      </c>
      <c r="K546" s="10" t="str">
        <f>+_xlfn.XLOOKUP(B546,MERMA!B:B,MERMA!C:C,"No")</f>
        <v>No</v>
      </c>
      <c r="L546" s="10" t="str">
        <f>+_xlfn.XLOOKUP(B546,MERMA!B:B,MERMA!D:D,"No es merma")</f>
        <v>No es merma</v>
      </c>
    </row>
    <row r="547" spans="1:12" ht="14.5" hidden="1" x14ac:dyDescent="0.35">
      <c r="A547" s="10">
        <v>100026683</v>
      </c>
      <c r="B547" s="10">
        <v>75087210</v>
      </c>
      <c r="C547" s="10" t="s">
        <v>605</v>
      </c>
      <c r="D547" t="s">
        <v>44</v>
      </c>
      <c r="E547" t="s">
        <v>33</v>
      </c>
      <c r="F547" t="s">
        <v>609</v>
      </c>
      <c r="H547" t="s">
        <v>36</v>
      </c>
      <c r="I547" t="s">
        <v>16</v>
      </c>
      <c r="J547" s="10" t="str">
        <f>+_xlfn.XLOOKUP(B547,INNOVACIÓN!A:A,INNOVACIÓN!B:B,"NO")</f>
        <v>SI</v>
      </c>
      <c r="K547" s="10" t="str">
        <f>+_xlfn.XLOOKUP(B547,MERMA!B:B,MERMA!C:C,"No")</f>
        <v>No</v>
      </c>
      <c r="L547" s="10" t="str">
        <f>+_xlfn.XLOOKUP(B547,MERMA!B:B,MERMA!D:D,"No es merma")</f>
        <v>No es merma</v>
      </c>
    </row>
    <row r="548" spans="1:12" ht="14.5" hidden="1" x14ac:dyDescent="0.35">
      <c r="A548" s="10">
        <v>100026685</v>
      </c>
      <c r="B548" s="10">
        <v>75086381</v>
      </c>
      <c r="C548" s="10" t="s">
        <v>606</v>
      </c>
      <c r="D548" t="s">
        <v>11</v>
      </c>
      <c r="E548" t="s">
        <v>161</v>
      </c>
      <c r="F548" t="s">
        <v>608</v>
      </c>
      <c r="H548" t="s">
        <v>36</v>
      </c>
      <c r="I548" t="s">
        <v>16</v>
      </c>
      <c r="J548" s="10" t="str">
        <f>+_xlfn.XLOOKUP(B548,INNOVACIÓN!A:A,INNOVACIÓN!B:B,"NO")</f>
        <v>NO</v>
      </c>
      <c r="K548" s="10" t="str">
        <f>+_xlfn.XLOOKUP(B548,MERMA!B:B,MERMA!C:C,"No")</f>
        <v>No</v>
      </c>
      <c r="L548" s="10" t="str">
        <f>+_xlfn.XLOOKUP(B548,MERMA!B:B,MERMA!D:D,"No es merma")</f>
        <v>No es merma</v>
      </c>
    </row>
    <row r="549" spans="1:12" ht="14.5" hidden="1" x14ac:dyDescent="0.35">
      <c r="A549" s="10">
        <v>100026614</v>
      </c>
      <c r="B549">
        <v>7501045300177</v>
      </c>
      <c r="C549" s="10" t="s">
        <v>607</v>
      </c>
      <c r="D549" t="s">
        <v>11</v>
      </c>
      <c r="E549" t="s">
        <v>161</v>
      </c>
      <c r="F549" t="s">
        <v>39</v>
      </c>
      <c r="H549" t="s">
        <v>36</v>
      </c>
      <c r="I549" t="s">
        <v>16</v>
      </c>
      <c r="J549" s="10" t="str">
        <f>+_xlfn.XLOOKUP(B549,INNOVACIÓN!A:A,INNOVACIÓN!B:B,"NO")</f>
        <v>NO</v>
      </c>
      <c r="K549" s="10" t="str">
        <f>+_xlfn.XLOOKUP(B549,MERMA!B:B,MERMA!C:C,"No")</f>
        <v>No</v>
      </c>
      <c r="L549" s="10" t="str">
        <f>+_xlfn.XLOOKUP(B549,MERMA!B:B,MERMA!D:D,"No es merma")</f>
        <v>No es merma</v>
      </c>
    </row>
    <row r="550" spans="1:12" ht="14.5" hidden="1" x14ac:dyDescent="0.35">
      <c r="A550" s="10">
        <v>100027095</v>
      </c>
      <c r="B550">
        <v>75087586</v>
      </c>
      <c r="C550" t="s">
        <v>610</v>
      </c>
      <c r="D550" t="s">
        <v>11</v>
      </c>
      <c r="E550" t="s">
        <v>161</v>
      </c>
      <c r="F550" t="s">
        <v>608</v>
      </c>
      <c r="H550" t="s">
        <v>36</v>
      </c>
      <c r="I550" t="s">
        <v>16</v>
      </c>
      <c r="J550" s="10" t="str">
        <f>+_xlfn.XLOOKUP(B550,INNOVACIÓN!A:A,INNOVACIÓN!B:B,"NO")</f>
        <v>SI</v>
      </c>
      <c r="K550" s="10" t="str">
        <f>+_xlfn.XLOOKUP(B550,MERMA!B:B,MERMA!C:C,"No")</f>
        <v>No</v>
      </c>
      <c r="L550" s="10" t="str">
        <f>+_xlfn.XLOOKUP(B550,MERMA!B:B,MERMA!D:D,"No es merma")</f>
        <v>No es merma</v>
      </c>
    </row>
    <row r="551" spans="1:12" ht="14.5" hidden="1" x14ac:dyDescent="0.35">
      <c r="A551" s="10">
        <v>100027096</v>
      </c>
      <c r="B551">
        <v>7311250035586</v>
      </c>
      <c r="C551" t="s">
        <v>611</v>
      </c>
      <c r="D551" t="s">
        <v>11</v>
      </c>
      <c r="E551" t="s">
        <v>12</v>
      </c>
      <c r="F551" t="s">
        <v>13</v>
      </c>
      <c r="H551" t="s">
        <v>15</v>
      </c>
      <c r="I551" t="s">
        <v>16</v>
      </c>
      <c r="J551" s="10" t="str">
        <f>+_xlfn.XLOOKUP(B551,INNOVACIÓN!A:A,INNOVACIÓN!B:B,"NO")</f>
        <v>SI</v>
      </c>
      <c r="K551" s="10" t="str">
        <f>+_xlfn.XLOOKUP(B551,MERMA!B:B,MERMA!C:C,"No")</f>
        <v>No</v>
      </c>
      <c r="L551" s="10" t="str">
        <f>+_xlfn.XLOOKUP(B551,MERMA!B:B,MERMA!D:D,"No es merma")</f>
        <v>No es merma</v>
      </c>
    </row>
    <row r="552" spans="1:12" ht="14.5" hidden="1" x14ac:dyDescent="0.35">
      <c r="A552" s="10">
        <v>100027097</v>
      </c>
      <c r="B552">
        <v>7311250035609</v>
      </c>
      <c r="C552" t="s">
        <v>612</v>
      </c>
      <c r="D552" t="s">
        <v>11</v>
      </c>
      <c r="E552" t="s">
        <v>12</v>
      </c>
      <c r="F552" t="s">
        <v>13</v>
      </c>
      <c r="H552" t="s">
        <v>15</v>
      </c>
      <c r="I552" t="s">
        <v>16</v>
      </c>
      <c r="J552" s="10" t="str">
        <f>+_xlfn.XLOOKUP(B552,INNOVACIÓN!A:A,INNOVACIÓN!B:B,"NO")</f>
        <v>SI</v>
      </c>
      <c r="K552" s="10" t="str">
        <f>+_xlfn.XLOOKUP(B552,MERMA!B:B,MERMA!C:C,"No")</f>
        <v>No</v>
      </c>
      <c r="L552" s="10" t="str">
        <f>+_xlfn.XLOOKUP(B552,MERMA!B:B,MERMA!D:D,"No es merma")</f>
        <v>No es merma</v>
      </c>
    </row>
    <row r="553" spans="1:12" ht="14.5" hidden="1" x14ac:dyDescent="0.35">
      <c r="A553" s="10">
        <v>100027103</v>
      </c>
      <c r="B553">
        <v>7503039738805</v>
      </c>
      <c r="C553" t="s">
        <v>613</v>
      </c>
      <c r="D553" t="s">
        <v>44</v>
      </c>
      <c r="E553" t="s">
        <v>146</v>
      </c>
      <c r="F553" t="s">
        <v>13</v>
      </c>
      <c r="H553" t="s">
        <v>15</v>
      </c>
      <c r="I553" t="s">
        <v>16</v>
      </c>
      <c r="J553" s="10" t="str">
        <f>+_xlfn.XLOOKUP(B553,INNOVACIÓN!A:A,INNOVACIÓN!B:B,"NO")</f>
        <v>NO</v>
      </c>
      <c r="K553" s="10" t="str">
        <f>+_xlfn.XLOOKUP(B553,MERMA!B:B,MERMA!C:C,"No")</f>
        <v>No</v>
      </c>
      <c r="L553" s="10" t="str">
        <f>+_xlfn.XLOOKUP(B553,MERMA!B:B,MERMA!D:D,"No es merma")</f>
        <v>No es merma</v>
      </c>
    </row>
    <row r="554" spans="1:12" ht="14.5" hidden="1" x14ac:dyDescent="0.35">
      <c r="A554" s="10">
        <v>100027104</v>
      </c>
      <c r="B554">
        <v>7503039738812</v>
      </c>
      <c r="C554" t="s">
        <v>614</v>
      </c>
      <c r="D554" t="s">
        <v>44</v>
      </c>
      <c r="E554" t="s">
        <v>146</v>
      </c>
      <c r="F554" t="s">
        <v>13</v>
      </c>
      <c r="H554" t="s">
        <v>15</v>
      </c>
      <c r="I554" t="s">
        <v>16</v>
      </c>
      <c r="J554" s="10" t="str">
        <f>+_xlfn.XLOOKUP(B554,INNOVACIÓN!A:A,INNOVACIÓN!B:B,"NO")</f>
        <v>NO</v>
      </c>
      <c r="K554" s="10" t="str">
        <f>+_xlfn.XLOOKUP(B554,MERMA!B:B,MERMA!C:C,"No")</f>
        <v>No</v>
      </c>
      <c r="L554" s="10" t="str">
        <f>+_xlfn.XLOOKUP(B554,MERMA!B:B,MERMA!D:D,"No es merma")</f>
        <v>No es merma</v>
      </c>
    </row>
    <row r="555" spans="1:12" ht="14.5" hidden="1" x14ac:dyDescent="0.35">
      <c r="A555" s="10">
        <v>100027105</v>
      </c>
      <c r="B555">
        <v>7503039738829</v>
      </c>
      <c r="C555" t="s">
        <v>615</v>
      </c>
      <c r="D555" t="s">
        <v>44</v>
      </c>
      <c r="E555" t="s">
        <v>146</v>
      </c>
      <c r="F555" t="s">
        <v>13</v>
      </c>
      <c r="H555" t="s">
        <v>15</v>
      </c>
      <c r="I555" t="s">
        <v>16</v>
      </c>
      <c r="J555" s="10" t="str">
        <f>+_xlfn.XLOOKUP(B555,INNOVACIÓN!A:A,INNOVACIÓN!B:B,"NO")</f>
        <v>NO</v>
      </c>
      <c r="K555" s="10" t="str">
        <f>+_xlfn.XLOOKUP(B555,MERMA!B:B,MERMA!C:C,"No")</f>
        <v>No</v>
      </c>
      <c r="L555" s="10" t="str">
        <f>+_xlfn.XLOOKUP(B555,MERMA!B:B,MERMA!D:D,"No es merma")</f>
        <v>No es merma</v>
      </c>
    </row>
    <row r="556" spans="1:12" ht="14.5" hidden="1" x14ac:dyDescent="0.35">
      <c r="A556" s="10">
        <v>100027106</v>
      </c>
      <c r="B556">
        <v>7503039738836</v>
      </c>
      <c r="C556" t="s">
        <v>616</v>
      </c>
      <c r="D556" t="s">
        <v>44</v>
      </c>
      <c r="E556" t="s">
        <v>146</v>
      </c>
      <c r="F556" t="s">
        <v>13</v>
      </c>
      <c r="H556" t="s">
        <v>15</v>
      </c>
      <c r="I556" t="s">
        <v>16</v>
      </c>
      <c r="J556" s="10" t="str">
        <f>+_xlfn.XLOOKUP(B556,INNOVACIÓN!A:A,INNOVACIÓN!B:B,"NO")</f>
        <v>NO</v>
      </c>
      <c r="K556" s="10" t="str">
        <f>+_xlfn.XLOOKUP(B556,MERMA!B:B,MERMA!C:C,"No")</f>
        <v>No</v>
      </c>
      <c r="L556" s="10" t="str">
        <f>+_xlfn.XLOOKUP(B556,MERMA!B:B,MERMA!D:D,"No es merma")</f>
        <v>No es merma</v>
      </c>
    </row>
    <row r="557" spans="1:12" ht="14.5" hidden="1" x14ac:dyDescent="0.35">
      <c r="A557" s="10">
        <v>100027098</v>
      </c>
      <c r="B557">
        <v>7503039738843</v>
      </c>
      <c r="C557" t="s">
        <v>617</v>
      </c>
      <c r="D557" t="s">
        <v>44</v>
      </c>
      <c r="E557" t="s">
        <v>146</v>
      </c>
      <c r="F557" t="s">
        <v>13</v>
      </c>
      <c r="H557" t="s">
        <v>15</v>
      </c>
      <c r="I557" t="s">
        <v>16</v>
      </c>
      <c r="J557" s="10" t="str">
        <f>+_xlfn.XLOOKUP(B557,INNOVACIÓN!A:A,INNOVACIÓN!B:B,"NO")</f>
        <v>SI</v>
      </c>
      <c r="K557" s="10" t="str">
        <f>+_xlfn.XLOOKUP(B557,MERMA!B:B,MERMA!C:C,"No")</f>
        <v>No</v>
      </c>
      <c r="L557" s="10" t="str">
        <f>+_xlfn.XLOOKUP(B557,MERMA!B:B,MERMA!D:D,"No es merma")</f>
        <v>No es merma</v>
      </c>
    </row>
    <row r="558" spans="1:12" ht="14.5" hidden="1" x14ac:dyDescent="0.35">
      <c r="A558" s="10">
        <v>100027099</v>
      </c>
      <c r="B558">
        <v>7503039738867</v>
      </c>
      <c r="C558" t="s">
        <v>618</v>
      </c>
      <c r="D558" t="s">
        <v>44</v>
      </c>
      <c r="E558" t="s">
        <v>146</v>
      </c>
      <c r="F558" t="s">
        <v>13</v>
      </c>
      <c r="H558" t="s">
        <v>15</v>
      </c>
      <c r="I558" t="s">
        <v>16</v>
      </c>
      <c r="J558" s="10" t="str">
        <f>+_xlfn.XLOOKUP(B558,INNOVACIÓN!A:A,INNOVACIÓN!B:B,"NO")</f>
        <v>SI</v>
      </c>
      <c r="K558" s="10" t="str">
        <f>+_xlfn.XLOOKUP(B558,MERMA!B:B,MERMA!C:C,"No")</f>
        <v>No</v>
      </c>
      <c r="L558" s="10" t="str">
        <f>+_xlfn.XLOOKUP(B558,MERMA!B:B,MERMA!D:D,"No es merma")</f>
        <v>No es merma</v>
      </c>
    </row>
    <row r="559" spans="1:12" ht="14.5" hidden="1" x14ac:dyDescent="0.35">
      <c r="A559" s="10">
        <v>100027102</v>
      </c>
      <c r="B559">
        <v>7503039738874</v>
      </c>
      <c r="C559" t="s">
        <v>619</v>
      </c>
      <c r="D559" t="s">
        <v>44</v>
      </c>
      <c r="E559" t="s">
        <v>146</v>
      </c>
      <c r="F559" t="s">
        <v>13</v>
      </c>
      <c r="H559" t="s">
        <v>15</v>
      </c>
      <c r="I559" t="s">
        <v>16</v>
      </c>
      <c r="J559" s="10" t="str">
        <f>+_xlfn.XLOOKUP(B559,INNOVACIÓN!A:A,INNOVACIÓN!B:B,"NO")</f>
        <v>SI</v>
      </c>
      <c r="K559" s="10" t="str">
        <f>+_xlfn.XLOOKUP(B559,MERMA!B:B,MERMA!C:C,"No")</f>
        <v>No</v>
      </c>
      <c r="L559" s="10" t="str">
        <f>+_xlfn.XLOOKUP(B559,MERMA!B:B,MERMA!D:D,"No es merma")</f>
        <v>No es merma</v>
      </c>
    </row>
    <row r="560" spans="1:12" ht="14.5" hidden="1" x14ac:dyDescent="0.35">
      <c r="A560" s="10">
        <v>100080354</v>
      </c>
      <c r="C560" s="10" t="s">
        <v>622</v>
      </c>
      <c r="D560" s="10" t="s">
        <v>87</v>
      </c>
      <c r="E560" s="10" t="s">
        <v>33</v>
      </c>
      <c r="F560" s="10" t="s">
        <v>87</v>
      </c>
      <c r="G560" t="s">
        <v>87</v>
      </c>
      <c r="H560" t="s">
        <v>87</v>
      </c>
      <c r="I560" t="s">
        <v>16</v>
      </c>
      <c r="J560" s="10" t="str">
        <f>+_xlfn.XLOOKUP(B560,INNOVACIÓN!A:A,INNOVACIÓN!B:B,"NO")</f>
        <v>NO</v>
      </c>
      <c r="K560" s="10">
        <f>+_xlfn.XLOOKUP(B560,MERMA!B:B,MERMA!C:C,"No")</f>
        <v>0</v>
      </c>
      <c r="L560" s="10">
        <f>+_xlfn.XLOOKUP(B560,MERMA!B:B,MERMA!D:D,"No es merma")</f>
        <v>0</v>
      </c>
    </row>
    <row r="561" spans="1:12" ht="14.5" hidden="1" x14ac:dyDescent="0.35">
      <c r="A561" s="10">
        <v>100080382</v>
      </c>
      <c r="C561" s="10" t="s">
        <v>623</v>
      </c>
      <c r="D561" s="10" t="s">
        <v>87</v>
      </c>
      <c r="E561" s="10" t="s">
        <v>33</v>
      </c>
      <c r="F561" s="10" t="s">
        <v>87</v>
      </c>
      <c r="G561" t="s">
        <v>87</v>
      </c>
      <c r="H561" t="s">
        <v>87</v>
      </c>
      <c r="I561" t="s">
        <v>16</v>
      </c>
      <c r="J561" s="10" t="str">
        <f>+_xlfn.XLOOKUP(B561,INNOVACIÓN!A:A,INNOVACIÓN!B:B,"NO")</f>
        <v>NO</v>
      </c>
      <c r="K561" s="10">
        <f>+_xlfn.XLOOKUP(B561,MERMA!B:B,MERMA!C:C,"No")</f>
        <v>0</v>
      </c>
      <c r="L561" s="10">
        <f>+_xlfn.XLOOKUP(B561,MERMA!B:B,MERMA!D:D,"No es merma")</f>
        <v>0</v>
      </c>
    </row>
    <row r="562" spans="1:12" ht="14.5" hidden="1" x14ac:dyDescent="0.35">
      <c r="A562" s="10">
        <v>100013782</v>
      </c>
      <c r="C562" s="10" t="s">
        <v>624</v>
      </c>
      <c r="D562" s="10" t="s">
        <v>11</v>
      </c>
      <c r="E562" s="10" t="s">
        <v>33</v>
      </c>
      <c r="F562" s="10" t="s">
        <v>41</v>
      </c>
      <c r="H562" t="s">
        <v>36</v>
      </c>
      <c r="I562" t="s">
        <v>109</v>
      </c>
      <c r="J562" s="10" t="str">
        <f>+_xlfn.XLOOKUP(B562,INNOVACIÓN!A:A,INNOVACIÓN!B:B,"NO")</f>
        <v>NO</v>
      </c>
      <c r="K562" s="10">
        <f>+_xlfn.XLOOKUP(B562,MERMA!B:B,MERMA!C:C,"No")</f>
        <v>0</v>
      </c>
      <c r="L562" s="10">
        <f>+_xlfn.XLOOKUP(B562,MERMA!B:B,MERMA!D:D,"No es merma")</f>
        <v>0</v>
      </c>
    </row>
    <row r="563" spans="1:12" ht="14.5" hidden="1" x14ac:dyDescent="0.35">
      <c r="A563" s="10">
        <v>100024718</v>
      </c>
      <c r="C563" s="10" t="s">
        <v>579</v>
      </c>
      <c r="D563" s="10" t="s">
        <v>44</v>
      </c>
      <c r="E563" s="10" t="s">
        <v>33</v>
      </c>
      <c r="F563" t="s">
        <v>252</v>
      </c>
      <c r="H563" t="s">
        <v>252</v>
      </c>
      <c r="I563" t="s">
        <v>247</v>
      </c>
      <c r="J563" s="10" t="str">
        <f>+_xlfn.XLOOKUP(B563,INNOVACIÓN!A:A,INNOVACIÓN!B:B,"NO")</f>
        <v>NO</v>
      </c>
      <c r="K563" s="10">
        <f>+_xlfn.XLOOKUP(B563,MERMA!B:B,MERMA!C:C,"No")</f>
        <v>0</v>
      </c>
      <c r="L563" s="10">
        <f>+_xlfn.XLOOKUP(B563,MERMA!B:B,MERMA!D:D,"No es merma")</f>
        <v>0</v>
      </c>
    </row>
    <row r="564" spans="1:12" ht="14.5" hidden="1" x14ac:dyDescent="0.35">
      <c r="A564" s="10">
        <v>101000060</v>
      </c>
      <c r="C564" s="10" t="s">
        <v>625</v>
      </c>
      <c r="D564" s="10" t="s">
        <v>11</v>
      </c>
      <c r="E564" s="10" t="s">
        <v>33</v>
      </c>
      <c r="F564" s="10" t="s">
        <v>46</v>
      </c>
      <c r="H564" t="s">
        <v>36</v>
      </c>
      <c r="I564" t="s">
        <v>109</v>
      </c>
      <c r="J564" s="10" t="str">
        <f>+_xlfn.XLOOKUP(B564,INNOVACIÓN!A:A,INNOVACIÓN!B:B,"NO")</f>
        <v>NO</v>
      </c>
      <c r="K564" s="10">
        <f>+_xlfn.XLOOKUP(B564,MERMA!B:B,MERMA!C:C,"No")</f>
        <v>0</v>
      </c>
      <c r="L564" s="10">
        <f>+_xlfn.XLOOKUP(B564,MERMA!B:B,MERMA!D:D,"No es merma")</f>
        <v>0</v>
      </c>
    </row>
    <row r="565" spans="1:12" ht="14.5" hidden="1" x14ac:dyDescent="0.35">
      <c r="A565" s="10">
        <v>100017238</v>
      </c>
      <c r="C565" s="10" t="s">
        <v>626</v>
      </c>
      <c r="D565" s="10" t="s">
        <v>628</v>
      </c>
      <c r="E565" s="10" t="s">
        <v>33</v>
      </c>
      <c r="F565" s="10" t="s">
        <v>39</v>
      </c>
      <c r="H565" t="s">
        <v>36</v>
      </c>
      <c r="I565" t="s">
        <v>16</v>
      </c>
      <c r="J565" s="10" t="str">
        <f>+_xlfn.XLOOKUP(B565,INNOVACIÓN!A:A,INNOVACIÓN!B:B,"NO")</f>
        <v>NO</v>
      </c>
      <c r="K565" s="10">
        <f>+_xlfn.XLOOKUP(B565,MERMA!B:B,MERMA!C:C,"No")</f>
        <v>0</v>
      </c>
      <c r="L565" s="10">
        <f>+_xlfn.XLOOKUP(B565,MERMA!B:B,MERMA!D:D,"No es merma")</f>
        <v>0</v>
      </c>
    </row>
    <row r="566" spans="1:12" ht="14.5" hidden="1" x14ac:dyDescent="0.35">
      <c r="A566" s="10">
        <v>100024719</v>
      </c>
      <c r="B566">
        <v>7707200945799</v>
      </c>
      <c r="C566" s="10" t="s">
        <v>627</v>
      </c>
      <c r="D566" s="10" t="s">
        <v>44</v>
      </c>
      <c r="E566" s="10" t="s">
        <v>33</v>
      </c>
      <c r="F566" s="10" t="s">
        <v>252</v>
      </c>
      <c r="H566" s="10" t="s">
        <v>252</v>
      </c>
      <c r="I566" t="s">
        <v>247</v>
      </c>
      <c r="J566" s="10" t="str">
        <f>+_xlfn.XLOOKUP(B566,INNOVACIÓN!A:A,INNOVACIÓN!B:B,"NO")</f>
        <v>NO</v>
      </c>
      <c r="K566" s="10" t="str">
        <f>+_xlfn.XLOOKUP(B566,MERMA!B:B,MERMA!C:C,"No")</f>
        <v>No</v>
      </c>
      <c r="L566" s="10" t="str">
        <f>+_xlfn.XLOOKUP(B566,MERMA!B:B,MERMA!D:D,"No es merma")</f>
        <v>No es merma</v>
      </c>
    </row>
    <row r="567" spans="1:12" ht="14.5" hidden="1" x14ac:dyDescent="0.35">
      <c r="A567" s="10">
        <v>100080894</v>
      </c>
      <c r="B567">
        <v>75043209</v>
      </c>
      <c r="C567" s="10" t="s">
        <v>629</v>
      </c>
      <c r="D567" s="10" t="s">
        <v>32</v>
      </c>
      <c r="E567" s="10" t="s">
        <v>33</v>
      </c>
      <c r="F567" s="10" t="s">
        <v>46</v>
      </c>
      <c r="H567" s="10" t="s">
        <v>36</v>
      </c>
      <c r="I567" t="s">
        <v>247</v>
      </c>
      <c r="J567" s="10" t="str">
        <f>+_xlfn.XLOOKUP(B567,INNOVACIÓN!A:A,INNOVACIÓN!B:B,"NO")</f>
        <v>NO</v>
      </c>
      <c r="K567" s="10" t="str">
        <f>+_xlfn.XLOOKUP(B567,MERMA!B:B,MERMA!C:C,"No")</f>
        <v>No</v>
      </c>
      <c r="L567" s="10" t="str">
        <f>+_xlfn.XLOOKUP(B567,MERMA!B:B,MERMA!D:D,"No es merma")</f>
        <v>No es merma</v>
      </c>
    </row>
    <row r="568" spans="1:12" ht="14.5" hidden="1" x14ac:dyDescent="0.35">
      <c r="A568" s="10">
        <v>100011675</v>
      </c>
      <c r="B568">
        <v>75063702</v>
      </c>
      <c r="C568" s="10" t="s">
        <v>630</v>
      </c>
      <c r="D568" s="10" t="s">
        <v>11</v>
      </c>
      <c r="E568" s="10" t="s">
        <v>33</v>
      </c>
      <c r="F568" s="10" t="s">
        <v>41</v>
      </c>
      <c r="H568" s="10" t="s">
        <v>36</v>
      </c>
      <c r="I568" t="s">
        <v>247</v>
      </c>
      <c r="J568" s="10" t="str">
        <f>+_xlfn.XLOOKUP(B568,INNOVACIÓN!A:A,INNOVACIÓN!B:B,"NO")</f>
        <v>NO</v>
      </c>
      <c r="K568" s="10" t="str">
        <f>+_xlfn.XLOOKUP(B568,MERMA!B:B,MERMA!C:C,"No")</f>
        <v>No</v>
      </c>
      <c r="L568" s="10" t="str">
        <f>+_xlfn.XLOOKUP(B568,MERMA!B:B,MERMA!D:D,"No es merma")</f>
        <v>No es merma</v>
      </c>
    </row>
    <row r="569" spans="1:12" ht="14.5" hidden="1" x14ac:dyDescent="0.35">
      <c r="A569" s="10">
        <v>100009363</v>
      </c>
      <c r="B569">
        <v>7503023648035</v>
      </c>
      <c r="C569" s="10" t="s">
        <v>631</v>
      </c>
      <c r="D569" s="10" t="s">
        <v>87</v>
      </c>
      <c r="E569" s="10" t="s">
        <v>33</v>
      </c>
      <c r="F569" s="10" t="s">
        <v>87</v>
      </c>
      <c r="G569" s="10" t="s">
        <v>33</v>
      </c>
      <c r="H569" s="10" t="s">
        <v>87</v>
      </c>
      <c r="I569" t="s">
        <v>247</v>
      </c>
      <c r="J569" s="10" t="str">
        <f>+_xlfn.XLOOKUP(B569,INNOVACIÓN!A:A,INNOVACIÓN!B:B,"NO")</f>
        <v>NO</v>
      </c>
      <c r="K569" s="10" t="str">
        <f>+_xlfn.XLOOKUP(B569,MERMA!B:B,MERMA!C:C,"No")</f>
        <v>No</v>
      </c>
      <c r="L569" s="10" t="str">
        <f>+_xlfn.XLOOKUP(B569,MERMA!B:B,MERMA!D:D,"No es merma")</f>
        <v>No es merma</v>
      </c>
    </row>
    <row r="570" spans="1:12" ht="14.5" hidden="1" x14ac:dyDescent="0.35">
      <c r="A570" s="10">
        <v>100009365</v>
      </c>
      <c r="B570">
        <v>7503023648028</v>
      </c>
      <c r="C570" s="10" t="s">
        <v>632</v>
      </c>
      <c r="D570" s="10" t="s">
        <v>87</v>
      </c>
      <c r="E570" s="10" t="s">
        <v>33</v>
      </c>
      <c r="F570" s="10" t="s">
        <v>87</v>
      </c>
      <c r="G570" s="10" t="s">
        <v>33</v>
      </c>
      <c r="H570" s="10" t="s">
        <v>87</v>
      </c>
      <c r="I570" t="s">
        <v>247</v>
      </c>
      <c r="J570" s="10" t="str">
        <f>+_xlfn.XLOOKUP(B570,INNOVACIÓN!A:A,INNOVACIÓN!B:B,"NO")</f>
        <v>NO</v>
      </c>
      <c r="K570" s="10" t="str">
        <f>+_xlfn.XLOOKUP(B570,MERMA!B:B,MERMA!C:C,"No")</f>
        <v>No</v>
      </c>
      <c r="L570" s="10" t="str">
        <f>+_xlfn.XLOOKUP(B570,MERMA!B:B,MERMA!D:D,"No es merma")</f>
        <v>No es merma</v>
      </c>
    </row>
    <row r="571" spans="1:12" ht="14.5" hidden="1" x14ac:dyDescent="0.35">
      <c r="A571" s="10">
        <v>100080406</v>
      </c>
      <c r="B571">
        <v>7501609500968</v>
      </c>
      <c r="C571" s="10" t="s">
        <v>633</v>
      </c>
      <c r="D571" s="10" t="s">
        <v>87</v>
      </c>
      <c r="E571" s="10" t="s">
        <v>33</v>
      </c>
      <c r="F571" s="10" t="s">
        <v>87</v>
      </c>
      <c r="G571" s="10" t="s">
        <v>33</v>
      </c>
      <c r="H571" s="10" t="s">
        <v>87</v>
      </c>
      <c r="I571" t="s">
        <v>247</v>
      </c>
      <c r="J571" s="10" t="str">
        <f>+_xlfn.XLOOKUP(B571,INNOVACIÓN!A:A,INNOVACIÓN!B:B,"NO")</f>
        <v>NO</v>
      </c>
      <c r="K571" s="10" t="str">
        <f>+_xlfn.XLOOKUP(B571,MERMA!B:B,MERMA!C:C,"No")</f>
        <v>No</v>
      </c>
      <c r="L571" s="10" t="str">
        <f>+_xlfn.XLOOKUP(B571,MERMA!B:B,MERMA!D:D,"No es merma")</f>
        <v>No es merma</v>
      </c>
    </row>
    <row r="572" spans="1:12" ht="14.5" hidden="1" x14ac:dyDescent="0.35">
      <c r="A572" s="10">
        <v>100011025</v>
      </c>
      <c r="B572">
        <v>10000</v>
      </c>
      <c r="C572" s="10" t="s">
        <v>182</v>
      </c>
      <c r="D572" s="10" t="s">
        <v>11</v>
      </c>
      <c r="E572" s="10" t="s">
        <v>33</v>
      </c>
      <c r="F572" s="10" t="s">
        <v>46</v>
      </c>
      <c r="H572" s="10" t="s">
        <v>36</v>
      </c>
      <c r="I572" t="s">
        <v>247</v>
      </c>
      <c r="J572" s="10" t="str">
        <f>+_xlfn.XLOOKUP(B572,INNOVACIÓN!A:A,INNOVACIÓN!B:B,"NO")</f>
        <v>NO</v>
      </c>
      <c r="K572" s="10" t="str">
        <f>+_xlfn.XLOOKUP(B572,MERMA!B:B,MERMA!C:C,"No")</f>
        <v>No</v>
      </c>
      <c r="L572" s="10" t="str">
        <f>+_xlfn.XLOOKUP(B572,MERMA!B:B,MERMA!D:D,"No es merma")</f>
        <v>No es merma</v>
      </c>
    </row>
    <row r="573" spans="1:12" ht="14.5" hidden="1" x14ac:dyDescent="0.35">
      <c r="A573" s="10">
        <v>100013300</v>
      </c>
      <c r="B573">
        <v>75066901</v>
      </c>
      <c r="C573" s="10" t="s">
        <v>634</v>
      </c>
      <c r="D573" s="10" t="s">
        <v>44</v>
      </c>
      <c r="E573" s="10" t="s">
        <v>33</v>
      </c>
      <c r="F573" s="10" t="s">
        <v>608</v>
      </c>
      <c r="H573" s="10" t="s">
        <v>36</v>
      </c>
      <c r="I573" t="s">
        <v>247</v>
      </c>
      <c r="J573" s="10" t="str">
        <f>+_xlfn.XLOOKUP(B573,INNOVACIÓN!A:A,INNOVACIÓN!B:B,"NO")</f>
        <v>NO</v>
      </c>
      <c r="K573" s="10" t="str">
        <f>+_xlfn.XLOOKUP(B573,MERMA!B:B,MERMA!C:C,"No")</f>
        <v>No</v>
      </c>
      <c r="L573" s="10" t="str">
        <f>+_xlfn.XLOOKUP(B573,MERMA!B:B,MERMA!D:D,"No es merma")</f>
        <v>No es merma</v>
      </c>
    </row>
    <row r="574" spans="1:12" ht="14.5" hidden="1" x14ac:dyDescent="0.35">
      <c r="A574" s="10">
        <v>100016260</v>
      </c>
      <c r="B574">
        <v>25900000288</v>
      </c>
      <c r="C574" s="10" t="s">
        <v>635</v>
      </c>
      <c r="D574" s="10" t="s">
        <v>87</v>
      </c>
      <c r="E574" s="10" t="s">
        <v>33</v>
      </c>
      <c r="F574" s="10" t="s">
        <v>87</v>
      </c>
      <c r="G574" s="10" t="s">
        <v>33</v>
      </c>
      <c r="H574" s="10" t="s">
        <v>87</v>
      </c>
      <c r="I574" t="s">
        <v>247</v>
      </c>
      <c r="J574" s="10" t="str">
        <f>+_xlfn.XLOOKUP(B574,INNOVACIÓN!A:A,INNOVACIÓN!B:B,"NO")</f>
        <v>NO</v>
      </c>
      <c r="K574" s="10" t="str">
        <f>+_xlfn.XLOOKUP(B574,MERMA!B:B,MERMA!C:C,"No")</f>
        <v>No</v>
      </c>
      <c r="L574" s="10" t="str">
        <f>+_xlfn.XLOOKUP(B574,MERMA!B:B,MERMA!D:D,"No es merma")</f>
        <v>No es merma</v>
      </c>
    </row>
    <row r="575" spans="1:12" ht="14.5" hidden="1" x14ac:dyDescent="0.35">
      <c r="A575" s="10">
        <v>100017183</v>
      </c>
      <c r="B575">
        <v>42230748</v>
      </c>
      <c r="C575" s="10" t="s">
        <v>586</v>
      </c>
      <c r="D575" s="10" t="s">
        <v>87</v>
      </c>
      <c r="E575" s="10" t="s">
        <v>33</v>
      </c>
      <c r="F575" s="10" t="s">
        <v>87</v>
      </c>
      <c r="G575" s="10" t="s">
        <v>33</v>
      </c>
      <c r="H575" s="10" t="s">
        <v>87</v>
      </c>
      <c r="I575" t="s">
        <v>16</v>
      </c>
      <c r="J575" s="10" t="str">
        <f>+_xlfn.XLOOKUP(B575,INNOVACIÓN!A:A,INNOVACIÓN!B:B,"NO")</f>
        <v>NO</v>
      </c>
      <c r="K575" s="10" t="str">
        <f>+_xlfn.XLOOKUP(B575,MERMA!B:B,MERMA!C:C,"No")</f>
        <v>No</v>
      </c>
      <c r="L575" s="10" t="str">
        <f>+_xlfn.XLOOKUP(B575,MERMA!B:B,MERMA!D:D,"No es merma")</f>
        <v>No es merma</v>
      </c>
    </row>
    <row r="576" spans="1:12" ht="14.5" hidden="1" x14ac:dyDescent="0.35">
      <c r="A576" s="10">
        <v>100016041</v>
      </c>
      <c r="B576">
        <v>25900213053</v>
      </c>
      <c r="C576" s="10" t="s">
        <v>584</v>
      </c>
      <c r="D576" s="10" t="s">
        <v>87</v>
      </c>
      <c r="E576" s="10" t="s">
        <v>33</v>
      </c>
      <c r="F576" s="10" t="s">
        <v>87</v>
      </c>
      <c r="G576" s="10" t="s">
        <v>33</v>
      </c>
      <c r="H576" s="10" t="s">
        <v>87</v>
      </c>
      <c r="I576" t="s">
        <v>247</v>
      </c>
      <c r="J576" s="10" t="str">
        <f>+_xlfn.XLOOKUP(B576,INNOVACIÓN!A:A,INNOVACIÓN!B:B,"NO")</f>
        <v>NO</v>
      </c>
      <c r="K576" s="10" t="str">
        <f>+_xlfn.XLOOKUP(B576,MERMA!B:B,MERMA!C:C,"No")</f>
        <v>No</v>
      </c>
      <c r="L576" s="10" t="str">
        <f>+_xlfn.XLOOKUP(B576,MERMA!B:B,MERMA!D:D,"No es merma")</f>
        <v>No es merma</v>
      </c>
    </row>
    <row r="577" spans="1:12" ht="14.5" hidden="1" x14ac:dyDescent="0.35">
      <c r="A577" s="10">
        <v>100080949</v>
      </c>
      <c r="B577">
        <v>7503006684265</v>
      </c>
      <c r="C577" s="10" t="s">
        <v>636</v>
      </c>
      <c r="D577" s="10" t="s">
        <v>87</v>
      </c>
      <c r="E577" s="10" t="s">
        <v>33</v>
      </c>
      <c r="F577" s="10" t="s">
        <v>87</v>
      </c>
      <c r="G577" s="10" t="s">
        <v>33</v>
      </c>
      <c r="H577" s="10" t="s">
        <v>87</v>
      </c>
      <c r="I577" t="s">
        <v>247</v>
      </c>
      <c r="J577" s="10" t="str">
        <f>+_xlfn.XLOOKUP(B577,INNOVACIÓN!A:A,INNOVACIÓN!B:B,"NO")</f>
        <v>NO</v>
      </c>
      <c r="K577" s="10" t="str">
        <f>+_xlfn.XLOOKUP(B577,MERMA!B:B,MERMA!C:C,"No")</f>
        <v>No</v>
      </c>
      <c r="L577" s="10" t="str">
        <f>+_xlfn.XLOOKUP(B577,MERMA!B:B,MERMA!D:D,"No es merma")</f>
        <v>No es merma</v>
      </c>
    </row>
    <row r="578" spans="1:12" ht="14.5" hidden="1" x14ac:dyDescent="0.35">
      <c r="A578" s="10">
        <v>100015384</v>
      </c>
      <c r="B578">
        <v>85000100</v>
      </c>
      <c r="C578" s="10" t="s">
        <v>637</v>
      </c>
      <c r="D578" s="10" t="s">
        <v>87</v>
      </c>
      <c r="E578" s="10" t="s">
        <v>33</v>
      </c>
      <c r="F578" s="10" t="s">
        <v>87</v>
      </c>
      <c r="G578" s="10" t="s">
        <v>33</v>
      </c>
      <c r="H578" s="10" t="s">
        <v>87</v>
      </c>
      <c r="I578" t="s">
        <v>247</v>
      </c>
      <c r="J578" s="10" t="str">
        <f>+_xlfn.XLOOKUP(B578,INNOVACIÓN!A:A,INNOVACIÓN!B:B,"NO")</f>
        <v>NO</v>
      </c>
      <c r="K578" s="10" t="str">
        <f>+_xlfn.XLOOKUP(B578,MERMA!B:B,MERMA!C:C,"No")</f>
        <v>No</v>
      </c>
      <c r="L578" s="10" t="str">
        <f>+_xlfn.XLOOKUP(B578,MERMA!B:B,MERMA!D:D,"No es merma")</f>
        <v>No es merma</v>
      </c>
    </row>
    <row r="579" spans="1:12" ht="14.5" hidden="1" x14ac:dyDescent="0.35">
      <c r="A579" s="10">
        <v>100024717</v>
      </c>
      <c r="B579">
        <v>7707200947854</v>
      </c>
      <c r="C579" s="10" t="s">
        <v>638</v>
      </c>
      <c r="D579" s="10" t="s">
        <v>44</v>
      </c>
      <c r="E579" s="10" t="s">
        <v>33</v>
      </c>
      <c r="F579" s="10" t="s">
        <v>252</v>
      </c>
      <c r="H579" s="10" t="s">
        <v>252</v>
      </c>
      <c r="I579" t="s">
        <v>247</v>
      </c>
      <c r="J579" s="10" t="str">
        <f>+_xlfn.XLOOKUP(B579,INNOVACIÓN!A:A,INNOVACIÓN!B:B,"NO")</f>
        <v>NO</v>
      </c>
      <c r="K579" s="10" t="str">
        <f>+_xlfn.XLOOKUP(B579,MERMA!B:B,MERMA!C:C,"No")</f>
        <v>No</v>
      </c>
      <c r="L579" s="10" t="str">
        <f>+_xlfn.XLOOKUP(B579,MERMA!B:B,MERMA!D:D,"No es merma")</f>
        <v>No es merma</v>
      </c>
    </row>
    <row r="580" spans="1:12" ht="14.5" hidden="1" x14ac:dyDescent="0.35">
      <c r="A580" s="10">
        <v>100024723</v>
      </c>
      <c r="B580">
        <v>7707200947311</v>
      </c>
      <c r="C580" s="10" t="s">
        <v>639</v>
      </c>
      <c r="D580" s="10" t="s">
        <v>44</v>
      </c>
      <c r="E580" s="10" t="s">
        <v>33</v>
      </c>
      <c r="F580" s="10" t="s">
        <v>252</v>
      </c>
      <c r="H580" s="10" t="s">
        <v>252</v>
      </c>
      <c r="I580" t="s">
        <v>247</v>
      </c>
      <c r="J580" s="10" t="str">
        <f>+_xlfn.XLOOKUP(B580,INNOVACIÓN!A:A,INNOVACIÓN!B:B,"NO")</f>
        <v>NO</v>
      </c>
      <c r="K580" s="10" t="str">
        <f>+_xlfn.XLOOKUP(B580,MERMA!B:B,MERMA!C:C,"No")</f>
        <v>No</v>
      </c>
      <c r="L580" s="10" t="str">
        <f>+_xlfn.XLOOKUP(B580,MERMA!B:B,MERMA!D:D,"No es merma")</f>
        <v>No es merma</v>
      </c>
    </row>
    <row r="581" spans="1:12" ht="14.5" hidden="1" x14ac:dyDescent="0.35">
      <c r="A581" s="10">
        <v>100024893</v>
      </c>
      <c r="B581">
        <v>7707200943825</v>
      </c>
      <c r="C581" s="10" t="s">
        <v>640</v>
      </c>
      <c r="D581" s="10" t="s">
        <v>44</v>
      </c>
      <c r="E581" s="10" t="s">
        <v>33</v>
      </c>
      <c r="F581" s="10" t="s">
        <v>252</v>
      </c>
      <c r="H581" s="10" t="s">
        <v>252</v>
      </c>
      <c r="I581" t="s">
        <v>247</v>
      </c>
      <c r="J581" s="10" t="str">
        <f>+_xlfn.XLOOKUP(B581,INNOVACIÓN!A:A,INNOVACIÓN!B:B,"NO")</f>
        <v>NO</v>
      </c>
      <c r="K581" s="10" t="str">
        <f>+_xlfn.XLOOKUP(B581,MERMA!B:B,MERMA!C:C,"No")</f>
        <v>No</v>
      </c>
      <c r="L581" s="10" t="str">
        <f>+_xlfn.XLOOKUP(B581,MERMA!B:B,MERMA!D:D,"No es merma")</f>
        <v>No es merma</v>
      </c>
    </row>
    <row r="582" spans="1:12" ht="14.5" hidden="1" x14ac:dyDescent="0.35">
      <c r="A582" s="10">
        <v>100027108</v>
      </c>
      <c r="B582">
        <v>7502274777471</v>
      </c>
      <c r="C582" s="10" t="s">
        <v>641</v>
      </c>
      <c r="D582" s="10" t="s">
        <v>642</v>
      </c>
      <c r="E582" s="10" t="s">
        <v>643</v>
      </c>
      <c r="F582" s="10" t="s">
        <v>13</v>
      </c>
      <c r="H582" t="s">
        <v>15</v>
      </c>
      <c r="I582" t="s">
        <v>16</v>
      </c>
      <c r="J582" s="10" t="str">
        <f>+_xlfn.XLOOKUP(B582,INNOVACIÓN!A:A,INNOVACIÓN!B:B,"NO")</f>
        <v>SI</v>
      </c>
      <c r="K582" s="10" t="str">
        <f>+_xlfn.XLOOKUP(B582,MERMA!B:B,MERMA!C:C,"No")</f>
        <v>No</v>
      </c>
      <c r="L582" s="10" t="str">
        <f>+_xlfn.XLOOKUP(B582,MERMA!B:B,MERMA!D:D,"No es merma")</f>
        <v>No es merma</v>
      </c>
    </row>
    <row r="583" spans="1:12" ht="14.5" hidden="1" x14ac:dyDescent="0.35">
      <c r="A583" s="10">
        <v>100027109</v>
      </c>
      <c r="B583">
        <v>7502274777501</v>
      </c>
      <c r="C583" s="10" t="s">
        <v>644</v>
      </c>
      <c r="D583" s="10" t="s">
        <v>642</v>
      </c>
      <c r="E583" s="10" t="s">
        <v>643</v>
      </c>
      <c r="F583" s="10" t="s">
        <v>13</v>
      </c>
      <c r="H583" t="s">
        <v>15</v>
      </c>
      <c r="I583" t="s">
        <v>16</v>
      </c>
      <c r="J583" s="10" t="str">
        <f>+_xlfn.XLOOKUP(B583,INNOVACIÓN!A:A,INNOVACIÓN!B:B,"NO")</f>
        <v>SI</v>
      </c>
      <c r="K583" s="10" t="str">
        <f>+_xlfn.XLOOKUP(B583,MERMA!B:B,MERMA!C:C,"No")</f>
        <v>No</v>
      </c>
      <c r="L583" s="10" t="str">
        <f>+_xlfn.XLOOKUP(B583,MERMA!B:B,MERMA!D:D,"No es merma")</f>
        <v>No es merma</v>
      </c>
    </row>
    <row r="584" spans="1:12" ht="14.5" hidden="1" x14ac:dyDescent="0.35">
      <c r="A584" s="10">
        <v>100027110</v>
      </c>
      <c r="B584">
        <v>7502274777488</v>
      </c>
      <c r="C584" s="10" t="s">
        <v>645</v>
      </c>
      <c r="D584" s="10" t="s">
        <v>642</v>
      </c>
      <c r="E584" s="10" t="s">
        <v>643</v>
      </c>
      <c r="F584" s="10" t="s">
        <v>13</v>
      </c>
      <c r="H584" t="s">
        <v>15</v>
      </c>
      <c r="I584" t="s">
        <v>16</v>
      </c>
      <c r="J584" s="10" t="str">
        <f>+_xlfn.XLOOKUP(B584,INNOVACIÓN!A:A,INNOVACIÓN!B:B,"NO")</f>
        <v>SI</v>
      </c>
      <c r="K584" s="10" t="str">
        <f>+_xlfn.XLOOKUP(B584,MERMA!B:B,MERMA!C:C,"No")</f>
        <v>No</v>
      </c>
      <c r="L584" s="10" t="str">
        <f>+_xlfn.XLOOKUP(B584,MERMA!B:B,MERMA!D:D,"No es merma")</f>
        <v>No es merma</v>
      </c>
    </row>
    <row r="585" spans="1:12" ht="14.5" hidden="1" x14ac:dyDescent="0.35">
      <c r="A585" s="10">
        <v>100027111</v>
      </c>
      <c r="B585">
        <v>7502274777464</v>
      </c>
      <c r="C585" s="10" t="s">
        <v>646</v>
      </c>
      <c r="D585" s="10" t="s">
        <v>642</v>
      </c>
      <c r="E585" s="10" t="s">
        <v>643</v>
      </c>
      <c r="F585" s="10" t="s">
        <v>13</v>
      </c>
      <c r="H585" t="s">
        <v>15</v>
      </c>
      <c r="I585" t="s">
        <v>16</v>
      </c>
      <c r="J585" s="10" t="str">
        <f>+_xlfn.XLOOKUP(B585,INNOVACIÓN!A:A,INNOVACIÓN!B:B,"NO")</f>
        <v>SI</v>
      </c>
      <c r="K585" s="10" t="str">
        <f>+_xlfn.XLOOKUP(B585,MERMA!B:B,MERMA!C:C,"No")</f>
        <v>No</v>
      </c>
      <c r="L585" s="10" t="str">
        <f>+_xlfn.XLOOKUP(B585,MERMA!B:B,MERMA!D:D,"No es merma")</f>
        <v>No es merma</v>
      </c>
    </row>
  </sheetData>
  <autoFilter ref="A1:M585" xr:uid="{BD754D6A-9EA9-4EE7-AC8A-EAEF58532C37}">
    <filterColumn colId="2">
      <filters>
        <filter val="PALL MALL 125 AÑOS CASE ALASKA 20 PZ"/>
        <filter val="PALL MALL AIRLINES ALASKA 20 PZ"/>
        <filter val="PALL MALL ALASKA DUSK 15"/>
        <filter val="PALL MALL ALASKA DUSK 20"/>
        <filter val="PALL MALL ALASKA ROADTRIP CAN 20 PZ"/>
        <filter val="PALL MALL ALASKA STRESS RELIEVER 15 PZ"/>
        <filter val="PALL MALL ALASKA STRESS RELIEVER 20 PZ"/>
        <filter val="PALL MALL ALASKA SUNSHINE LATA 20 PZ"/>
        <filter val="PALL MALL SUMMER ALASKA 20 PZ"/>
        <filter val="PALL MALL XL ALASKA 15S 1 CAJETILLA"/>
      </filters>
    </filterColumn>
  </autoFilter>
  <conditionalFormatting sqref="A2:A585">
    <cfRule type="duplicateValues" dxfId="8" priority="4"/>
  </conditionalFormatting>
  <conditionalFormatting sqref="I2:I585">
    <cfRule type="containsText" dxfId="7" priority="1" operator="containsText" text="Descontinuado (Con Stock)">
      <formula>NOT(ISERROR(SEARCH("Descontinuado (Con Stock)",I2)))</formula>
    </cfRule>
    <cfRule type="containsText" dxfId="6" priority="2" operator="containsText" text="Inactivo">
      <formula>NOT(ISERROR(SEARCH("Inactivo",I2)))</formula>
    </cfRule>
    <cfRule type="containsText" dxfId="5" priority="3" operator="containsText" text="Activo">
      <formula>NOT(ISERROR(SEARCH("Activo",I2)))</formula>
    </cfRule>
  </conditionalFormatting>
  <dataValidations count="1">
    <dataValidation type="list" allowBlank="1" showInputMessage="1" showErrorMessage="1" sqref="I2:I585" xr:uid="{C3E0EBFF-33A1-41A7-BBF2-3E65617F91D8}">
      <formula1>#REF!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EEF4C-74EA-4391-AD53-B78C034FF2F7}">
  <dimension ref="A1:E121"/>
  <sheetViews>
    <sheetView zoomScale="90" zoomScaleNormal="90" workbookViewId="0">
      <selection activeCell="A121" sqref="A121"/>
    </sheetView>
  </sheetViews>
  <sheetFormatPr baseColWidth="10" defaultRowHeight="16.5" x14ac:dyDescent="0.35"/>
  <cols>
    <col min="1" max="1" width="61" style="10" bestFit="1" customWidth="1"/>
    <col min="2" max="2" width="10.08984375" style="10" bestFit="1" customWidth="1"/>
    <col min="3" max="3" width="10.08984375" style="10" customWidth="1"/>
    <col min="4" max="4" width="8.453125" style="10" bestFit="1" customWidth="1"/>
  </cols>
  <sheetData>
    <row r="1" spans="1:5" ht="14.5" x14ac:dyDescent="0.35">
      <c r="A1" t="s">
        <v>2</v>
      </c>
      <c r="B1" t="s">
        <v>1</v>
      </c>
      <c r="C1" t="s">
        <v>647</v>
      </c>
      <c r="D1" t="s">
        <v>648</v>
      </c>
      <c r="E1" t="s">
        <v>651</v>
      </c>
    </row>
    <row r="2" spans="1:5" ht="14.5" x14ac:dyDescent="0.35">
      <c r="A2" t="s">
        <v>533</v>
      </c>
      <c r="B2">
        <v>8308315</v>
      </c>
      <c r="C2" t="s">
        <v>588</v>
      </c>
      <c r="D2" s="10">
        <v>2025</v>
      </c>
      <c r="E2" s="10" t="s">
        <v>652</v>
      </c>
    </row>
    <row r="3" spans="1:5" ht="14.5" x14ac:dyDescent="0.35">
      <c r="A3" t="s">
        <v>536</v>
      </c>
      <c r="B3">
        <v>8338918</v>
      </c>
      <c r="C3" t="s">
        <v>588</v>
      </c>
      <c r="D3" s="10">
        <v>2025</v>
      </c>
      <c r="E3" s="10" t="s">
        <v>652</v>
      </c>
    </row>
    <row r="4" spans="1:5" ht="14.5" x14ac:dyDescent="0.35">
      <c r="A4" t="s">
        <v>250</v>
      </c>
      <c r="B4">
        <v>40331379</v>
      </c>
      <c r="C4" t="s">
        <v>588</v>
      </c>
      <c r="D4" s="10">
        <v>2025</v>
      </c>
      <c r="E4" s="10" t="s">
        <v>652</v>
      </c>
    </row>
    <row r="5" spans="1:5" ht="14.5" x14ac:dyDescent="0.35">
      <c r="A5" t="s">
        <v>550</v>
      </c>
      <c r="B5">
        <v>75001254</v>
      </c>
      <c r="C5" t="s">
        <v>588</v>
      </c>
      <c r="D5" s="10">
        <v>2025</v>
      </c>
      <c r="E5" s="10" t="s">
        <v>652</v>
      </c>
    </row>
    <row r="6" spans="1:5" ht="14.5" x14ac:dyDescent="0.35">
      <c r="A6" t="s">
        <v>424</v>
      </c>
      <c r="B6">
        <v>75001292</v>
      </c>
      <c r="C6" t="s">
        <v>588</v>
      </c>
      <c r="D6" s="10">
        <v>2025</v>
      </c>
      <c r="E6" s="10" t="s">
        <v>652</v>
      </c>
    </row>
    <row r="7" spans="1:5" ht="14.5" x14ac:dyDescent="0.35">
      <c r="A7" t="s">
        <v>391</v>
      </c>
      <c r="B7">
        <v>75001414</v>
      </c>
      <c r="C7" t="s">
        <v>588</v>
      </c>
      <c r="D7" s="10">
        <v>2025</v>
      </c>
      <c r="E7" s="10" t="s">
        <v>652</v>
      </c>
    </row>
    <row r="8" spans="1:5" x14ac:dyDescent="0.35">
      <c r="A8" t="s">
        <v>382</v>
      </c>
      <c r="B8">
        <v>75004408</v>
      </c>
      <c r="C8" t="s">
        <v>588</v>
      </c>
      <c r="D8" s="10">
        <v>2025</v>
      </c>
      <c r="E8" s="10" t="s">
        <v>652</v>
      </c>
    </row>
    <row r="9" spans="1:5" x14ac:dyDescent="0.35">
      <c r="A9" t="s">
        <v>418</v>
      </c>
      <c r="B9">
        <v>75004415</v>
      </c>
      <c r="C9" t="s">
        <v>588</v>
      </c>
      <c r="D9" s="10">
        <v>2025</v>
      </c>
      <c r="E9" s="10" t="s">
        <v>652</v>
      </c>
    </row>
    <row r="10" spans="1:5" x14ac:dyDescent="0.35">
      <c r="A10" t="s">
        <v>430</v>
      </c>
      <c r="B10">
        <v>75006204</v>
      </c>
      <c r="C10" t="s">
        <v>588</v>
      </c>
      <c r="D10" s="10">
        <v>2025</v>
      </c>
      <c r="E10" s="10" t="s">
        <v>652</v>
      </c>
    </row>
    <row r="11" spans="1:5" x14ac:dyDescent="0.35">
      <c r="A11" t="s">
        <v>320</v>
      </c>
      <c r="B11">
        <v>75006341</v>
      </c>
      <c r="C11" t="s">
        <v>588</v>
      </c>
      <c r="D11" s="10">
        <v>2025</v>
      </c>
      <c r="E11" s="10" t="s">
        <v>652</v>
      </c>
    </row>
    <row r="12" spans="1:5" x14ac:dyDescent="0.35">
      <c r="A12" t="s">
        <v>170</v>
      </c>
      <c r="B12">
        <v>75006587</v>
      </c>
      <c r="C12" t="s">
        <v>588</v>
      </c>
      <c r="D12" s="10">
        <v>2025</v>
      </c>
      <c r="E12" s="10" t="s">
        <v>652</v>
      </c>
    </row>
    <row r="13" spans="1:5" x14ac:dyDescent="0.35">
      <c r="A13" t="s">
        <v>319</v>
      </c>
      <c r="B13">
        <v>75006952</v>
      </c>
      <c r="C13" t="s">
        <v>588</v>
      </c>
      <c r="D13" s="10">
        <v>2025</v>
      </c>
      <c r="E13" s="10" t="s">
        <v>652</v>
      </c>
    </row>
    <row r="14" spans="1:5" x14ac:dyDescent="0.35">
      <c r="A14" t="s">
        <v>543</v>
      </c>
      <c r="B14">
        <v>75012564</v>
      </c>
      <c r="C14" t="s">
        <v>588</v>
      </c>
      <c r="D14" s="10">
        <v>2025</v>
      </c>
      <c r="E14" s="10" t="s">
        <v>652</v>
      </c>
    </row>
    <row r="15" spans="1:5" x14ac:dyDescent="0.35">
      <c r="A15" t="s">
        <v>541</v>
      </c>
      <c r="B15">
        <v>75012694</v>
      </c>
      <c r="C15" t="s">
        <v>588</v>
      </c>
      <c r="D15" s="10">
        <v>2025</v>
      </c>
      <c r="E15" s="10" t="s">
        <v>652</v>
      </c>
    </row>
    <row r="16" spans="1:5" x14ac:dyDescent="0.35">
      <c r="A16" t="s">
        <v>398</v>
      </c>
      <c r="B16">
        <v>75012717</v>
      </c>
      <c r="C16" t="s">
        <v>588</v>
      </c>
      <c r="D16" s="10">
        <v>2025</v>
      </c>
      <c r="E16" s="10" t="s">
        <v>652</v>
      </c>
    </row>
    <row r="17" spans="1:5" x14ac:dyDescent="0.35">
      <c r="A17" t="s">
        <v>540</v>
      </c>
      <c r="B17">
        <v>75015725</v>
      </c>
      <c r="C17" t="s">
        <v>588</v>
      </c>
      <c r="D17" s="10">
        <v>2025</v>
      </c>
      <c r="E17" s="10" t="s">
        <v>652</v>
      </c>
    </row>
    <row r="18" spans="1:5" x14ac:dyDescent="0.35">
      <c r="A18" t="s">
        <v>542</v>
      </c>
      <c r="B18">
        <v>75018825</v>
      </c>
      <c r="C18" t="s">
        <v>588</v>
      </c>
      <c r="D18" s="10">
        <v>2025</v>
      </c>
      <c r="E18" s="10" t="s">
        <v>652</v>
      </c>
    </row>
    <row r="19" spans="1:5" x14ac:dyDescent="0.35">
      <c r="A19" t="s">
        <v>380</v>
      </c>
      <c r="B19">
        <v>75018832</v>
      </c>
      <c r="C19" t="s">
        <v>588</v>
      </c>
      <c r="D19" s="10">
        <v>2025</v>
      </c>
      <c r="E19" s="10" t="s">
        <v>652</v>
      </c>
    </row>
    <row r="20" spans="1:5" x14ac:dyDescent="0.35">
      <c r="A20" t="s">
        <v>399</v>
      </c>
      <c r="B20">
        <v>75022259</v>
      </c>
      <c r="C20" t="s">
        <v>588</v>
      </c>
      <c r="D20" s="10">
        <v>2025</v>
      </c>
      <c r="E20" s="10" t="s">
        <v>652</v>
      </c>
    </row>
    <row r="21" spans="1:5" x14ac:dyDescent="0.35">
      <c r="A21" t="s">
        <v>388</v>
      </c>
      <c r="B21">
        <v>75025359</v>
      </c>
      <c r="C21" t="s">
        <v>588</v>
      </c>
      <c r="D21" s="10">
        <v>2025</v>
      </c>
      <c r="E21" s="10" t="s">
        <v>652</v>
      </c>
    </row>
    <row r="22" spans="1:5" x14ac:dyDescent="0.35">
      <c r="A22" t="s">
        <v>427</v>
      </c>
      <c r="B22">
        <v>75027018</v>
      </c>
      <c r="C22" t="s">
        <v>588</v>
      </c>
      <c r="D22" s="10">
        <v>2025</v>
      </c>
      <c r="E22" s="10" t="s">
        <v>652</v>
      </c>
    </row>
    <row r="23" spans="1:5" x14ac:dyDescent="0.35">
      <c r="A23" t="s">
        <v>428</v>
      </c>
      <c r="B23">
        <v>75029388</v>
      </c>
      <c r="C23" t="s">
        <v>588</v>
      </c>
      <c r="D23" s="10">
        <v>2025</v>
      </c>
      <c r="E23" s="10" t="s">
        <v>652</v>
      </c>
    </row>
    <row r="24" spans="1:5" x14ac:dyDescent="0.35">
      <c r="A24" t="s">
        <v>321</v>
      </c>
      <c r="B24">
        <v>75032777</v>
      </c>
      <c r="C24" t="s">
        <v>588</v>
      </c>
      <c r="D24" s="10">
        <v>2025</v>
      </c>
      <c r="E24" s="10" t="s">
        <v>652</v>
      </c>
    </row>
    <row r="25" spans="1:5" x14ac:dyDescent="0.35">
      <c r="A25" t="s">
        <v>422</v>
      </c>
      <c r="B25">
        <v>75034375</v>
      </c>
      <c r="C25" t="s">
        <v>588</v>
      </c>
      <c r="D25" s="10">
        <v>2025</v>
      </c>
      <c r="E25" s="10" t="s">
        <v>652</v>
      </c>
    </row>
    <row r="26" spans="1:5" x14ac:dyDescent="0.35">
      <c r="A26" t="s">
        <v>549</v>
      </c>
      <c r="B26">
        <v>75037994</v>
      </c>
      <c r="C26" t="s">
        <v>588</v>
      </c>
      <c r="D26" s="10">
        <v>2025</v>
      </c>
      <c r="E26" s="10" t="s">
        <v>652</v>
      </c>
    </row>
    <row r="27" spans="1:5" x14ac:dyDescent="0.35">
      <c r="A27" t="s">
        <v>547</v>
      </c>
      <c r="B27">
        <v>75038007</v>
      </c>
      <c r="C27" t="s">
        <v>588</v>
      </c>
      <c r="D27" s="10">
        <v>2025</v>
      </c>
      <c r="E27" s="10" t="s">
        <v>652</v>
      </c>
    </row>
    <row r="28" spans="1:5" x14ac:dyDescent="0.35">
      <c r="A28" t="s">
        <v>534</v>
      </c>
      <c r="B28">
        <v>75039370</v>
      </c>
      <c r="C28" t="s">
        <v>588</v>
      </c>
      <c r="D28" s="10">
        <v>2025</v>
      </c>
      <c r="E28" s="10" t="s">
        <v>652</v>
      </c>
    </row>
    <row r="29" spans="1:5" x14ac:dyDescent="0.35">
      <c r="A29" t="s">
        <v>535</v>
      </c>
      <c r="B29">
        <v>75043230</v>
      </c>
      <c r="C29" t="s">
        <v>588</v>
      </c>
      <c r="D29" s="10">
        <v>2025</v>
      </c>
      <c r="E29" s="10" t="s">
        <v>652</v>
      </c>
    </row>
    <row r="30" spans="1:5" x14ac:dyDescent="0.35">
      <c r="A30" t="s">
        <v>532</v>
      </c>
      <c r="B30">
        <v>75045135</v>
      </c>
      <c r="C30" t="s">
        <v>588</v>
      </c>
      <c r="D30" s="10">
        <v>2025</v>
      </c>
      <c r="E30" s="10" t="s">
        <v>652</v>
      </c>
    </row>
    <row r="31" spans="1:5" x14ac:dyDescent="0.35">
      <c r="A31" t="s">
        <v>421</v>
      </c>
      <c r="B31">
        <v>75046781</v>
      </c>
      <c r="C31" t="s">
        <v>588</v>
      </c>
      <c r="D31" s="10">
        <v>2025</v>
      </c>
      <c r="E31" s="10" t="s">
        <v>652</v>
      </c>
    </row>
    <row r="32" spans="1:5" x14ac:dyDescent="0.35">
      <c r="A32" t="s">
        <v>497</v>
      </c>
      <c r="B32">
        <v>75049591</v>
      </c>
      <c r="C32" t="s">
        <v>588</v>
      </c>
      <c r="D32" s="10">
        <v>2025</v>
      </c>
      <c r="E32" s="10" t="s">
        <v>652</v>
      </c>
    </row>
    <row r="33" spans="1:5" x14ac:dyDescent="0.35">
      <c r="A33" t="s">
        <v>334</v>
      </c>
      <c r="B33">
        <v>75053673</v>
      </c>
      <c r="C33" t="s">
        <v>588</v>
      </c>
      <c r="D33" s="10">
        <v>2025</v>
      </c>
      <c r="E33" s="10" t="s">
        <v>652</v>
      </c>
    </row>
    <row r="34" spans="1:5" x14ac:dyDescent="0.35">
      <c r="A34" t="s">
        <v>384</v>
      </c>
      <c r="B34">
        <v>75053758</v>
      </c>
      <c r="C34" t="s">
        <v>588</v>
      </c>
      <c r="D34" s="10">
        <v>2025</v>
      </c>
      <c r="E34" s="10" t="s">
        <v>652</v>
      </c>
    </row>
    <row r="35" spans="1:5" x14ac:dyDescent="0.35">
      <c r="A35" t="s">
        <v>390</v>
      </c>
      <c r="B35">
        <v>75053765</v>
      </c>
      <c r="C35" t="s">
        <v>588</v>
      </c>
      <c r="D35" s="10">
        <v>2025</v>
      </c>
      <c r="E35" s="10" t="s">
        <v>652</v>
      </c>
    </row>
    <row r="36" spans="1:5" x14ac:dyDescent="0.35">
      <c r="A36" t="s">
        <v>518</v>
      </c>
      <c r="B36">
        <v>75057824</v>
      </c>
      <c r="C36" t="s">
        <v>588</v>
      </c>
      <c r="D36" s="10">
        <v>2025</v>
      </c>
      <c r="E36" s="10" t="s">
        <v>652</v>
      </c>
    </row>
    <row r="37" spans="1:5" x14ac:dyDescent="0.35">
      <c r="A37" t="s">
        <v>454</v>
      </c>
      <c r="B37">
        <v>75061135</v>
      </c>
      <c r="C37" t="s">
        <v>588</v>
      </c>
      <c r="D37" s="10">
        <v>2025</v>
      </c>
      <c r="E37" s="10" t="s">
        <v>652</v>
      </c>
    </row>
    <row r="38" spans="1:5" x14ac:dyDescent="0.35">
      <c r="A38" t="s">
        <v>462</v>
      </c>
      <c r="B38">
        <v>75062675</v>
      </c>
      <c r="C38" t="s">
        <v>588</v>
      </c>
      <c r="D38" s="10">
        <v>2025</v>
      </c>
      <c r="E38" s="10" t="s">
        <v>652</v>
      </c>
    </row>
    <row r="39" spans="1:5" x14ac:dyDescent="0.35">
      <c r="A39" t="s">
        <v>389</v>
      </c>
      <c r="B39">
        <v>75062736</v>
      </c>
      <c r="C39" t="s">
        <v>588</v>
      </c>
      <c r="D39" s="10">
        <v>2025</v>
      </c>
      <c r="E39" s="10" t="s">
        <v>652</v>
      </c>
    </row>
    <row r="40" spans="1:5" x14ac:dyDescent="0.35">
      <c r="A40" t="s">
        <v>529</v>
      </c>
      <c r="B40">
        <v>75063740</v>
      </c>
      <c r="C40" t="s">
        <v>588</v>
      </c>
      <c r="D40" s="10">
        <v>2025</v>
      </c>
      <c r="E40" s="10" t="s">
        <v>652</v>
      </c>
    </row>
    <row r="41" spans="1:5" x14ac:dyDescent="0.35">
      <c r="A41" t="s">
        <v>505</v>
      </c>
      <c r="B41">
        <v>75063771</v>
      </c>
      <c r="C41" t="s">
        <v>588</v>
      </c>
      <c r="D41" s="10">
        <v>2025</v>
      </c>
      <c r="E41" s="10" t="s">
        <v>652</v>
      </c>
    </row>
    <row r="42" spans="1:5" x14ac:dyDescent="0.35">
      <c r="A42" t="s">
        <v>527</v>
      </c>
      <c r="B42">
        <v>75063825</v>
      </c>
      <c r="C42" t="s">
        <v>588</v>
      </c>
      <c r="D42" s="10">
        <v>2025</v>
      </c>
      <c r="E42" s="10" t="s">
        <v>652</v>
      </c>
    </row>
    <row r="43" spans="1:5" x14ac:dyDescent="0.35">
      <c r="A43" t="s">
        <v>496</v>
      </c>
      <c r="B43">
        <v>75063832</v>
      </c>
      <c r="C43" t="s">
        <v>588</v>
      </c>
      <c r="D43" s="10">
        <v>2025</v>
      </c>
      <c r="E43" s="10" t="s">
        <v>652</v>
      </c>
    </row>
    <row r="44" spans="1:5" x14ac:dyDescent="0.35">
      <c r="A44" t="s">
        <v>503</v>
      </c>
      <c r="B44">
        <v>75063870</v>
      </c>
      <c r="C44" t="s">
        <v>588</v>
      </c>
      <c r="D44" s="10">
        <v>2025</v>
      </c>
      <c r="E44" s="10" t="s">
        <v>652</v>
      </c>
    </row>
    <row r="45" spans="1:5" x14ac:dyDescent="0.35">
      <c r="A45" t="s">
        <v>510</v>
      </c>
      <c r="B45">
        <v>75064112</v>
      </c>
      <c r="C45" t="s">
        <v>588</v>
      </c>
      <c r="D45" s="10">
        <v>2025</v>
      </c>
      <c r="E45" s="10" t="s">
        <v>652</v>
      </c>
    </row>
    <row r="46" spans="1:5" x14ac:dyDescent="0.35">
      <c r="A46" t="s">
        <v>456</v>
      </c>
      <c r="B46">
        <v>75066611</v>
      </c>
      <c r="C46" t="s">
        <v>588</v>
      </c>
      <c r="D46" s="10">
        <v>2025</v>
      </c>
      <c r="E46" s="10" t="s">
        <v>652</v>
      </c>
    </row>
    <row r="47" spans="1:5" x14ac:dyDescent="0.35">
      <c r="A47" t="s">
        <v>515</v>
      </c>
      <c r="B47">
        <v>75067854</v>
      </c>
      <c r="C47" t="s">
        <v>588</v>
      </c>
      <c r="D47" s="10">
        <v>2025</v>
      </c>
      <c r="E47" s="10" t="s">
        <v>652</v>
      </c>
    </row>
    <row r="48" spans="1:5" x14ac:dyDescent="0.35">
      <c r="A48" t="s">
        <v>458</v>
      </c>
      <c r="B48">
        <v>75067878</v>
      </c>
      <c r="C48" t="s">
        <v>588</v>
      </c>
      <c r="D48" s="10">
        <v>2025</v>
      </c>
      <c r="E48" s="10" t="s">
        <v>652</v>
      </c>
    </row>
    <row r="49" spans="1:5" x14ac:dyDescent="0.35">
      <c r="A49" t="s">
        <v>438</v>
      </c>
      <c r="B49">
        <v>75068790</v>
      </c>
      <c r="C49" t="s">
        <v>588</v>
      </c>
      <c r="D49" s="10">
        <v>2025</v>
      </c>
      <c r="E49" s="10" t="s">
        <v>652</v>
      </c>
    </row>
    <row r="50" spans="1:5" x14ac:dyDescent="0.35">
      <c r="A50" t="s">
        <v>545</v>
      </c>
      <c r="B50">
        <v>75068806</v>
      </c>
      <c r="C50" t="s">
        <v>588</v>
      </c>
      <c r="D50" s="10">
        <v>2025</v>
      </c>
      <c r="E50" s="10" t="s">
        <v>652</v>
      </c>
    </row>
    <row r="51" spans="1:5" x14ac:dyDescent="0.35">
      <c r="A51" t="s">
        <v>358</v>
      </c>
      <c r="B51">
        <v>75069490</v>
      </c>
      <c r="C51" t="s">
        <v>588</v>
      </c>
      <c r="D51" s="10">
        <v>2025</v>
      </c>
      <c r="E51" s="10" t="s">
        <v>652</v>
      </c>
    </row>
    <row r="52" spans="1:5" x14ac:dyDescent="0.35">
      <c r="A52" t="s">
        <v>514</v>
      </c>
      <c r="B52">
        <v>75069506</v>
      </c>
      <c r="C52" t="s">
        <v>588</v>
      </c>
      <c r="D52" s="10">
        <v>2025</v>
      </c>
      <c r="E52" s="10" t="s">
        <v>652</v>
      </c>
    </row>
    <row r="53" spans="1:5" x14ac:dyDescent="0.35">
      <c r="A53" t="s">
        <v>395</v>
      </c>
      <c r="B53">
        <v>75069933</v>
      </c>
      <c r="C53" t="s">
        <v>588</v>
      </c>
      <c r="D53" s="10">
        <v>2025</v>
      </c>
      <c r="E53" s="10" t="s">
        <v>652</v>
      </c>
    </row>
    <row r="54" spans="1:5" x14ac:dyDescent="0.35">
      <c r="A54" t="s">
        <v>457</v>
      </c>
      <c r="B54">
        <v>75070373</v>
      </c>
      <c r="C54" t="s">
        <v>588</v>
      </c>
      <c r="D54" s="10">
        <v>2025</v>
      </c>
      <c r="E54" s="10" t="s">
        <v>652</v>
      </c>
    </row>
    <row r="55" spans="1:5" x14ac:dyDescent="0.35">
      <c r="A55" t="s">
        <v>459</v>
      </c>
      <c r="B55">
        <v>75070588</v>
      </c>
      <c r="C55" t="s">
        <v>588</v>
      </c>
      <c r="D55" s="10">
        <v>2025</v>
      </c>
      <c r="E55" s="10" t="s">
        <v>652</v>
      </c>
    </row>
    <row r="56" spans="1:5" x14ac:dyDescent="0.35">
      <c r="A56" t="s">
        <v>449</v>
      </c>
      <c r="B56">
        <v>75072506</v>
      </c>
      <c r="C56" t="s">
        <v>588</v>
      </c>
      <c r="D56" s="10">
        <v>2025</v>
      </c>
      <c r="E56" s="10" t="s">
        <v>652</v>
      </c>
    </row>
    <row r="57" spans="1:5" x14ac:dyDescent="0.35">
      <c r="A57" t="s">
        <v>396</v>
      </c>
      <c r="B57">
        <v>75072605</v>
      </c>
      <c r="C57" t="s">
        <v>588</v>
      </c>
      <c r="D57" s="10">
        <v>2025</v>
      </c>
      <c r="E57" s="10" t="s">
        <v>652</v>
      </c>
    </row>
    <row r="58" spans="1:5" x14ac:dyDescent="0.35">
      <c r="A58" t="s">
        <v>445</v>
      </c>
      <c r="B58">
        <v>75073978</v>
      </c>
      <c r="C58" t="s">
        <v>588</v>
      </c>
      <c r="D58" s="10">
        <v>2025</v>
      </c>
      <c r="E58" s="10" t="s">
        <v>652</v>
      </c>
    </row>
    <row r="59" spans="1:5" x14ac:dyDescent="0.35">
      <c r="A59" t="s">
        <v>446</v>
      </c>
      <c r="B59">
        <v>75073985</v>
      </c>
      <c r="C59" t="s">
        <v>588</v>
      </c>
      <c r="D59" s="10">
        <v>2025</v>
      </c>
      <c r="E59" s="10" t="s">
        <v>652</v>
      </c>
    </row>
    <row r="60" spans="1:5" x14ac:dyDescent="0.35">
      <c r="A60" t="s">
        <v>453</v>
      </c>
      <c r="B60">
        <v>75074203</v>
      </c>
      <c r="C60" t="s">
        <v>588</v>
      </c>
      <c r="D60" s="10">
        <v>2025</v>
      </c>
      <c r="E60" s="10" t="s">
        <v>652</v>
      </c>
    </row>
    <row r="61" spans="1:5" x14ac:dyDescent="0.35">
      <c r="A61" t="s">
        <v>372</v>
      </c>
      <c r="B61">
        <v>75074753</v>
      </c>
      <c r="C61" t="s">
        <v>588</v>
      </c>
      <c r="D61" s="10">
        <v>2025</v>
      </c>
      <c r="E61" s="10" t="s">
        <v>652</v>
      </c>
    </row>
    <row r="62" spans="1:5" x14ac:dyDescent="0.35">
      <c r="A62" t="s">
        <v>370</v>
      </c>
      <c r="B62">
        <v>75074784</v>
      </c>
      <c r="C62" t="s">
        <v>588</v>
      </c>
      <c r="D62" s="10">
        <v>2025</v>
      </c>
      <c r="E62" s="10" t="s">
        <v>652</v>
      </c>
    </row>
    <row r="63" spans="1:5" x14ac:dyDescent="0.35">
      <c r="A63" t="s">
        <v>332</v>
      </c>
      <c r="B63">
        <v>75074913</v>
      </c>
      <c r="C63" t="s">
        <v>588</v>
      </c>
      <c r="D63" s="10">
        <v>2025</v>
      </c>
      <c r="E63" s="10" t="s">
        <v>652</v>
      </c>
    </row>
    <row r="64" spans="1:5" x14ac:dyDescent="0.35">
      <c r="A64" t="s">
        <v>329</v>
      </c>
      <c r="B64">
        <v>75074937</v>
      </c>
      <c r="C64" t="s">
        <v>588</v>
      </c>
      <c r="D64" s="10">
        <v>2025</v>
      </c>
      <c r="E64" s="10" t="s">
        <v>652</v>
      </c>
    </row>
    <row r="65" spans="1:5" x14ac:dyDescent="0.35">
      <c r="A65" t="s">
        <v>347</v>
      </c>
      <c r="B65">
        <v>75077389</v>
      </c>
      <c r="C65" t="s">
        <v>588</v>
      </c>
      <c r="D65" s="10">
        <v>2025</v>
      </c>
      <c r="E65" s="10" t="s">
        <v>652</v>
      </c>
    </row>
    <row r="66" spans="1:5" x14ac:dyDescent="0.35">
      <c r="A66" t="s">
        <v>441</v>
      </c>
      <c r="B66">
        <v>75079888</v>
      </c>
      <c r="C66" t="s">
        <v>588</v>
      </c>
      <c r="D66" s="10">
        <v>2025</v>
      </c>
      <c r="E66" s="10" t="s">
        <v>652</v>
      </c>
    </row>
    <row r="67" spans="1:5" x14ac:dyDescent="0.35">
      <c r="A67" t="s">
        <v>443</v>
      </c>
      <c r="B67">
        <v>75079895</v>
      </c>
      <c r="C67" t="s">
        <v>588</v>
      </c>
      <c r="D67" s="10">
        <v>2025</v>
      </c>
      <c r="E67" s="10" t="s">
        <v>652</v>
      </c>
    </row>
    <row r="68" spans="1:5" x14ac:dyDescent="0.35">
      <c r="A68" t="s">
        <v>442</v>
      </c>
      <c r="B68">
        <v>75079901</v>
      </c>
      <c r="C68" t="s">
        <v>588</v>
      </c>
      <c r="D68" s="10">
        <v>2025</v>
      </c>
      <c r="E68" s="10" t="s">
        <v>652</v>
      </c>
    </row>
    <row r="69" spans="1:5" x14ac:dyDescent="0.35">
      <c r="A69" t="s">
        <v>444</v>
      </c>
      <c r="B69">
        <v>75079956</v>
      </c>
      <c r="C69" t="s">
        <v>588</v>
      </c>
      <c r="D69" s="10">
        <v>2025</v>
      </c>
      <c r="E69" s="10" t="s">
        <v>652</v>
      </c>
    </row>
    <row r="70" spans="1:5" x14ac:dyDescent="0.35">
      <c r="A70" t="s">
        <v>448</v>
      </c>
      <c r="B70">
        <v>75080105</v>
      </c>
      <c r="C70" t="s">
        <v>588</v>
      </c>
      <c r="D70" s="10">
        <v>2025</v>
      </c>
      <c r="E70" s="10" t="s">
        <v>652</v>
      </c>
    </row>
    <row r="71" spans="1:5" x14ac:dyDescent="0.35">
      <c r="A71" t="s">
        <v>485</v>
      </c>
      <c r="B71">
        <v>7501045356259</v>
      </c>
      <c r="C71" t="s">
        <v>588</v>
      </c>
      <c r="D71" s="10">
        <v>2025</v>
      </c>
      <c r="E71" s="10" t="s">
        <v>652</v>
      </c>
    </row>
    <row r="72" spans="1:5" x14ac:dyDescent="0.35">
      <c r="A72" t="s">
        <v>477</v>
      </c>
      <c r="B72">
        <v>7501045357416</v>
      </c>
      <c r="C72" t="s">
        <v>588</v>
      </c>
      <c r="D72" s="10">
        <v>2025</v>
      </c>
      <c r="E72" s="10" t="s">
        <v>652</v>
      </c>
    </row>
    <row r="73" spans="1:5" x14ac:dyDescent="0.35">
      <c r="A73" t="s">
        <v>476</v>
      </c>
      <c r="B73">
        <v>7501045357423</v>
      </c>
      <c r="C73" t="s">
        <v>588</v>
      </c>
      <c r="D73" s="10">
        <v>2025</v>
      </c>
      <c r="E73" s="10" t="s">
        <v>652</v>
      </c>
    </row>
    <row r="74" spans="1:5" x14ac:dyDescent="0.35">
      <c r="A74" t="s">
        <v>478</v>
      </c>
      <c r="B74">
        <v>7501045357430</v>
      </c>
      <c r="C74" t="s">
        <v>588</v>
      </c>
      <c r="D74" s="10">
        <v>2025</v>
      </c>
      <c r="E74" s="10" t="s">
        <v>652</v>
      </c>
    </row>
    <row r="75" spans="1:5" x14ac:dyDescent="0.35">
      <c r="A75" t="s">
        <v>483</v>
      </c>
      <c r="B75">
        <v>7501045357447</v>
      </c>
      <c r="C75" t="s">
        <v>588</v>
      </c>
      <c r="D75" s="10">
        <v>2025</v>
      </c>
      <c r="E75" s="10" t="s">
        <v>652</v>
      </c>
    </row>
    <row r="76" spans="1:5" x14ac:dyDescent="0.35">
      <c r="A76" t="s">
        <v>480</v>
      </c>
      <c r="B76">
        <v>7501045357454</v>
      </c>
      <c r="C76" t="s">
        <v>588</v>
      </c>
      <c r="D76" s="10">
        <v>2025</v>
      </c>
      <c r="E76" s="10" t="s">
        <v>652</v>
      </c>
    </row>
    <row r="77" spans="1:5" x14ac:dyDescent="0.35">
      <c r="A77" t="s">
        <v>482</v>
      </c>
      <c r="B77">
        <v>7501045357881</v>
      </c>
      <c r="C77" t="s">
        <v>588</v>
      </c>
      <c r="D77" s="10">
        <v>2025</v>
      </c>
      <c r="E77" s="10" t="s">
        <v>652</v>
      </c>
    </row>
    <row r="78" spans="1:5" x14ac:dyDescent="0.35">
      <c r="A78" t="s">
        <v>479</v>
      </c>
      <c r="B78">
        <v>7501045357898</v>
      </c>
      <c r="C78" t="s">
        <v>588</v>
      </c>
      <c r="D78" s="10">
        <v>2025</v>
      </c>
      <c r="E78" s="10" t="s">
        <v>652</v>
      </c>
    </row>
    <row r="79" spans="1:5" x14ac:dyDescent="0.35">
      <c r="A79" t="s">
        <v>481</v>
      </c>
      <c r="B79">
        <v>7501045357966</v>
      </c>
      <c r="C79" t="s">
        <v>588</v>
      </c>
      <c r="D79" s="10">
        <v>2025</v>
      </c>
      <c r="E79" s="10" t="s">
        <v>652</v>
      </c>
    </row>
    <row r="80" spans="1:5" x14ac:dyDescent="0.35">
      <c r="A80" t="s">
        <v>246</v>
      </c>
      <c r="B80">
        <v>7503023959162</v>
      </c>
      <c r="C80" t="s">
        <v>588</v>
      </c>
      <c r="D80" s="10">
        <v>2025</v>
      </c>
      <c r="E80" s="10" t="s">
        <v>652</v>
      </c>
    </row>
    <row r="81" spans="1:5" x14ac:dyDescent="0.35">
      <c r="A81" t="s">
        <v>530</v>
      </c>
      <c r="B81">
        <v>7503023959346</v>
      </c>
      <c r="C81" t="s">
        <v>588</v>
      </c>
      <c r="D81" s="10">
        <v>2025</v>
      </c>
      <c r="E81" s="10" t="s">
        <v>652</v>
      </c>
    </row>
    <row r="82" spans="1:5" x14ac:dyDescent="0.35">
      <c r="A82" t="s">
        <v>552</v>
      </c>
      <c r="B82">
        <v>7503023959438</v>
      </c>
      <c r="C82" t="s">
        <v>588</v>
      </c>
      <c r="D82" s="10">
        <v>2025</v>
      </c>
      <c r="E82" s="10" t="s">
        <v>652</v>
      </c>
    </row>
    <row r="83" spans="1:5" x14ac:dyDescent="0.35">
      <c r="A83" t="s">
        <v>378</v>
      </c>
      <c r="B83">
        <v>7503031949001</v>
      </c>
      <c r="C83" t="s">
        <v>588</v>
      </c>
      <c r="D83" s="10">
        <v>2025</v>
      </c>
      <c r="E83" s="10" t="s">
        <v>652</v>
      </c>
    </row>
    <row r="84" spans="1:5" x14ac:dyDescent="0.35">
      <c r="A84" t="s">
        <v>376</v>
      </c>
      <c r="B84">
        <v>7503031949094</v>
      </c>
      <c r="C84" t="s">
        <v>588</v>
      </c>
      <c r="D84" s="10">
        <v>2025</v>
      </c>
      <c r="E84" s="10" t="s">
        <v>652</v>
      </c>
    </row>
    <row r="85" spans="1:5" x14ac:dyDescent="0.35">
      <c r="A85" t="s">
        <v>414</v>
      </c>
      <c r="B85">
        <v>7503031950212</v>
      </c>
      <c r="C85" t="s">
        <v>588</v>
      </c>
      <c r="D85" s="10">
        <v>2025</v>
      </c>
      <c r="E85" s="10" t="s">
        <v>652</v>
      </c>
    </row>
    <row r="86" spans="1:5" x14ac:dyDescent="0.35">
      <c r="A86" t="s">
        <v>520</v>
      </c>
      <c r="B86">
        <v>7503031950267</v>
      </c>
      <c r="C86" t="s">
        <v>588</v>
      </c>
      <c r="D86" s="10">
        <v>2025</v>
      </c>
      <c r="E86" s="10" t="s">
        <v>652</v>
      </c>
    </row>
    <row r="87" spans="1:5" x14ac:dyDescent="0.35">
      <c r="A87" t="s">
        <v>385</v>
      </c>
      <c r="B87">
        <v>7503031950274</v>
      </c>
      <c r="C87" t="s">
        <v>588</v>
      </c>
      <c r="D87" s="10">
        <v>2025</v>
      </c>
      <c r="E87" s="10" t="s">
        <v>652</v>
      </c>
    </row>
    <row r="88" spans="1:5" x14ac:dyDescent="0.35">
      <c r="A88" t="s">
        <v>415</v>
      </c>
      <c r="B88">
        <v>7503031950281</v>
      </c>
      <c r="C88" t="s">
        <v>588</v>
      </c>
      <c r="D88" s="10">
        <v>2025</v>
      </c>
      <c r="E88" s="10" t="s">
        <v>652</v>
      </c>
    </row>
    <row r="89" spans="1:5" x14ac:dyDescent="0.35">
      <c r="A89" t="s">
        <v>436</v>
      </c>
      <c r="B89">
        <v>7503031950298</v>
      </c>
      <c r="C89" t="s">
        <v>588</v>
      </c>
      <c r="D89" s="10">
        <v>2025</v>
      </c>
      <c r="E89" s="10" t="s">
        <v>652</v>
      </c>
    </row>
    <row r="90" spans="1:5" x14ac:dyDescent="0.35">
      <c r="A90" t="s">
        <v>434</v>
      </c>
      <c r="B90">
        <v>7503031950304</v>
      </c>
      <c r="C90" t="s">
        <v>588</v>
      </c>
      <c r="D90" s="10">
        <v>2025</v>
      </c>
      <c r="E90" s="10" t="s">
        <v>652</v>
      </c>
    </row>
    <row r="91" spans="1:5" x14ac:dyDescent="0.35">
      <c r="A91" t="s">
        <v>431</v>
      </c>
      <c r="B91">
        <v>7503031950311</v>
      </c>
      <c r="C91" t="s">
        <v>588</v>
      </c>
      <c r="D91" s="10">
        <v>2025</v>
      </c>
      <c r="E91" s="10" t="s">
        <v>652</v>
      </c>
    </row>
    <row r="92" spans="1:5" x14ac:dyDescent="0.35">
      <c r="A92" t="s">
        <v>386</v>
      </c>
      <c r="B92">
        <v>7503031950458</v>
      </c>
      <c r="C92" t="s">
        <v>588</v>
      </c>
      <c r="D92" s="10">
        <v>2025</v>
      </c>
      <c r="E92" s="10" t="s">
        <v>652</v>
      </c>
    </row>
    <row r="93" spans="1:5" x14ac:dyDescent="0.35">
      <c r="A93" t="s">
        <v>416</v>
      </c>
      <c r="B93">
        <v>7503031950465</v>
      </c>
      <c r="C93" t="s">
        <v>588</v>
      </c>
      <c r="D93" s="10">
        <v>2025</v>
      </c>
      <c r="E93" s="10" t="s">
        <v>652</v>
      </c>
    </row>
    <row r="94" spans="1:5" x14ac:dyDescent="0.35">
      <c r="A94" t="s">
        <v>435</v>
      </c>
      <c r="B94">
        <v>7503031950472</v>
      </c>
      <c r="C94" t="s">
        <v>588</v>
      </c>
      <c r="D94" s="10">
        <v>2025</v>
      </c>
      <c r="E94" s="10" t="s">
        <v>652</v>
      </c>
    </row>
    <row r="95" spans="1:5" x14ac:dyDescent="0.35">
      <c r="A95" t="s">
        <v>429</v>
      </c>
      <c r="B95">
        <v>7503031950496</v>
      </c>
      <c r="C95" t="s">
        <v>588</v>
      </c>
      <c r="D95" s="10">
        <v>2025</v>
      </c>
      <c r="E95" s="10" t="s">
        <v>652</v>
      </c>
    </row>
    <row r="96" spans="1:5" x14ac:dyDescent="0.35">
      <c r="A96" t="s">
        <v>419</v>
      </c>
      <c r="B96">
        <v>7503031950533</v>
      </c>
      <c r="C96" t="s">
        <v>588</v>
      </c>
      <c r="D96" s="10">
        <v>2025</v>
      </c>
      <c r="E96" s="10" t="s">
        <v>652</v>
      </c>
    </row>
    <row r="97" spans="1:5" x14ac:dyDescent="0.35">
      <c r="A97" t="s">
        <v>439</v>
      </c>
      <c r="B97">
        <v>7503031950540</v>
      </c>
      <c r="C97" t="s">
        <v>588</v>
      </c>
      <c r="D97" s="10">
        <v>2025</v>
      </c>
      <c r="E97" s="10" t="s">
        <v>652</v>
      </c>
    </row>
    <row r="98" spans="1:5" x14ac:dyDescent="0.35">
      <c r="A98" t="s">
        <v>484</v>
      </c>
      <c r="B98">
        <v>7503031950571</v>
      </c>
      <c r="C98" t="s">
        <v>588</v>
      </c>
      <c r="D98" s="10">
        <v>2025</v>
      </c>
      <c r="E98" s="10" t="s">
        <v>652</v>
      </c>
    </row>
    <row r="99" spans="1:5" x14ac:dyDescent="0.35">
      <c r="A99" t="s">
        <v>387</v>
      </c>
      <c r="B99">
        <v>7503031950939</v>
      </c>
      <c r="C99" t="s">
        <v>588</v>
      </c>
      <c r="D99" s="10">
        <v>2025</v>
      </c>
      <c r="E99" s="10" t="s">
        <v>652</v>
      </c>
    </row>
    <row r="100" spans="1:5" x14ac:dyDescent="0.35">
      <c r="A100" t="s">
        <v>432</v>
      </c>
      <c r="B100">
        <v>7503031950946</v>
      </c>
      <c r="C100" t="s">
        <v>588</v>
      </c>
      <c r="D100" s="10">
        <v>2025</v>
      </c>
      <c r="E100" s="10" t="s">
        <v>652</v>
      </c>
    </row>
    <row r="101" spans="1:5" x14ac:dyDescent="0.35">
      <c r="A101" t="s">
        <v>417</v>
      </c>
      <c r="B101">
        <v>7503031950953</v>
      </c>
      <c r="C101" t="s">
        <v>588</v>
      </c>
      <c r="D101" s="10">
        <v>2025</v>
      </c>
      <c r="E101" s="10" t="s">
        <v>652</v>
      </c>
    </row>
    <row r="102" spans="1:5" x14ac:dyDescent="0.35">
      <c r="A102" t="s">
        <v>381</v>
      </c>
      <c r="B102">
        <v>7503031950991</v>
      </c>
      <c r="C102" t="s">
        <v>588</v>
      </c>
      <c r="D102" s="10">
        <v>2025</v>
      </c>
      <c r="E102" s="10" t="s">
        <v>652</v>
      </c>
    </row>
    <row r="103" spans="1:5" x14ac:dyDescent="0.35">
      <c r="A103" t="s">
        <v>466</v>
      </c>
      <c r="B103">
        <v>7622100711049</v>
      </c>
      <c r="C103" t="s">
        <v>588</v>
      </c>
      <c r="D103" s="10">
        <v>2025</v>
      </c>
      <c r="E103" s="10" t="s">
        <v>652</v>
      </c>
    </row>
    <row r="104" spans="1:5" x14ac:dyDescent="0.35">
      <c r="A104" t="s">
        <v>462</v>
      </c>
      <c r="B104">
        <v>75062675</v>
      </c>
      <c r="C104" t="s">
        <v>588</v>
      </c>
      <c r="D104" s="10" t="s">
        <v>650</v>
      </c>
    </row>
    <row r="105" spans="1:5" x14ac:dyDescent="0.35">
      <c r="A105" t="s">
        <v>43</v>
      </c>
      <c r="B105">
        <v>75081942</v>
      </c>
      <c r="C105" t="s">
        <v>588</v>
      </c>
      <c r="D105" s="10" t="s">
        <v>650</v>
      </c>
      <c r="E105" s="10" t="s">
        <v>653</v>
      </c>
    </row>
    <row r="106" spans="1:5" x14ac:dyDescent="0.35">
      <c r="A106" t="s">
        <v>47</v>
      </c>
      <c r="B106">
        <v>75080679</v>
      </c>
      <c r="C106" t="s">
        <v>588</v>
      </c>
      <c r="D106" s="10" t="s">
        <v>650</v>
      </c>
      <c r="E106" s="10" t="s">
        <v>654</v>
      </c>
    </row>
    <row r="107" spans="1:5" x14ac:dyDescent="0.35">
      <c r="A107" t="s">
        <v>458</v>
      </c>
      <c r="B107">
        <v>75067878</v>
      </c>
      <c r="C107" t="s">
        <v>588</v>
      </c>
      <c r="D107" s="10" t="s">
        <v>650</v>
      </c>
    </row>
    <row r="108" spans="1:5" x14ac:dyDescent="0.35">
      <c r="A108" t="s">
        <v>457</v>
      </c>
      <c r="B108">
        <v>75070373</v>
      </c>
      <c r="C108" t="s">
        <v>588</v>
      </c>
      <c r="D108" s="10" t="s">
        <v>650</v>
      </c>
    </row>
    <row r="109" spans="1:5" x14ac:dyDescent="0.35">
      <c r="A109" t="s">
        <v>448</v>
      </c>
      <c r="B109">
        <v>75080105</v>
      </c>
      <c r="C109" t="s">
        <v>588</v>
      </c>
      <c r="D109" s="10" t="s">
        <v>650</v>
      </c>
    </row>
    <row r="110" spans="1:5" x14ac:dyDescent="0.35">
      <c r="A110" t="s">
        <v>56</v>
      </c>
      <c r="B110">
        <v>75084332</v>
      </c>
      <c r="C110" t="s">
        <v>588</v>
      </c>
      <c r="D110" s="10" t="s">
        <v>650</v>
      </c>
      <c r="E110" s="10" t="s">
        <v>655</v>
      </c>
    </row>
    <row r="111" spans="1:5" x14ac:dyDescent="0.35">
      <c r="A111" t="s">
        <v>445</v>
      </c>
      <c r="B111">
        <v>75073978</v>
      </c>
      <c r="C111" t="s">
        <v>588</v>
      </c>
      <c r="D111" s="10" t="s">
        <v>650</v>
      </c>
    </row>
    <row r="112" spans="1:5" x14ac:dyDescent="0.35">
      <c r="A112" t="s">
        <v>444</v>
      </c>
      <c r="B112">
        <v>75079956</v>
      </c>
      <c r="C112" t="s">
        <v>588</v>
      </c>
      <c r="D112" s="10" t="s">
        <v>650</v>
      </c>
    </row>
    <row r="113" spans="1:5" x14ac:dyDescent="0.35">
      <c r="A113" t="s">
        <v>99</v>
      </c>
      <c r="B113">
        <v>75071776</v>
      </c>
      <c r="C113" t="s">
        <v>588</v>
      </c>
      <c r="D113" s="10" t="s">
        <v>650</v>
      </c>
      <c r="E113" s="10" t="s">
        <v>656</v>
      </c>
    </row>
    <row r="114" spans="1:5" x14ac:dyDescent="0.35">
      <c r="A114" t="s">
        <v>101</v>
      </c>
      <c r="B114">
        <v>75079963</v>
      </c>
      <c r="C114" t="s">
        <v>588</v>
      </c>
      <c r="D114" s="10" t="s">
        <v>650</v>
      </c>
      <c r="E114" s="10" t="s">
        <v>656</v>
      </c>
    </row>
    <row r="115" spans="1:5" x14ac:dyDescent="0.35">
      <c r="A115" t="s">
        <v>102</v>
      </c>
      <c r="B115">
        <v>75074081</v>
      </c>
      <c r="C115" t="s">
        <v>588</v>
      </c>
      <c r="D115" s="10" t="s">
        <v>650</v>
      </c>
      <c r="E115" s="10" t="s">
        <v>656</v>
      </c>
    </row>
    <row r="116" spans="1:5" x14ac:dyDescent="0.35">
      <c r="A116" t="s">
        <v>105</v>
      </c>
      <c r="B116">
        <v>75073534</v>
      </c>
      <c r="C116" t="s">
        <v>588</v>
      </c>
      <c r="D116" s="10" t="s">
        <v>650</v>
      </c>
      <c r="E116" s="10" t="s">
        <v>654</v>
      </c>
    </row>
    <row r="117" spans="1:5" x14ac:dyDescent="0.35">
      <c r="A117" t="s">
        <v>343</v>
      </c>
      <c r="B117">
        <v>75083977</v>
      </c>
      <c r="C117" t="s">
        <v>588</v>
      </c>
      <c r="D117" s="10" t="s">
        <v>650</v>
      </c>
      <c r="E117" s="10" t="s">
        <v>657</v>
      </c>
    </row>
    <row r="118" spans="1:5" x14ac:dyDescent="0.35">
      <c r="A118" t="s">
        <v>342</v>
      </c>
      <c r="B118">
        <v>75070090</v>
      </c>
      <c r="C118" t="s">
        <v>588</v>
      </c>
      <c r="D118" s="10" t="s">
        <v>650</v>
      </c>
      <c r="E118" s="10" t="s">
        <v>658</v>
      </c>
    </row>
    <row r="119" spans="1:5" x14ac:dyDescent="0.35">
      <c r="A119" t="s">
        <v>129</v>
      </c>
      <c r="B119">
        <v>75064778</v>
      </c>
      <c r="C119" t="s">
        <v>588</v>
      </c>
      <c r="D119" s="10" t="s">
        <v>650</v>
      </c>
      <c r="E119" s="10" t="s">
        <v>659</v>
      </c>
    </row>
    <row r="120" spans="1:5" x14ac:dyDescent="0.35">
      <c r="A120" t="s">
        <v>138</v>
      </c>
      <c r="B120">
        <v>75081058</v>
      </c>
      <c r="C120" t="s">
        <v>588</v>
      </c>
      <c r="D120" s="10" t="s">
        <v>650</v>
      </c>
    </row>
    <row r="121" spans="1:5" x14ac:dyDescent="0.35">
      <c r="A121" t="s">
        <v>143</v>
      </c>
      <c r="B121">
        <v>75074944</v>
      </c>
      <c r="C121" t="s">
        <v>588</v>
      </c>
      <c r="D121" s="10" t="s">
        <v>650</v>
      </c>
      <c r="E121" s="10" t="s">
        <v>655</v>
      </c>
    </row>
  </sheetData>
  <autoFilter ref="A1:E121" xr:uid="{8B0EEF4C-74EA-4391-AD53-B78C034FF2F7}"/>
  <phoneticPr fontId="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A77CA-5197-4D2A-AA97-14AFDC1C3CE2}">
  <sheetPr filterMode="1"/>
  <dimension ref="A1:V1548"/>
  <sheetViews>
    <sheetView zoomScale="60" zoomScaleNormal="60" workbookViewId="0">
      <selection activeCell="K30" sqref="K30"/>
    </sheetView>
  </sheetViews>
  <sheetFormatPr baseColWidth="10" defaultRowHeight="16.5" x14ac:dyDescent="0.35"/>
  <cols>
    <col min="1" max="1" width="14.81640625" style="10" bestFit="1" customWidth="1"/>
    <col min="2" max="2" width="10.54296875" style="10" bestFit="1" customWidth="1"/>
    <col min="3" max="3" width="30.08984375" style="10" bestFit="1" customWidth="1"/>
    <col min="4" max="4" width="11.26953125" style="10" bestFit="1" customWidth="1"/>
    <col min="5" max="5" width="22.81640625" style="10" bestFit="1" customWidth="1"/>
    <col min="14" max="14" width="14.81640625" style="10" bestFit="1" customWidth="1"/>
    <col min="16" max="16" width="34.453125" style="10" bestFit="1" customWidth="1"/>
  </cols>
  <sheetData>
    <row r="1" spans="1:22" ht="14.5" x14ac:dyDescent="0.35">
      <c r="A1" t="s">
        <v>1</v>
      </c>
      <c r="B1" t="s">
        <v>0</v>
      </c>
      <c r="C1" t="s">
        <v>2</v>
      </c>
      <c r="D1" t="s">
        <v>3</v>
      </c>
      <c r="E1" t="s">
        <v>8</v>
      </c>
      <c r="G1" t="s">
        <v>1</v>
      </c>
      <c r="H1" t="s">
        <v>0</v>
      </c>
      <c r="I1" t="s">
        <v>2</v>
      </c>
      <c r="J1" t="s">
        <v>3</v>
      </c>
      <c r="K1" t="s">
        <v>8</v>
      </c>
      <c r="N1" t="s">
        <v>1</v>
      </c>
      <c r="O1" t="s">
        <v>572</v>
      </c>
      <c r="P1" t="s">
        <v>2</v>
      </c>
      <c r="Q1" t="s">
        <v>3</v>
      </c>
      <c r="R1" t="s">
        <v>8</v>
      </c>
      <c r="S1" t="s">
        <v>620</v>
      </c>
    </row>
    <row r="2" spans="1:22" ht="14.5" x14ac:dyDescent="0.35">
      <c r="A2">
        <v>2168</v>
      </c>
      <c r="B2">
        <f>+_xlfn.XLOOKUP(A2,MASTER!B:B,MASTER!A:A)</f>
        <v>100080353</v>
      </c>
      <c r="C2" t="str">
        <f>+_xlfn.XLOOKUP(A2,MASTER!B:B,MASTER!C:C)</f>
        <v>LAGUNAS PURO C/5 PZAS CAJET</v>
      </c>
      <c r="D2" s="10" t="str">
        <f>+_xlfn.XLOOKUP(A2,MASTER!B:B,MASTER!D:D)</f>
        <v>PUROS</v>
      </c>
      <c r="E2" s="10" t="str">
        <f>+_xlfn.XLOOKUP(A2,MASTER!B:B,MASTER!I:I)</f>
        <v>Activo</v>
      </c>
      <c r="G2">
        <v>9872</v>
      </c>
      <c r="H2" s="10">
        <f>+_xlfn.XLOOKUP(G2,MASTER!B:B,MASTER!A:A)</f>
        <v>100009965</v>
      </c>
      <c r="I2" s="10" t="str">
        <f>+_xlfn.XLOOKUP(G2,MASTER!B:B,MASTER!C:C)</f>
        <v>TOKIO MIDNIGHT PALL MALL 20PZ</v>
      </c>
      <c r="N2">
        <v>8346917</v>
      </c>
      <c r="O2" s="10">
        <f>+_xlfn.XLOOKUP(N2,MASTER!B:B,MASTER!A:A)</f>
        <v>100080644</v>
      </c>
      <c r="P2" s="10" t="str">
        <f>+_xlfn.XLOOKUP(N2,MASTER!B:B,MASTER!C:C)</f>
        <v>PALL MALL WHITE AND CLICK 20</v>
      </c>
      <c r="Q2" s="10" t="str">
        <f>+_xlfn.XLOOKUP(N2,MASTER!B:B,MASTER!D:D)</f>
        <v>BAT</v>
      </c>
      <c r="R2" s="10" t="str">
        <f>+_xlfn.XLOOKUP(N2,MASTER!B:B,MASTER!I:I)</f>
        <v>Activo</v>
      </c>
      <c r="S2" s="10" t="str">
        <f>+_xlfn.XLOOKUP(N2,$U$2:$U$16,$V$2:$V$16,"no")</f>
        <v>no</v>
      </c>
      <c r="U2">
        <v>75074944</v>
      </c>
      <c r="V2" s="10" t="s">
        <v>621</v>
      </c>
    </row>
    <row r="3" spans="1:22" ht="14.5" x14ac:dyDescent="0.35">
      <c r="A3">
        <v>2169</v>
      </c>
      <c r="B3" t="e">
        <f>+_xlfn.XLOOKUP(A3,MASTER!B:B,MASTER!A:A)</f>
        <v>#N/A</v>
      </c>
      <c r="C3" t="e">
        <f>+_xlfn.XLOOKUP(A3,MASTER!B:B,MASTER!C:C)</f>
        <v>#N/A</v>
      </c>
      <c r="D3" s="10" t="e">
        <f>+_xlfn.XLOOKUP(A3,MASTER!B:B,MASTER!D:D)</f>
        <v>#N/A</v>
      </c>
      <c r="E3" s="10" t="e">
        <f>+_xlfn.XLOOKUP(A3,MASTER!B:B,MASTER!I:I)</f>
        <v>#N/A</v>
      </c>
      <c r="G3">
        <v>8346917</v>
      </c>
      <c r="H3" s="10">
        <f>+_xlfn.XLOOKUP(G3,MASTER!B:B,MASTER!A:A)</f>
        <v>100080644</v>
      </c>
      <c r="I3" s="10" t="str">
        <f>+_xlfn.XLOOKUP(G3,MASTER!B:B,MASTER!C:C)</f>
        <v>PALL MALL WHITE AND CLICK 20</v>
      </c>
      <c r="N3">
        <v>75027766</v>
      </c>
      <c r="O3" s="10">
        <f>+_xlfn.XLOOKUP(N3,MASTER!B:B,MASTER!A:A)</f>
        <v>100080802</v>
      </c>
      <c r="P3" s="10" t="str">
        <f>+_xlfn.XLOOKUP(N3,MASTER!B:B,MASTER!C:C)</f>
        <v>PALL MALL RED AND CLICK 20</v>
      </c>
      <c r="Q3" s="10" t="str">
        <f>+_xlfn.XLOOKUP(N3,MASTER!B:B,MASTER!D:D)</f>
        <v>BAT</v>
      </c>
      <c r="R3" s="10" t="str">
        <f>+_xlfn.XLOOKUP(N3,MASTER!B:B,MASTER!I:I)</f>
        <v>Activo</v>
      </c>
      <c r="S3" s="10" t="str">
        <f t="shared" ref="S3:S41" si="0">+_xlfn.XLOOKUP(N3,$U$2:$U$16,$V$2:$V$16,"no")</f>
        <v>no</v>
      </c>
      <c r="U3">
        <v>75081942</v>
      </c>
      <c r="V3" s="10" t="s">
        <v>621</v>
      </c>
    </row>
    <row r="4" spans="1:22" ht="14.5" x14ac:dyDescent="0.35">
      <c r="A4">
        <v>2712</v>
      </c>
      <c r="B4" t="e">
        <f>+_xlfn.XLOOKUP(A4,MASTER!B:B,MASTER!A:A)</f>
        <v>#N/A</v>
      </c>
      <c r="C4" t="e">
        <f>+_xlfn.XLOOKUP(A4,MASTER!B:B,MASTER!C:C)</f>
        <v>#N/A</v>
      </c>
      <c r="D4" s="10" t="e">
        <f>+_xlfn.XLOOKUP(A4,MASTER!B:B,MASTER!D:D)</f>
        <v>#N/A</v>
      </c>
      <c r="E4" s="10" t="e">
        <f>+_xlfn.XLOOKUP(A4,MASTER!B:B,MASTER!I:I)</f>
        <v>#N/A</v>
      </c>
      <c r="G4">
        <v>75001254</v>
      </c>
      <c r="H4" s="10">
        <f>+_xlfn.XLOOKUP(G4,MASTER!B:B,MASTER!A:A)</f>
        <v>100080031</v>
      </c>
      <c r="I4" s="10" t="str">
        <f>+_xlfn.XLOOKUP(G4,MASTER!B:B,MASTER!C:C)</f>
        <v>BENSON&amp;HEDGE CIGARR CS CAJET</v>
      </c>
      <c r="N4">
        <v>75046521</v>
      </c>
      <c r="O4" s="10">
        <f>+_xlfn.XLOOKUP(N4,MASTER!B:B,MASTER!A:A)</f>
        <v>100080955</v>
      </c>
      <c r="P4" s="10" t="str">
        <f>+_xlfn.XLOOKUP(N4,MASTER!B:B,MASTER!C:C)</f>
        <v>LUCKY STRIKE AMARILLOS 20S</v>
      </c>
      <c r="Q4" s="10" t="str">
        <f>+_xlfn.XLOOKUP(N4,MASTER!B:B,MASTER!D:D)</f>
        <v>BAT</v>
      </c>
      <c r="R4" s="10" t="str">
        <f>+_xlfn.XLOOKUP(N4,MASTER!B:B,MASTER!I:I)</f>
        <v>Activo</v>
      </c>
      <c r="S4" s="10" t="str">
        <f t="shared" si="0"/>
        <v>no</v>
      </c>
      <c r="U4">
        <v>75080105</v>
      </c>
      <c r="V4" s="10" t="s">
        <v>621</v>
      </c>
    </row>
    <row r="5" spans="1:22" ht="14.5" x14ac:dyDescent="0.35">
      <c r="A5">
        <v>10000</v>
      </c>
      <c r="B5">
        <f>+_xlfn.XLOOKUP(A5,MASTER!B:B,MASTER!A:A)</f>
        <v>100011025</v>
      </c>
      <c r="C5" t="str">
        <f>+_xlfn.XLOOKUP(A5,MASTER!B:B,MASTER!C:C)</f>
        <v>MARLBORO CIGARR ROJO CD CAJET</v>
      </c>
      <c r="D5" s="10" t="str">
        <f>+_xlfn.XLOOKUP(A5,MASTER!B:B,MASTER!D:D)</f>
        <v>PMI</v>
      </c>
      <c r="E5" s="10" t="str">
        <f>+_xlfn.XLOOKUP(A5,MASTER!B:B,MASTER!I:I)</f>
        <v>Inactivo</v>
      </c>
      <c r="G5">
        <v>75001292</v>
      </c>
      <c r="H5" s="10">
        <f>+_xlfn.XLOOKUP(G5,MASTER!B:B,MASTER!A:A)</f>
        <v>100080029</v>
      </c>
      <c r="I5" s="10" t="str">
        <f>+_xlfn.XLOOKUP(G5,MASTER!B:B,MASTER!C:C)</f>
        <v>MARLBORO CIGARR LIGTH EL CS CAJET</v>
      </c>
      <c r="N5">
        <v>75046545</v>
      </c>
      <c r="O5" s="10">
        <f>+_xlfn.XLOOKUP(N5,MASTER!B:B,MASTER!A:A)</f>
        <v>100080952</v>
      </c>
      <c r="P5" s="10" t="str">
        <f>+_xlfn.XLOOKUP(N5,MASTER!B:B,MASTER!C:C)</f>
        <v>LUCKY STRIKE AMARILLOS 25S</v>
      </c>
      <c r="Q5" s="10" t="str">
        <f>+_xlfn.XLOOKUP(N5,MASTER!B:B,MASTER!D:D)</f>
        <v>BAT</v>
      </c>
      <c r="R5" s="10" t="str">
        <f>+_xlfn.XLOOKUP(N5,MASTER!B:B,MASTER!I:I)</f>
        <v>Activo</v>
      </c>
      <c r="S5" s="10" t="str">
        <f t="shared" si="0"/>
        <v>no</v>
      </c>
      <c r="U5">
        <v>75080679</v>
      </c>
      <c r="V5" s="10" t="s">
        <v>621</v>
      </c>
    </row>
    <row r="6" spans="1:22" ht="14.5" x14ac:dyDescent="0.35">
      <c r="A6">
        <v>10578</v>
      </c>
      <c r="B6" t="e">
        <f>+_xlfn.XLOOKUP(A6,MASTER!B:B,MASTER!A:A)</f>
        <v>#N/A</v>
      </c>
      <c r="C6" t="e">
        <f>+_xlfn.XLOOKUP(A6,MASTER!B:B,MASTER!C:C)</f>
        <v>#N/A</v>
      </c>
      <c r="D6" s="10" t="e">
        <f>+_xlfn.XLOOKUP(A6,MASTER!B:B,MASTER!D:D)</f>
        <v>#N/A</v>
      </c>
      <c r="E6" s="10" t="e">
        <f>+_xlfn.XLOOKUP(A6,MASTER!B:B,MASTER!I:I)</f>
        <v>#N/A</v>
      </c>
      <c r="G6">
        <v>75001315</v>
      </c>
      <c r="H6" s="10">
        <f>+_xlfn.XLOOKUP(G6,MASTER!B:B,MASTER!A:A)</f>
        <v>100080028</v>
      </c>
      <c r="I6" s="10" t="str">
        <f>+_xlfn.XLOOKUP(G6,MASTER!B:B,MASTER!C:C)</f>
        <v>MARLBORO CIGARR ROJO CL CS CAJET</v>
      </c>
      <c r="N6">
        <v>75048129</v>
      </c>
      <c r="O6" s="10">
        <f>+_xlfn.XLOOKUP(N6,MASTER!B:B,MASTER!A:A)</f>
        <v>100080975</v>
      </c>
      <c r="P6" s="10" t="str">
        <f>+_xlfn.XLOOKUP(N6,MASTER!B:B,MASTER!C:C)</f>
        <v>LUCKY STRIKE ORIGINAL FF 20S TUBE</v>
      </c>
      <c r="Q6" s="10" t="str">
        <f>+_xlfn.XLOOKUP(N6,MASTER!B:B,MASTER!D:D)</f>
        <v>BAT</v>
      </c>
      <c r="R6" s="10" t="str">
        <f>+_xlfn.XLOOKUP(N6,MASTER!B:B,MASTER!I:I)</f>
        <v>Activo</v>
      </c>
      <c r="S6" s="10" t="str">
        <f t="shared" si="0"/>
        <v>no</v>
      </c>
      <c r="U6">
        <v>75084332</v>
      </c>
      <c r="V6" s="10" t="s">
        <v>621</v>
      </c>
    </row>
    <row r="7" spans="1:22" ht="14.5" x14ac:dyDescent="0.35">
      <c r="A7">
        <v>8346917</v>
      </c>
      <c r="B7">
        <f>+_xlfn.XLOOKUP(A7,MASTER!B:B,MASTER!A:A)</f>
        <v>100080644</v>
      </c>
      <c r="C7" t="str">
        <f>+_xlfn.XLOOKUP(A7,MASTER!B:B,MASTER!C:C)</f>
        <v>PALL MALL WHITE AND CLICK 20</v>
      </c>
      <c r="D7" s="10" t="str">
        <f>+_xlfn.XLOOKUP(A7,MASTER!B:B,MASTER!D:D)</f>
        <v>BAT</v>
      </c>
      <c r="E7" s="10" t="str">
        <f>+_xlfn.XLOOKUP(A7,MASTER!B:B,MASTER!I:I)</f>
        <v>Activo</v>
      </c>
      <c r="G7">
        <v>75001322</v>
      </c>
      <c r="H7" s="10">
        <f>+_xlfn.XLOOKUP(G7,MASTER!B:B,MASTER!A:A)</f>
        <v>100080027</v>
      </c>
      <c r="I7" s="10" t="str">
        <f>+_xlfn.XLOOKUP(G7,MASTER!B:B,MASTER!C:C)</f>
        <v>MARLBORO CIGARR ROJO CD CAJET</v>
      </c>
      <c r="N7">
        <v>75051785</v>
      </c>
      <c r="O7" s="10">
        <f>+_xlfn.XLOOKUP(N7,MASTER!B:B,MASTER!A:A)</f>
        <v>100004788</v>
      </c>
      <c r="P7" s="10" t="str">
        <f>+_xlfn.XLOOKUP(N7,MASTER!B:B,MASTER!C:C)</f>
        <v>LUCKY STRIKE CLICK 4 MIX</v>
      </c>
      <c r="Q7" s="10" t="str">
        <f>+_xlfn.XLOOKUP(N7,MASTER!B:B,MASTER!D:D)</f>
        <v>BAT</v>
      </c>
      <c r="R7" s="10" t="str">
        <f>+_xlfn.XLOOKUP(N7,MASTER!B:B,MASTER!I:I)</f>
        <v>Activo</v>
      </c>
      <c r="S7" s="10" t="str">
        <f t="shared" si="0"/>
        <v>no</v>
      </c>
      <c r="U7">
        <v>75079956</v>
      </c>
      <c r="V7" s="10" t="s">
        <v>621</v>
      </c>
    </row>
    <row r="8" spans="1:22" ht="14.5" x14ac:dyDescent="0.35">
      <c r="A8">
        <v>40331362</v>
      </c>
      <c r="B8">
        <f>+_xlfn.XLOOKUP(A8,MASTER!B:B,MASTER!A:A)</f>
        <v>100080896</v>
      </c>
      <c r="C8" t="str">
        <f>+_xlfn.XLOOKUP(A8,MASTER!B:B,MASTER!C:C)</f>
        <v>WINSTON CIGARR CLASSIC  14S CAJET</v>
      </c>
      <c r="D8" s="10" t="str">
        <f>+_xlfn.XLOOKUP(A8,MASTER!B:B,MASTER!D:D)</f>
        <v>JTI</v>
      </c>
      <c r="E8" s="10" t="str">
        <f>+_xlfn.XLOOKUP(A8,MASTER!B:B,MASTER!I:I)</f>
        <v>Descontinuado (con stock)</v>
      </c>
      <c r="G8">
        <v>75001339</v>
      </c>
      <c r="H8" s="10">
        <f>+_xlfn.XLOOKUP(G8,MASTER!B:B,MASTER!A:A)</f>
        <v>100080257</v>
      </c>
      <c r="I8" s="10" t="str">
        <f>+_xlfn.XLOOKUP(G8,MASTER!B:B,MASTER!C:C)</f>
        <v>MARLBORO CIGARR ROJO 14S CD CAJET</v>
      </c>
      <c r="N8">
        <v>75052836</v>
      </c>
      <c r="O8" s="10">
        <f>+_xlfn.XLOOKUP(N8,MASTER!B:B,MASTER!A:A)</f>
        <v>100005585</v>
      </c>
      <c r="P8" s="10" t="str">
        <f>+_xlfn.XLOOKUP(N8,MASTER!B:B,MASTER!C:C)</f>
        <v>PALL MALL TOKYO MIDNIGHT 20</v>
      </c>
      <c r="Q8" s="10" t="str">
        <f>+_xlfn.XLOOKUP(N8,MASTER!B:B,MASTER!D:D)</f>
        <v>BAT</v>
      </c>
      <c r="R8" s="10" t="str">
        <f>+_xlfn.XLOOKUP(N8,MASTER!B:B,MASTER!I:I)</f>
        <v>Activo</v>
      </c>
      <c r="S8" s="10" t="str">
        <f t="shared" si="0"/>
        <v>no</v>
      </c>
      <c r="U8">
        <v>75064778</v>
      </c>
      <c r="V8" s="10" t="s">
        <v>621</v>
      </c>
    </row>
    <row r="9" spans="1:22" ht="14.5" x14ac:dyDescent="0.35">
      <c r="A9">
        <v>40331379</v>
      </c>
      <c r="B9">
        <f>+_xlfn.XLOOKUP(A9,MASTER!B:B,MASTER!A:A)</f>
        <v>100080899</v>
      </c>
      <c r="C9" t="str">
        <f>+_xlfn.XLOOKUP(A9,MASTER!B:B,MASTER!C:C)</f>
        <v>WINSTON CIGARR BLUE 14S CAJET</v>
      </c>
      <c r="D9" s="10" t="str">
        <f>+_xlfn.XLOOKUP(A9,MASTER!B:B,MASTER!D:D)</f>
        <v>JTI</v>
      </c>
      <c r="E9" s="10" t="str">
        <f>+_xlfn.XLOOKUP(A9,MASTER!B:B,MASTER!I:I)</f>
        <v>Inactivo</v>
      </c>
      <c r="G9">
        <v>75001360</v>
      </c>
      <c r="H9" s="10">
        <f>+_xlfn.XLOOKUP(G9,MASTER!B:B,MASTER!A:A)</f>
        <v>100018656</v>
      </c>
      <c r="I9" s="10" t="str">
        <f>+_xlfn.XLOOKUP(G9,MASTER!B:B,MASTER!C:C)</f>
        <v>MARLBORO VISTA GARDEN 20 1 CAJETILLA</v>
      </c>
      <c r="N9">
        <v>75063504</v>
      </c>
      <c r="O9" s="10">
        <f>+_xlfn.XLOOKUP(N9,MASTER!B:B,MASTER!A:A)</f>
        <v>100012153</v>
      </c>
      <c r="P9" s="10" t="str">
        <f>+_xlfn.XLOOKUP(N9,MASTER!B:B,MASTER!C:C)</f>
        <v>LUCKY STRIKE 20S ME TDC 1PZ</v>
      </c>
      <c r="Q9" s="10" t="str">
        <f>+_xlfn.XLOOKUP(N9,MASTER!B:B,MASTER!D:D)</f>
        <v>BAT</v>
      </c>
      <c r="R9" s="10" t="str">
        <f>+_xlfn.XLOOKUP(N9,MASTER!B:B,MASTER!I:I)</f>
        <v>Activo</v>
      </c>
      <c r="S9" s="10" t="str">
        <f t="shared" si="0"/>
        <v>no</v>
      </c>
      <c r="U9">
        <v>75073534</v>
      </c>
      <c r="V9" s="10" t="s">
        <v>621</v>
      </c>
    </row>
    <row r="10" spans="1:22" ht="14.5" x14ac:dyDescent="0.35">
      <c r="A10">
        <v>42138037</v>
      </c>
      <c r="B10">
        <f>+_xlfn.XLOOKUP(A10,MASTER!B:B,MASTER!A:A)</f>
        <v>100080897</v>
      </c>
      <c r="C10" t="str">
        <f>+_xlfn.XLOOKUP(A10,MASTER!B:B,MASTER!C:C)</f>
        <v>WINSTON CIGARR CLASSIC 20S CAJET</v>
      </c>
      <c r="D10" s="10" t="str">
        <f>+_xlfn.XLOOKUP(A10,MASTER!B:B,MASTER!D:D)</f>
        <v>JTI</v>
      </c>
      <c r="E10" s="10" t="str">
        <f>+_xlfn.XLOOKUP(A10,MASTER!B:B,MASTER!I:I)</f>
        <v>Descontinuado (con stock)</v>
      </c>
      <c r="G10">
        <v>75001384</v>
      </c>
      <c r="H10" s="10">
        <f>+_xlfn.XLOOKUP(G10,MASTER!B:B,MASTER!A:A)</f>
        <v>100018872</v>
      </c>
      <c r="I10" s="10" t="str">
        <f>+_xlfn.XLOOKUP(G10,MASTER!B:B,MASTER!C:C)</f>
        <v>MARLBORO VISTA ARTIC 20 1 CAJETILLA</v>
      </c>
      <c r="N10">
        <v>75064648</v>
      </c>
      <c r="O10" s="10">
        <f>+_xlfn.XLOOKUP(N10,MASTER!B:B,MASTER!A:A)</f>
        <v>100012746</v>
      </c>
      <c r="P10" s="10" t="str">
        <f>+_xlfn.XLOOKUP(N10,MASTER!B:B,MASTER!C:C)</f>
        <v>PALL MALL MYKONOS NIGHTFALL 20</v>
      </c>
      <c r="Q10" s="10" t="str">
        <f>+_xlfn.XLOOKUP(N10,MASTER!B:B,MASTER!D:D)</f>
        <v>BAT</v>
      </c>
      <c r="R10" s="10" t="str">
        <f>+_xlfn.XLOOKUP(N10,MASTER!B:B,MASTER!I:I)</f>
        <v>Activo</v>
      </c>
      <c r="S10" s="10" t="str">
        <f t="shared" si="0"/>
        <v>no</v>
      </c>
      <c r="U10">
        <v>75071776</v>
      </c>
      <c r="V10" s="10" t="s">
        <v>621</v>
      </c>
    </row>
    <row r="11" spans="1:22" ht="14.5" x14ac:dyDescent="0.35">
      <c r="A11">
        <v>42138051</v>
      </c>
      <c r="B11">
        <f>+_xlfn.XLOOKUP(A11,MASTER!B:B,MASTER!A:A)</f>
        <v>100080898</v>
      </c>
      <c r="C11" t="str">
        <f>+_xlfn.XLOOKUP(A11,MASTER!B:B,MASTER!C:C)</f>
        <v>WINSTON CIGARR BLUE 20S CAJET</v>
      </c>
      <c r="D11" s="10" t="str">
        <f>+_xlfn.XLOOKUP(A11,MASTER!B:B,MASTER!D:D)</f>
        <v>JTI</v>
      </c>
      <c r="E11" s="10" t="str">
        <f>+_xlfn.XLOOKUP(A11,MASTER!B:B,MASTER!I:I)</f>
        <v>Activo</v>
      </c>
      <c r="G11">
        <v>75001414</v>
      </c>
      <c r="H11" s="10">
        <f>+_xlfn.XLOOKUP(G11,MASTER!B:B,MASTER!A:A)</f>
        <v>100018586</v>
      </c>
      <c r="I11" s="10" t="str">
        <f>+_xlfn.XLOOKUP(G11,MASTER!B:B,MASTER!C:C)</f>
        <v>MARLBORO SELECC ARTESANAL 14 1 CAJETILLA</v>
      </c>
      <c r="N11">
        <v>75064716</v>
      </c>
      <c r="O11" s="10">
        <f>+_xlfn.XLOOKUP(N11,MASTER!B:B,MASTER!A:A)</f>
        <v>100012997</v>
      </c>
      <c r="P11" s="10" t="str">
        <f>+_xlfn.XLOOKUP(N11,MASTER!B:B,MASTER!C:C)</f>
        <v>LUCKY STRIKE ENIGMA 100S 1PZ</v>
      </c>
      <c r="Q11" s="10" t="str">
        <f>+_xlfn.XLOOKUP(N11,MASTER!B:B,MASTER!D:D)</f>
        <v>BAT</v>
      </c>
      <c r="R11" s="10" t="str">
        <f>+_xlfn.XLOOKUP(N11,MASTER!B:B,MASTER!I:I)</f>
        <v>Activo</v>
      </c>
      <c r="S11" s="10" t="str">
        <f t="shared" si="0"/>
        <v>no</v>
      </c>
      <c r="U11">
        <v>75074081</v>
      </c>
      <c r="V11" s="10" t="s">
        <v>621</v>
      </c>
    </row>
    <row r="12" spans="1:22" x14ac:dyDescent="0.35">
      <c r="A12">
        <v>42230748</v>
      </c>
      <c r="B12">
        <f>+_xlfn.XLOOKUP(A12,MASTER!B:B,MASTER!A:A)</f>
        <v>100017183</v>
      </c>
      <c r="C12" t="str">
        <f>+_xlfn.XLOOKUP(A12,MASTER!B:B,MASTER!C:C)</f>
        <v>GIZEH PAPEL  ZIGZAG 1 PZ</v>
      </c>
      <c r="D12" s="10" t="str">
        <f>+_xlfn.XLOOKUP(A12,MASTER!B:B,MASTER!D:D)</f>
        <v>PUROS</v>
      </c>
      <c r="E12" s="10" t="str">
        <f>+_xlfn.XLOOKUP(A12,MASTER!B:B,MASTER!I:I)</f>
        <v>Activo</v>
      </c>
      <c r="G12">
        <v>75001476</v>
      </c>
      <c r="H12" s="10">
        <f>+_xlfn.XLOOKUP(G12,MASTER!B:B,MASTER!A:A)</f>
        <v>100080034</v>
      </c>
      <c r="I12" s="10" t="str">
        <f>+_xlfn.XLOOKUP(G12,MASTER!B:B,MASTER!C:C)</f>
        <v>DELICADOS CIGARR OVALADOS CAJET</v>
      </c>
      <c r="N12">
        <v>75064747</v>
      </c>
      <c r="O12" s="10">
        <f>+_xlfn.XLOOKUP(N12,MASTER!B:B,MASTER!A:A)</f>
        <v>100013075</v>
      </c>
      <c r="P12" s="10" t="str">
        <f>+_xlfn.XLOOKUP(N12,MASTER!B:B,MASTER!C:C)</f>
        <v>MONTANA SHOTS 15S 1PZ</v>
      </c>
      <c r="Q12" s="10" t="str">
        <f>+_xlfn.XLOOKUP(N12,MASTER!B:B,MASTER!D:D)</f>
        <v>BAT</v>
      </c>
      <c r="R12" s="10" t="str">
        <f>+_xlfn.XLOOKUP(N12,MASTER!B:B,MASTER!I:I)</f>
        <v>Activo</v>
      </c>
      <c r="S12" s="10" t="str">
        <f t="shared" si="0"/>
        <v>no</v>
      </c>
      <c r="U12">
        <v>75079963</v>
      </c>
      <c r="V12" s="10" t="s">
        <v>621</v>
      </c>
    </row>
    <row r="13" spans="1:22" x14ac:dyDescent="0.35">
      <c r="A13">
        <v>75001254</v>
      </c>
      <c r="B13">
        <f>+_xlfn.XLOOKUP(A13,MASTER!B:B,MASTER!A:A)</f>
        <v>100080031</v>
      </c>
      <c r="C13" t="str">
        <f>+_xlfn.XLOOKUP(A13,MASTER!B:B,MASTER!C:C)</f>
        <v>BENSON&amp;HEDGE CIGARR CS CAJET</v>
      </c>
      <c r="D13" s="10" t="str">
        <f>+_xlfn.XLOOKUP(A13,MASTER!B:B,MASTER!D:D)</f>
        <v>PMI</v>
      </c>
      <c r="E13" s="10" t="str">
        <f>+_xlfn.XLOOKUP(A13,MASTER!B:B,MASTER!I:I)</f>
        <v>Descontinuado (con stock)</v>
      </c>
      <c r="G13">
        <v>75004385</v>
      </c>
      <c r="H13" s="10">
        <f>+_xlfn.XLOOKUP(G13,MASTER!B:B,MASTER!A:A)</f>
        <v>100021977</v>
      </c>
      <c r="I13" s="10" t="str">
        <f>+_xlfn.XLOOKUP(G13,MASTER!B:B,MASTER!C:C)</f>
        <v>FAROS FAROS FAROS 14 1 CAJETILLA</v>
      </c>
      <c r="N13">
        <v>75064754</v>
      </c>
      <c r="O13" s="10">
        <f>+_xlfn.XLOOKUP(N13,MASTER!B:B,MASTER!A:A)</f>
        <v>100013892</v>
      </c>
      <c r="P13" s="10" t="str">
        <f>+_xlfn.XLOOKUP(N13,MASTER!B:B,MASTER!C:C)</f>
        <v>MONTANA SHOTS 1PZ</v>
      </c>
      <c r="Q13" s="10" t="str">
        <f>+_xlfn.XLOOKUP(N13,MASTER!B:B,MASTER!D:D)</f>
        <v>BAT</v>
      </c>
      <c r="R13" s="10" t="str">
        <f>+_xlfn.XLOOKUP(N13,MASTER!B:B,MASTER!I:I)</f>
        <v>Activo</v>
      </c>
      <c r="S13" s="10" t="str">
        <f t="shared" si="0"/>
        <v>no</v>
      </c>
      <c r="U13">
        <v>75081058</v>
      </c>
      <c r="V13" s="10" t="s">
        <v>621</v>
      </c>
    </row>
    <row r="14" spans="1:22" x14ac:dyDescent="0.35">
      <c r="A14">
        <v>75001315</v>
      </c>
      <c r="B14">
        <f>+_xlfn.XLOOKUP(A14,MASTER!B:B,MASTER!A:A)</f>
        <v>100080028</v>
      </c>
      <c r="C14" t="str">
        <f>+_xlfn.XLOOKUP(A14,MASTER!B:B,MASTER!C:C)</f>
        <v>MARLBORO CIGARR ROJO CL CS CAJET</v>
      </c>
      <c r="D14" s="10" t="str">
        <f>+_xlfn.XLOOKUP(A14,MASTER!B:B,MASTER!D:D)</f>
        <v>PMI</v>
      </c>
      <c r="E14" s="10" t="str">
        <f>+_xlfn.XLOOKUP(A14,MASTER!B:B,MASTER!I:I)</f>
        <v>Activo</v>
      </c>
      <c r="G14">
        <v>75004392</v>
      </c>
      <c r="H14" s="10">
        <f>+_xlfn.XLOOKUP(G14,MASTER!B:B,MASTER!A:A)</f>
        <v>100021950</v>
      </c>
      <c r="I14" s="10" t="str">
        <f>+_xlfn.XLOOKUP(G14,MASTER!B:B,MASTER!C:C)</f>
        <v>FAROS 20 1 CAJETILLA</v>
      </c>
      <c r="N14">
        <v>75071295</v>
      </c>
      <c r="O14" s="10">
        <f>+_xlfn.XLOOKUP(N14,MASTER!B:B,MASTER!A:A)</f>
        <v>100016443</v>
      </c>
      <c r="P14" s="10" t="str">
        <f>+_xlfn.XLOOKUP(N14,MASTER!B:B,MASTER!C:C)</f>
        <v>PALL MALL ALASKA DUSK 20</v>
      </c>
      <c r="Q14" s="10" t="str">
        <f>+_xlfn.XLOOKUP(N14,MASTER!B:B,MASTER!D:D)</f>
        <v>BAT</v>
      </c>
      <c r="R14" s="10" t="str">
        <f>+_xlfn.XLOOKUP(N14,MASTER!B:B,MASTER!I:I)</f>
        <v>Activo</v>
      </c>
      <c r="S14" s="10" t="str">
        <f t="shared" si="0"/>
        <v>no</v>
      </c>
      <c r="U14">
        <v>75082338</v>
      </c>
      <c r="V14" s="10" t="s">
        <v>621</v>
      </c>
    </row>
    <row r="15" spans="1:22" x14ac:dyDescent="0.35">
      <c r="A15">
        <v>75001322</v>
      </c>
      <c r="B15">
        <f>+_xlfn.XLOOKUP(A15,MASTER!B:B,MASTER!A:A)</f>
        <v>100080027</v>
      </c>
      <c r="C15" t="str">
        <f>+_xlfn.XLOOKUP(A15,MASTER!B:B,MASTER!C:C)</f>
        <v>MARLBORO CIGARR ROJO CD CAJET</v>
      </c>
      <c r="D15" s="10" t="str">
        <f>+_xlfn.XLOOKUP(A15,MASTER!B:B,MASTER!D:D)</f>
        <v>PMI</v>
      </c>
      <c r="E15" s="10" t="str">
        <f>+_xlfn.XLOOKUP(A15,MASTER!B:B,MASTER!I:I)</f>
        <v>Activo</v>
      </c>
      <c r="G15">
        <v>75004408</v>
      </c>
      <c r="H15" s="10">
        <f>+_xlfn.XLOOKUP(G15,MASTER!B:B,MASTER!A:A)</f>
        <v>100022331</v>
      </c>
      <c r="I15" s="10" t="str">
        <f>+_xlfn.XLOOKUP(G15,MASTER!B:B,MASTER!C:C)</f>
        <v>MARLBORO VISTA ARTIC 14S CAJETILLAPZ</v>
      </c>
      <c r="N15">
        <v>75071455</v>
      </c>
      <c r="O15" s="10">
        <f>+_xlfn.XLOOKUP(N15,MASTER!B:B,MASTER!A:A)</f>
        <v>100016413</v>
      </c>
      <c r="P15" s="10" t="str">
        <f>+_xlfn.XLOOKUP(N15,MASTER!B:B,MASTER!C:C)</f>
        <v>PALL MALL RED 20</v>
      </c>
      <c r="Q15" s="10" t="str">
        <f>+_xlfn.XLOOKUP(N15,MASTER!B:B,MASTER!D:D)</f>
        <v>BAT</v>
      </c>
      <c r="R15" s="10" t="str">
        <f>+_xlfn.XLOOKUP(N15,MASTER!B:B,MASTER!I:I)</f>
        <v>Activo</v>
      </c>
      <c r="S15" s="10" t="str">
        <f t="shared" si="0"/>
        <v>no</v>
      </c>
      <c r="U15">
        <v>75083977</v>
      </c>
      <c r="V15" s="10" t="s">
        <v>621</v>
      </c>
    </row>
    <row r="16" spans="1:22" x14ac:dyDescent="0.35">
      <c r="A16">
        <v>75001339</v>
      </c>
      <c r="B16">
        <f>+_xlfn.XLOOKUP(A16,MASTER!B:B,MASTER!A:A)</f>
        <v>100080257</v>
      </c>
      <c r="C16" t="str">
        <f>+_xlfn.XLOOKUP(A16,MASTER!B:B,MASTER!C:C)</f>
        <v>MARLBORO CIGARR ROJO 14S CD CAJET</v>
      </c>
      <c r="D16" s="10" t="str">
        <f>+_xlfn.XLOOKUP(A16,MASTER!B:B,MASTER!D:D)</f>
        <v>PMI</v>
      </c>
      <c r="E16" s="10" t="str">
        <f>+_xlfn.XLOOKUP(A16,MASTER!B:B,MASTER!I:I)</f>
        <v>Activo</v>
      </c>
      <c r="G16">
        <v>75004415</v>
      </c>
      <c r="H16" s="10">
        <f>+_xlfn.XLOOKUP(G16,MASTER!B:B,MASTER!A:A)</f>
        <v>100022276</v>
      </c>
      <c r="I16" s="10" t="str">
        <f>+_xlfn.XLOOKUP(G16,MASTER!B:B,MASTER!C:C)</f>
        <v>MARLBORO EXOTIC VISTA EXOTIC 1 CAJETILLA</v>
      </c>
      <c r="N16">
        <v>75071479</v>
      </c>
      <c r="O16" s="10">
        <f>+_xlfn.XLOOKUP(N16,MASTER!B:B,MASTER!A:A)</f>
        <v>100016412</v>
      </c>
      <c r="P16" s="10" t="str">
        <f>+_xlfn.XLOOKUP(N16,MASTER!B:B,MASTER!C:C)</f>
        <v>PALL MALL WHITE 20</v>
      </c>
      <c r="Q16" s="10" t="str">
        <f>+_xlfn.XLOOKUP(N16,MASTER!B:B,MASTER!D:D)</f>
        <v>BAT</v>
      </c>
      <c r="R16" s="10" t="str">
        <f>+_xlfn.XLOOKUP(N16,MASTER!B:B,MASTER!I:I)</f>
        <v>Activo</v>
      </c>
      <c r="S16" s="10" t="str">
        <f t="shared" si="0"/>
        <v>no</v>
      </c>
      <c r="U16">
        <v>75084141</v>
      </c>
      <c r="V16" s="10" t="s">
        <v>621</v>
      </c>
    </row>
    <row r="17" spans="1:19" ht="14.5" hidden="1" x14ac:dyDescent="0.35">
      <c r="A17">
        <v>75001360</v>
      </c>
      <c r="B17">
        <f>+_xlfn.XLOOKUP(A17,MASTER!B:B,MASTER!A:A)</f>
        <v>100018656</v>
      </c>
      <c r="C17" t="str">
        <f>+_xlfn.XLOOKUP(A17,MASTER!B:B,MASTER!C:C)</f>
        <v>MARLBORO VISTA GARDEN 20 1 CAJETILLA</v>
      </c>
      <c r="D17" s="10" t="str">
        <f>+_xlfn.XLOOKUP(A17,MASTER!B:B,MASTER!D:D)</f>
        <v>PMI</v>
      </c>
      <c r="E17" s="10" t="str">
        <f>+_xlfn.XLOOKUP(A17,MASTER!B:B,MASTER!I:I)</f>
        <v>Activo</v>
      </c>
      <c r="G17">
        <v>75005481</v>
      </c>
      <c r="H17" s="10">
        <f>+_xlfn.XLOOKUP(G17,MASTER!B:B,MASTER!A:A)</f>
        <v>100021048</v>
      </c>
      <c r="I17" s="10" t="str">
        <f>+_xlfn.XLOOKUP(G17,MASTER!B:B,MASTER!C:C)</f>
        <v>LM LM 25S 25S 1 CAJETILLA</v>
      </c>
      <c r="N17">
        <v>75071776</v>
      </c>
      <c r="O17" s="10">
        <f>+_xlfn.XLOOKUP(N17,MASTER!B:B,MASTER!A:A)</f>
        <v>100017982</v>
      </c>
      <c r="P17" s="10" t="str">
        <f>+_xlfn.XLOOKUP(N17,MASTER!B:B,MASTER!C:C)</f>
        <v>PALL MALL CLASSICS 20</v>
      </c>
      <c r="Q17" s="10" t="str">
        <f>+_xlfn.XLOOKUP(N17,MASTER!B:B,MASTER!D:D)</f>
        <v>BAT</v>
      </c>
      <c r="R17" s="10" t="str">
        <f>+_xlfn.XLOOKUP(N17,MASTER!B:B,MASTER!I:I)</f>
        <v>Activo</v>
      </c>
      <c r="S17" s="10" t="str">
        <f t="shared" si="0"/>
        <v>si}</v>
      </c>
    </row>
    <row r="18" spans="1:19" ht="14.5" hidden="1" x14ac:dyDescent="0.35">
      <c r="A18">
        <v>75001384</v>
      </c>
      <c r="B18">
        <f>+_xlfn.XLOOKUP(A18,MASTER!B:B,MASTER!A:A)</f>
        <v>100018872</v>
      </c>
      <c r="C18" t="str">
        <f>+_xlfn.XLOOKUP(A18,MASTER!B:B,MASTER!C:C)</f>
        <v>MARLBORO VISTA ARTIC 20 1 CAJETILLA</v>
      </c>
      <c r="D18" s="10" t="str">
        <f>+_xlfn.XLOOKUP(A18,MASTER!B:B,MASTER!D:D)</f>
        <v>PMI</v>
      </c>
      <c r="E18" s="10" t="str">
        <f>+_xlfn.XLOOKUP(A18,MASTER!B:B,MASTER!I:I)</f>
        <v>Activo</v>
      </c>
      <c r="G18">
        <v>75006204</v>
      </c>
      <c r="H18" s="10">
        <f>+_xlfn.XLOOKUP(G18,MASTER!B:B,MASTER!A:A)</f>
        <v>101000061</v>
      </c>
      <c r="I18" s="10" t="str">
        <f>+_xlfn.XLOOKUP(G18,MASTER!B:B,MASTER!C:C)</f>
        <v>MARLBORO CARIBBEAN FUSION 100 BOX 14 CAJETILLA PZ</v>
      </c>
      <c r="N18">
        <v>75073534</v>
      </c>
      <c r="O18" s="10">
        <f>+_xlfn.XLOOKUP(N18,MASTER!B:B,MASTER!A:A)</f>
        <v>100018746</v>
      </c>
      <c r="P18" s="10" t="str">
        <f>+_xlfn.XLOOKUP(N18,MASTER!B:B,MASTER!C:C)</f>
        <v>PALL MALL EX RED 15 1 CAJETILLA</v>
      </c>
      <c r="Q18" s="10" t="str">
        <f>+_xlfn.XLOOKUP(N18,MASTER!B:B,MASTER!D:D)</f>
        <v>BAT</v>
      </c>
      <c r="R18" s="10" t="str">
        <f>+_xlfn.XLOOKUP(N18,MASTER!B:B,MASTER!I:I)</f>
        <v>Descontinuado (con stock)</v>
      </c>
      <c r="S18" s="10" t="str">
        <f t="shared" si="0"/>
        <v>si}</v>
      </c>
    </row>
    <row r="19" spans="1:19" x14ac:dyDescent="0.35">
      <c r="A19">
        <v>75001414</v>
      </c>
      <c r="B19">
        <f>+_xlfn.XLOOKUP(A19,MASTER!B:B,MASTER!A:A)</f>
        <v>100018586</v>
      </c>
      <c r="C19" t="str">
        <f>+_xlfn.XLOOKUP(A19,MASTER!B:B,MASTER!C:C)</f>
        <v>MARLBORO SELECC ARTESANAL 14 1 CAJETILLA</v>
      </c>
      <c r="D19" s="10" t="str">
        <f>+_xlfn.XLOOKUP(A19,MASTER!B:B,MASTER!D:D)</f>
        <v>PMI</v>
      </c>
      <c r="E19" s="10" t="str">
        <f>+_xlfn.XLOOKUP(A19,MASTER!B:B,MASTER!I:I)</f>
        <v>Descontinuado (con stock)</v>
      </c>
      <c r="G19">
        <v>75006266</v>
      </c>
      <c r="H19" s="10">
        <f>+_xlfn.XLOOKUP(G19,MASTER!B:B,MASTER!A:A)</f>
        <v>100023311</v>
      </c>
      <c r="I19" s="10" t="str">
        <f>+_xlfn.XLOOKUP(G19,MASTER!B:B,MASTER!C:C)</f>
        <v>MARLBORO MARLBORO CRAFTED 2.0 GOLD 100 BOX 20 CAJETILLA PZ</v>
      </c>
      <c r="N19">
        <v>75073541</v>
      </c>
      <c r="O19" s="10">
        <f>+_xlfn.XLOOKUP(N19,MASTER!B:B,MASTER!A:A)</f>
        <v>100018745</v>
      </c>
      <c r="P19" s="10" t="str">
        <f>+_xlfn.XLOOKUP(N19,MASTER!B:B,MASTER!C:C)</f>
        <v>PALL MALL EX WHITE 15 1 CAJETILLA</v>
      </c>
      <c r="Q19" s="10" t="str">
        <f>+_xlfn.XLOOKUP(N19,MASTER!B:B,MASTER!D:D)</f>
        <v>BAT</v>
      </c>
      <c r="R19" s="10" t="str">
        <f>+_xlfn.XLOOKUP(N19,MASTER!B:B,MASTER!I:I)</f>
        <v>Activo</v>
      </c>
      <c r="S19" s="10" t="str">
        <f t="shared" si="0"/>
        <v>no</v>
      </c>
    </row>
    <row r="20" spans="1:19" ht="14.5" hidden="1" x14ac:dyDescent="0.35">
      <c r="A20">
        <v>75001476</v>
      </c>
      <c r="B20">
        <f>+_xlfn.XLOOKUP(A20,MASTER!B:B,MASTER!A:A)</f>
        <v>100080034</v>
      </c>
      <c r="C20" t="str">
        <f>+_xlfn.XLOOKUP(A20,MASTER!B:B,MASTER!C:C)</f>
        <v>DELICADOS CIGARR OVALADOS CAJET</v>
      </c>
      <c r="D20" s="10" t="str">
        <f>+_xlfn.XLOOKUP(A20,MASTER!B:B,MASTER!D:D)</f>
        <v>PMI</v>
      </c>
      <c r="E20" s="10" t="str">
        <f>+_xlfn.XLOOKUP(A20,MASTER!B:B,MASTER!I:I)</f>
        <v>Descontinuado (con stock)</v>
      </c>
      <c r="G20">
        <v>75006280</v>
      </c>
      <c r="H20" s="10">
        <f>+_xlfn.XLOOKUP(G20,MASTER!B:B,MASTER!A:A)</f>
        <v>100024320</v>
      </c>
      <c r="I20" s="10" t="str">
        <f>+_xlfn.XLOOKUP(G20,MASTER!B:B,MASTER!C:C)</f>
        <v>FAROS FAROS KS BOX 25 CAJETILLA PZ</v>
      </c>
      <c r="N20">
        <v>75074081</v>
      </c>
      <c r="O20" s="10">
        <f>+_xlfn.XLOOKUP(N20,MASTER!B:B,MASTER!A:A)</f>
        <v>100020837</v>
      </c>
      <c r="P20" s="10" t="str">
        <f>+_xlfn.XLOOKUP(N20,MASTER!B:B,MASTER!C:C)</f>
        <v>PALL MALL EX CLASSI 14S 1 CAJETILLA</v>
      </c>
      <c r="Q20" s="10" t="str">
        <f>+_xlfn.XLOOKUP(N20,MASTER!B:B,MASTER!D:D)</f>
        <v>BAT</v>
      </c>
      <c r="R20" s="10" t="str">
        <f>+_xlfn.XLOOKUP(N20,MASTER!B:B,MASTER!I:I)</f>
        <v>Activo</v>
      </c>
      <c r="S20" s="10" t="str">
        <f t="shared" si="0"/>
        <v>si}</v>
      </c>
    </row>
    <row r="21" spans="1:19" x14ac:dyDescent="0.35">
      <c r="A21">
        <v>75004385</v>
      </c>
      <c r="B21">
        <f>+_xlfn.XLOOKUP(A21,MASTER!B:B,MASTER!A:A)</f>
        <v>100021977</v>
      </c>
      <c r="C21" t="str">
        <f>+_xlfn.XLOOKUP(A21,MASTER!B:B,MASTER!C:C)</f>
        <v>FAROS FAROS FAROS 14 1 CAJETILLA</v>
      </c>
      <c r="D21" s="10" t="str">
        <f>+_xlfn.XLOOKUP(A21,MASTER!B:B,MASTER!D:D)</f>
        <v>PMI</v>
      </c>
      <c r="E21" s="10" t="str">
        <f>+_xlfn.XLOOKUP(A21,MASTER!B:B,MASTER!I:I)</f>
        <v>Activo</v>
      </c>
      <c r="G21">
        <v>75006297</v>
      </c>
      <c r="H21" s="10">
        <f>+_xlfn.XLOOKUP(G21,MASTER!B:B,MASTER!A:A)</f>
        <v>100023312</v>
      </c>
      <c r="I21" s="10" t="str">
        <f>+_xlfn.XLOOKUP(G21,MASTER!B:B,MASTER!C:C)</f>
        <v>MARLBORO MARLBORO CRAFTED RED 2.0 100 BOX 20 CAJETILLA PZ</v>
      </c>
      <c r="N21">
        <v>75074227</v>
      </c>
      <c r="O21" s="10">
        <f>+_xlfn.XLOOKUP(N21,MASTER!B:B,MASTER!A:A)</f>
        <v>100019550</v>
      </c>
      <c r="P21" s="10" t="str">
        <f>+_xlfn.XLOOKUP(N21,MASTER!B:B,MASTER!C:C)</f>
        <v>LUCKY STRIKE COMET 20S 1 CAJETILLA</v>
      </c>
      <c r="Q21" s="10" t="str">
        <f>+_xlfn.XLOOKUP(N21,MASTER!B:B,MASTER!D:D)</f>
        <v>BAT</v>
      </c>
      <c r="R21" s="10" t="str">
        <f>+_xlfn.XLOOKUP(N21,MASTER!B:B,MASTER!I:I)</f>
        <v>Activo</v>
      </c>
      <c r="S21" s="10" t="str">
        <f t="shared" si="0"/>
        <v>no</v>
      </c>
    </row>
    <row r="22" spans="1:19" x14ac:dyDescent="0.35">
      <c r="A22">
        <v>75004392</v>
      </c>
      <c r="B22">
        <f>+_xlfn.XLOOKUP(A22,MASTER!B:B,MASTER!A:A)</f>
        <v>100021950</v>
      </c>
      <c r="C22" t="str">
        <f>+_xlfn.XLOOKUP(A22,MASTER!B:B,MASTER!C:C)</f>
        <v>FAROS 20 1 CAJETILLA</v>
      </c>
      <c r="D22" s="10" t="str">
        <f>+_xlfn.XLOOKUP(A22,MASTER!B:B,MASTER!D:D)</f>
        <v>PMI</v>
      </c>
      <c r="E22" s="10" t="str">
        <f>+_xlfn.XLOOKUP(A22,MASTER!B:B,MASTER!I:I)</f>
        <v>Activo</v>
      </c>
      <c r="G22">
        <v>75006341</v>
      </c>
      <c r="H22" s="10">
        <f>+_xlfn.XLOOKUP(G22,MASTER!B:B,MASTER!A:A)</f>
        <v>100023683</v>
      </c>
      <c r="I22" s="10" t="str">
        <f>+_xlfn.XLOOKUP(G22,MASTER!B:B,MASTER!C:C)</f>
        <v>TEREA GREEN ZING CAJETILLA PZ</v>
      </c>
      <c r="N22">
        <v>75074975</v>
      </c>
      <c r="O22" s="10">
        <f>+_xlfn.XLOOKUP(N22,MASTER!B:B,MASTER!A:A)</f>
        <v>100019234</v>
      </c>
      <c r="P22" s="10" t="str">
        <f>+_xlfn.XLOOKUP(N22,MASTER!B:B,MASTER!C:C)</f>
        <v>PALL MALL XL ALASKA 15S 1 CAJETILLA</v>
      </c>
      <c r="Q22" s="10" t="str">
        <f>+_xlfn.XLOOKUP(N22,MASTER!B:B,MASTER!D:D)</f>
        <v>BAT</v>
      </c>
      <c r="R22" s="10" t="str">
        <f>+_xlfn.XLOOKUP(N22,MASTER!B:B,MASTER!I:I)</f>
        <v>Activo</v>
      </c>
      <c r="S22" s="10" t="str">
        <f t="shared" si="0"/>
        <v>no</v>
      </c>
    </row>
    <row r="23" spans="1:19" x14ac:dyDescent="0.35">
      <c r="A23">
        <v>75004408</v>
      </c>
      <c r="B23">
        <f>+_xlfn.XLOOKUP(A23,MASTER!B:B,MASTER!A:A)</f>
        <v>100022331</v>
      </c>
      <c r="C23" t="str">
        <f>+_xlfn.XLOOKUP(A23,MASTER!B:B,MASTER!C:C)</f>
        <v>MARLBORO VISTA ARTIC 14S CAJETILLAPZ</v>
      </c>
      <c r="D23" s="10" t="str">
        <f>+_xlfn.XLOOKUP(A23,MASTER!B:B,MASTER!D:D)</f>
        <v>PMI</v>
      </c>
      <c r="E23" s="10" t="str">
        <f>+_xlfn.XLOOKUP(A23,MASTER!B:B,MASTER!I:I)</f>
        <v>Descontinuado (con stock)</v>
      </c>
      <c r="G23">
        <v>75006358</v>
      </c>
      <c r="H23" s="10">
        <f>+_xlfn.XLOOKUP(G23,MASTER!B:B,MASTER!A:A)</f>
        <v>100024244</v>
      </c>
      <c r="I23" s="10" t="str">
        <f>+_xlfn.XLOOKUP(G23,MASTER!B:B,MASTER!C:C)</f>
        <v>TEREA SUN PEARL CAJETILLA PZ</v>
      </c>
      <c r="N23">
        <v>75074982</v>
      </c>
      <c r="O23" s="10">
        <f>+_xlfn.XLOOKUP(N23,MASTER!B:B,MASTER!A:A)</f>
        <v>100019230</v>
      </c>
      <c r="P23" s="10" t="str">
        <f>+_xlfn.XLOOKUP(N23,MASTER!B:B,MASTER!C:C)</f>
        <v>PALL MALL XL TOKYO 15S 1 CAJETILLA</v>
      </c>
      <c r="Q23" s="10" t="str">
        <f>+_xlfn.XLOOKUP(N23,MASTER!B:B,MASTER!D:D)</f>
        <v>BAT</v>
      </c>
      <c r="R23" s="10" t="str">
        <f>+_xlfn.XLOOKUP(N23,MASTER!B:B,MASTER!I:I)</f>
        <v>Activo</v>
      </c>
      <c r="S23" s="10" t="str">
        <f t="shared" si="0"/>
        <v>no</v>
      </c>
    </row>
    <row r="24" spans="1:19" x14ac:dyDescent="0.35">
      <c r="A24">
        <v>75004415</v>
      </c>
      <c r="B24">
        <f>+_xlfn.XLOOKUP(A24,MASTER!B:B,MASTER!A:A)</f>
        <v>100022276</v>
      </c>
      <c r="C24" t="str">
        <f>+_xlfn.XLOOKUP(A24,MASTER!B:B,MASTER!C:C)</f>
        <v>MARLBORO EXOTIC VISTA EXOTIC 1 CAJETILLA</v>
      </c>
      <c r="D24" s="10" t="str">
        <f>+_xlfn.XLOOKUP(A24,MASTER!B:B,MASTER!D:D)</f>
        <v>PMI</v>
      </c>
      <c r="E24" s="10" t="str">
        <f>+_xlfn.XLOOKUP(A24,MASTER!B:B,MASTER!I:I)</f>
        <v>Descontinuado (con stock)</v>
      </c>
      <c r="G24">
        <v>75006372</v>
      </c>
      <c r="H24" s="10">
        <f>+_xlfn.XLOOKUP(G24,MASTER!B:B,MASTER!A:A)</f>
        <v>101000062</v>
      </c>
      <c r="I24" s="10" t="str">
        <f>+_xlfn.XLOOKUP(G24,MASTER!B:B,MASTER!C:C)</f>
        <v>MARLBORO FOREST FUSION CAJETILLA PZ</v>
      </c>
      <c r="N24">
        <v>75074999</v>
      </c>
      <c r="O24" s="10">
        <f>+_xlfn.XLOOKUP(N24,MASTER!B:B,MASTER!A:A)</f>
        <v>100019233</v>
      </c>
      <c r="P24" s="10" t="str">
        <f>+_xlfn.XLOOKUP(N24,MASTER!B:B,MASTER!C:C)</f>
        <v>PALL MALL XL MYKONO 15S 1 CAJETILLA</v>
      </c>
      <c r="Q24" s="10" t="str">
        <f>+_xlfn.XLOOKUP(N24,MASTER!B:B,MASTER!D:D)</f>
        <v>BAT</v>
      </c>
      <c r="R24" s="10" t="str">
        <f>+_xlfn.XLOOKUP(N24,MASTER!B:B,MASTER!I:I)</f>
        <v>Activo</v>
      </c>
      <c r="S24" s="10" t="str">
        <f t="shared" si="0"/>
        <v>no</v>
      </c>
    </row>
    <row r="25" spans="1:19" x14ac:dyDescent="0.35">
      <c r="A25">
        <v>75005481</v>
      </c>
      <c r="B25">
        <f>+_xlfn.XLOOKUP(A25,MASTER!B:B,MASTER!A:A)</f>
        <v>100021048</v>
      </c>
      <c r="C25" t="str">
        <f>+_xlfn.XLOOKUP(A25,MASTER!B:B,MASTER!C:C)</f>
        <v>LM LM 25S 25S 1 CAJETILLA</v>
      </c>
      <c r="D25" s="10" t="str">
        <f>+_xlfn.XLOOKUP(A25,MASTER!B:B,MASTER!D:D)</f>
        <v>PMI</v>
      </c>
      <c r="E25" s="10" t="str">
        <f>+_xlfn.XLOOKUP(A25,MASTER!B:B,MASTER!I:I)</f>
        <v>Activo</v>
      </c>
      <c r="G25">
        <v>75006389</v>
      </c>
      <c r="H25" s="10">
        <f>+_xlfn.XLOOKUP(G25,MASTER!B:B,MASTER!A:A)</f>
        <v>100023681</v>
      </c>
      <c r="I25" s="10" t="str">
        <f>+_xlfn.XLOOKUP(G25,MASTER!B:B,MASTER!C:C)</f>
        <v>TEREA BLUE CAJETILLA PZ</v>
      </c>
      <c r="N25">
        <v>75076405</v>
      </c>
      <c r="O25" s="10">
        <f>+_xlfn.XLOOKUP(N25,MASTER!B:B,MASTER!A:A)</f>
        <v>100020970</v>
      </c>
      <c r="P25" s="10" t="str">
        <f>+_xlfn.XLOOKUP(N25,MASTER!B:B,MASTER!C:C)</f>
        <v>MONTANA CLASSI 14S 1 CAJETILLA</v>
      </c>
      <c r="Q25" s="10" t="str">
        <f>+_xlfn.XLOOKUP(N25,MASTER!B:B,MASTER!D:D)</f>
        <v>BAT</v>
      </c>
      <c r="R25" s="10" t="str">
        <f>+_xlfn.XLOOKUP(N25,MASTER!B:B,MASTER!I:I)</f>
        <v>Activo</v>
      </c>
      <c r="S25" s="10" t="str">
        <f t="shared" si="0"/>
        <v>no</v>
      </c>
    </row>
    <row r="26" spans="1:19" x14ac:dyDescent="0.35">
      <c r="A26">
        <v>75006204</v>
      </c>
      <c r="B26">
        <f>+_xlfn.XLOOKUP(A26,MASTER!B:B,MASTER!A:A)</f>
        <v>101000061</v>
      </c>
      <c r="C26" t="str">
        <f>+_xlfn.XLOOKUP(A26,MASTER!B:B,MASTER!C:C)</f>
        <v>MARLBORO CARIBBEAN FUSION 100 BOX 14 CAJETILLA PZ</v>
      </c>
      <c r="D26" s="10" t="str">
        <f>+_xlfn.XLOOKUP(A26,MASTER!B:B,MASTER!D:D)</f>
        <v>PMI</v>
      </c>
      <c r="E26" s="10" t="str">
        <f>+_xlfn.XLOOKUP(A26,MASTER!B:B,MASTER!I:I)</f>
        <v>Descontinuado (con stock)</v>
      </c>
      <c r="G26">
        <v>75006396</v>
      </c>
      <c r="H26" s="10">
        <f>+_xlfn.XLOOKUP(G26,MASTER!B:B,MASTER!A:A)</f>
        <v>100023682</v>
      </c>
      <c r="I26" s="10" t="str">
        <f>+_xlfn.XLOOKUP(G26,MASTER!B:B,MASTER!C:C)</f>
        <v>TEREA BRONZE CAJETILLA PZ</v>
      </c>
      <c r="N26">
        <v>75076412</v>
      </c>
      <c r="O26" s="10">
        <f>+_xlfn.XLOOKUP(N26,MASTER!B:B,MASTER!A:A)</f>
        <v>100022233</v>
      </c>
      <c r="P26" s="10" t="str">
        <f>+_xlfn.XLOOKUP(N26,MASTER!B:B,MASTER!C:C)</f>
        <v>PALL MALL LONDON 20S 1 CAJETILLA</v>
      </c>
      <c r="Q26" s="10" t="str">
        <f>+_xlfn.XLOOKUP(N26,MASTER!B:B,MASTER!D:D)</f>
        <v>BAT</v>
      </c>
      <c r="R26" s="10" t="str">
        <f>+_xlfn.XLOOKUP(N26,MASTER!B:B,MASTER!I:I)</f>
        <v>Activo</v>
      </c>
      <c r="S26" s="10" t="str">
        <f t="shared" si="0"/>
        <v>no</v>
      </c>
    </row>
    <row r="27" spans="1:19" x14ac:dyDescent="0.35">
      <c r="A27">
        <v>75006266</v>
      </c>
      <c r="B27">
        <f>+_xlfn.XLOOKUP(A27,MASTER!B:B,MASTER!A:A)</f>
        <v>100023311</v>
      </c>
      <c r="C27" t="str">
        <f>+_xlfn.XLOOKUP(A27,MASTER!B:B,MASTER!C:C)</f>
        <v>MARLBORO MARLBORO CRAFTED 2.0 GOLD 100 BOX 20 CAJETILLA PZ</v>
      </c>
      <c r="D27" s="10" t="str">
        <f>+_xlfn.XLOOKUP(A27,MASTER!B:B,MASTER!D:D)</f>
        <v>PMI</v>
      </c>
      <c r="E27" s="10" t="str">
        <f>+_xlfn.XLOOKUP(A27,MASTER!B:B,MASTER!I:I)</f>
        <v>Activo</v>
      </c>
      <c r="G27">
        <v>75006587</v>
      </c>
      <c r="H27" s="10">
        <f>+_xlfn.XLOOKUP(G27,MASTER!B:B,MASTER!A:A)</f>
        <v>100024134</v>
      </c>
      <c r="I27" s="10" t="str">
        <f>+_xlfn.XLOOKUP(G27,MASTER!B:B,MASTER!C:C)</f>
        <v>MARLBORO LUNA SHUFFLE 100 BOX 20 STD CAJETILLA PZ</v>
      </c>
      <c r="N27">
        <v>75076429</v>
      </c>
      <c r="O27" s="10">
        <f>+_xlfn.XLOOKUP(N27,MASTER!B:B,MASTER!A:A)</f>
        <v>100022118</v>
      </c>
      <c r="P27" s="10" t="str">
        <f>+_xlfn.XLOOKUP(N27,MASTER!B:B,MASTER!C:C)</f>
        <v>PALL MALL HAWAII 20S 1 CAJETILLA</v>
      </c>
      <c r="Q27" s="10" t="str">
        <f>+_xlfn.XLOOKUP(N27,MASTER!B:B,MASTER!D:D)</f>
        <v>BAT</v>
      </c>
      <c r="R27" s="10" t="str">
        <f>+_xlfn.XLOOKUP(N27,MASTER!B:B,MASTER!I:I)</f>
        <v>Activo</v>
      </c>
      <c r="S27" s="10" t="str">
        <f t="shared" si="0"/>
        <v>no</v>
      </c>
    </row>
    <row r="28" spans="1:19" x14ac:dyDescent="0.35">
      <c r="A28">
        <v>75006280</v>
      </c>
      <c r="B28">
        <f>+_xlfn.XLOOKUP(A28,MASTER!B:B,MASTER!A:A)</f>
        <v>100024320</v>
      </c>
      <c r="C28" t="str">
        <f>+_xlfn.XLOOKUP(A28,MASTER!B:B,MASTER!C:C)</f>
        <v>FAROS FAROS KS BOX 25 CAJETILLA PZ</v>
      </c>
      <c r="D28" s="10" t="str">
        <f>+_xlfn.XLOOKUP(A28,MASTER!B:B,MASTER!D:D)</f>
        <v>PMI</v>
      </c>
      <c r="E28" s="10" t="str">
        <f>+_xlfn.XLOOKUP(A28,MASTER!B:B,MASTER!I:I)</f>
        <v>Activo</v>
      </c>
      <c r="G28">
        <v>75006938</v>
      </c>
      <c r="H28" s="10">
        <f>+_xlfn.XLOOKUP(G28,MASTER!B:B,MASTER!A:A)</f>
        <v>100023686</v>
      </c>
      <c r="I28" s="10" t="str">
        <f>+_xlfn.XLOOKUP(G28,MASTER!B:B,MASTER!C:C)</f>
        <v>TEREA SIENNA CAJETILLA PZ</v>
      </c>
      <c r="N28">
        <v>75076740</v>
      </c>
      <c r="O28" s="10">
        <f>+_xlfn.XLOOKUP(N28,MASTER!B:B,MASTER!A:A)</f>
        <v>100020969</v>
      </c>
      <c r="P28" s="10" t="str">
        <f>+_xlfn.XLOOKUP(N28,MASTER!B:B,MASTER!C:C)</f>
        <v>MONTANA CLASSI 20S 1 CAJETILLA</v>
      </c>
      <c r="Q28" s="10" t="str">
        <f>+_xlfn.XLOOKUP(N28,MASTER!B:B,MASTER!D:D)</f>
        <v>BAT</v>
      </c>
      <c r="R28" s="10" t="str">
        <f>+_xlfn.XLOOKUP(N28,MASTER!B:B,MASTER!I:I)</f>
        <v>Activo</v>
      </c>
      <c r="S28" s="10" t="str">
        <f t="shared" si="0"/>
        <v>no</v>
      </c>
    </row>
    <row r="29" spans="1:19" x14ac:dyDescent="0.35">
      <c r="A29">
        <v>75006297</v>
      </c>
      <c r="B29">
        <f>+_xlfn.XLOOKUP(A29,MASTER!B:B,MASTER!A:A)</f>
        <v>100023312</v>
      </c>
      <c r="C29" t="str">
        <f>+_xlfn.XLOOKUP(A29,MASTER!B:B,MASTER!C:C)</f>
        <v>MARLBORO MARLBORO CRAFTED RED 2.0 100 BOX 20 CAJETILLA PZ</v>
      </c>
      <c r="D29" s="10" t="str">
        <f>+_xlfn.XLOOKUP(A29,MASTER!B:B,MASTER!D:D)</f>
        <v>PMI</v>
      </c>
      <c r="E29" s="10" t="str">
        <f>+_xlfn.XLOOKUP(A29,MASTER!B:B,MASTER!I:I)</f>
        <v>Activo</v>
      </c>
      <c r="G29">
        <v>75006952</v>
      </c>
      <c r="H29" s="10">
        <f>+_xlfn.XLOOKUP(G29,MASTER!B:B,MASTER!A:A)</f>
        <v>100023684</v>
      </c>
      <c r="I29" s="10" t="str">
        <f>+_xlfn.XLOOKUP(G29,MASTER!B:B,MASTER!C:C)</f>
        <v>TEREA PURPLE CAJETILLA PZ</v>
      </c>
      <c r="N29">
        <v>75076757</v>
      </c>
      <c r="O29" s="10">
        <f>+_xlfn.XLOOKUP(N29,MASTER!B:B,MASTER!A:A)</f>
        <v>100021658</v>
      </c>
      <c r="P29" s="10" t="str">
        <f>+_xlfn.XLOOKUP(N29,MASTER!B:B,MASTER!C:C)</f>
        <v>PALL MALL EX GOLD C 14S 1 CAJETILLA</v>
      </c>
      <c r="Q29" s="10" t="str">
        <f>+_xlfn.XLOOKUP(N29,MASTER!B:B,MASTER!D:D)</f>
        <v>BAT</v>
      </c>
      <c r="R29" s="10" t="str">
        <f>+_xlfn.XLOOKUP(N29,MASTER!B:B,MASTER!I:I)</f>
        <v>Activo</v>
      </c>
      <c r="S29" s="10" t="str">
        <f t="shared" si="0"/>
        <v>no</v>
      </c>
    </row>
    <row r="30" spans="1:19" x14ac:dyDescent="0.35">
      <c r="A30">
        <v>75006341</v>
      </c>
      <c r="B30">
        <f>+_xlfn.XLOOKUP(A30,MASTER!B:B,MASTER!A:A)</f>
        <v>100023683</v>
      </c>
      <c r="C30" t="str">
        <f>+_xlfn.XLOOKUP(A30,MASTER!B:B,MASTER!C:C)</f>
        <v>TEREA GREEN ZING CAJETILLA PZ</v>
      </c>
      <c r="D30" s="10" t="str">
        <f>+_xlfn.XLOOKUP(A30,MASTER!B:B,MASTER!D:D)</f>
        <v>PMI</v>
      </c>
      <c r="E30" s="10" t="str">
        <f>+_xlfn.XLOOKUP(A30,MASTER!B:B,MASTER!I:I)</f>
        <v>Descontinuado (con stock)</v>
      </c>
      <c r="G30">
        <v>75007454</v>
      </c>
      <c r="H30" s="10">
        <f>+_xlfn.XLOOKUP(G30,MASTER!B:B,MASTER!A:A)</f>
        <v>100024246</v>
      </c>
      <c r="I30" s="10" t="str">
        <f>+_xlfn.XLOOKUP(G30,MASTER!B:B,MASTER!C:C)</f>
        <v>TEREA BLACK PURPLE CAJETILLA PZ</v>
      </c>
      <c r="N30">
        <v>75078638</v>
      </c>
      <c r="O30" s="10">
        <f>+_xlfn.XLOOKUP(N30,MASTER!B:B,MASTER!A:A)</f>
        <v>100021978</v>
      </c>
      <c r="P30" s="10" t="str">
        <f>+_xlfn.XLOOKUP(N30,MASTER!B:B,MASTER!C:C)</f>
        <v>PALL MALL EX GOLD C 20S 1 CAJETILLA</v>
      </c>
      <c r="Q30" s="10" t="str">
        <f>+_xlfn.XLOOKUP(N30,MASTER!B:B,MASTER!D:D)</f>
        <v>BAT</v>
      </c>
      <c r="R30" s="10" t="str">
        <f>+_xlfn.XLOOKUP(N30,MASTER!B:B,MASTER!I:I)</f>
        <v>Activo</v>
      </c>
      <c r="S30" s="10" t="str">
        <f t="shared" si="0"/>
        <v>no</v>
      </c>
    </row>
    <row r="31" spans="1:19" x14ac:dyDescent="0.35">
      <c r="A31">
        <v>75006358</v>
      </c>
      <c r="B31">
        <f>+_xlfn.XLOOKUP(A31,MASTER!B:B,MASTER!A:A)</f>
        <v>100024244</v>
      </c>
      <c r="C31" t="str">
        <f>+_xlfn.XLOOKUP(A31,MASTER!B:B,MASTER!C:C)</f>
        <v>TEREA SUN PEARL CAJETILLA PZ</v>
      </c>
      <c r="D31" s="10" t="str">
        <f>+_xlfn.XLOOKUP(A31,MASTER!B:B,MASTER!D:D)</f>
        <v>PMI</v>
      </c>
      <c r="E31" s="10" t="str">
        <f>+_xlfn.XLOOKUP(A31,MASTER!B:B,MASTER!I:I)</f>
        <v>Activo</v>
      </c>
      <c r="G31">
        <v>75007461</v>
      </c>
      <c r="H31" s="10">
        <f>+_xlfn.XLOOKUP(G31,MASTER!B:B,MASTER!A:A)</f>
        <v>100023685</v>
      </c>
      <c r="I31" s="10" t="str">
        <f>+_xlfn.XLOOKUP(G31,MASTER!B:B,MASTER!C:C)</f>
        <v>TEREA RUSSET CAJETILLA PZ</v>
      </c>
      <c r="N31">
        <v>75078843</v>
      </c>
      <c r="O31" s="10">
        <f>+_xlfn.XLOOKUP(N31,MASTER!B:B,MASTER!A:A)</f>
        <v>100023317</v>
      </c>
      <c r="P31" s="10" t="str">
        <f>+_xlfn.XLOOKUP(N31,MASTER!B:B,MASTER!C:C)</f>
        <v>MONTANA SHOTS CLASSICS 25 PZ</v>
      </c>
      <c r="Q31" s="10" t="str">
        <f>+_xlfn.XLOOKUP(N31,MASTER!B:B,MASTER!D:D)</f>
        <v>BAT</v>
      </c>
      <c r="R31" s="10" t="str">
        <f>+_xlfn.XLOOKUP(N31,MASTER!B:B,MASTER!I:I)</f>
        <v>Activo</v>
      </c>
      <c r="S31" s="10" t="str">
        <f t="shared" si="0"/>
        <v>no</v>
      </c>
    </row>
    <row r="32" spans="1:19" x14ac:dyDescent="0.35">
      <c r="A32">
        <v>75006372</v>
      </c>
      <c r="B32">
        <f>+_xlfn.XLOOKUP(A32,MASTER!B:B,MASTER!A:A)</f>
        <v>101000062</v>
      </c>
      <c r="C32" t="str">
        <f>+_xlfn.XLOOKUP(A32,MASTER!B:B,MASTER!C:C)</f>
        <v>MARLBORO FOREST FUSION CAJETILLA PZ</v>
      </c>
      <c r="D32" s="10" t="str">
        <f>+_xlfn.XLOOKUP(A32,MASTER!B:B,MASTER!D:D)</f>
        <v>PMI</v>
      </c>
      <c r="E32" s="10" t="str">
        <f>+_xlfn.XLOOKUP(A32,MASTER!B:B,MASTER!I:I)</f>
        <v>Descontinuado (con stock)</v>
      </c>
      <c r="G32">
        <v>75012564</v>
      </c>
      <c r="H32" s="10">
        <f>+_xlfn.XLOOKUP(G32,MASTER!B:B,MASTER!A:A)</f>
        <v>100020729</v>
      </c>
      <c r="I32" s="10" t="str">
        <f>+_xlfn.XLOOKUP(G32,MASTER!B:B,MASTER!C:C)</f>
        <v>BENSON&amp;HEDGE LUX AM AMBER 1 CAJETILLA</v>
      </c>
      <c r="N32">
        <v>75079017</v>
      </c>
      <c r="O32" s="10">
        <f>+_xlfn.XLOOKUP(N32,MASTER!B:B,MASTER!A:A)</f>
        <v>101000079</v>
      </c>
      <c r="P32" s="10" t="str">
        <f>+_xlfn.XLOOKUP(N32,MASTER!B:B,MASTER!C:C)</f>
        <v>PALL MALL BORA BORA SUNBREAK 20 PZ</v>
      </c>
      <c r="Q32" s="10" t="str">
        <f>+_xlfn.XLOOKUP(N32,MASTER!B:B,MASTER!D:D)</f>
        <v>BAT</v>
      </c>
      <c r="R32" s="10" t="str">
        <f>+_xlfn.XLOOKUP(N32,MASTER!B:B,MASTER!I:I)</f>
        <v>Activo</v>
      </c>
      <c r="S32" s="10" t="str">
        <f t="shared" si="0"/>
        <v>no</v>
      </c>
    </row>
    <row r="33" spans="1:19" ht="14.5" hidden="1" x14ac:dyDescent="0.35">
      <c r="A33">
        <v>75006389</v>
      </c>
      <c r="B33">
        <f>+_xlfn.XLOOKUP(A33,MASTER!B:B,MASTER!A:A)</f>
        <v>100023681</v>
      </c>
      <c r="C33" t="str">
        <f>+_xlfn.XLOOKUP(A33,MASTER!B:B,MASTER!C:C)</f>
        <v>TEREA BLUE CAJETILLA PZ</v>
      </c>
      <c r="D33" s="10" t="str">
        <f>+_xlfn.XLOOKUP(A33,MASTER!B:B,MASTER!D:D)</f>
        <v>PMI</v>
      </c>
      <c r="E33" s="10" t="str">
        <f>+_xlfn.XLOOKUP(A33,MASTER!B:B,MASTER!I:I)</f>
        <v>Activo</v>
      </c>
      <c r="G33">
        <v>75012694</v>
      </c>
      <c r="H33" s="10">
        <f>+_xlfn.XLOOKUP(G33,MASTER!B:B,MASTER!A:A)</f>
        <v>100022210</v>
      </c>
      <c r="I33" s="10" t="str">
        <f>+_xlfn.XLOOKUP(G33,MASTER!B:B,MASTER!C:C)</f>
        <v>BENSON&amp;HEDGE LUX QU QUARTZ 1 CAJETILLA</v>
      </c>
      <c r="N33">
        <v>75079963</v>
      </c>
      <c r="O33" s="10">
        <f>+_xlfn.XLOOKUP(N33,MASTER!B:B,MASTER!A:A)</f>
        <v>100023425</v>
      </c>
      <c r="P33" s="10" t="str">
        <f>+_xlfn.XLOOKUP(N33,MASTER!B:B,MASTER!C:C)</f>
        <v>PALL MALL CLASSICS 25 PZ</v>
      </c>
      <c r="Q33" s="10" t="str">
        <f>+_xlfn.XLOOKUP(N33,MASTER!B:B,MASTER!D:D)</f>
        <v>BAT</v>
      </c>
      <c r="R33" s="10" t="str">
        <f>+_xlfn.XLOOKUP(N33,MASTER!B:B,MASTER!I:I)</f>
        <v>Activo</v>
      </c>
      <c r="S33" s="10" t="str">
        <f t="shared" si="0"/>
        <v>si}</v>
      </c>
    </row>
    <row r="34" spans="1:19" x14ac:dyDescent="0.35">
      <c r="A34">
        <v>75006396</v>
      </c>
      <c r="B34">
        <f>+_xlfn.XLOOKUP(A34,MASTER!B:B,MASTER!A:A)</f>
        <v>100023682</v>
      </c>
      <c r="C34" t="str">
        <f>+_xlfn.XLOOKUP(A34,MASTER!B:B,MASTER!C:C)</f>
        <v>TEREA BRONZE CAJETILLA PZ</v>
      </c>
      <c r="D34" s="10" t="str">
        <f>+_xlfn.XLOOKUP(A34,MASTER!B:B,MASTER!D:D)</f>
        <v>PMI</v>
      </c>
      <c r="E34" s="10" t="str">
        <f>+_xlfn.XLOOKUP(A34,MASTER!B:B,MASTER!I:I)</f>
        <v>Activo</v>
      </c>
      <c r="G34">
        <v>75012717</v>
      </c>
      <c r="H34" s="10">
        <f>+_xlfn.XLOOKUP(G34,MASTER!B:B,MASTER!A:A)</f>
        <v>100021421</v>
      </c>
      <c r="I34" s="10" t="str">
        <f>+_xlfn.XLOOKUP(G34,MASTER!B:B,MASTER!C:C)</f>
        <v>MARLBORO LPE ME MEXICO RED 1 CAJETILLA</v>
      </c>
      <c r="N34">
        <v>75080495</v>
      </c>
      <c r="O34" s="10">
        <f>+_xlfn.XLOOKUP(N34,MASTER!B:B,MASTER!A:A)</f>
        <v>100026386</v>
      </c>
      <c r="P34" s="10" t="str">
        <f>+_xlfn.XLOOKUP(N34,MASTER!B:B,MASTER!C:C)</f>
        <v>PALL MALL ICELAND 20 PZ</v>
      </c>
      <c r="Q34" s="10" t="str">
        <f>+_xlfn.XLOOKUP(N34,MASTER!B:B,MASTER!D:D)</f>
        <v>BAT</v>
      </c>
      <c r="R34" s="10" t="str">
        <f>+_xlfn.XLOOKUP(N34,MASTER!B:B,MASTER!I:I)</f>
        <v>Activo</v>
      </c>
      <c r="S34" s="10" t="str">
        <f t="shared" si="0"/>
        <v>no</v>
      </c>
    </row>
    <row r="35" spans="1:19" ht="14.5" hidden="1" x14ac:dyDescent="0.35">
      <c r="A35">
        <v>75006587</v>
      </c>
      <c r="B35">
        <f>+_xlfn.XLOOKUP(A35,MASTER!B:B,MASTER!A:A)</f>
        <v>100024134</v>
      </c>
      <c r="C35" t="str">
        <f>+_xlfn.XLOOKUP(A35,MASTER!B:B,MASTER!C:C)</f>
        <v>MARLBORO LUNA SHUFFLE 100 BOX 20 STD CAJETILLA PZ</v>
      </c>
      <c r="D35" s="10" t="str">
        <f>+_xlfn.XLOOKUP(A35,MASTER!B:B,MASTER!D:D)</f>
        <v>PMI</v>
      </c>
      <c r="E35" s="10" t="str">
        <f>+_xlfn.XLOOKUP(A35,MASTER!B:B,MASTER!I:I)</f>
        <v>Descontinuado (con stock)</v>
      </c>
      <c r="G35">
        <v>75014551</v>
      </c>
      <c r="H35" s="10">
        <f>+_xlfn.XLOOKUP(G35,MASTER!B:B,MASTER!A:A)</f>
        <v>100080420</v>
      </c>
      <c r="I35" s="10" t="str">
        <f>+_xlfn.XLOOKUP(G35,MASTER!B:B,MASTER!C:C)</f>
        <v>MARLBORO CIGARR LIGHT FT CD CAJET</v>
      </c>
      <c r="N35">
        <v>75080679</v>
      </c>
      <c r="O35" s="10">
        <f>+_xlfn.XLOOKUP(N35,MASTER!B:B,MASTER!A:A)</f>
        <v>100024321</v>
      </c>
      <c r="P35" s="10" t="str">
        <f>+_xlfn.XLOOKUP(N35,MASTER!B:B,MASTER!C:C)</f>
        <v>LUCKIES 25S</v>
      </c>
      <c r="Q35" s="10" t="str">
        <f>+_xlfn.XLOOKUP(N35,MASTER!B:B,MASTER!D:D)</f>
        <v>BAT</v>
      </c>
      <c r="R35" s="10" t="str">
        <f>+_xlfn.XLOOKUP(N35,MASTER!B:B,MASTER!I:I)</f>
        <v>Descontinuado (con stock)</v>
      </c>
      <c r="S35" s="10" t="str">
        <f t="shared" si="0"/>
        <v>si}</v>
      </c>
    </row>
    <row r="36" spans="1:19" ht="14.5" hidden="1" x14ac:dyDescent="0.35">
      <c r="A36">
        <v>75006938</v>
      </c>
      <c r="B36">
        <f>+_xlfn.XLOOKUP(A36,MASTER!B:B,MASTER!A:A)</f>
        <v>100023686</v>
      </c>
      <c r="C36" t="str">
        <f>+_xlfn.XLOOKUP(A36,MASTER!B:B,MASTER!C:C)</f>
        <v>TEREA SIENNA CAJETILLA PZ</v>
      </c>
      <c r="D36" s="10" t="str">
        <f>+_xlfn.XLOOKUP(A36,MASTER!B:B,MASTER!D:D)</f>
        <v>PMI</v>
      </c>
      <c r="E36" s="10" t="str">
        <f>+_xlfn.XLOOKUP(A36,MASTER!B:B,MASTER!I:I)</f>
        <v>Activo</v>
      </c>
      <c r="G36">
        <v>75015718</v>
      </c>
      <c r="H36" s="10">
        <f>+_xlfn.XLOOKUP(G36,MASTER!B:B,MASTER!A:A)</f>
        <v>100021418</v>
      </c>
      <c r="I36" s="10" t="str">
        <f>+_xlfn.XLOOKUP(G36,MASTER!B:B,MASTER!C:C)</f>
        <v>MARLBORO LPE GO GOLD CAPS MEXICO 1 CAJETILLA</v>
      </c>
      <c r="N36">
        <v>75081058</v>
      </c>
      <c r="O36" s="10">
        <f>+_xlfn.XLOOKUP(N36,MASTER!B:B,MASTER!A:A)</f>
        <v>100024596</v>
      </c>
      <c r="P36" s="10" t="str">
        <f>+_xlfn.XLOOKUP(N36,MASTER!B:B,MASTER!C:C)</f>
        <v>PALL MALL XL MIAMI PARADISE 20S 20 PZ</v>
      </c>
      <c r="Q36" s="10" t="str">
        <f>+_xlfn.XLOOKUP(N36,MASTER!B:B,MASTER!D:D)</f>
        <v>BAT</v>
      </c>
      <c r="R36" s="10" t="str">
        <f>+_xlfn.XLOOKUP(N36,MASTER!B:B,MASTER!I:I)</f>
        <v>Descontinuado (con stock)</v>
      </c>
      <c r="S36" s="10" t="str">
        <f t="shared" si="0"/>
        <v>si}</v>
      </c>
    </row>
    <row r="37" spans="1:19" ht="14.5" hidden="1" x14ac:dyDescent="0.35">
      <c r="A37">
        <v>75006952</v>
      </c>
      <c r="B37">
        <f>+_xlfn.XLOOKUP(A37,MASTER!B:B,MASTER!A:A)</f>
        <v>100023684</v>
      </c>
      <c r="C37" t="str">
        <f>+_xlfn.XLOOKUP(A37,MASTER!B:B,MASTER!C:C)</f>
        <v>TEREA PURPLE CAJETILLA PZ</v>
      </c>
      <c r="D37" s="10" t="str">
        <f>+_xlfn.XLOOKUP(A37,MASTER!B:B,MASTER!D:D)</f>
        <v>PMI</v>
      </c>
      <c r="E37" s="10" t="str">
        <f>+_xlfn.XLOOKUP(A37,MASTER!B:B,MASTER!I:I)</f>
        <v>Descontinuado (con stock)</v>
      </c>
      <c r="G37">
        <v>75015725</v>
      </c>
      <c r="H37" s="10">
        <f>+_xlfn.XLOOKUP(G37,MASTER!B:B,MASTER!A:A)</f>
        <v>100020727</v>
      </c>
      <c r="I37" s="10" t="str">
        <f>+_xlfn.XLOOKUP(G37,MASTER!B:B,MASTER!C:C)</f>
        <v>BENSON&amp;HEDGE LUX SA SAPPHIRE 1 CAJETILLA</v>
      </c>
      <c r="N37">
        <v>75082277</v>
      </c>
      <c r="O37" s="10">
        <f>+_xlfn.XLOOKUP(N37,MASTER!B:B,MASTER!A:A)</f>
        <v>100024882</v>
      </c>
      <c r="P37" s="10" t="str">
        <f>+_xlfn.XLOOKUP(N37,MASTER!B:B,MASTER!C:C)</f>
        <v>PALL MALL 125 AÑOS CASE ALASKA 20 PZ</v>
      </c>
      <c r="Q37" s="10" t="str">
        <f>+_xlfn.XLOOKUP(N37,MASTER!B:B,MASTER!D:D)</f>
        <v>BAT</v>
      </c>
      <c r="R37" s="10" t="str">
        <f>+_xlfn.XLOOKUP(N37,MASTER!B:B,MASTER!I:I)</f>
        <v>Descontinuado (con stock)</v>
      </c>
      <c r="S37" s="10" t="str">
        <f t="shared" si="0"/>
        <v>no</v>
      </c>
    </row>
    <row r="38" spans="1:19" x14ac:dyDescent="0.35">
      <c r="A38">
        <v>75007454</v>
      </c>
      <c r="B38">
        <f>+_xlfn.XLOOKUP(A38,MASTER!B:B,MASTER!A:A)</f>
        <v>100024246</v>
      </c>
      <c r="C38" t="str">
        <f>+_xlfn.XLOOKUP(A38,MASTER!B:B,MASTER!C:C)</f>
        <v>TEREA BLACK PURPLE CAJETILLA PZ</v>
      </c>
      <c r="D38" s="10" t="str">
        <f>+_xlfn.XLOOKUP(A38,MASTER!B:B,MASTER!D:D)</f>
        <v>PMI</v>
      </c>
      <c r="E38" s="10" t="str">
        <f>+_xlfn.XLOOKUP(A38,MASTER!B:B,MASTER!I:I)</f>
        <v>Activo</v>
      </c>
      <c r="G38">
        <v>75016777</v>
      </c>
      <c r="H38" s="10">
        <f>+_xlfn.XLOOKUP(G38,MASTER!B:B,MASTER!A:A)</f>
        <v>100080440</v>
      </c>
      <c r="I38" s="10" t="str">
        <f>+_xlfn.XLOOKUP(G38,MASTER!B:B,MASTER!C:C)</f>
        <v>BENSON&amp;HEDGE CIGARR MENTHOL CD CAJET</v>
      </c>
      <c r="N38">
        <v>75082543</v>
      </c>
      <c r="O38" s="10">
        <f>+_xlfn.XLOOKUP(N38,MASTER!B:B,MASTER!A:A)</f>
        <v>100025282</v>
      </c>
      <c r="P38" s="10" t="str">
        <f>+_xlfn.XLOOKUP(N38,MASTER!B:B,MASTER!C:C)</f>
        <v>PALL MALL HAWAII SUNLIGHT 15 PZ</v>
      </c>
      <c r="Q38" s="10" t="str">
        <f>+_xlfn.XLOOKUP(N38,MASTER!B:B,MASTER!D:D)</f>
        <v>BAT</v>
      </c>
      <c r="R38" s="10" t="str">
        <f>+_xlfn.XLOOKUP(N38,MASTER!B:B,MASTER!I:I)</f>
        <v>Activo</v>
      </c>
      <c r="S38" s="10" t="str">
        <f t="shared" si="0"/>
        <v>no</v>
      </c>
    </row>
    <row r="39" spans="1:19" x14ac:dyDescent="0.35">
      <c r="A39">
        <v>75007461</v>
      </c>
      <c r="B39">
        <f>+_xlfn.XLOOKUP(A39,MASTER!B:B,MASTER!A:A)</f>
        <v>100023685</v>
      </c>
      <c r="C39" t="str">
        <f>+_xlfn.XLOOKUP(A39,MASTER!B:B,MASTER!C:C)</f>
        <v>TEREA RUSSET CAJETILLA PZ</v>
      </c>
      <c r="D39" s="10" t="str">
        <f>+_xlfn.XLOOKUP(A39,MASTER!B:B,MASTER!D:D)</f>
        <v>PMI</v>
      </c>
      <c r="E39" s="10" t="str">
        <f>+_xlfn.XLOOKUP(A39,MASTER!B:B,MASTER!I:I)</f>
        <v>Activo</v>
      </c>
      <c r="G39">
        <v>75018825</v>
      </c>
      <c r="H39" s="10">
        <f>+_xlfn.XLOOKUP(G39,MASTER!B:B,MASTER!A:A)</f>
        <v>100020728</v>
      </c>
      <c r="I39" s="10" t="str">
        <f>+_xlfn.XLOOKUP(G39,MASTER!B:B,MASTER!C:C)</f>
        <v>BENSON&amp;HEDGE LUX JA JADE 1 CAJETILLA</v>
      </c>
      <c r="N39">
        <v>75083786</v>
      </c>
      <c r="O39" s="10">
        <f>+_xlfn.XLOOKUP(N39,MASTER!B:B,MASTER!A:A)</f>
        <v>100025670</v>
      </c>
      <c r="P39" s="10" t="str">
        <f>+_xlfn.XLOOKUP(N39,MASTER!B:B,MASTER!C:C)</f>
        <v>PALL MALL GOLD SELECT 14 PZ</v>
      </c>
      <c r="Q39" s="10" t="str">
        <f>+_xlfn.XLOOKUP(N39,MASTER!B:B,MASTER!D:D)</f>
        <v>BAT</v>
      </c>
      <c r="R39" s="10" t="str">
        <f>+_xlfn.XLOOKUP(N39,MASTER!B:B,MASTER!I:I)</f>
        <v>Activo</v>
      </c>
      <c r="S39" s="10" t="str">
        <f t="shared" si="0"/>
        <v>no</v>
      </c>
    </row>
    <row r="40" spans="1:19" x14ac:dyDescent="0.35">
      <c r="A40">
        <v>75012564</v>
      </c>
      <c r="B40">
        <f>+_xlfn.XLOOKUP(A40,MASTER!B:B,MASTER!A:A)</f>
        <v>100020729</v>
      </c>
      <c r="C40" t="str">
        <f>+_xlfn.XLOOKUP(A40,MASTER!B:B,MASTER!C:C)</f>
        <v>BENSON&amp;HEDGE LUX AM AMBER 1 CAJETILLA</v>
      </c>
      <c r="D40" s="10" t="str">
        <f>+_xlfn.XLOOKUP(A40,MASTER!B:B,MASTER!D:D)</f>
        <v>PMI</v>
      </c>
      <c r="E40" s="10" t="str">
        <f>+_xlfn.XLOOKUP(A40,MASTER!B:B,MASTER!I:I)</f>
        <v>Descontinuado (con stock)</v>
      </c>
      <c r="G40">
        <v>75018832</v>
      </c>
      <c r="H40" s="10">
        <f>+_xlfn.XLOOKUP(G40,MASTER!B:B,MASTER!A:A)</f>
        <v>100022332</v>
      </c>
      <c r="I40" s="10" t="str">
        <f>+_xlfn.XLOOKUP(G40,MASTER!B:B,MASTER!C:C)</f>
        <v>MARLBORO VISTA BLOSSOM 14´S CAJETILLAPZ</v>
      </c>
      <c r="N40">
        <v>7707200943245</v>
      </c>
      <c r="O40" s="10">
        <f>+_xlfn.XLOOKUP(N40,MASTER!B:B,MASTER!A:A)</f>
        <v>100024465</v>
      </c>
      <c r="P40" s="10" t="str">
        <f>+_xlfn.XLOOKUP(N40,MASTER!B:B,MASTER!C:C)</f>
        <v>VELO POLAR PEPPERMINT 6 MG 15 PZ</v>
      </c>
      <c r="Q40" s="10" t="str">
        <f>+_xlfn.XLOOKUP(N40,MASTER!B:B,MASTER!D:D)</f>
        <v>BAT</v>
      </c>
      <c r="R40" s="10" t="str">
        <f>+_xlfn.XLOOKUP(N40,MASTER!B:B,MASTER!I:I)</f>
        <v>Activo</v>
      </c>
      <c r="S40" s="10" t="str">
        <f t="shared" si="0"/>
        <v>no</v>
      </c>
    </row>
    <row r="41" spans="1:19" x14ac:dyDescent="0.35">
      <c r="A41">
        <v>75012694</v>
      </c>
      <c r="B41">
        <f>+_xlfn.XLOOKUP(A41,MASTER!B:B,MASTER!A:A)</f>
        <v>100022210</v>
      </c>
      <c r="C41" t="str">
        <f>+_xlfn.XLOOKUP(A41,MASTER!B:B,MASTER!C:C)</f>
        <v>BENSON&amp;HEDGE LUX QU QUARTZ 1 CAJETILLA</v>
      </c>
      <c r="D41" s="10" t="str">
        <f>+_xlfn.XLOOKUP(A41,MASTER!B:B,MASTER!D:D)</f>
        <v>PMI</v>
      </c>
      <c r="E41" s="10" t="str">
        <f>+_xlfn.XLOOKUP(A41,MASTER!B:B,MASTER!I:I)</f>
        <v>Descontinuado (con stock)</v>
      </c>
      <c r="G41">
        <v>75019006</v>
      </c>
      <c r="H41" s="10">
        <f>+_xlfn.XLOOKUP(G41,MASTER!B:B,MASTER!A:A)</f>
        <v>100021790</v>
      </c>
      <c r="I41" s="10" t="str">
        <f>+_xlfn.XLOOKUP(G41,MASTER!B:B,MASTER!C:C)</f>
        <v>MARLBORO VISTA  CARIBBEAN 1 CAJETILLA</v>
      </c>
      <c r="N41">
        <v>7707200946741</v>
      </c>
      <c r="O41" s="10">
        <f>+_xlfn.XLOOKUP(N41,MASTER!B:B,MASTER!A:A)</f>
        <v>100024462</v>
      </c>
      <c r="P41" s="10" t="str">
        <f>+_xlfn.XLOOKUP(N41,MASTER!B:B,MASTER!C:C)</f>
        <v>VELO POLAR PEPPERMINT 4 MG 15 PZ</v>
      </c>
      <c r="Q41" s="10" t="str">
        <f>+_xlfn.XLOOKUP(N41,MASTER!B:B,MASTER!D:D)</f>
        <v>BAT</v>
      </c>
      <c r="R41" s="10" t="str">
        <f>+_xlfn.XLOOKUP(N41,MASTER!B:B,MASTER!I:I)</f>
        <v>Activo</v>
      </c>
      <c r="S41" s="10" t="str">
        <f t="shared" si="0"/>
        <v>no</v>
      </c>
    </row>
    <row r="42" spans="1:19" x14ac:dyDescent="0.35">
      <c r="A42">
        <v>75012717</v>
      </c>
      <c r="B42">
        <f>+_xlfn.XLOOKUP(A42,MASTER!B:B,MASTER!A:A)</f>
        <v>100021421</v>
      </c>
      <c r="C42" t="str">
        <f>+_xlfn.XLOOKUP(A42,MASTER!B:B,MASTER!C:C)</f>
        <v>MARLBORO LPE ME MEXICO RED 1 CAJETILLA</v>
      </c>
      <c r="D42" s="10" t="str">
        <f>+_xlfn.XLOOKUP(A42,MASTER!B:B,MASTER!D:D)</f>
        <v>PMI</v>
      </c>
      <c r="E42" s="10" t="str">
        <f>+_xlfn.XLOOKUP(A42,MASTER!B:B,MASTER!I:I)</f>
        <v>Descontinuado (con stock)</v>
      </c>
      <c r="G42">
        <v>75019563</v>
      </c>
      <c r="H42" s="10">
        <f>+_xlfn.XLOOKUP(G42,MASTER!B:B,MASTER!A:A)</f>
        <v>100022523</v>
      </c>
      <c r="I42" s="10" t="str">
        <f>+_xlfn.XLOOKUP(G42,MASTER!B:B,MASTER!C:C)</f>
        <v>MARLBORO CRAFTED 20S CAJETILLA</v>
      </c>
    </row>
    <row r="43" spans="1:19" x14ac:dyDescent="0.35">
      <c r="A43">
        <v>75015718</v>
      </c>
      <c r="B43">
        <f>+_xlfn.XLOOKUP(A43,MASTER!B:B,MASTER!A:A)</f>
        <v>100021418</v>
      </c>
      <c r="C43" t="str">
        <f>+_xlfn.XLOOKUP(A43,MASTER!B:B,MASTER!C:C)</f>
        <v>MARLBORO LPE GO GOLD CAPS MEXICO 1 CAJETILLA</v>
      </c>
      <c r="D43" s="10" t="str">
        <f>+_xlfn.XLOOKUP(A43,MASTER!B:B,MASTER!D:D)</f>
        <v>PMI</v>
      </c>
      <c r="E43" s="10" t="str">
        <f>+_xlfn.XLOOKUP(A43,MASTER!B:B,MASTER!I:I)</f>
        <v>Descontinuado (con stock)</v>
      </c>
      <c r="G43">
        <v>75019570</v>
      </c>
      <c r="H43" s="10">
        <f>+_xlfn.XLOOKUP(G43,MASTER!B:B,MASTER!A:A)</f>
        <v>100022965</v>
      </c>
      <c r="I43" s="10" t="str">
        <f>+_xlfn.XLOOKUP(G43,MASTER!B:B,MASTER!C:C)</f>
        <v>MARLBORO CRAFTED 2.0 GOLD KS BOX 20</v>
      </c>
    </row>
    <row r="44" spans="1:19" x14ac:dyDescent="0.35">
      <c r="A44">
        <v>75015725</v>
      </c>
      <c r="B44">
        <f>+_xlfn.XLOOKUP(A44,MASTER!B:B,MASTER!A:A)</f>
        <v>100020727</v>
      </c>
      <c r="C44" t="str">
        <f>+_xlfn.XLOOKUP(A44,MASTER!B:B,MASTER!C:C)</f>
        <v>BENSON&amp;HEDGE LUX SA SAPPHIRE 1 CAJETILLA</v>
      </c>
      <c r="D44" s="10" t="str">
        <f>+_xlfn.XLOOKUP(A44,MASTER!B:B,MASTER!D:D)</f>
        <v>PMI</v>
      </c>
      <c r="E44" s="10" t="str">
        <f>+_xlfn.XLOOKUP(A44,MASTER!B:B,MASTER!I:I)</f>
        <v>Descontinuado (con stock)</v>
      </c>
      <c r="G44">
        <v>75019587</v>
      </c>
      <c r="H44" s="10">
        <f>+_xlfn.XLOOKUP(G44,MASTER!B:B,MASTER!A:A)</f>
        <v>100022335</v>
      </c>
      <c r="I44" s="10" t="str">
        <f>+_xlfn.XLOOKUP(G44,MASTER!B:B,MASTER!C:C)</f>
        <v>MARLBORO CRAFTED 15S CAJETILLAPZ</v>
      </c>
    </row>
    <row r="45" spans="1:19" x14ac:dyDescent="0.35">
      <c r="A45">
        <v>75016777</v>
      </c>
      <c r="B45">
        <f>+_xlfn.XLOOKUP(A45,MASTER!B:B,MASTER!A:A)</f>
        <v>100080440</v>
      </c>
      <c r="C45" t="str">
        <f>+_xlfn.XLOOKUP(A45,MASTER!B:B,MASTER!C:C)</f>
        <v>BENSON&amp;HEDGE CIGARR MENTHOL CD CAJET</v>
      </c>
      <c r="D45" s="10" t="str">
        <f>+_xlfn.XLOOKUP(A45,MASTER!B:B,MASTER!D:D)</f>
        <v>PMI</v>
      </c>
      <c r="E45" s="10" t="str">
        <f>+_xlfn.XLOOKUP(A45,MASTER!B:B,MASTER!I:I)</f>
        <v>Activo</v>
      </c>
      <c r="G45">
        <v>75021597</v>
      </c>
      <c r="H45" s="10">
        <f>+_xlfn.XLOOKUP(G45,MASTER!B:B,MASTER!A:A)</f>
        <v>100080687</v>
      </c>
      <c r="I45" s="10" t="str">
        <f>+_xlfn.XLOOKUP(G45,MASTER!B:B,MASTER!C:C)</f>
        <v>MARLBORO CIGARR 100S CD CAJET</v>
      </c>
    </row>
    <row r="46" spans="1:19" x14ac:dyDescent="0.35">
      <c r="A46">
        <v>75018825</v>
      </c>
      <c r="B46">
        <f>+_xlfn.XLOOKUP(A46,MASTER!B:B,MASTER!A:A)</f>
        <v>100020728</v>
      </c>
      <c r="C46" t="str">
        <f>+_xlfn.XLOOKUP(A46,MASTER!B:B,MASTER!C:C)</f>
        <v>BENSON&amp;HEDGE LUX JA JADE 1 CAJETILLA</v>
      </c>
      <c r="D46" s="10" t="str">
        <f>+_xlfn.XLOOKUP(A46,MASTER!B:B,MASTER!D:D)</f>
        <v>PMI</v>
      </c>
      <c r="E46" s="10" t="str">
        <f>+_xlfn.XLOOKUP(A46,MASTER!B:B,MASTER!I:I)</f>
        <v>Descontinuado (con stock)</v>
      </c>
      <c r="G46">
        <v>75022242</v>
      </c>
      <c r="H46" s="10">
        <f>+_xlfn.XLOOKUP(G46,MASTER!B:B,MASTER!A:A)</f>
        <v>100021422</v>
      </c>
      <c r="I46" s="10" t="str">
        <f>+_xlfn.XLOOKUP(G46,MASTER!B:B,MASTER!C:C)</f>
        <v>MARLBORO RED CA RED CAPS MEX 1 CAJETILLA</v>
      </c>
    </row>
    <row r="47" spans="1:19" x14ac:dyDescent="0.35">
      <c r="A47">
        <v>75018832</v>
      </c>
      <c r="B47">
        <f>+_xlfn.XLOOKUP(A47,MASTER!B:B,MASTER!A:A)</f>
        <v>100022332</v>
      </c>
      <c r="C47" t="str">
        <f>+_xlfn.XLOOKUP(A47,MASTER!B:B,MASTER!C:C)</f>
        <v>MARLBORO VISTA BLOSSOM 14´S CAJETILLAPZ</v>
      </c>
      <c r="D47" s="10" t="str">
        <f>+_xlfn.XLOOKUP(A47,MASTER!B:B,MASTER!D:D)</f>
        <v>PMI</v>
      </c>
      <c r="E47" s="10" t="str">
        <f>+_xlfn.XLOOKUP(A47,MASTER!B:B,MASTER!I:I)</f>
        <v>Descontinuado (con stock)</v>
      </c>
      <c r="G47">
        <v>75022259</v>
      </c>
      <c r="H47" s="10">
        <f>+_xlfn.XLOOKUP(G47,MASTER!B:B,MASTER!A:A)</f>
        <v>100021415</v>
      </c>
      <c r="I47" s="10" t="str">
        <f>+_xlfn.XLOOKUP(G47,MASTER!B:B,MASTER!C:C)</f>
        <v>MARLBORO LPE ME MEXICO GOLD 1 CAJETILLA</v>
      </c>
    </row>
    <row r="48" spans="1:19" x14ac:dyDescent="0.35">
      <c r="A48">
        <v>75019006</v>
      </c>
      <c r="B48">
        <f>+_xlfn.XLOOKUP(A48,MASTER!B:B,MASTER!A:A)</f>
        <v>100021790</v>
      </c>
      <c r="C48" t="str">
        <f>+_xlfn.XLOOKUP(A48,MASTER!B:B,MASTER!C:C)</f>
        <v>MARLBORO VISTA  CARIBBEAN 1 CAJETILLA</v>
      </c>
      <c r="D48" s="10" t="str">
        <f>+_xlfn.XLOOKUP(A48,MASTER!B:B,MASTER!D:D)</f>
        <v>PMI</v>
      </c>
      <c r="E48" s="10" t="str">
        <f>+_xlfn.XLOOKUP(A48,MASTER!B:B,MASTER!I:I)</f>
        <v>Activo</v>
      </c>
      <c r="G48">
        <v>75022266</v>
      </c>
      <c r="H48" s="10">
        <f>+_xlfn.XLOOKUP(G48,MASTER!B:B,MASTER!A:A)</f>
        <v>100020945</v>
      </c>
      <c r="I48" s="10" t="str">
        <f>+_xlfn.XLOOKUP(G48,MASTER!B:B,MASTER!C:C)</f>
        <v>LM LM 14S 14S 1 CAJETILLA</v>
      </c>
    </row>
    <row r="49" spans="1:9" x14ac:dyDescent="0.35">
      <c r="A49">
        <v>75019563</v>
      </c>
      <c r="B49">
        <f>+_xlfn.XLOOKUP(A49,MASTER!B:B,MASTER!A:A)</f>
        <v>100022523</v>
      </c>
      <c r="C49" t="str">
        <f>+_xlfn.XLOOKUP(A49,MASTER!B:B,MASTER!C:C)</f>
        <v>MARLBORO CRAFTED 20S CAJETILLA</v>
      </c>
      <c r="D49" s="10" t="str">
        <f>+_xlfn.XLOOKUP(A49,MASTER!B:B,MASTER!D:D)</f>
        <v>PMI</v>
      </c>
      <c r="E49" s="10" t="str">
        <f>+_xlfn.XLOOKUP(A49,MASTER!B:B,MASTER!I:I)</f>
        <v>Activo</v>
      </c>
      <c r="G49">
        <v>75025359</v>
      </c>
      <c r="H49" s="10">
        <f>+_xlfn.XLOOKUP(G49,MASTER!B:B,MASTER!A:A)</f>
        <v>100022968</v>
      </c>
      <c r="I49" s="10" t="str">
        <f>+_xlfn.XLOOKUP(G49,MASTER!B:B,MASTER!C:C)</f>
        <v>MARLBORO SOL SHUFFLE MNT 100 BOX 20</v>
      </c>
    </row>
    <row r="50" spans="1:9" x14ac:dyDescent="0.35">
      <c r="A50">
        <v>75019570</v>
      </c>
      <c r="B50">
        <f>+_xlfn.XLOOKUP(A50,MASTER!B:B,MASTER!A:A)</f>
        <v>100022965</v>
      </c>
      <c r="C50" t="str">
        <f>+_xlfn.XLOOKUP(A50,MASTER!B:B,MASTER!C:C)</f>
        <v>MARLBORO CRAFTED 2.0 GOLD KS BOX 20</v>
      </c>
      <c r="D50" s="10" t="str">
        <f>+_xlfn.XLOOKUP(A50,MASTER!B:B,MASTER!D:D)</f>
        <v>PMI</v>
      </c>
      <c r="E50" s="10" t="str">
        <f>+_xlfn.XLOOKUP(A50,MASTER!B:B,MASTER!I:I)</f>
        <v>Activo</v>
      </c>
      <c r="G50">
        <v>75027018</v>
      </c>
      <c r="H50" s="10">
        <f>+_xlfn.XLOOKUP(G50,MASTER!B:B,MASTER!A:A)</f>
        <v>100080769</v>
      </c>
      <c r="I50" s="10" t="str">
        <f>+_xlfn.XLOOKUP(G50,MASTER!B:B,MASTER!C:C)</f>
        <v>MARLBORO CIGARR LIGHT 14S CD CAJET</v>
      </c>
    </row>
    <row r="51" spans="1:9" x14ac:dyDescent="0.35">
      <c r="A51">
        <v>75019587</v>
      </c>
      <c r="B51">
        <f>+_xlfn.XLOOKUP(A51,MASTER!B:B,MASTER!A:A)</f>
        <v>100022335</v>
      </c>
      <c r="C51" t="str">
        <f>+_xlfn.XLOOKUP(A51,MASTER!B:B,MASTER!C:C)</f>
        <v>MARLBORO CRAFTED 15S CAJETILLAPZ</v>
      </c>
      <c r="D51" s="10" t="str">
        <f>+_xlfn.XLOOKUP(A51,MASTER!B:B,MASTER!D:D)</f>
        <v>PMI</v>
      </c>
      <c r="E51" s="10" t="str">
        <f>+_xlfn.XLOOKUP(A51,MASTER!B:B,MASTER!I:I)</f>
        <v>Activo</v>
      </c>
      <c r="G51">
        <v>75027766</v>
      </c>
      <c r="H51" s="10">
        <f>+_xlfn.XLOOKUP(G51,MASTER!B:B,MASTER!A:A)</f>
        <v>100080802</v>
      </c>
      <c r="I51" s="10" t="str">
        <f>+_xlfn.XLOOKUP(G51,MASTER!B:B,MASTER!C:C)</f>
        <v>PALL MALL RED AND CLICK 20</v>
      </c>
    </row>
    <row r="52" spans="1:9" x14ac:dyDescent="0.35">
      <c r="A52">
        <v>75021597</v>
      </c>
      <c r="B52">
        <f>+_xlfn.XLOOKUP(A52,MASTER!B:B,MASTER!A:A)</f>
        <v>100080687</v>
      </c>
      <c r="C52" t="str">
        <f>+_xlfn.XLOOKUP(A52,MASTER!B:B,MASTER!C:C)</f>
        <v>MARLBORO CIGARR 100S CD CAJET</v>
      </c>
      <c r="D52" s="10" t="str">
        <f>+_xlfn.XLOOKUP(A52,MASTER!B:B,MASTER!D:D)</f>
        <v>PMI</v>
      </c>
      <c r="E52" s="10" t="str">
        <f>+_xlfn.XLOOKUP(A52,MASTER!B:B,MASTER!I:I)</f>
        <v>Activo</v>
      </c>
      <c r="G52">
        <v>75029388</v>
      </c>
      <c r="H52" s="10">
        <f>+_xlfn.XLOOKUP(G52,MASTER!B:B,MASTER!A:A)</f>
        <v>100080797</v>
      </c>
      <c r="I52" s="10" t="str">
        <f>+_xlfn.XLOOKUP(G52,MASTER!B:B,MASTER!C:C)</f>
        <v>MARLBORO CIGARR FRESH CD CAJET</v>
      </c>
    </row>
    <row r="53" spans="1:9" x14ac:dyDescent="0.35">
      <c r="A53">
        <v>75022242</v>
      </c>
      <c r="B53">
        <f>+_xlfn.XLOOKUP(A53,MASTER!B:B,MASTER!A:A)</f>
        <v>100021422</v>
      </c>
      <c r="C53" t="str">
        <f>+_xlfn.XLOOKUP(A53,MASTER!B:B,MASTER!C:C)</f>
        <v>MARLBORO RED CA RED CAPS MEX 1 CAJETILLA</v>
      </c>
      <c r="D53" s="10" t="str">
        <f>+_xlfn.XLOOKUP(A53,MASTER!B:B,MASTER!D:D)</f>
        <v>PMI</v>
      </c>
      <c r="E53" s="10" t="str">
        <f>+_xlfn.XLOOKUP(A53,MASTER!B:B,MASTER!I:I)</f>
        <v>Descontinuado (con stock)</v>
      </c>
      <c r="G53">
        <v>75030728</v>
      </c>
      <c r="H53" s="10">
        <f>+_xlfn.XLOOKUP(G53,MASTER!B:B,MASTER!A:A)</f>
        <v>100080808</v>
      </c>
      <c r="I53" s="10" t="str">
        <f>+_xlfn.XLOOKUP(G53,MASTER!B:B,MASTER!C:C)</f>
        <v>MARLBORO WINTER SHUFFLE</v>
      </c>
    </row>
    <row r="54" spans="1:9" x14ac:dyDescent="0.35">
      <c r="A54">
        <v>75022266</v>
      </c>
      <c r="B54">
        <f>+_xlfn.XLOOKUP(A54,MASTER!B:B,MASTER!A:A)</f>
        <v>100020945</v>
      </c>
      <c r="C54" t="str">
        <f>+_xlfn.XLOOKUP(A54,MASTER!B:B,MASTER!C:C)</f>
        <v>LM LM 14S 14S 1 CAJETILLA</v>
      </c>
      <c r="D54" s="10" t="str">
        <f>+_xlfn.XLOOKUP(A54,MASTER!B:B,MASTER!D:D)</f>
        <v>PMI</v>
      </c>
      <c r="E54" s="10" t="str">
        <f>+_xlfn.XLOOKUP(A54,MASTER!B:B,MASTER!I:I)</f>
        <v>Descontinuado (con stock)</v>
      </c>
      <c r="G54">
        <v>75031053</v>
      </c>
      <c r="H54" s="10">
        <f>+_xlfn.XLOOKUP(G54,MASTER!B:B,MASTER!A:A)</f>
        <v>100080820</v>
      </c>
      <c r="I54" s="10" t="str">
        <f>+_xlfn.XLOOKUP(G54,MASTER!B:B,MASTER!C:C)</f>
        <v>MARLBORO CIGARR ICEEXPRESS CAJET</v>
      </c>
    </row>
    <row r="55" spans="1:9" x14ac:dyDescent="0.35">
      <c r="A55">
        <v>75025359</v>
      </c>
      <c r="B55">
        <f>+_xlfn.XLOOKUP(A55,MASTER!B:B,MASTER!A:A)</f>
        <v>100022968</v>
      </c>
      <c r="C55" t="str">
        <f>+_xlfn.XLOOKUP(A55,MASTER!B:B,MASTER!C:C)</f>
        <v>MARLBORO SOL SHUFFLE MNT 100 BOX 20</v>
      </c>
      <c r="D55" s="10" t="str">
        <f>+_xlfn.XLOOKUP(A55,MASTER!B:B,MASTER!D:D)</f>
        <v>PMI</v>
      </c>
      <c r="E55" s="10" t="str">
        <f>+_xlfn.XLOOKUP(A55,MASTER!B:B,MASTER!I:I)</f>
        <v>Descontinuado (con stock)</v>
      </c>
      <c r="G55">
        <v>75032777</v>
      </c>
      <c r="H55" s="10">
        <f>+_xlfn.XLOOKUP(G55,MASTER!B:B,MASTER!A:A)</f>
        <v>100023680</v>
      </c>
      <c r="I55" s="10" t="str">
        <f>+_xlfn.XLOOKUP(G55,MASTER!B:B,MASTER!C:C)</f>
        <v>TEREA BLACK GREEN CAJETILLA PZ</v>
      </c>
    </row>
    <row r="56" spans="1:9" x14ac:dyDescent="0.35">
      <c r="A56">
        <v>75027766</v>
      </c>
      <c r="B56">
        <f>+_xlfn.XLOOKUP(A56,MASTER!B:B,MASTER!A:A)</f>
        <v>100080802</v>
      </c>
      <c r="C56" t="str">
        <f>+_xlfn.XLOOKUP(A56,MASTER!B:B,MASTER!C:C)</f>
        <v>PALL MALL RED AND CLICK 20</v>
      </c>
      <c r="D56" s="10" t="str">
        <f>+_xlfn.XLOOKUP(A56,MASTER!B:B,MASTER!D:D)</f>
        <v>BAT</v>
      </c>
      <c r="E56" s="10" t="str">
        <f>+_xlfn.XLOOKUP(A56,MASTER!B:B,MASTER!I:I)</f>
        <v>Activo</v>
      </c>
      <c r="G56">
        <v>75032784</v>
      </c>
      <c r="H56" s="10">
        <f>+_xlfn.XLOOKUP(G56,MASTER!B:B,MASTER!A:A)</f>
        <v>100023679</v>
      </c>
      <c r="I56" s="10" t="str">
        <f>+_xlfn.XLOOKUP(G56,MASTER!B:B,MASTER!C:C)</f>
        <v>TEREA AMBER CAJETILLA PZ</v>
      </c>
    </row>
    <row r="57" spans="1:9" x14ac:dyDescent="0.35">
      <c r="A57">
        <v>75031053</v>
      </c>
      <c r="B57">
        <f>+_xlfn.XLOOKUP(A57,MASTER!B:B,MASTER!A:A)</f>
        <v>100080820</v>
      </c>
      <c r="C57" t="str">
        <f>+_xlfn.XLOOKUP(A57,MASTER!B:B,MASTER!C:C)</f>
        <v>MARLBORO CIGARR ICEEXPRESS CAJET</v>
      </c>
      <c r="D57" s="10" t="str">
        <f>+_xlfn.XLOOKUP(A57,MASTER!B:B,MASTER!D:D)</f>
        <v>PMI</v>
      </c>
      <c r="E57" s="10" t="str">
        <f>+_xlfn.XLOOKUP(A57,MASTER!B:B,MASTER!I:I)</f>
        <v>Activo</v>
      </c>
      <c r="G57">
        <v>75032807</v>
      </c>
      <c r="H57" s="10">
        <f>+_xlfn.XLOOKUP(G57,MASTER!B:B,MASTER!A:A)</f>
        <v>100025332</v>
      </c>
      <c r="I57" s="10" t="str">
        <f>+_xlfn.XLOOKUP(G57,MASTER!B:B,MASTER!C:C)</f>
        <v>MARLBORO URBAN SHUFFLE 100 BOX 20 CAJETILLA PZ</v>
      </c>
    </row>
    <row r="58" spans="1:9" x14ac:dyDescent="0.35">
      <c r="A58">
        <v>75032777</v>
      </c>
      <c r="B58">
        <f>+_xlfn.XLOOKUP(A58,MASTER!B:B,MASTER!A:A)</f>
        <v>100023680</v>
      </c>
      <c r="C58" t="str">
        <f>+_xlfn.XLOOKUP(A58,MASTER!B:B,MASTER!C:C)</f>
        <v>TEREA BLACK GREEN CAJETILLA PZ</v>
      </c>
      <c r="D58" s="10" t="str">
        <f>+_xlfn.XLOOKUP(A58,MASTER!B:B,MASTER!D:D)</f>
        <v>PMI</v>
      </c>
      <c r="E58" s="10" t="str">
        <f>+_xlfn.XLOOKUP(A58,MASTER!B:B,MASTER!I:I)</f>
        <v>Descontinuado (con stock)</v>
      </c>
      <c r="G58">
        <v>75034375</v>
      </c>
      <c r="H58" s="10">
        <f>+_xlfn.XLOOKUP(G58,MASTER!B:B,MASTER!A:A)</f>
        <v>100080829</v>
      </c>
      <c r="I58" s="10" t="str">
        <f>+_xlfn.XLOOKUP(G58,MASTER!B:B,MASTER!C:C)</f>
        <v>MARLBORO CIGARR TOUCH CAJET</v>
      </c>
    </row>
    <row r="59" spans="1:9" x14ac:dyDescent="0.35">
      <c r="A59">
        <v>75032784</v>
      </c>
      <c r="B59">
        <f>+_xlfn.XLOOKUP(A59,MASTER!B:B,MASTER!A:A)</f>
        <v>100023679</v>
      </c>
      <c r="C59" t="str">
        <f>+_xlfn.XLOOKUP(A59,MASTER!B:B,MASTER!C:C)</f>
        <v>TEREA AMBER CAJETILLA PZ</v>
      </c>
      <c r="D59" s="10" t="str">
        <f>+_xlfn.XLOOKUP(A59,MASTER!B:B,MASTER!D:D)</f>
        <v>PMI</v>
      </c>
      <c r="E59" s="10" t="str">
        <f>+_xlfn.XLOOKUP(A59,MASTER!B:B,MASTER!I:I)</f>
        <v>Activo</v>
      </c>
      <c r="G59">
        <v>75034665</v>
      </c>
      <c r="H59" s="10">
        <f>+_xlfn.XLOOKUP(G59,MASTER!B:B,MASTER!A:A)</f>
        <v>100080834</v>
      </c>
      <c r="I59" s="10" t="str">
        <f>+_xlfn.XLOOKUP(G59,MASTER!B:B,MASTER!C:C)</f>
        <v>PALL MALL CIGARR XL FRESH CAJET</v>
      </c>
    </row>
    <row r="60" spans="1:9" x14ac:dyDescent="0.35">
      <c r="A60">
        <v>75032807</v>
      </c>
      <c r="B60">
        <f>+_xlfn.XLOOKUP(A60,MASTER!B:B,MASTER!A:A)</f>
        <v>100025332</v>
      </c>
      <c r="C60" t="str">
        <f>+_xlfn.XLOOKUP(A60,MASTER!B:B,MASTER!C:C)</f>
        <v>MARLBORO URBAN SHUFFLE 100 BOX 20 CAJETILLA PZ</v>
      </c>
      <c r="D60" s="10" t="str">
        <f>+_xlfn.XLOOKUP(A60,MASTER!B:B,MASTER!D:D)</f>
        <v>PMI</v>
      </c>
      <c r="E60" s="10" t="str">
        <f>+_xlfn.XLOOKUP(A60,MASTER!B:B,MASTER!I:I)</f>
        <v>Descontinuado (con stock)</v>
      </c>
      <c r="G60">
        <v>75035259</v>
      </c>
      <c r="H60" s="10">
        <f>+_xlfn.XLOOKUP(G60,MASTER!B:B,MASTER!A:A)</f>
        <v>100080850</v>
      </c>
      <c r="I60" s="10" t="str">
        <f>+_xlfn.XLOOKUP(G60,MASTER!B:B,MASTER!C:C)</f>
        <v>MARLBORO CIGARR GOLD 100S CAJET</v>
      </c>
    </row>
    <row r="61" spans="1:9" x14ac:dyDescent="0.35">
      <c r="A61">
        <v>75035259</v>
      </c>
      <c r="B61">
        <f>+_xlfn.XLOOKUP(A61,MASTER!B:B,MASTER!A:A)</f>
        <v>100080850</v>
      </c>
      <c r="C61" t="str">
        <f>+_xlfn.XLOOKUP(A61,MASTER!B:B,MASTER!C:C)</f>
        <v>MARLBORO CIGARR GOLD 100S CAJET</v>
      </c>
      <c r="D61" s="10" t="str">
        <f>+_xlfn.XLOOKUP(A61,MASTER!B:B,MASTER!D:D)</f>
        <v>PMI</v>
      </c>
      <c r="E61" s="10" t="str">
        <f>+_xlfn.XLOOKUP(A61,MASTER!B:B,MASTER!I:I)</f>
        <v>Activo</v>
      </c>
      <c r="G61">
        <v>75037048</v>
      </c>
      <c r="H61" s="10">
        <f>+_xlfn.XLOOKUP(G61,MASTER!B:B,MASTER!A:A)</f>
        <v>100080869</v>
      </c>
      <c r="I61" s="10" t="str">
        <f>+_xlfn.XLOOKUP(G61,MASTER!B:B,MASTER!C:C)</f>
        <v>DELICADOS CIGARR C/FILTRO LS20 CAJET</v>
      </c>
    </row>
    <row r="62" spans="1:9" x14ac:dyDescent="0.35">
      <c r="A62">
        <v>75038007</v>
      </c>
      <c r="B62">
        <f>+_xlfn.XLOOKUP(A62,MASTER!B:B,MASTER!A:A)</f>
        <v>100080862</v>
      </c>
      <c r="C62" t="str">
        <f>+_xlfn.XLOOKUP(A62,MASTER!B:B,MASTER!C:C)</f>
        <v>BENSON&amp;HEDGE CIGARR MENTHOL 14S CAJET</v>
      </c>
      <c r="D62" s="10" t="str">
        <f>+_xlfn.XLOOKUP(A62,MASTER!B:B,MASTER!D:D)</f>
        <v>PMI</v>
      </c>
      <c r="E62" s="10" t="str">
        <f>+_xlfn.XLOOKUP(A62,MASTER!B:B,MASTER!I:I)</f>
        <v>Descontinuado (con stock)</v>
      </c>
      <c r="G62">
        <v>75037994</v>
      </c>
      <c r="H62" s="10">
        <f>+_xlfn.XLOOKUP(G62,MASTER!B:B,MASTER!A:A)</f>
        <v>100080861</v>
      </c>
      <c r="I62" s="10" t="str">
        <f>+_xlfn.XLOOKUP(G62,MASTER!B:B,MASTER!C:C)</f>
        <v>BENSON&amp;HEDGE CIGARR FF 14S CAJET</v>
      </c>
    </row>
    <row r="63" spans="1:9" x14ac:dyDescent="0.35">
      <c r="A63">
        <v>75039875</v>
      </c>
      <c r="B63">
        <f>+_xlfn.XLOOKUP(A63,MASTER!B:B,MASTER!A:A)</f>
        <v>100080878</v>
      </c>
      <c r="C63" t="str">
        <f>+_xlfn.XLOOKUP(A63,MASTER!B:B,MASTER!C:C)</f>
        <v>PALL MALL WHITE AND CLICK 15</v>
      </c>
      <c r="D63" s="10" t="str">
        <f>+_xlfn.XLOOKUP(A63,MASTER!B:B,MASTER!D:D)</f>
        <v>BAT</v>
      </c>
      <c r="E63" s="10" t="str">
        <f>+_xlfn.XLOOKUP(A63,MASTER!B:B,MASTER!I:I)</f>
        <v>Descontinuado (con stock)</v>
      </c>
      <c r="G63">
        <v>75038007</v>
      </c>
      <c r="H63" s="10">
        <f>+_xlfn.XLOOKUP(G63,MASTER!B:B,MASTER!A:A)</f>
        <v>100080862</v>
      </c>
      <c r="I63" s="10" t="str">
        <f>+_xlfn.XLOOKUP(G63,MASTER!B:B,MASTER!C:C)</f>
        <v>BENSON&amp;HEDGE CIGARR MENTHOL 14S CAJET</v>
      </c>
    </row>
    <row r="64" spans="1:9" x14ac:dyDescent="0.35">
      <c r="A64">
        <v>75042646</v>
      </c>
      <c r="B64">
        <f>+_xlfn.XLOOKUP(A64,MASTER!B:B,MASTER!A:A)</f>
        <v>100080903</v>
      </c>
      <c r="C64" t="str">
        <f>+_xlfn.XLOOKUP(A64,MASTER!B:B,MASTER!C:C)</f>
        <v>MARLBORO CIGARR GOLD 100 14S CAJET</v>
      </c>
      <c r="D64" s="10" t="str">
        <f>+_xlfn.XLOOKUP(A64,MASTER!B:B,MASTER!D:D)</f>
        <v>PMI</v>
      </c>
      <c r="E64" s="10" t="str">
        <f>+_xlfn.XLOOKUP(A64,MASTER!B:B,MASTER!I:I)</f>
        <v>Activo</v>
      </c>
      <c r="G64">
        <v>75039868</v>
      </c>
      <c r="H64" s="10">
        <f>+_xlfn.XLOOKUP(G64,MASTER!B:B,MASTER!A:A)</f>
        <v>100080877</v>
      </c>
      <c r="I64" s="10" t="str">
        <f>+_xlfn.XLOOKUP(G64,MASTER!B:B,MASTER!C:C)</f>
        <v>PALL MALL CIGARR XL 14S FRESH CAJET</v>
      </c>
    </row>
    <row r="65" spans="1:9" x14ac:dyDescent="0.35">
      <c r="A65">
        <v>75042943</v>
      </c>
      <c r="B65">
        <f>+_xlfn.XLOOKUP(A65,MASTER!B:B,MASTER!A:A)</f>
        <v>100080892</v>
      </c>
      <c r="C65" t="str">
        <f>+_xlfn.XLOOKUP(A65,MASTER!B:B,MASTER!C:C)</f>
        <v>PALL MALL RED AND CLICK 15</v>
      </c>
      <c r="D65" s="10" t="str">
        <f>+_xlfn.XLOOKUP(A65,MASTER!B:B,MASTER!D:D)</f>
        <v>BAT</v>
      </c>
      <c r="E65" s="10" t="str">
        <f>+_xlfn.XLOOKUP(A65,MASTER!B:B,MASTER!I:I)</f>
        <v>Descontinuado (con stock)</v>
      </c>
      <c r="G65">
        <v>75039875</v>
      </c>
      <c r="H65" s="10">
        <f>+_xlfn.XLOOKUP(G65,MASTER!B:B,MASTER!A:A)</f>
        <v>100080878</v>
      </c>
      <c r="I65" s="10" t="str">
        <f>+_xlfn.XLOOKUP(G65,MASTER!B:B,MASTER!C:C)</f>
        <v>PALL MALL WHITE AND CLICK 15</v>
      </c>
    </row>
    <row r="66" spans="1:9" x14ac:dyDescent="0.35">
      <c r="A66">
        <v>75043247</v>
      </c>
      <c r="B66">
        <f>+_xlfn.XLOOKUP(A66,MASTER!B:B,MASTER!A:A)</f>
        <v>100080904</v>
      </c>
      <c r="C66" t="str">
        <f>+_xlfn.XLOOKUP(A66,MASTER!B:B,MASTER!C:C)</f>
        <v>MARLBORO CIGARR ICE XPRESS 14 CAJET</v>
      </c>
      <c r="D66" s="10" t="str">
        <f>+_xlfn.XLOOKUP(A66,MASTER!B:B,MASTER!D:D)</f>
        <v>PMI</v>
      </c>
      <c r="E66" s="10" t="str">
        <f>+_xlfn.XLOOKUP(A66,MASTER!B:B,MASTER!I:I)</f>
        <v>Descontinuado (con stock)</v>
      </c>
      <c r="G66">
        <v>75042646</v>
      </c>
      <c r="H66" s="10">
        <f>+_xlfn.XLOOKUP(G66,MASTER!B:B,MASTER!A:A)</f>
        <v>100080903</v>
      </c>
      <c r="I66" s="10" t="str">
        <f>+_xlfn.XLOOKUP(G66,MASTER!B:B,MASTER!C:C)</f>
        <v>MARLBORO CIGARR GOLD 100 14S CAJET</v>
      </c>
    </row>
    <row r="67" spans="1:9" x14ac:dyDescent="0.35">
      <c r="A67">
        <v>75044916</v>
      </c>
      <c r="B67">
        <f>+_xlfn.XLOOKUP(A67,MASTER!B:B,MASTER!A:A)</f>
        <v>100080928</v>
      </c>
      <c r="C67" t="str">
        <f>+_xlfn.XLOOKUP(A67,MASTER!B:B,MASTER!C:C)</f>
        <v>MARLBORO KRETEK MINT</v>
      </c>
      <c r="D67" s="10" t="str">
        <f>+_xlfn.XLOOKUP(A67,MASTER!B:B,MASTER!D:D)</f>
        <v>PMI</v>
      </c>
      <c r="E67" s="10" t="str">
        <f>+_xlfn.XLOOKUP(A67,MASTER!B:B,MASTER!I:I)</f>
        <v>Activo</v>
      </c>
      <c r="G67">
        <v>75042936</v>
      </c>
      <c r="H67" s="10">
        <f>+_xlfn.XLOOKUP(G67,MASTER!B:B,MASTER!A:A)</f>
        <v>100080891</v>
      </c>
      <c r="I67" s="10" t="str">
        <f>+_xlfn.XLOOKUP(G67,MASTER!B:B,MASTER!C:C)</f>
        <v>PALL MALL CIGARR XL 14S MENTHO CAJET</v>
      </c>
    </row>
    <row r="68" spans="1:9" x14ac:dyDescent="0.35">
      <c r="A68">
        <v>75045692</v>
      </c>
      <c r="B68">
        <f>+_xlfn.XLOOKUP(A68,MASTER!B:B,MASTER!A:A)</f>
        <v>100080926</v>
      </c>
      <c r="C68" t="str">
        <f>+_xlfn.XLOOKUP(A68,MASTER!B:B,MASTER!C:C)</f>
        <v>BENSON &amp; HEDGES POLAR ICE</v>
      </c>
      <c r="D68" s="10" t="str">
        <f>+_xlfn.XLOOKUP(A68,MASTER!B:B,MASTER!D:D)</f>
        <v>PMI</v>
      </c>
      <c r="E68" s="10" t="str">
        <f>+_xlfn.XLOOKUP(A68,MASTER!B:B,MASTER!I:I)</f>
        <v>Descontinuado (con stock)</v>
      </c>
      <c r="G68">
        <v>75042943</v>
      </c>
      <c r="H68" s="10">
        <f>+_xlfn.XLOOKUP(G68,MASTER!B:B,MASTER!A:A)</f>
        <v>100080892</v>
      </c>
      <c r="I68" s="10" t="str">
        <f>+_xlfn.XLOOKUP(G68,MASTER!B:B,MASTER!C:C)</f>
        <v>PALL MALL RED AND CLICK 15</v>
      </c>
    </row>
    <row r="69" spans="1:9" x14ac:dyDescent="0.35">
      <c r="A69">
        <v>75046521</v>
      </c>
      <c r="B69">
        <f>+_xlfn.XLOOKUP(A69,MASTER!B:B,MASTER!A:A)</f>
        <v>100080955</v>
      </c>
      <c r="C69" t="str">
        <f>+_xlfn.XLOOKUP(A69,MASTER!B:B,MASTER!C:C)</f>
        <v>LUCKY STRIKE AMARILLOS 20S</v>
      </c>
      <c r="D69" s="10" t="str">
        <f>+_xlfn.XLOOKUP(A69,MASTER!B:B,MASTER!D:D)</f>
        <v>BAT</v>
      </c>
      <c r="E69" s="10" t="str">
        <f>+_xlfn.XLOOKUP(A69,MASTER!B:B,MASTER!I:I)</f>
        <v>Activo</v>
      </c>
      <c r="G69">
        <v>75043247</v>
      </c>
      <c r="H69" s="10">
        <f>+_xlfn.XLOOKUP(G69,MASTER!B:B,MASTER!A:A)</f>
        <v>100080904</v>
      </c>
      <c r="I69" s="10" t="str">
        <f>+_xlfn.XLOOKUP(G69,MASTER!B:B,MASTER!C:C)</f>
        <v>MARLBORO CIGARR ICE XPRESS 14 CAJET</v>
      </c>
    </row>
    <row r="70" spans="1:9" x14ac:dyDescent="0.35">
      <c r="A70">
        <v>75046545</v>
      </c>
      <c r="B70">
        <f>+_xlfn.XLOOKUP(A70,MASTER!B:B,MASTER!A:A)</f>
        <v>100080952</v>
      </c>
      <c r="C70" t="str">
        <f>+_xlfn.XLOOKUP(A70,MASTER!B:B,MASTER!C:C)</f>
        <v>LUCKY STRIKE AMARILLOS 25S</v>
      </c>
      <c r="D70" s="10" t="str">
        <f>+_xlfn.XLOOKUP(A70,MASTER!B:B,MASTER!D:D)</f>
        <v>BAT</v>
      </c>
      <c r="E70" s="10" t="str">
        <f>+_xlfn.XLOOKUP(A70,MASTER!B:B,MASTER!I:I)</f>
        <v>Activo</v>
      </c>
      <c r="G70">
        <v>75044916</v>
      </c>
      <c r="H70" s="10">
        <f>+_xlfn.XLOOKUP(G70,MASTER!B:B,MASTER!A:A)</f>
        <v>100080928</v>
      </c>
      <c r="I70" s="10" t="str">
        <f>+_xlfn.XLOOKUP(G70,MASTER!B:B,MASTER!C:C)</f>
        <v>MARLBORO KRETEK MINT</v>
      </c>
    </row>
    <row r="71" spans="1:9" x14ac:dyDescent="0.35">
      <c r="A71">
        <v>75047337</v>
      </c>
      <c r="B71">
        <f>+_xlfn.XLOOKUP(A71,MASTER!B:B,MASTER!A:A)</f>
        <v>100080957</v>
      </c>
      <c r="C71" t="str">
        <f>+_xlfn.XLOOKUP(A71,MASTER!B:B,MASTER!C:C)</f>
        <v>BENSON&amp;HEDGES PEARL CAPS CAJETILLA</v>
      </c>
      <c r="D71" s="10" t="str">
        <f>+_xlfn.XLOOKUP(A71,MASTER!B:B,MASTER!D:D)</f>
        <v>PMI</v>
      </c>
      <c r="E71" s="10" t="str">
        <f>+_xlfn.XLOOKUP(A71,MASTER!B:B,MASTER!I:I)</f>
        <v>Activo</v>
      </c>
      <c r="G71">
        <v>75045692</v>
      </c>
      <c r="H71" s="10">
        <f>+_xlfn.XLOOKUP(G71,MASTER!B:B,MASTER!A:A)</f>
        <v>100080926</v>
      </c>
      <c r="I71" s="10" t="str">
        <f>+_xlfn.XLOOKUP(G71,MASTER!B:B,MASTER!C:C)</f>
        <v>BENSON &amp; HEDGES POLAR ICE</v>
      </c>
    </row>
    <row r="72" spans="1:9" x14ac:dyDescent="0.35">
      <c r="A72">
        <v>75048129</v>
      </c>
      <c r="B72">
        <f>+_xlfn.XLOOKUP(A72,MASTER!B:B,MASTER!A:A)</f>
        <v>100080975</v>
      </c>
      <c r="C72" t="str">
        <f>+_xlfn.XLOOKUP(A72,MASTER!B:B,MASTER!C:C)</f>
        <v>LUCKY STRIKE ORIGINAL FF 20S TUBE</v>
      </c>
      <c r="D72" s="10" t="str">
        <f>+_xlfn.XLOOKUP(A72,MASTER!B:B,MASTER!D:D)</f>
        <v>BAT</v>
      </c>
      <c r="E72" s="10" t="str">
        <f>+_xlfn.XLOOKUP(A72,MASTER!B:B,MASTER!I:I)</f>
        <v>Activo</v>
      </c>
      <c r="G72">
        <v>75046521</v>
      </c>
      <c r="H72" s="10">
        <f>+_xlfn.XLOOKUP(G72,MASTER!B:B,MASTER!A:A)</f>
        <v>100080955</v>
      </c>
      <c r="I72" s="10" t="str">
        <f>+_xlfn.XLOOKUP(G72,MASTER!B:B,MASTER!C:C)</f>
        <v>LUCKY STRIKE AMARILLOS 20S</v>
      </c>
    </row>
    <row r="73" spans="1:9" x14ac:dyDescent="0.35">
      <c r="A73">
        <v>75050443</v>
      </c>
      <c r="B73">
        <f>+_xlfn.XLOOKUP(A73,MASTER!B:B,MASTER!A:A)</f>
        <v>100004048</v>
      </c>
      <c r="C73" t="str">
        <f>+_xlfn.XLOOKUP(A73,MASTER!B:B,MASTER!C:C)</f>
        <v>BENSON&amp;HEDGE GOLD PEARL</v>
      </c>
      <c r="D73" s="10" t="str">
        <f>+_xlfn.XLOOKUP(A73,MASTER!B:B,MASTER!D:D)</f>
        <v>PMI</v>
      </c>
      <c r="E73" s="10" t="str">
        <f>+_xlfn.XLOOKUP(A73,MASTER!B:B,MASTER!I:I)</f>
        <v>Activo</v>
      </c>
      <c r="G73">
        <v>75046545</v>
      </c>
      <c r="H73" s="10">
        <f>+_xlfn.XLOOKUP(G73,MASTER!B:B,MASTER!A:A)</f>
        <v>100080952</v>
      </c>
      <c r="I73" s="10" t="str">
        <f>+_xlfn.XLOOKUP(G73,MASTER!B:B,MASTER!C:C)</f>
        <v>LUCKY STRIKE AMARILLOS 25S</v>
      </c>
    </row>
    <row r="74" spans="1:9" x14ac:dyDescent="0.35">
      <c r="A74">
        <v>75051785</v>
      </c>
      <c r="B74">
        <f>+_xlfn.XLOOKUP(A74,MASTER!B:B,MASTER!A:A)</f>
        <v>100004788</v>
      </c>
      <c r="C74" t="str">
        <f>+_xlfn.XLOOKUP(A74,MASTER!B:B,MASTER!C:C)</f>
        <v>LUCKY STRIKE CLICK 4 MIX</v>
      </c>
      <c r="D74" s="10" t="str">
        <f>+_xlfn.XLOOKUP(A74,MASTER!B:B,MASTER!D:D)</f>
        <v>BAT</v>
      </c>
      <c r="E74" s="10" t="str">
        <f>+_xlfn.XLOOKUP(A74,MASTER!B:B,MASTER!I:I)</f>
        <v>Activo</v>
      </c>
      <c r="G74">
        <v>75046781</v>
      </c>
      <c r="H74" s="10">
        <f>+_xlfn.XLOOKUP(G74,MASTER!B:B,MASTER!A:A)</f>
        <v>100080937</v>
      </c>
      <c r="I74" s="10" t="str">
        <f>+_xlfn.XLOOKUP(G74,MASTER!B:B,MASTER!C:C)</f>
        <v>MARLBORO CIGARRO 18 ROJO</v>
      </c>
    </row>
    <row r="75" spans="1:9" x14ac:dyDescent="0.35">
      <c r="A75">
        <v>75052836</v>
      </c>
      <c r="B75">
        <f>+_xlfn.XLOOKUP(A75,MASTER!B:B,MASTER!A:A)</f>
        <v>100005585</v>
      </c>
      <c r="C75" t="str">
        <f>+_xlfn.XLOOKUP(A75,MASTER!B:B,MASTER!C:C)</f>
        <v>PALL MALL TOKYO MIDNIGHT 20</v>
      </c>
      <c r="D75" s="10" t="str">
        <f>+_xlfn.XLOOKUP(A75,MASTER!B:B,MASTER!D:D)</f>
        <v>BAT</v>
      </c>
      <c r="E75" s="10" t="str">
        <f>+_xlfn.XLOOKUP(A75,MASTER!B:B,MASTER!I:I)</f>
        <v>Activo</v>
      </c>
      <c r="G75">
        <v>75046798</v>
      </c>
      <c r="H75" s="10" t="e">
        <f>+_xlfn.XLOOKUP(G75,MASTER!B:B,MASTER!A:A)</f>
        <v>#N/A</v>
      </c>
      <c r="I75" s="10" t="e">
        <f>+_xlfn.XLOOKUP(G75,MASTER!B:B,MASTER!C:C)</f>
        <v>#N/A</v>
      </c>
    </row>
    <row r="76" spans="1:9" x14ac:dyDescent="0.35">
      <c r="A76">
        <v>75053758</v>
      </c>
      <c r="B76">
        <f>+_xlfn.XLOOKUP(A76,MASTER!B:B,MASTER!A:A)</f>
        <v>100006296</v>
      </c>
      <c r="C76" t="str">
        <f>+_xlfn.XLOOKUP(A76,MASTER!B:B,MASTER!C:C)</f>
        <v>MARLBORO TABACO REPOSADO GOLD</v>
      </c>
      <c r="D76" s="10" t="str">
        <f>+_xlfn.XLOOKUP(A76,MASTER!B:B,MASTER!D:D)</f>
        <v>PMI</v>
      </c>
      <c r="E76" s="10" t="str">
        <f>+_xlfn.XLOOKUP(A76,MASTER!B:B,MASTER!I:I)</f>
        <v>Descontinuado (con stock)</v>
      </c>
      <c r="G76">
        <v>75047092</v>
      </c>
      <c r="H76" s="10">
        <f>+_xlfn.XLOOKUP(G76,MASTER!B:B,MASTER!A:A)</f>
        <v>100080951</v>
      </c>
      <c r="I76" s="10" t="str">
        <f>+_xlfn.XLOOKUP(G76,MASTER!B:B,MASTER!C:C)</f>
        <v>DELICADOS CIGARROS 24S CAJET</v>
      </c>
    </row>
    <row r="77" spans="1:9" x14ac:dyDescent="0.35">
      <c r="A77">
        <v>75053765</v>
      </c>
      <c r="B77">
        <f>+_xlfn.XLOOKUP(A77,MASTER!B:B,MASTER!A:A)</f>
        <v>100006294</v>
      </c>
      <c r="C77" t="str">
        <f>+_xlfn.XLOOKUP(A77,MASTER!B:B,MASTER!C:C)</f>
        <v>MARLBORO SELECCION ARTESANAL 20</v>
      </c>
      <c r="D77" s="10" t="str">
        <f>+_xlfn.XLOOKUP(A77,MASTER!B:B,MASTER!D:D)</f>
        <v>PMI</v>
      </c>
      <c r="E77" s="10" t="str">
        <f>+_xlfn.XLOOKUP(A77,MASTER!B:B,MASTER!I:I)</f>
        <v>Descontinuado (con stock)</v>
      </c>
      <c r="G77">
        <v>75047337</v>
      </c>
      <c r="H77" s="10">
        <f>+_xlfn.XLOOKUP(G77,MASTER!B:B,MASTER!A:A)</f>
        <v>100080957</v>
      </c>
      <c r="I77" s="10" t="str">
        <f>+_xlfn.XLOOKUP(G77,MASTER!B:B,MASTER!C:C)</f>
        <v>BENSON&amp;HEDGES PEARL CAPS CAJETILLA</v>
      </c>
    </row>
    <row r="78" spans="1:9" x14ac:dyDescent="0.35">
      <c r="A78">
        <v>75056308</v>
      </c>
      <c r="B78">
        <f>+_xlfn.XLOOKUP(A78,MASTER!B:B,MASTER!A:A)</f>
        <v>100007108</v>
      </c>
      <c r="C78" t="str">
        <f>+_xlfn.XLOOKUP(A78,MASTER!B:B,MASTER!C:C)</f>
        <v>BENSON&amp;HEDGE CRYSTAL VIOLET PZ</v>
      </c>
      <c r="D78" s="10" t="str">
        <f>+_xlfn.XLOOKUP(A78,MASTER!B:B,MASTER!D:D)</f>
        <v>PMI</v>
      </c>
      <c r="E78" s="10" t="str">
        <f>+_xlfn.XLOOKUP(A78,MASTER!B:B,MASTER!I:I)</f>
        <v>Activo</v>
      </c>
      <c r="G78">
        <v>75048129</v>
      </c>
      <c r="H78" s="10">
        <f>+_xlfn.XLOOKUP(G78,MASTER!B:B,MASTER!A:A)</f>
        <v>100080975</v>
      </c>
      <c r="I78" s="10" t="str">
        <f>+_xlfn.XLOOKUP(G78,MASTER!B:B,MASTER!C:C)</f>
        <v>LUCKY STRIKE ORIGINAL FF 20S TUBE</v>
      </c>
    </row>
    <row r="79" spans="1:9" x14ac:dyDescent="0.35">
      <c r="A79">
        <v>75059514</v>
      </c>
      <c r="B79">
        <f>+_xlfn.XLOOKUP(A79,MASTER!B:B,MASTER!A:A)</f>
        <v>100009230</v>
      </c>
      <c r="C79" t="str">
        <f>+_xlfn.XLOOKUP(A79,MASTER!B:B,MASTER!C:C)</f>
        <v>BENSON&amp;HEDGES CRYSTAL BLUE PZ</v>
      </c>
      <c r="D79" s="10" t="str">
        <f>+_xlfn.XLOOKUP(A79,MASTER!B:B,MASTER!D:D)</f>
        <v>PMI</v>
      </c>
      <c r="E79" s="10" t="str">
        <f>+_xlfn.XLOOKUP(A79,MASTER!B:B,MASTER!I:I)</f>
        <v>Activo</v>
      </c>
      <c r="G79">
        <v>75048181</v>
      </c>
      <c r="H79" s="10" t="e">
        <f>+_xlfn.XLOOKUP(G79,MASTER!B:B,MASTER!A:A)</f>
        <v>#N/A</v>
      </c>
      <c r="I79" s="10" t="e">
        <f>+_xlfn.XLOOKUP(G79,MASTER!B:B,MASTER!C:C)</f>
        <v>#N/A</v>
      </c>
    </row>
    <row r="80" spans="1:9" x14ac:dyDescent="0.35">
      <c r="A80">
        <v>75063504</v>
      </c>
      <c r="B80">
        <f>+_xlfn.XLOOKUP(A80,MASTER!B:B,MASTER!A:A)</f>
        <v>100012153</v>
      </c>
      <c r="C80" t="str">
        <f>+_xlfn.XLOOKUP(A80,MASTER!B:B,MASTER!C:C)</f>
        <v>LUCKY STRIKE 20S ME TDC 1PZ</v>
      </c>
      <c r="D80" s="10" t="str">
        <f>+_xlfn.XLOOKUP(A80,MASTER!B:B,MASTER!D:D)</f>
        <v>BAT</v>
      </c>
      <c r="E80" s="10" t="str">
        <f>+_xlfn.XLOOKUP(A80,MASTER!B:B,MASTER!I:I)</f>
        <v>Activo</v>
      </c>
      <c r="G80">
        <v>75049577</v>
      </c>
      <c r="H80" s="10">
        <f>+_xlfn.XLOOKUP(G80,MASTER!B:B,MASTER!A:A)</f>
        <v>100080980</v>
      </c>
      <c r="I80" s="10" t="str">
        <f>+_xlfn.XLOOKUP(G80,MASTER!B:B,MASTER!C:C)</f>
        <v>CHESTERFIELD PURPLE CAPS CAJET</v>
      </c>
    </row>
    <row r="81" spans="1:9" x14ac:dyDescent="0.35">
      <c r="A81">
        <v>75063740</v>
      </c>
      <c r="B81">
        <f>+_xlfn.XLOOKUP(A81,MASTER!B:B,MASTER!A:A)</f>
        <v>100011677</v>
      </c>
      <c r="C81" t="str">
        <f>+_xlfn.XLOOKUP(A81,MASTER!B:B,MASTER!C:C)</f>
        <v>CHESTERFIELD BLUE 14 1CAJ</v>
      </c>
      <c r="D81" s="10" t="str">
        <f>+_xlfn.XLOOKUP(A81,MASTER!B:B,MASTER!D:D)</f>
        <v>PMI</v>
      </c>
      <c r="E81" s="10" t="str">
        <f>+_xlfn.XLOOKUP(A81,MASTER!B:B,MASTER!I:I)</f>
        <v>Descontinuado (con stock)</v>
      </c>
      <c r="G81">
        <v>75049591</v>
      </c>
      <c r="H81" s="10">
        <f>+_xlfn.XLOOKUP(G81,MASTER!B:B,MASTER!A:A)</f>
        <v>100080976</v>
      </c>
      <c r="I81" s="10" t="str">
        <f>+_xlfn.XLOOKUP(G81,MASTER!B:B,MASTER!C:C)</f>
        <v>DELICADOS CLAROS</v>
      </c>
    </row>
    <row r="82" spans="1:9" x14ac:dyDescent="0.35">
      <c r="A82">
        <v>75063771</v>
      </c>
      <c r="B82">
        <f>+_xlfn.XLOOKUP(A82,MASTER!B:B,MASTER!A:A)</f>
        <v>100011671</v>
      </c>
      <c r="C82" t="str">
        <f>+_xlfn.XLOOKUP(A82,MASTER!B:B,MASTER!C:C)</f>
        <v>CHESTERFIELD REMIX PASSION</v>
      </c>
      <c r="D82" s="10" t="str">
        <f>+_xlfn.XLOOKUP(A82,MASTER!B:B,MASTER!D:D)</f>
        <v>PMI</v>
      </c>
      <c r="E82" s="10" t="str">
        <f>+_xlfn.XLOOKUP(A82,MASTER!B:B,MASTER!I:I)</f>
        <v>Descontinuado (con stock)</v>
      </c>
      <c r="G82">
        <v>75050443</v>
      </c>
      <c r="H82" s="10">
        <f>+_xlfn.XLOOKUP(G82,MASTER!B:B,MASTER!A:A)</f>
        <v>100004048</v>
      </c>
      <c r="I82" s="10" t="str">
        <f>+_xlfn.XLOOKUP(G82,MASTER!B:B,MASTER!C:C)</f>
        <v>BENSON&amp;HEDGE GOLD PEARL</v>
      </c>
    </row>
    <row r="83" spans="1:9" x14ac:dyDescent="0.35">
      <c r="A83">
        <v>75063801</v>
      </c>
      <c r="B83">
        <f>+_xlfn.XLOOKUP(A83,MASTER!B:B,MASTER!A:A)</f>
        <v>100011672</v>
      </c>
      <c r="C83" t="str">
        <f>+_xlfn.XLOOKUP(A83,MASTER!B:B,MASTER!C:C)</f>
        <v>MARLBORO CRAFTED ICE MIX</v>
      </c>
      <c r="D83" s="10" t="str">
        <f>+_xlfn.XLOOKUP(A83,MASTER!B:B,MASTER!D:D)</f>
        <v>PMI</v>
      </c>
      <c r="E83" s="10" t="str">
        <f>+_xlfn.XLOOKUP(A83,MASTER!B:B,MASTER!I:I)</f>
        <v>Activo</v>
      </c>
      <c r="G83">
        <v>75050450</v>
      </c>
      <c r="H83" s="10">
        <f>+_xlfn.XLOOKUP(G83,MASTER!B:B,MASTER!A:A)</f>
        <v>100080990</v>
      </c>
      <c r="I83" s="10" t="str">
        <f>+_xlfn.XLOOKUP(G83,MASTER!B:B,MASTER!C:C)</f>
        <v>MARLBORO RUBYFRESH CAJET</v>
      </c>
    </row>
    <row r="84" spans="1:9" x14ac:dyDescent="0.35">
      <c r="A84">
        <v>75063825</v>
      </c>
      <c r="B84">
        <f>+_xlfn.XLOOKUP(A84,MASTER!B:B,MASTER!A:A)</f>
        <v>100011673</v>
      </c>
      <c r="C84" t="str">
        <f>+_xlfn.XLOOKUP(A84,MASTER!B:B,MASTER!C:C)</f>
        <v>CHESTERFIELD BLUE 20 1CAJ</v>
      </c>
      <c r="D84" s="10" t="str">
        <f>+_xlfn.XLOOKUP(A84,MASTER!B:B,MASTER!D:D)</f>
        <v>PMI</v>
      </c>
      <c r="E84" s="10" t="str">
        <f>+_xlfn.XLOOKUP(A84,MASTER!B:B,MASTER!I:I)</f>
        <v>Descontinuado (con stock)</v>
      </c>
      <c r="G84">
        <v>75051785</v>
      </c>
      <c r="H84" s="10">
        <f>+_xlfn.XLOOKUP(G84,MASTER!B:B,MASTER!A:A)</f>
        <v>100004788</v>
      </c>
      <c r="I84" s="10" t="str">
        <f>+_xlfn.XLOOKUP(G84,MASTER!B:B,MASTER!C:C)</f>
        <v>LUCKY STRIKE CLICK 4 MIX</v>
      </c>
    </row>
    <row r="85" spans="1:9" x14ac:dyDescent="0.35">
      <c r="A85">
        <v>75064112</v>
      </c>
      <c r="B85">
        <f>+_xlfn.XLOOKUP(A85,MASTER!B:B,MASTER!A:A)</f>
        <v>100012202</v>
      </c>
      <c r="C85" t="str">
        <f>+_xlfn.XLOOKUP(A85,MASTER!B:B,MASTER!C:C)</f>
        <v>CHESTERFIELD ORIGINALES 24 1CAJE</v>
      </c>
      <c r="D85" s="10" t="str">
        <f>+_xlfn.XLOOKUP(A85,MASTER!B:B,MASTER!D:D)</f>
        <v>PMI</v>
      </c>
      <c r="E85" s="10" t="str">
        <f>+_xlfn.XLOOKUP(A85,MASTER!B:B,MASTER!I:I)</f>
        <v>Descontinuado (con stock)</v>
      </c>
      <c r="G85">
        <v>75052836</v>
      </c>
      <c r="H85" s="10">
        <f>+_xlfn.XLOOKUP(G85,MASTER!B:B,MASTER!A:A)</f>
        <v>100005585</v>
      </c>
      <c r="I85" s="10" t="str">
        <f>+_xlfn.XLOOKUP(G85,MASTER!B:B,MASTER!C:C)</f>
        <v>PALL MALL TOKYO MIDNIGHT 20</v>
      </c>
    </row>
    <row r="86" spans="1:9" x14ac:dyDescent="0.35">
      <c r="A86">
        <v>75064648</v>
      </c>
      <c r="B86">
        <f>+_xlfn.XLOOKUP(A86,MASTER!B:B,MASTER!A:A)</f>
        <v>100012746</v>
      </c>
      <c r="C86" t="str">
        <f>+_xlfn.XLOOKUP(A86,MASTER!B:B,MASTER!C:C)</f>
        <v>PALL MALL MYKONOS NIGHTFALL 20</v>
      </c>
      <c r="D86" s="10" t="str">
        <f>+_xlfn.XLOOKUP(A86,MASTER!B:B,MASTER!D:D)</f>
        <v>BAT</v>
      </c>
      <c r="E86" s="10" t="str">
        <f>+_xlfn.XLOOKUP(A86,MASTER!B:B,MASTER!I:I)</f>
        <v>Activo</v>
      </c>
      <c r="G86">
        <v>75053758</v>
      </c>
      <c r="H86" s="10">
        <f>+_xlfn.XLOOKUP(G86,MASTER!B:B,MASTER!A:A)</f>
        <v>100006296</v>
      </c>
      <c r="I86" s="10" t="str">
        <f>+_xlfn.XLOOKUP(G86,MASTER!B:B,MASTER!C:C)</f>
        <v>MARLBORO TABACO REPOSADO GOLD</v>
      </c>
    </row>
    <row r="87" spans="1:9" x14ac:dyDescent="0.35">
      <c r="A87">
        <v>75064716</v>
      </c>
      <c r="B87">
        <f>+_xlfn.XLOOKUP(A87,MASTER!B:B,MASTER!A:A)</f>
        <v>100012997</v>
      </c>
      <c r="C87" t="str">
        <f>+_xlfn.XLOOKUP(A87,MASTER!B:B,MASTER!C:C)</f>
        <v>LUCKY STRIKE ENIGMA 100S 1PZ</v>
      </c>
      <c r="D87" s="10" t="str">
        <f>+_xlfn.XLOOKUP(A87,MASTER!B:B,MASTER!D:D)</f>
        <v>BAT</v>
      </c>
      <c r="E87" s="10" t="str">
        <f>+_xlfn.XLOOKUP(A87,MASTER!B:B,MASTER!I:I)</f>
        <v>Activo</v>
      </c>
      <c r="G87">
        <v>75053765</v>
      </c>
      <c r="H87" s="10">
        <f>+_xlfn.XLOOKUP(G87,MASTER!B:B,MASTER!A:A)</f>
        <v>100006294</v>
      </c>
      <c r="I87" s="10" t="str">
        <f>+_xlfn.XLOOKUP(G87,MASTER!B:B,MASTER!C:C)</f>
        <v>MARLBORO SELECCION ARTESANAL 20</v>
      </c>
    </row>
    <row r="88" spans="1:9" x14ac:dyDescent="0.35">
      <c r="A88">
        <v>75064747</v>
      </c>
      <c r="B88">
        <f>+_xlfn.XLOOKUP(A88,MASTER!B:B,MASTER!A:A)</f>
        <v>100013075</v>
      </c>
      <c r="C88" t="str">
        <f>+_xlfn.XLOOKUP(A88,MASTER!B:B,MASTER!C:C)</f>
        <v>MONTANA SHOTS 15S 1PZ</v>
      </c>
      <c r="D88" s="10" t="str">
        <f>+_xlfn.XLOOKUP(A88,MASTER!B:B,MASTER!D:D)</f>
        <v>BAT</v>
      </c>
      <c r="E88" s="10" t="str">
        <f>+_xlfn.XLOOKUP(A88,MASTER!B:B,MASTER!I:I)</f>
        <v>Activo</v>
      </c>
      <c r="G88">
        <v>75056308</v>
      </c>
      <c r="H88" s="10">
        <f>+_xlfn.XLOOKUP(G88,MASTER!B:B,MASTER!A:A)</f>
        <v>100007108</v>
      </c>
      <c r="I88" s="10" t="str">
        <f>+_xlfn.XLOOKUP(G88,MASTER!B:B,MASTER!C:C)</f>
        <v>BENSON&amp;HEDGE CRYSTAL VIOLET PZ</v>
      </c>
    </row>
    <row r="89" spans="1:9" x14ac:dyDescent="0.35">
      <c r="A89">
        <v>75064754</v>
      </c>
      <c r="B89">
        <f>+_xlfn.XLOOKUP(A89,MASTER!B:B,MASTER!A:A)</f>
        <v>100013892</v>
      </c>
      <c r="C89" t="str">
        <f>+_xlfn.XLOOKUP(A89,MASTER!B:B,MASTER!C:C)</f>
        <v>MONTANA SHOTS 1PZ</v>
      </c>
      <c r="D89" s="10" t="str">
        <f>+_xlfn.XLOOKUP(A89,MASTER!B:B,MASTER!D:D)</f>
        <v>BAT</v>
      </c>
      <c r="E89" s="10" t="str">
        <f>+_xlfn.XLOOKUP(A89,MASTER!B:B,MASTER!I:I)</f>
        <v>Activo</v>
      </c>
      <c r="G89">
        <v>75057800</v>
      </c>
      <c r="H89" s="10">
        <f>+_xlfn.XLOOKUP(G89,MASTER!B:B,MASTER!A:A)</f>
        <v>100008184</v>
      </c>
      <c r="I89" s="10" t="str">
        <f>+_xlfn.XLOOKUP(G89,MASTER!B:B,MASTER!C:C)</f>
        <v>CHESTERFIELD BLUE 14S CAJET</v>
      </c>
    </row>
    <row r="90" spans="1:9" x14ac:dyDescent="0.35">
      <c r="A90">
        <v>75064778</v>
      </c>
      <c r="B90">
        <f>+_xlfn.XLOOKUP(A90,MASTER!B:B,MASTER!A:A)</f>
        <v>100013891</v>
      </c>
      <c r="C90" t="str">
        <f>+_xlfn.XLOOKUP(A90,MASTER!B:B,MASTER!C:C)</f>
        <v>PALL MALL RED 25 1PZ</v>
      </c>
      <c r="D90" s="10" t="str">
        <f>+_xlfn.XLOOKUP(A90,MASTER!B:B,MASTER!D:D)</f>
        <v>BAT</v>
      </c>
      <c r="E90" s="10" t="str">
        <f>+_xlfn.XLOOKUP(A90,MASTER!B:B,MASTER!I:I)</f>
        <v>Descontinuado (con stock)</v>
      </c>
      <c r="G90">
        <v>75057824</v>
      </c>
      <c r="H90" s="10">
        <f>+_xlfn.XLOOKUP(G90,MASTER!B:B,MASTER!A:A)</f>
        <v>100008185</v>
      </c>
      <c r="I90" s="10" t="str">
        <f>+_xlfn.XLOOKUP(G90,MASTER!B:B,MASTER!C:C)</f>
        <v>CHESTERFIELD MINT 14S CAJET</v>
      </c>
    </row>
    <row r="91" spans="1:9" x14ac:dyDescent="0.35">
      <c r="A91">
        <v>75065515</v>
      </c>
      <c r="B91">
        <f>+_xlfn.XLOOKUP(A91,MASTER!B:B,MASTER!A:A)</f>
        <v>100013110</v>
      </c>
      <c r="C91" t="str">
        <f>+_xlfn.XLOOKUP(A91,MASTER!B:B,MASTER!C:C)</f>
        <v>MARLBORO RUBY 14 1CAJETILLA</v>
      </c>
      <c r="D91" s="10" t="str">
        <f>+_xlfn.XLOOKUP(A91,MASTER!B:B,MASTER!D:D)</f>
        <v>PMI</v>
      </c>
      <c r="E91" s="10" t="str">
        <f>+_xlfn.XLOOKUP(A91,MASTER!B:B,MASTER!I:I)</f>
        <v>Descontinuado (con stock)</v>
      </c>
      <c r="G91">
        <v>75059514</v>
      </c>
      <c r="H91" s="10">
        <f>+_xlfn.XLOOKUP(G91,MASTER!B:B,MASTER!A:A)</f>
        <v>100009230</v>
      </c>
      <c r="I91" s="10" t="str">
        <f>+_xlfn.XLOOKUP(G91,MASTER!B:B,MASTER!C:C)</f>
        <v>BENSON&amp;HEDGES CRYSTAL BLUE PZ</v>
      </c>
    </row>
    <row r="92" spans="1:9" x14ac:dyDescent="0.35">
      <c r="A92">
        <v>75066345</v>
      </c>
      <c r="B92">
        <f>+_xlfn.XLOOKUP(A92,MASTER!B:B,MASTER!A:A)</f>
        <v>100013136</v>
      </c>
      <c r="C92" t="str">
        <f>+_xlfn.XLOOKUP(A92,MASTER!B:B,MASTER!C:C)</f>
        <v>MARLBORO FUSION SUMMER 100BOX 1CAJ</v>
      </c>
      <c r="D92" s="10" t="str">
        <f>+_xlfn.XLOOKUP(A92,MASTER!B:B,MASTER!D:D)</f>
        <v>PMI</v>
      </c>
      <c r="E92" s="10" t="str">
        <f>+_xlfn.XLOOKUP(A92,MASTER!B:B,MASTER!I:I)</f>
        <v>Activo</v>
      </c>
      <c r="G92">
        <v>75061456</v>
      </c>
      <c r="H92" s="10" t="e">
        <f>+_xlfn.XLOOKUP(G92,MASTER!B:B,MASTER!A:A)</f>
        <v>#N/A</v>
      </c>
      <c r="I92" s="10" t="e">
        <f>+_xlfn.XLOOKUP(G92,MASTER!B:B,MASTER!C:C)</f>
        <v>#N/A</v>
      </c>
    </row>
    <row r="93" spans="1:9" x14ac:dyDescent="0.35">
      <c r="A93">
        <v>75066413</v>
      </c>
      <c r="B93">
        <f>+_xlfn.XLOOKUP(A93,MASTER!B:B,MASTER!A:A)</f>
        <v>100022336</v>
      </c>
      <c r="C93" t="str">
        <f>+_xlfn.XLOOKUP(A93,MASTER!B:B,MASTER!C:C)</f>
        <v>MARLBORO CRAFTED 25S CAJETILLA</v>
      </c>
      <c r="D93" s="10" t="str">
        <f>+_xlfn.XLOOKUP(A93,MASTER!B:B,MASTER!D:D)</f>
        <v>PMI</v>
      </c>
      <c r="E93" s="10" t="str">
        <f>+_xlfn.XLOOKUP(A93,MASTER!B:B,MASTER!I:I)</f>
        <v>Activo</v>
      </c>
      <c r="G93">
        <v>75061463</v>
      </c>
      <c r="H93" s="10">
        <f>+_xlfn.XLOOKUP(G93,MASTER!B:B,MASTER!A:A)</f>
        <v>100010267</v>
      </c>
      <c r="I93" s="10" t="str">
        <f>+_xlfn.XLOOKUP(G93,MASTER!B:B,MASTER!C:C)</f>
        <v>DELICADOS FRESCOS 14S 1CAJ</v>
      </c>
    </row>
    <row r="94" spans="1:9" x14ac:dyDescent="0.35">
      <c r="A94">
        <v>75067854</v>
      </c>
      <c r="B94">
        <f>+_xlfn.XLOOKUP(A94,MASTER!B:B,MASTER!A:A)</f>
        <v>100013983</v>
      </c>
      <c r="C94" t="str">
        <f>+_xlfn.XLOOKUP(A94,MASTER!B:B,MASTER!C:C)</f>
        <v>CHESTERFIELD ORIGIN 25 PERMANENT 1CAJE</v>
      </c>
      <c r="D94" s="10" t="str">
        <f>+_xlfn.XLOOKUP(A94,MASTER!B:B,MASTER!D:D)</f>
        <v>PMI</v>
      </c>
      <c r="E94" s="10" t="str">
        <f>+_xlfn.XLOOKUP(A94,MASTER!B:B,MASTER!I:I)</f>
        <v>Descontinuado (con stock)</v>
      </c>
      <c r="G94">
        <v>75062736</v>
      </c>
      <c r="H94" s="10">
        <f>+_xlfn.XLOOKUP(G94,MASTER!B:B,MASTER!A:A)</f>
        <v>100010332</v>
      </c>
      <c r="I94" s="10" t="str">
        <f>+_xlfn.XLOOKUP(G94,MASTER!B:B,MASTER!C:C)</f>
        <v>MARLBORO SHINE 100S 1 CAJETILLA</v>
      </c>
    </row>
    <row r="95" spans="1:9" x14ac:dyDescent="0.35">
      <c r="A95">
        <v>75067878</v>
      </c>
      <c r="B95">
        <f>+_xlfn.XLOOKUP(A95,MASTER!B:B,MASTER!A:A)</f>
        <v>100015174</v>
      </c>
      <c r="C95" t="str">
        <f>+_xlfn.XLOOKUP(A95,MASTER!B:B,MASTER!C:C)</f>
        <v xml:space="preserve">LUCKY STRIKE 94MM SUNSHINE BLAST 1 CAJETILLA				</v>
      </c>
      <c r="D95" s="10" t="str">
        <f>+_xlfn.XLOOKUP(A95,MASTER!B:B,MASTER!D:D)</f>
        <v>BAT</v>
      </c>
      <c r="E95" s="10" t="str">
        <f>+_xlfn.XLOOKUP(A95,MASTER!B:B,MASTER!I:I)</f>
        <v>Descontinuado (con stock)</v>
      </c>
      <c r="G95">
        <v>75063504</v>
      </c>
      <c r="H95" s="10">
        <f>+_xlfn.XLOOKUP(G95,MASTER!B:B,MASTER!A:A)</f>
        <v>100012153</v>
      </c>
      <c r="I95" s="10" t="str">
        <f>+_xlfn.XLOOKUP(G95,MASTER!B:B,MASTER!C:C)</f>
        <v>LUCKY STRIKE 20S ME TDC 1PZ</v>
      </c>
    </row>
    <row r="96" spans="1:9" x14ac:dyDescent="0.35">
      <c r="A96">
        <v>75067885</v>
      </c>
      <c r="B96" t="e">
        <f>+_xlfn.XLOOKUP(A96,MASTER!B:B,MASTER!A:A)</f>
        <v>#N/A</v>
      </c>
      <c r="C96" t="e">
        <f>+_xlfn.XLOOKUP(A96,MASTER!B:B,MASTER!C:C)</f>
        <v>#N/A</v>
      </c>
      <c r="D96" s="10" t="e">
        <f>+_xlfn.XLOOKUP(A96,MASTER!B:B,MASTER!D:D)</f>
        <v>#N/A</v>
      </c>
      <c r="E96" s="10" t="e">
        <f>+_xlfn.XLOOKUP(A96,MASTER!B:B,MASTER!I:I)</f>
        <v>#N/A</v>
      </c>
      <c r="G96">
        <v>75063740</v>
      </c>
      <c r="H96" s="10">
        <f>+_xlfn.XLOOKUP(G96,MASTER!B:B,MASTER!A:A)</f>
        <v>100011677</v>
      </c>
      <c r="I96" s="10" t="str">
        <f>+_xlfn.XLOOKUP(G96,MASTER!B:B,MASTER!C:C)</f>
        <v>CHESTERFIELD BLUE 14 1CAJ</v>
      </c>
    </row>
    <row r="97" spans="1:9" x14ac:dyDescent="0.35">
      <c r="A97">
        <v>75068363</v>
      </c>
      <c r="B97">
        <f>+_xlfn.XLOOKUP(A97,MASTER!B:B,MASTER!A:A)</f>
        <v>100014187</v>
      </c>
      <c r="C97" t="str">
        <f>+_xlfn.XLOOKUP(A97,MASTER!B:B,MASTER!C:C)</f>
        <v>PALL MALL NEW YORK 20</v>
      </c>
      <c r="D97" s="10" t="str">
        <f>+_xlfn.XLOOKUP(A97,MASTER!B:B,MASTER!D:D)</f>
        <v>BAT</v>
      </c>
      <c r="E97" s="10" t="str">
        <f>+_xlfn.XLOOKUP(A97,MASTER!B:B,MASTER!I:I)</f>
        <v>Activo</v>
      </c>
      <c r="G97">
        <v>75063771</v>
      </c>
      <c r="H97" s="10">
        <f>+_xlfn.XLOOKUP(G97,MASTER!B:B,MASTER!A:A)</f>
        <v>100011671</v>
      </c>
      <c r="I97" s="10" t="str">
        <f>+_xlfn.XLOOKUP(G97,MASTER!B:B,MASTER!C:C)</f>
        <v>CHESTERFIELD REMIX PASSION</v>
      </c>
    </row>
    <row r="98" spans="1:9" x14ac:dyDescent="0.35">
      <c r="A98">
        <v>75068738</v>
      </c>
      <c r="B98">
        <f>+_xlfn.XLOOKUP(A98,MASTER!B:B,MASTER!A:A)</f>
        <v>100014570</v>
      </c>
      <c r="C98" t="str">
        <f>+_xlfn.XLOOKUP(A98,MASTER!B:B,MASTER!C:C)</f>
        <v>MARLBORO GOLD 20 RCB 1CAJE</v>
      </c>
      <c r="D98" s="10" t="str">
        <f>+_xlfn.XLOOKUP(A98,MASTER!B:B,MASTER!D:D)</f>
        <v>PMI</v>
      </c>
      <c r="E98" s="10" t="str">
        <f>+_xlfn.XLOOKUP(A98,MASTER!B:B,MASTER!I:I)</f>
        <v>Activo</v>
      </c>
      <c r="G98">
        <v>75063801</v>
      </c>
      <c r="H98" s="10">
        <f>+_xlfn.XLOOKUP(G98,MASTER!B:B,MASTER!A:A)</f>
        <v>100011672</v>
      </c>
      <c r="I98" s="10" t="str">
        <f>+_xlfn.XLOOKUP(G98,MASTER!B:B,MASTER!C:C)</f>
        <v>MARLBORO CRAFTED ICE MIX</v>
      </c>
    </row>
    <row r="99" spans="1:9" x14ac:dyDescent="0.35">
      <c r="A99">
        <v>75068745</v>
      </c>
      <c r="B99">
        <f>+_xlfn.XLOOKUP(A99,MASTER!B:B,MASTER!A:A)</f>
        <v>100015037</v>
      </c>
      <c r="C99" t="str">
        <f>+_xlfn.XLOOKUP(A99,MASTER!B:B,MASTER!C:C)</f>
        <v>MARLBORO GOLD KS SOF 20 1 CAJETILLA</v>
      </c>
      <c r="D99" s="10" t="str">
        <f>+_xlfn.XLOOKUP(A99,MASTER!B:B,MASTER!D:D)</f>
        <v>PMI</v>
      </c>
      <c r="E99" s="10" t="str">
        <f>+_xlfn.XLOOKUP(A99,MASTER!B:B,MASTER!I:I)</f>
        <v>Activo</v>
      </c>
      <c r="G99">
        <v>75063825</v>
      </c>
      <c r="H99" s="10">
        <f>+_xlfn.XLOOKUP(G99,MASTER!B:B,MASTER!A:A)</f>
        <v>100011673</v>
      </c>
      <c r="I99" s="10" t="str">
        <f>+_xlfn.XLOOKUP(G99,MASTER!B:B,MASTER!C:C)</f>
        <v>CHESTERFIELD BLUE 20 1CAJ</v>
      </c>
    </row>
    <row r="100" spans="1:9" x14ac:dyDescent="0.35">
      <c r="A100">
        <v>75068769</v>
      </c>
      <c r="B100">
        <f>+_xlfn.XLOOKUP(A100,MASTER!B:B,MASTER!A:A)</f>
        <v>100014868</v>
      </c>
      <c r="C100" t="str">
        <f>+_xlfn.XLOOKUP(A100,MASTER!B:B,MASTER!C:C)</f>
        <v>MARLBORO VELVET 100 BOX 20 1 CAJETILLA</v>
      </c>
      <c r="D100" s="10" t="str">
        <f>+_xlfn.XLOOKUP(A100,MASTER!B:B,MASTER!D:D)</f>
        <v>PMI</v>
      </c>
      <c r="E100" s="10" t="str">
        <f>+_xlfn.XLOOKUP(A100,MASTER!B:B,MASTER!I:I)</f>
        <v>Activo</v>
      </c>
      <c r="G100">
        <v>75063832</v>
      </c>
      <c r="H100" s="10">
        <f>+_xlfn.XLOOKUP(G100,MASTER!B:B,MASTER!A:A)</f>
        <v>100011706</v>
      </c>
      <c r="I100" s="10" t="str">
        <f>+_xlfn.XLOOKUP(G100,MASTER!B:B,MASTER!C:C)</f>
        <v>DELICADOS CLAROS 14 ENDORSE 1CAJE</v>
      </c>
    </row>
    <row r="101" spans="1:9" x14ac:dyDescent="0.35">
      <c r="A101">
        <v>75068776</v>
      </c>
      <c r="B101">
        <f>+_xlfn.XLOOKUP(A101,MASTER!B:B,MASTER!A:A)</f>
        <v>100014714</v>
      </c>
      <c r="C101" t="str">
        <f>+_xlfn.XLOOKUP(A101,MASTER!B:B,MASTER!C:C)</f>
        <v>BENSON&amp;HEDGE GOLD 100 RCB 20 1CAJE</v>
      </c>
      <c r="D101" s="10" t="str">
        <f>+_xlfn.XLOOKUP(A101,MASTER!B:B,MASTER!D:D)</f>
        <v>PMI</v>
      </c>
      <c r="E101" s="10" t="str">
        <f>+_xlfn.XLOOKUP(A101,MASTER!B:B,MASTER!I:I)</f>
        <v>Activo</v>
      </c>
      <c r="G101">
        <v>75063870</v>
      </c>
      <c r="H101" s="10">
        <f>+_xlfn.XLOOKUP(G101,MASTER!B:B,MASTER!A:A)</f>
        <v>100011708</v>
      </c>
      <c r="I101" s="10" t="str">
        <f>+_xlfn.XLOOKUP(G101,MASTER!B:B,MASTER!C:C)</f>
        <v>DELICADOS 14 ENDORSE 1CAJE</v>
      </c>
    </row>
    <row r="102" spans="1:9" x14ac:dyDescent="0.35">
      <c r="A102">
        <v>75068783</v>
      </c>
      <c r="B102">
        <f>+_xlfn.XLOOKUP(A102,MASTER!B:B,MASTER!A:A)</f>
        <v>100014711</v>
      </c>
      <c r="C102" t="str">
        <f>+_xlfn.XLOOKUP(A102,MASTER!B:B,MASTER!C:C)</f>
        <v>MARLBORO RUBY 100 BOX 20 1CAJE</v>
      </c>
      <c r="D102" s="10" t="str">
        <f>+_xlfn.XLOOKUP(A102,MASTER!B:B,MASTER!D:D)</f>
        <v>PMI</v>
      </c>
      <c r="E102" s="10" t="str">
        <f>+_xlfn.XLOOKUP(A102,MASTER!B:B,MASTER!I:I)</f>
        <v>Activo</v>
      </c>
      <c r="G102">
        <v>75064112</v>
      </c>
      <c r="H102" s="10">
        <f>+_xlfn.XLOOKUP(G102,MASTER!B:B,MASTER!A:A)</f>
        <v>100012202</v>
      </c>
      <c r="I102" s="10" t="str">
        <f>+_xlfn.XLOOKUP(G102,MASTER!B:B,MASTER!C:C)</f>
        <v>CHESTERFIELD ORIGINALES 24 1CAJE</v>
      </c>
    </row>
    <row r="103" spans="1:9" x14ac:dyDescent="0.35">
      <c r="A103">
        <v>75068790</v>
      </c>
      <c r="B103">
        <f>+_xlfn.XLOOKUP(A103,MASTER!B:B,MASTER!A:A)</f>
        <v>100015222</v>
      </c>
      <c r="C103" t="str">
        <f>+_xlfn.XLOOKUP(A103,MASTER!B:B,MASTER!C:C)</f>
        <v>MARLBORO AMBER 100 BOX 20 1 CAJETILLA</v>
      </c>
      <c r="D103" s="10" t="str">
        <f>+_xlfn.XLOOKUP(A103,MASTER!B:B,MASTER!D:D)</f>
        <v>PMI</v>
      </c>
      <c r="E103" s="10" t="str">
        <f>+_xlfn.XLOOKUP(A103,MASTER!B:B,MASTER!I:I)</f>
        <v>Descontinuado (con stock)</v>
      </c>
      <c r="G103">
        <v>75064648</v>
      </c>
      <c r="H103" s="10">
        <f>+_xlfn.XLOOKUP(G103,MASTER!B:B,MASTER!A:A)</f>
        <v>100012746</v>
      </c>
      <c r="I103" s="10" t="str">
        <f>+_xlfn.XLOOKUP(G103,MASTER!B:B,MASTER!C:C)</f>
        <v>PALL MALL MYKONOS NIGHTFALL 20</v>
      </c>
    </row>
    <row r="104" spans="1:9" x14ac:dyDescent="0.35">
      <c r="A104">
        <v>75068806</v>
      </c>
      <c r="B104">
        <f>+_xlfn.XLOOKUP(A104,MASTER!B:B,MASTER!A:A)</f>
        <v>100014718</v>
      </c>
      <c r="C104" t="str">
        <f>+_xlfn.XLOOKUP(A104,MASTER!B:B,MASTER!C:C)</f>
        <v>BENSON&amp;HEDGE GOLD 100 BOX 14 1CAJE</v>
      </c>
      <c r="D104" s="10" t="str">
        <f>+_xlfn.XLOOKUP(A104,MASTER!B:B,MASTER!D:D)</f>
        <v>PMI</v>
      </c>
      <c r="E104" s="10" t="str">
        <f>+_xlfn.XLOOKUP(A104,MASTER!B:B,MASTER!I:I)</f>
        <v>Descontinuado (con stock)</v>
      </c>
      <c r="G104">
        <v>75064716</v>
      </c>
      <c r="H104" s="10">
        <f>+_xlfn.XLOOKUP(G104,MASTER!B:B,MASTER!A:A)</f>
        <v>100012997</v>
      </c>
      <c r="I104" s="10" t="str">
        <f>+_xlfn.XLOOKUP(G104,MASTER!B:B,MASTER!C:C)</f>
        <v>LUCKY STRIKE ENIGMA 100S 1PZ</v>
      </c>
    </row>
    <row r="105" spans="1:9" x14ac:dyDescent="0.35">
      <c r="A105">
        <v>75068813</v>
      </c>
      <c r="B105">
        <f>+_xlfn.XLOOKUP(A105,MASTER!B:B,MASTER!A:A)</f>
        <v>100014569</v>
      </c>
      <c r="C105" t="str">
        <f>+_xlfn.XLOOKUP(A105,MASTER!B:B,MASTER!C:C)</f>
        <v>MARLBORO RED 100 CAPS 14 1CAJE</v>
      </c>
      <c r="D105" s="10" t="str">
        <f>+_xlfn.XLOOKUP(A105,MASTER!B:B,MASTER!D:D)</f>
        <v>PMI</v>
      </c>
      <c r="E105" s="10" t="str">
        <f>+_xlfn.XLOOKUP(A105,MASTER!B:B,MASTER!I:I)</f>
        <v>Activo</v>
      </c>
      <c r="G105">
        <v>75064747</v>
      </c>
      <c r="H105" s="10">
        <f>+_xlfn.XLOOKUP(G105,MASTER!B:B,MASTER!A:A)</f>
        <v>100013075</v>
      </c>
      <c r="I105" s="10" t="str">
        <f>+_xlfn.XLOOKUP(G105,MASTER!B:B,MASTER!C:C)</f>
        <v>MONTANA SHOTS 15S 1PZ</v>
      </c>
    </row>
    <row r="106" spans="1:9" x14ac:dyDescent="0.35">
      <c r="A106">
        <v>75068844</v>
      </c>
      <c r="B106">
        <f>+_xlfn.XLOOKUP(A106,MASTER!B:B,MASTER!A:A)</f>
        <v>100015186</v>
      </c>
      <c r="C106" t="str">
        <f>+_xlfn.XLOOKUP(A106,MASTER!B:B,MASTER!C:C)</f>
        <v>MARLBORO GOLD KS SRR 14 1 CAJETILLA</v>
      </c>
      <c r="D106" s="10" t="str">
        <f>+_xlfn.XLOOKUP(A106,MASTER!B:B,MASTER!D:D)</f>
        <v>PMI</v>
      </c>
      <c r="E106" s="10" t="str">
        <f>+_xlfn.XLOOKUP(A106,MASTER!B:B,MASTER!I:I)</f>
        <v>Activo</v>
      </c>
      <c r="G106">
        <v>75064754</v>
      </c>
      <c r="H106" s="10">
        <f>+_xlfn.XLOOKUP(G106,MASTER!B:B,MASTER!A:A)</f>
        <v>100013892</v>
      </c>
      <c r="I106" s="10" t="str">
        <f>+_xlfn.XLOOKUP(G106,MASTER!B:B,MASTER!C:C)</f>
        <v>MONTANA SHOTS 1PZ</v>
      </c>
    </row>
    <row r="107" spans="1:9" x14ac:dyDescent="0.35">
      <c r="A107">
        <v>75069490</v>
      </c>
      <c r="B107">
        <f>+_xlfn.XLOOKUP(A107,MASTER!B:B,MASTER!A:A)</f>
        <v>100015215</v>
      </c>
      <c r="C107" t="str">
        <f>+_xlfn.XLOOKUP(A107,MASTER!B:B,MASTER!C:C)</f>
        <v>PALL MALL CALIFORNIA NIGHTS 20</v>
      </c>
      <c r="D107" s="10" t="str">
        <f>+_xlfn.XLOOKUP(A107,MASTER!B:B,MASTER!D:D)</f>
        <v>BAT</v>
      </c>
      <c r="E107" s="10" t="str">
        <f>+_xlfn.XLOOKUP(A107,MASTER!B:B,MASTER!I:I)</f>
        <v>Inactivo</v>
      </c>
      <c r="G107">
        <v>75064778</v>
      </c>
      <c r="H107" s="10">
        <f>+_xlfn.XLOOKUP(G107,MASTER!B:B,MASTER!A:A)</f>
        <v>100013891</v>
      </c>
      <c r="I107" s="10" t="str">
        <f>+_xlfn.XLOOKUP(G107,MASTER!B:B,MASTER!C:C)</f>
        <v>PALL MALL RED 25 1PZ</v>
      </c>
    </row>
    <row r="108" spans="1:9" x14ac:dyDescent="0.35">
      <c r="A108">
        <v>75069506</v>
      </c>
      <c r="B108">
        <f>+_xlfn.XLOOKUP(A108,MASTER!B:B,MASTER!A:A)</f>
        <v>100014571</v>
      </c>
      <c r="C108" t="str">
        <f>+_xlfn.XLOOKUP(A108,MASTER!B:B,MASTER!C:C)</f>
        <v>CHESTERFIELD ORIGIN REMIX 100 1CAJE</v>
      </c>
      <c r="D108" s="10" t="str">
        <f>+_xlfn.XLOOKUP(A108,MASTER!B:B,MASTER!D:D)</f>
        <v>PMI</v>
      </c>
      <c r="E108" s="10" t="str">
        <f>+_xlfn.XLOOKUP(A108,MASTER!B:B,MASTER!I:I)</f>
        <v>Descontinuado (con stock)</v>
      </c>
      <c r="G108">
        <v>75064785</v>
      </c>
      <c r="H108" s="10">
        <f>+_xlfn.XLOOKUP(G108,MASTER!B:B,MASTER!A:A)</f>
        <v>100013078</v>
      </c>
      <c r="I108" s="10" t="str">
        <f>+_xlfn.XLOOKUP(G108,MASTER!B:B,MASTER!C:C)</f>
        <v>PALL MALL WHITE 15 1PZ</v>
      </c>
    </row>
    <row r="109" spans="1:9" x14ac:dyDescent="0.35">
      <c r="A109">
        <v>75069902</v>
      </c>
      <c r="B109">
        <f>+_xlfn.XLOOKUP(A109,MASTER!B:B,MASTER!A:A)</f>
        <v>100018038</v>
      </c>
      <c r="C109" t="str">
        <f>+_xlfn.XLOOKUP(A109,MASTER!B:B,MASTER!C:C)</f>
        <v>L&amp;M RED KS BOX 20 1 CAJETILLA</v>
      </c>
      <c r="D109" s="10" t="str">
        <f>+_xlfn.XLOOKUP(A109,MASTER!B:B,MASTER!D:D)</f>
        <v>PMI</v>
      </c>
      <c r="E109" s="10" t="str">
        <f>+_xlfn.XLOOKUP(A109,MASTER!B:B,MASTER!I:I)</f>
        <v>Activo</v>
      </c>
      <c r="G109">
        <v>75065515</v>
      </c>
      <c r="H109" s="10">
        <f>+_xlfn.XLOOKUP(G109,MASTER!B:B,MASTER!A:A)</f>
        <v>100013110</v>
      </c>
      <c r="I109" s="10" t="str">
        <f>+_xlfn.XLOOKUP(G109,MASTER!B:B,MASTER!C:C)</f>
        <v>MARLBORO RUBY 14 1CAJETILLA</v>
      </c>
    </row>
    <row r="110" spans="1:9" x14ac:dyDescent="0.35">
      <c r="A110">
        <v>75070090</v>
      </c>
      <c r="B110">
        <f>+_xlfn.XLOOKUP(A110,MASTER!B:B,MASTER!A:A)</f>
        <v>100015341</v>
      </c>
      <c r="C110" t="str">
        <f>+_xlfn.XLOOKUP(A110,MASTER!B:B,MASTER!C:C)</f>
        <v>PALL MALL MIX PACK 20</v>
      </c>
      <c r="D110" s="10" t="str">
        <f>+_xlfn.XLOOKUP(A110,MASTER!B:B,MASTER!D:D)</f>
        <v>BAT</v>
      </c>
      <c r="E110" s="10" t="str">
        <f>+_xlfn.XLOOKUP(A110,MASTER!B:B,MASTER!I:I)</f>
        <v>Descontinuado (con stock)</v>
      </c>
      <c r="G110">
        <v>75066345</v>
      </c>
      <c r="H110" s="10">
        <f>+_xlfn.XLOOKUP(G110,MASTER!B:B,MASTER!A:A)</f>
        <v>100013136</v>
      </c>
      <c r="I110" s="10" t="str">
        <f>+_xlfn.XLOOKUP(G110,MASTER!B:B,MASTER!C:C)</f>
        <v>MARLBORO FUSION SUMMER 100BOX 1CAJ</v>
      </c>
    </row>
    <row r="111" spans="1:9" x14ac:dyDescent="0.35">
      <c r="A111">
        <v>75070373</v>
      </c>
      <c r="B111">
        <f>+_xlfn.XLOOKUP(A111,MASTER!B:B,MASTER!A:A)</f>
        <v>100015645</v>
      </c>
      <c r="C111" t="str">
        <f>+_xlfn.XLOOKUP(A111,MASTER!B:B,MASTER!C:C)</f>
        <v xml:space="preserve">LUCKY STRIKE 94MM WINTER STORM 1 CAJETILLA		</v>
      </c>
      <c r="D111" s="10" t="str">
        <f>+_xlfn.XLOOKUP(A111,MASTER!B:B,MASTER!D:D)</f>
        <v>BAT</v>
      </c>
      <c r="E111" s="10" t="str">
        <f>+_xlfn.XLOOKUP(A111,MASTER!B:B,MASTER!I:I)</f>
        <v>Descontinuado (con stock)</v>
      </c>
      <c r="G111">
        <v>75066413</v>
      </c>
      <c r="H111" s="10">
        <f>+_xlfn.XLOOKUP(G111,MASTER!B:B,MASTER!A:A)</f>
        <v>100022336</v>
      </c>
      <c r="I111" s="10" t="str">
        <f>+_xlfn.XLOOKUP(G111,MASTER!B:B,MASTER!C:C)</f>
        <v>MARLBORO CRAFTED 25S CAJETILLA</v>
      </c>
    </row>
    <row r="112" spans="1:9" x14ac:dyDescent="0.35">
      <c r="A112">
        <v>75070588</v>
      </c>
      <c r="B112">
        <f>+_xlfn.XLOOKUP(A112,MASTER!B:B,MASTER!A:A)</f>
        <v>100015648</v>
      </c>
      <c r="C112" t="str">
        <f>+_xlfn.XLOOKUP(A112,MASTER!B:B,MASTER!C:C)</f>
        <v>LUCKY STRIKE 100S MYSTIC 1 CAJETILLA</v>
      </c>
      <c r="D112" s="10" t="str">
        <f>+_xlfn.XLOOKUP(A112,MASTER!B:B,MASTER!D:D)</f>
        <v>BAT</v>
      </c>
      <c r="E112" s="10" t="str">
        <f>+_xlfn.XLOOKUP(A112,MASTER!B:B,MASTER!I:I)</f>
        <v>Inactivo</v>
      </c>
      <c r="G112">
        <v>75067854</v>
      </c>
      <c r="H112" s="10">
        <f>+_xlfn.XLOOKUP(G112,MASTER!B:B,MASTER!A:A)</f>
        <v>100013983</v>
      </c>
      <c r="I112" s="10" t="str">
        <f>+_xlfn.XLOOKUP(G112,MASTER!B:B,MASTER!C:C)</f>
        <v>CHESTERFIELD ORIGIN 25 PERMANENT 1CAJE</v>
      </c>
    </row>
    <row r="113" spans="1:9" x14ac:dyDescent="0.35">
      <c r="A113">
        <v>75071295</v>
      </c>
      <c r="B113">
        <f>+_xlfn.XLOOKUP(A113,MASTER!B:B,MASTER!A:A)</f>
        <v>100016443</v>
      </c>
      <c r="C113" t="str">
        <f>+_xlfn.XLOOKUP(A113,MASTER!B:B,MASTER!C:C)</f>
        <v>PALL MALL ALASKA DUSK 20</v>
      </c>
      <c r="D113" s="10" t="str">
        <f>+_xlfn.XLOOKUP(A113,MASTER!B:B,MASTER!D:D)</f>
        <v>BAT</v>
      </c>
      <c r="E113" s="10" t="str">
        <f>+_xlfn.XLOOKUP(A113,MASTER!B:B,MASTER!I:I)</f>
        <v>Activo</v>
      </c>
      <c r="G113">
        <v>75067878</v>
      </c>
      <c r="H113" s="10">
        <f>+_xlfn.XLOOKUP(G113,MASTER!B:B,MASTER!A:A)</f>
        <v>100015174</v>
      </c>
      <c r="I113" s="10" t="str">
        <f>+_xlfn.XLOOKUP(G113,MASTER!B:B,MASTER!C:C)</f>
        <v xml:space="preserve">LUCKY STRIKE 94MM SUNSHINE BLAST 1 CAJETILLA				</v>
      </c>
    </row>
    <row r="114" spans="1:9" x14ac:dyDescent="0.35">
      <c r="A114">
        <v>75071455</v>
      </c>
      <c r="B114">
        <f>+_xlfn.XLOOKUP(A114,MASTER!B:B,MASTER!A:A)</f>
        <v>100016413</v>
      </c>
      <c r="C114" t="str">
        <f>+_xlfn.XLOOKUP(A114,MASTER!B:B,MASTER!C:C)</f>
        <v>PALL MALL RED 20</v>
      </c>
      <c r="D114" s="10" t="str">
        <f>+_xlfn.XLOOKUP(A114,MASTER!B:B,MASTER!D:D)</f>
        <v>BAT</v>
      </c>
      <c r="E114" s="10" t="str">
        <f>+_xlfn.XLOOKUP(A114,MASTER!B:B,MASTER!I:I)</f>
        <v>Activo</v>
      </c>
      <c r="G114">
        <v>75067885</v>
      </c>
      <c r="H114" s="10" t="e">
        <f>+_xlfn.XLOOKUP(G114,MASTER!B:B,MASTER!A:A)</f>
        <v>#N/A</v>
      </c>
      <c r="I114" s="10" t="e">
        <f>+_xlfn.XLOOKUP(G114,MASTER!B:B,MASTER!C:C)</f>
        <v>#N/A</v>
      </c>
    </row>
    <row r="115" spans="1:9" x14ac:dyDescent="0.35">
      <c r="A115">
        <v>75071479</v>
      </c>
      <c r="B115">
        <f>+_xlfn.XLOOKUP(A115,MASTER!B:B,MASTER!A:A)</f>
        <v>100016412</v>
      </c>
      <c r="C115" t="str">
        <f>+_xlfn.XLOOKUP(A115,MASTER!B:B,MASTER!C:C)</f>
        <v>PALL MALL WHITE 20</v>
      </c>
      <c r="D115" s="10" t="str">
        <f>+_xlfn.XLOOKUP(A115,MASTER!B:B,MASTER!D:D)</f>
        <v>BAT</v>
      </c>
      <c r="E115" s="10" t="str">
        <f>+_xlfn.XLOOKUP(A115,MASTER!B:B,MASTER!I:I)</f>
        <v>Activo</v>
      </c>
      <c r="G115">
        <v>75067908</v>
      </c>
      <c r="H115" s="10" t="e">
        <f>+_xlfn.XLOOKUP(G115,MASTER!B:B,MASTER!A:A)</f>
        <v>#N/A</v>
      </c>
      <c r="I115" s="10" t="e">
        <f>+_xlfn.XLOOKUP(G115,MASTER!B:B,MASTER!C:C)</f>
        <v>#N/A</v>
      </c>
    </row>
    <row r="116" spans="1:9" x14ac:dyDescent="0.35">
      <c r="A116">
        <v>75071776</v>
      </c>
      <c r="B116">
        <f>+_xlfn.XLOOKUP(A116,MASTER!B:B,MASTER!A:A)</f>
        <v>100017982</v>
      </c>
      <c r="C116" t="str">
        <f>+_xlfn.XLOOKUP(A116,MASTER!B:B,MASTER!C:C)</f>
        <v>PALL MALL CLASSICS 20</v>
      </c>
      <c r="D116" s="10" t="str">
        <f>+_xlfn.XLOOKUP(A116,MASTER!B:B,MASTER!D:D)</f>
        <v>BAT</v>
      </c>
      <c r="E116" s="10" t="str">
        <f>+_xlfn.XLOOKUP(A116,MASTER!B:B,MASTER!I:I)</f>
        <v>Activo</v>
      </c>
      <c r="G116">
        <v>75068363</v>
      </c>
      <c r="H116" s="10">
        <f>+_xlfn.XLOOKUP(G116,MASTER!B:B,MASTER!A:A)</f>
        <v>100014187</v>
      </c>
      <c r="I116" s="10" t="str">
        <f>+_xlfn.XLOOKUP(G116,MASTER!B:B,MASTER!C:C)</f>
        <v>PALL MALL NEW YORK 20</v>
      </c>
    </row>
    <row r="117" spans="1:9" x14ac:dyDescent="0.35">
      <c r="A117">
        <v>75072674</v>
      </c>
      <c r="B117">
        <f>+_xlfn.XLOOKUP(A117,MASTER!B:B,MASTER!A:A)</f>
        <v>100017624</v>
      </c>
      <c r="C117" t="str">
        <f>+_xlfn.XLOOKUP(A117,MASTER!B:B,MASTER!C:C)</f>
        <v>LUCKY STRIKE 100S ECLIPSE 20S 1 PZ</v>
      </c>
      <c r="D117" s="10" t="str">
        <f>+_xlfn.XLOOKUP(A117,MASTER!B:B,MASTER!D:D)</f>
        <v>BAT</v>
      </c>
      <c r="E117" s="10" t="str">
        <f>+_xlfn.XLOOKUP(A117,MASTER!B:B,MASTER!I:I)</f>
        <v>Descontinuado (con stock)</v>
      </c>
      <c r="G117">
        <v>75068738</v>
      </c>
      <c r="H117" s="10">
        <f>+_xlfn.XLOOKUP(G117,MASTER!B:B,MASTER!A:A)</f>
        <v>100014570</v>
      </c>
      <c r="I117" s="10" t="str">
        <f>+_xlfn.XLOOKUP(G117,MASTER!B:B,MASTER!C:C)</f>
        <v>MARLBORO GOLD 20 RCB 1CAJE</v>
      </c>
    </row>
    <row r="118" spans="1:9" x14ac:dyDescent="0.35">
      <c r="A118">
        <v>75073534</v>
      </c>
      <c r="B118">
        <f>+_xlfn.XLOOKUP(A118,MASTER!B:B,MASTER!A:A)</f>
        <v>100018746</v>
      </c>
      <c r="C118" t="str">
        <f>+_xlfn.XLOOKUP(A118,MASTER!B:B,MASTER!C:C)</f>
        <v>PALL MALL EX RED 15 1 CAJETILLA</v>
      </c>
      <c r="D118" s="10" t="str">
        <f>+_xlfn.XLOOKUP(A118,MASTER!B:B,MASTER!D:D)</f>
        <v>BAT</v>
      </c>
      <c r="E118" s="10" t="str">
        <f>+_xlfn.XLOOKUP(A118,MASTER!B:B,MASTER!I:I)</f>
        <v>Descontinuado (con stock)</v>
      </c>
      <c r="G118">
        <v>75068745</v>
      </c>
      <c r="H118" s="10">
        <f>+_xlfn.XLOOKUP(G118,MASTER!B:B,MASTER!A:A)</f>
        <v>100015037</v>
      </c>
      <c r="I118" s="10" t="str">
        <f>+_xlfn.XLOOKUP(G118,MASTER!B:B,MASTER!C:C)</f>
        <v>MARLBORO GOLD KS SOF 20 1 CAJETILLA</v>
      </c>
    </row>
    <row r="119" spans="1:9" x14ac:dyDescent="0.35">
      <c r="A119">
        <v>75073541</v>
      </c>
      <c r="B119">
        <f>+_xlfn.XLOOKUP(A119,MASTER!B:B,MASTER!A:A)</f>
        <v>100018745</v>
      </c>
      <c r="C119" t="str">
        <f>+_xlfn.XLOOKUP(A119,MASTER!B:B,MASTER!C:C)</f>
        <v>PALL MALL EX WHITE 15 1 CAJETILLA</v>
      </c>
      <c r="D119" s="10" t="str">
        <f>+_xlfn.XLOOKUP(A119,MASTER!B:B,MASTER!D:D)</f>
        <v>BAT</v>
      </c>
      <c r="E119" s="10" t="str">
        <f>+_xlfn.XLOOKUP(A119,MASTER!B:B,MASTER!I:I)</f>
        <v>Activo</v>
      </c>
      <c r="G119">
        <v>75068769</v>
      </c>
      <c r="H119" s="10">
        <f>+_xlfn.XLOOKUP(G119,MASTER!B:B,MASTER!A:A)</f>
        <v>100014868</v>
      </c>
      <c r="I119" s="10" t="str">
        <f>+_xlfn.XLOOKUP(G119,MASTER!B:B,MASTER!C:C)</f>
        <v>MARLBORO VELVET 100 BOX 20 1 CAJETILLA</v>
      </c>
    </row>
    <row r="120" spans="1:9" x14ac:dyDescent="0.35">
      <c r="A120">
        <v>75073978</v>
      </c>
      <c r="B120">
        <f>+_xlfn.XLOOKUP(A120,MASTER!B:B,MASTER!A:A)</f>
        <v>100019548</v>
      </c>
      <c r="C120" t="str">
        <f>+_xlfn.XLOOKUP(A120,MASTER!B:B,MASTER!C:C)</f>
        <v>LUCKY STRIKE NOVA LATA 1 CAJETILLA</v>
      </c>
      <c r="D120" s="10" t="str">
        <f>+_xlfn.XLOOKUP(A120,MASTER!B:B,MASTER!D:D)</f>
        <v>BAT</v>
      </c>
      <c r="E120" s="10" t="str">
        <f>+_xlfn.XLOOKUP(A120,MASTER!B:B,MASTER!I:I)</f>
        <v>Descontinuado (con stock)</v>
      </c>
      <c r="G120">
        <v>75068776</v>
      </c>
      <c r="H120" s="10">
        <f>+_xlfn.XLOOKUP(G120,MASTER!B:B,MASTER!A:A)</f>
        <v>100014714</v>
      </c>
      <c r="I120" s="10" t="str">
        <f>+_xlfn.XLOOKUP(G120,MASTER!B:B,MASTER!C:C)</f>
        <v>BENSON&amp;HEDGE GOLD 100 RCB 20 1CAJE</v>
      </c>
    </row>
    <row r="121" spans="1:9" x14ac:dyDescent="0.35">
      <c r="A121">
        <v>75073985</v>
      </c>
      <c r="B121">
        <f>+_xlfn.XLOOKUP(A121,MASTER!B:B,MASTER!A:A)</f>
        <v>100019549</v>
      </c>
      <c r="C121" t="str">
        <f>+_xlfn.XLOOKUP(A121,MASTER!B:B,MASTER!C:C)</f>
        <v>LUCKY STRIKE NOVA 20S 1 CAJETILLA</v>
      </c>
      <c r="D121" s="10" t="str">
        <f>+_xlfn.XLOOKUP(A121,MASTER!B:B,MASTER!D:D)</f>
        <v>BAT</v>
      </c>
      <c r="E121" s="10" t="str">
        <f>+_xlfn.XLOOKUP(A121,MASTER!B:B,MASTER!I:I)</f>
        <v>Inactivo</v>
      </c>
      <c r="G121">
        <v>75068783</v>
      </c>
      <c r="H121" s="10">
        <f>+_xlfn.XLOOKUP(G121,MASTER!B:B,MASTER!A:A)</f>
        <v>100014711</v>
      </c>
      <c r="I121" s="10" t="str">
        <f>+_xlfn.XLOOKUP(G121,MASTER!B:B,MASTER!C:C)</f>
        <v>MARLBORO RUBY 100 BOX 20 1CAJE</v>
      </c>
    </row>
    <row r="122" spans="1:9" x14ac:dyDescent="0.35">
      <c r="A122">
        <v>75074081</v>
      </c>
      <c r="B122">
        <f>+_xlfn.XLOOKUP(A122,MASTER!B:B,MASTER!A:A)</f>
        <v>100020837</v>
      </c>
      <c r="C122" t="str">
        <f>+_xlfn.XLOOKUP(A122,MASTER!B:B,MASTER!C:C)</f>
        <v>PALL MALL EX CLASSI 14S 1 CAJETILLA</v>
      </c>
      <c r="D122" s="10" t="str">
        <f>+_xlfn.XLOOKUP(A122,MASTER!B:B,MASTER!D:D)</f>
        <v>BAT</v>
      </c>
      <c r="E122" s="10" t="str">
        <f>+_xlfn.XLOOKUP(A122,MASTER!B:B,MASTER!I:I)</f>
        <v>Activo</v>
      </c>
      <c r="G122">
        <v>75068790</v>
      </c>
      <c r="H122" s="10">
        <f>+_xlfn.XLOOKUP(G122,MASTER!B:B,MASTER!A:A)</f>
        <v>100015222</v>
      </c>
      <c r="I122" s="10" t="str">
        <f>+_xlfn.XLOOKUP(G122,MASTER!B:B,MASTER!C:C)</f>
        <v>MARLBORO AMBER 100 BOX 20 1 CAJETILLA</v>
      </c>
    </row>
    <row r="123" spans="1:9" x14ac:dyDescent="0.35">
      <c r="A123">
        <v>75074203</v>
      </c>
      <c r="B123">
        <f>+_xlfn.XLOOKUP(A123,MASTER!B:B,MASTER!A:A)</f>
        <v>100018748</v>
      </c>
      <c r="C123" t="str">
        <f>+_xlfn.XLOOKUP(A123,MASTER!B:B,MASTER!C:C)</f>
        <v>LUCKY STRIKE ECLIPS LATA 1 CAJETILLA</v>
      </c>
      <c r="D123" s="10" t="str">
        <f>+_xlfn.XLOOKUP(A123,MASTER!B:B,MASTER!D:D)</f>
        <v>BAT</v>
      </c>
      <c r="E123" s="10" t="str">
        <f>+_xlfn.XLOOKUP(A123,MASTER!B:B,MASTER!I:I)</f>
        <v>Inactivo</v>
      </c>
      <c r="G123">
        <v>75068806</v>
      </c>
      <c r="H123" s="10">
        <f>+_xlfn.XLOOKUP(G123,MASTER!B:B,MASTER!A:A)</f>
        <v>100014718</v>
      </c>
      <c r="I123" s="10" t="str">
        <f>+_xlfn.XLOOKUP(G123,MASTER!B:B,MASTER!C:C)</f>
        <v>BENSON&amp;HEDGE GOLD 100 BOX 14 1CAJE</v>
      </c>
    </row>
    <row r="124" spans="1:9" x14ac:dyDescent="0.35">
      <c r="A124">
        <v>75074227</v>
      </c>
      <c r="B124">
        <f>+_xlfn.XLOOKUP(A124,MASTER!B:B,MASTER!A:A)</f>
        <v>100019550</v>
      </c>
      <c r="C124" t="str">
        <f>+_xlfn.XLOOKUP(A124,MASTER!B:B,MASTER!C:C)</f>
        <v>LUCKY STRIKE COMET 20S 1 CAJETILLA</v>
      </c>
      <c r="D124" s="10" t="str">
        <f>+_xlfn.XLOOKUP(A124,MASTER!B:B,MASTER!D:D)</f>
        <v>BAT</v>
      </c>
      <c r="E124" s="10" t="str">
        <f>+_xlfn.XLOOKUP(A124,MASTER!B:B,MASTER!I:I)</f>
        <v>Activo</v>
      </c>
      <c r="G124">
        <v>75068813</v>
      </c>
      <c r="H124" s="10">
        <f>+_xlfn.XLOOKUP(G124,MASTER!B:B,MASTER!A:A)</f>
        <v>100014569</v>
      </c>
      <c r="I124" s="10" t="str">
        <f>+_xlfn.XLOOKUP(G124,MASTER!B:B,MASTER!C:C)</f>
        <v>MARLBORO RED 100 CAPS 14 1CAJE</v>
      </c>
    </row>
    <row r="125" spans="1:9" x14ac:dyDescent="0.35">
      <c r="A125">
        <v>75074746</v>
      </c>
      <c r="B125">
        <f>+_xlfn.XLOOKUP(A125,MASTER!B:B,MASTER!A:A)</f>
        <v>100019981</v>
      </c>
      <c r="C125" t="str">
        <f>+_xlfn.XLOOKUP(A125,MASTER!B:B,MASTER!C:C)</f>
        <v>MARLBORO BLOSSO VISTA BLOSSOM 1 CAJETILLA</v>
      </c>
      <c r="D125" s="10" t="str">
        <f>+_xlfn.XLOOKUP(A125,MASTER!B:B,MASTER!D:D)</f>
        <v>PMI</v>
      </c>
      <c r="E125" s="10" t="str">
        <f>+_xlfn.XLOOKUP(A125,MASTER!B:B,MASTER!I:I)</f>
        <v>Activo</v>
      </c>
      <c r="G125">
        <v>75068844</v>
      </c>
      <c r="H125" s="10">
        <f>+_xlfn.XLOOKUP(G125,MASTER!B:B,MASTER!A:A)</f>
        <v>100015186</v>
      </c>
      <c r="I125" s="10" t="str">
        <f>+_xlfn.XLOOKUP(G125,MASTER!B:B,MASTER!C:C)</f>
        <v>MARLBORO GOLD KS SRR 14 1 CAJETILLA</v>
      </c>
    </row>
    <row r="126" spans="1:9" x14ac:dyDescent="0.35">
      <c r="A126">
        <v>75074753</v>
      </c>
      <c r="B126">
        <f>+_xlfn.XLOOKUP(A126,MASTER!B:B,MASTER!A:A)</f>
        <v>100020770</v>
      </c>
      <c r="C126" t="str">
        <f>+_xlfn.XLOOKUP(A126,MASTER!B:B,MASTER!C:C)</f>
        <v>MARLBORO WINTER EDICION LIMITADA W 1 CAJETILLA</v>
      </c>
      <c r="D126" s="10" t="str">
        <f>+_xlfn.XLOOKUP(A126,MASTER!B:B,MASTER!D:D)</f>
        <v>PMI</v>
      </c>
      <c r="E126" s="10" t="str">
        <f>+_xlfn.XLOOKUP(A126,MASTER!B:B,MASTER!I:I)</f>
        <v>Descontinuado (con stock)</v>
      </c>
      <c r="G126">
        <v>75069490</v>
      </c>
      <c r="H126" s="10">
        <f>+_xlfn.XLOOKUP(G126,MASTER!B:B,MASTER!A:A)</f>
        <v>100015215</v>
      </c>
      <c r="I126" s="10" t="str">
        <f>+_xlfn.XLOOKUP(G126,MASTER!B:B,MASTER!C:C)</f>
        <v>PALL MALL CALIFORNIA NIGHTS 20</v>
      </c>
    </row>
    <row r="127" spans="1:9" x14ac:dyDescent="0.35">
      <c r="A127">
        <v>75074784</v>
      </c>
      <c r="B127">
        <f>+_xlfn.XLOOKUP(A127,MASTER!B:B,MASTER!A:A)</f>
        <v>100019052</v>
      </c>
      <c r="C127" t="str">
        <f>+_xlfn.XLOOKUP(A127,MASTER!B:B,MASTER!C:C)</f>
        <v>MONTANA SHOTS XL 20S 1 CAJETILLA</v>
      </c>
      <c r="D127" s="10" t="str">
        <f>+_xlfn.XLOOKUP(A127,MASTER!B:B,MASTER!D:D)</f>
        <v>BAT</v>
      </c>
      <c r="E127" s="10" t="str">
        <f>+_xlfn.XLOOKUP(A127,MASTER!B:B,MASTER!I:I)</f>
        <v>Descontinuado (con stock)</v>
      </c>
      <c r="G127">
        <v>75069506</v>
      </c>
      <c r="H127" s="10">
        <f>+_xlfn.XLOOKUP(G127,MASTER!B:B,MASTER!A:A)</f>
        <v>100014571</v>
      </c>
      <c r="I127" s="10" t="str">
        <f>+_xlfn.XLOOKUP(G127,MASTER!B:B,MASTER!C:C)</f>
        <v>CHESTERFIELD ORIGIN REMIX 100 1CAJE</v>
      </c>
    </row>
    <row r="128" spans="1:9" x14ac:dyDescent="0.35">
      <c r="A128">
        <v>75074876</v>
      </c>
      <c r="B128">
        <f>+_xlfn.XLOOKUP(A128,MASTER!B:B,MASTER!A:A)</f>
        <v>100019232</v>
      </c>
      <c r="C128" t="str">
        <f>+_xlfn.XLOOKUP(A128,MASTER!B:B,MASTER!C:C)</f>
        <v>PALL MALL XL RED &amp; CLICK 15S 1 CAJETILLA</v>
      </c>
      <c r="D128" s="10" t="str">
        <f>+_xlfn.XLOOKUP(A128,MASTER!B:B,MASTER!D:D)</f>
        <v>BAT</v>
      </c>
      <c r="E128" s="10" t="str">
        <f>+_xlfn.XLOOKUP(A128,MASTER!B:B,MASTER!I:I)</f>
        <v>Descontinuado (con stock)</v>
      </c>
      <c r="G128">
        <v>75069902</v>
      </c>
      <c r="H128" s="10">
        <f>+_xlfn.XLOOKUP(G128,MASTER!B:B,MASTER!A:A)</f>
        <v>100018038</v>
      </c>
      <c r="I128" s="10" t="str">
        <f>+_xlfn.XLOOKUP(G128,MASTER!B:B,MASTER!C:C)</f>
        <v>L&amp;M RED KS BOX 20 1 CAJETILLA</v>
      </c>
    </row>
    <row r="129" spans="1:9" x14ac:dyDescent="0.35">
      <c r="A129">
        <v>75074883</v>
      </c>
      <c r="B129">
        <f>+_xlfn.XLOOKUP(A129,MASTER!B:B,MASTER!A:A)</f>
        <v>100019228</v>
      </c>
      <c r="C129" t="str">
        <f>+_xlfn.XLOOKUP(A129,MASTER!B:B,MASTER!C:C)</f>
        <v>PALL MALL XL WHITE&amp; CLICK 15S 1 CAJETILLA</v>
      </c>
      <c r="D129" s="10" t="str">
        <f>+_xlfn.XLOOKUP(A129,MASTER!B:B,MASTER!D:D)</f>
        <v>BAT</v>
      </c>
      <c r="E129" s="10" t="str">
        <f>+_xlfn.XLOOKUP(A129,MASTER!B:B,MASTER!I:I)</f>
        <v>Descontinuado (con stock)</v>
      </c>
      <c r="G129">
        <v>75069933</v>
      </c>
      <c r="H129" s="10">
        <f>+_xlfn.XLOOKUP(G129,MASTER!B:B,MASTER!A:A)</f>
        <v>100015219</v>
      </c>
      <c r="I129" s="10" t="str">
        <f>+_xlfn.XLOOKUP(G129,MASTER!B:B,MASTER!C:C)</f>
        <v>MARLBORO MEXICO LATA 1 CAJETILLA</v>
      </c>
    </row>
    <row r="130" spans="1:9" x14ac:dyDescent="0.35">
      <c r="A130">
        <v>75074913</v>
      </c>
      <c r="B130">
        <f>+_xlfn.XLOOKUP(A130,MASTER!B:B,MASTER!A:A)</f>
        <v>100019959</v>
      </c>
      <c r="C130" t="str">
        <f>+_xlfn.XLOOKUP(A130,MASTER!B:B,MASTER!C:C)</f>
        <v>PALL MALL XL ATHENS 20S 1 CAJETILLA</v>
      </c>
      <c r="D130" s="10" t="str">
        <f>+_xlfn.XLOOKUP(A130,MASTER!B:B,MASTER!D:D)</f>
        <v>BAT</v>
      </c>
      <c r="E130" s="10" t="str">
        <f>+_xlfn.XLOOKUP(A130,MASTER!B:B,MASTER!I:I)</f>
        <v>Descontinuado (con stock)</v>
      </c>
      <c r="G130">
        <v>75070090</v>
      </c>
      <c r="H130" s="10">
        <f>+_xlfn.XLOOKUP(G130,MASTER!B:B,MASTER!A:A)</f>
        <v>100015341</v>
      </c>
      <c r="I130" s="10" t="str">
        <f>+_xlfn.XLOOKUP(G130,MASTER!B:B,MASTER!C:C)</f>
        <v>PALL MALL MIX PACK 20</v>
      </c>
    </row>
    <row r="131" spans="1:9" x14ac:dyDescent="0.35">
      <c r="A131">
        <v>75074920</v>
      </c>
      <c r="B131">
        <f>+_xlfn.XLOOKUP(A131,MASTER!B:B,MASTER!A:A)</f>
        <v>100019958</v>
      </c>
      <c r="C131" t="str">
        <f>+_xlfn.XLOOKUP(A131,MASTER!B:B,MASTER!C:C)</f>
        <v>PALL MALL XL ICEBER 20S 1 CAJETILLA</v>
      </c>
      <c r="D131" s="10" t="str">
        <f>+_xlfn.XLOOKUP(A131,MASTER!B:B,MASTER!D:D)</f>
        <v>BAT</v>
      </c>
      <c r="E131" s="10" t="str">
        <f>+_xlfn.XLOOKUP(A131,MASTER!B:B,MASTER!I:I)</f>
        <v>Descontinuado (con stock)</v>
      </c>
      <c r="G131">
        <v>75070373</v>
      </c>
      <c r="H131" s="10">
        <f>+_xlfn.XLOOKUP(G131,MASTER!B:B,MASTER!A:A)</f>
        <v>100015645</v>
      </c>
      <c r="I131" s="10" t="str">
        <f>+_xlfn.XLOOKUP(G131,MASTER!B:B,MASTER!C:C)</f>
        <v xml:space="preserve">LUCKY STRIKE 94MM WINTER STORM 1 CAJETILLA		</v>
      </c>
    </row>
    <row r="132" spans="1:9" x14ac:dyDescent="0.35">
      <c r="A132">
        <v>75074937</v>
      </c>
      <c r="B132">
        <f>+_xlfn.XLOOKUP(A132,MASTER!B:B,MASTER!A:A)</f>
        <v>100020528</v>
      </c>
      <c r="C132" t="str">
        <f>+_xlfn.XLOOKUP(A132,MASTER!B:B,MASTER!C:C)</f>
        <v>PALL MALL XL FUJI 20S 1 CAJETILLA</v>
      </c>
      <c r="D132" s="10" t="str">
        <f>+_xlfn.XLOOKUP(A132,MASTER!B:B,MASTER!D:D)</f>
        <v>BAT</v>
      </c>
      <c r="E132" s="10" t="str">
        <f>+_xlfn.XLOOKUP(A132,MASTER!B:B,MASTER!I:I)</f>
        <v>Descontinuado (con stock)</v>
      </c>
      <c r="G132">
        <v>75070588</v>
      </c>
      <c r="H132" s="10">
        <f>+_xlfn.XLOOKUP(G132,MASTER!B:B,MASTER!A:A)</f>
        <v>100015648</v>
      </c>
      <c r="I132" s="10" t="str">
        <f>+_xlfn.XLOOKUP(G132,MASTER!B:B,MASTER!C:C)</f>
        <v>LUCKY STRIKE 100S MYSTIC 1 CAJETILLA</v>
      </c>
    </row>
    <row r="133" spans="1:9" x14ac:dyDescent="0.35">
      <c r="A133">
        <v>75074944</v>
      </c>
      <c r="B133">
        <f>+_xlfn.XLOOKUP(A133,MASTER!B:B,MASTER!A:A)</f>
        <v>100020838</v>
      </c>
      <c r="C133" t="str">
        <f>+_xlfn.XLOOKUP(A133,MASTER!B:B,MASTER!C:C)</f>
        <v>PALL MALL XL RÍO SU 20S 1 CAJETILLA</v>
      </c>
      <c r="D133" s="10" t="str">
        <f>+_xlfn.XLOOKUP(A133,MASTER!B:B,MASTER!D:D)</f>
        <v>BAT</v>
      </c>
      <c r="E133" s="10" t="str">
        <f>+_xlfn.XLOOKUP(A133,MASTER!B:B,MASTER!I:I)</f>
        <v>Descontinuado (con stock)</v>
      </c>
      <c r="G133">
        <v>75071295</v>
      </c>
      <c r="H133" s="10">
        <f>+_xlfn.XLOOKUP(G133,MASTER!B:B,MASTER!A:A)</f>
        <v>100016443</v>
      </c>
      <c r="I133" s="10" t="str">
        <f>+_xlfn.XLOOKUP(G133,MASTER!B:B,MASTER!C:C)</f>
        <v>PALL MALL ALASKA DUSK 20</v>
      </c>
    </row>
    <row r="134" spans="1:9" x14ac:dyDescent="0.35">
      <c r="A134">
        <v>75074975</v>
      </c>
      <c r="B134">
        <f>+_xlfn.XLOOKUP(A134,MASTER!B:B,MASTER!A:A)</f>
        <v>100019234</v>
      </c>
      <c r="C134" t="str">
        <f>+_xlfn.XLOOKUP(A134,MASTER!B:B,MASTER!C:C)</f>
        <v>PALL MALL XL ALASKA 15S 1 CAJETILLA</v>
      </c>
      <c r="D134" s="10" t="str">
        <f>+_xlfn.XLOOKUP(A134,MASTER!B:B,MASTER!D:D)</f>
        <v>BAT</v>
      </c>
      <c r="E134" s="10" t="str">
        <f>+_xlfn.XLOOKUP(A134,MASTER!B:B,MASTER!I:I)</f>
        <v>Activo</v>
      </c>
      <c r="G134">
        <v>75071455</v>
      </c>
      <c r="H134" s="10">
        <f>+_xlfn.XLOOKUP(G134,MASTER!B:B,MASTER!A:A)</f>
        <v>100016413</v>
      </c>
      <c r="I134" s="10" t="str">
        <f>+_xlfn.XLOOKUP(G134,MASTER!B:B,MASTER!C:C)</f>
        <v>PALL MALL RED 20</v>
      </c>
    </row>
    <row r="135" spans="1:9" x14ac:dyDescent="0.35">
      <c r="A135">
        <v>75074982</v>
      </c>
      <c r="B135">
        <f>+_xlfn.XLOOKUP(A135,MASTER!B:B,MASTER!A:A)</f>
        <v>100019230</v>
      </c>
      <c r="C135" t="str">
        <f>+_xlfn.XLOOKUP(A135,MASTER!B:B,MASTER!C:C)</f>
        <v>PALL MALL XL TOKYO 15S 1 CAJETILLA</v>
      </c>
      <c r="D135" s="10" t="str">
        <f>+_xlfn.XLOOKUP(A135,MASTER!B:B,MASTER!D:D)</f>
        <v>BAT</v>
      </c>
      <c r="E135" s="10" t="str">
        <f>+_xlfn.XLOOKUP(A135,MASTER!B:B,MASTER!I:I)</f>
        <v>Activo</v>
      </c>
      <c r="G135">
        <v>75071479</v>
      </c>
      <c r="H135" s="10">
        <f>+_xlfn.XLOOKUP(G135,MASTER!B:B,MASTER!A:A)</f>
        <v>100016412</v>
      </c>
      <c r="I135" s="10" t="str">
        <f>+_xlfn.XLOOKUP(G135,MASTER!B:B,MASTER!C:C)</f>
        <v>PALL MALL WHITE 20</v>
      </c>
    </row>
    <row r="136" spans="1:9" x14ac:dyDescent="0.35">
      <c r="A136">
        <v>75074999</v>
      </c>
      <c r="B136">
        <f>+_xlfn.XLOOKUP(A136,MASTER!B:B,MASTER!A:A)</f>
        <v>100019233</v>
      </c>
      <c r="C136" t="str">
        <f>+_xlfn.XLOOKUP(A136,MASTER!B:B,MASTER!C:C)</f>
        <v>PALL MALL XL MYKONO 15S 1 CAJETILLA</v>
      </c>
      <c r="D136" s="10" t="str">
        <f>+_xlfn.XLOOKUP(A136,MASTER!B:B,MASTER!D:D)</f>
        <v>BAT</v>
      </c>
      <c r="E136" s="10" t="str">
        <f>+_xlfn.XLOOKUP(A136,MASTER!B:B,MASTER!I:I)</f>
        <v>Activo</v>
      </c>
      <c r="G136">
        <v>75071776</v>
      </c>
      <c r="H136" s="10">
        <f>+_xlfn.XLOOKUP(G136,MASTER!B:B,MASTER!A:A)</f>
        <v>100017982</v>
      </c>
      <c r="I136" s="10" t="str">
        <f>+_xlfn.XLOOKUP(G136,MASTER!B:B,MASTER!C:C)</f>
        <v>PALL MALL CLASSICS 20</v>
      </c>
    </row>
    <row r="137" spans="1:9" x14ac:dyDescent="0.35">
      <c r="A137">
        <v>75075217</v>
      </c>
      <c r="B137">
        <f>+_xlfn.XLOOKUP(A137,MASTER!B:B,MASTER!A:A)</f>
        <v>100020133</v>
      </c>
      <c r="C137" t="str">
        <f>+_xlfn.XLOOKUP(A137,MASTER!B:B,MASTER!C:C)</f>
        <v>MARLBORO VISTA SUMMER FUSIO 1 CAJETILLA</v>
      </c>
      <c r="D137" s="10" t="str">
        <f>+_xlfn.XLOOKUP(A137,MASTER!B:B,MASTER!D:D)</f>
        <v>PMI</v>
      </c>
      <c r="E137" s="10" t="str">
        <f>+_xlfn.XLOOKUP(A137,MASTER!B:B,MASTER!I:I)</f>
        <v>Activo</v>
      </c>
      <c r="G137">
        <v>75072506</v>
      </c>
      <c r="H137" s="10">
        <f>+_xlfn.XLOOKUP(G137,MASTER!B:B,MASTER!A:A)</f>
        <v>100017662</v>
      </c>
      <c r="I137" s="10" t="str">
        <f>+_xlfn.XLOOKUP(G137,MASTER!B:B,MASTER!C:C)</f>
        <v>LUCKY STRIKE LATA CINEMA 25S 1 PZ</v>
      </c>
    </row>
    <row r="138" spans="1:9" x14ac:dyDescent="0.35">
      <c r="A138">
        <v>75076405</v>
      </c>
      <c r="B138">
        <f>+_xlfn.XLOOKUP(A138,MASTER!B:B,MASTER!A:A)</f>
        <v>100020970</v>
      </c>
      <c r="C138" t="str">
        <f>+_xlfn.XLOOKUP(A138,MASTER!B:B,MASTER!C:C)</f>
        <v>MONTANA CLASSI 14S 1 CAJETILLA</v>
      </c>
      <c r="D138" s="10" t="str">
        <f>+_xlfn.XLOOKUP(A138,MASTER!B:B,MASTER!D:D)</f>
        <v>BAT</v>
      </c>
      <c r="E138" s="10" t="str">
        <f>+_xlfn.XLOOKUP(A138,MASTER!B:B,MASTER!I:I)</f>
        <v>Activo</v>
      </c>
      <c r="G138">
        <v>75072605</v>
      </c>
      <c r="H138" s="10">
        <f>+_xlfn.XLOOKUP(G138,MASTER!B:B,MASTER!A:A)</f>
        <v>100019698</v>
      </c>
      <c r="I138" s="10" t="str">
        <f>+_xlfn.XLOOKUP(G138,MASTER!B:B,MASTER!C:C)</f>
        <v>MARLBORO MEXICO GOLD KS 100 MEXICO 1 CAJETILLA</v>
      </c>
    </row>
    <row r="139" spans="1:9" x14ac:dyDescent="0.35">
      <c r="A139">
        <v>75076412</v>
      </c>
      <c r="B139">
        <f>+_xlfn.XLOOKUP(A139,MASTER!B:B,MASTER!A:A)</f>
        <v>100022233</v>
      </c>
      <c r="C139" t="str">
        <f>+_xlfn.XLOOKUP(A139,MASTER!B:B,MASTER!C:C)</f>
        <v>PALL MALL LONDON 20S 1 CAJETILLA</v>
      </c>
      <c r="D139" s="10" t="str">
        <f>+_xlfn.XLOOKUP(A139,MASTER!B:B,MASTER!D:D)</f>
        <v>BAT</v>
      </c>
      <c r="E139" s="10" t="str">
        <f>+_xlfn.XLOOKUP(A139,MASTER!B:B,MASTER!I:I)</f>
        <v>Activo</v>
      </c>
      <c r="G139">
        <v>75072674</v>
      </c>
      <c r="H139" s="10">
        <f>+_xlfn.XLOOKUP(G139,MASTER!B:B,MASTER!A:A)</f>
        <v>100017624</v>
      </c>
      <c r="I139" s="10" t="str">
        <f>+_xlfn.XLOOKUP(G139,MASTER!B:B,MASTER!C:C)</f>
        <v>LUCKY STRIKE 100S ECLIPSE 20S 1 PZ</v>
      </c>
    </row>
    <row r="140" spans="1:9" x14ac:dyDescent="0.35">
      <c r="A140">
        <v>75076429</v>
      </c>
      <c r="B140">
        <f>+_xlfn.XLOOKUP(A140,MASTER!B:B,MASTER!A:A)</f>
        <v>100022118</v>
      </c>
      <c r="C140" t="str">
        <f>+_xlfn.XLOOKUP(A140,MASTER!B:B,MASTER!C:C)</f>
        <v>PALL MALL HAWAII 20S 1 CAJETILLA</v>
      </c>
      <c r="D140" s="10" t="str">
        <f>+_xlfn.XLOOKUP(A140,MASTER!B:B,MASTER!D:D)</f>
        <v>BAT</v>
      </c>
      <c r="E140" s="10" t="str">
        <f>+_xlfn.XLOOKUP(A140,MASTER!B:B,MASTER!I:I)</f>
        <v>Activo</v>
      </c>
      <c r="G140">
        <v>75073534</v>
      </c>
      <c r="H140" s="10">
        <f>+_xlfn.XLOOKUP(G140,MASTER!B:B,MASTER!A:A)</f>
        <v>100018746</v>
      </c>
      <c r="I140" s="10" t="str">
        <f>+_xlfn.XLOOKUP(G140,MASTER!B:B,MASTER!C:C)</f>
        <v>PALL MALL EX RED 15 1 CAJETILLA</v>
      </c>
    </row>
    <row r="141" spans="1:9" x14ac:dyDescent="0.35">
      <c r="A141">
        <v>75076740</v>
      </c>
      <c r="B141">
        <f>+_xlfn.XLOOKUP(A141,MASTER!B:B,MASTER!A:A)</f>
        <v>100020969</v>
      </c>
      <c r="C141" t="str">
        <f>+_xlfn.XLOOKUP(A141,MASTER!B:B,MASTER!C:C)</f>
        <v>MONTANA CLASSI 20S 1 CAJETILLA</v>
      </c>
      <c r="D141" s="10" t="str">
        <f>+_xlfn.XLOOKUP(A141,MASTER!B:B,MASTER!D:D)</f>
        <v>BAT</v>
      </c>
      <c r="E141" s="10" t="str">
        <f>+_xlfn.XLOOKUP(A141,MASTER!B:B,MASTER!I:I)</f>
        <v>Activo</v>
      </c>
      <c r="G141">
        <v>75073541</v>
      </c>
      <c r="H141" s="10">
        <f>+_xlfn.XLOOKUP(G141,MASTER!B:B,MASTER!A:A)</f>
        <v>100018745</v>
      </c>
      <c r="I141" s="10" t="str">
        <f>+_xlfn.XLOOKUP(G141,MASTER!B:B,MASTER!C:C)</f>
        <v>PALL MALL EX WHITE 15 1 CAJETILLA</v>
      </c>
    </row>
    <row r="142" spans="1:9" x14ac:dyDescent="0.35">
      <c r="A142">
        <v>75076757</v>
      </c>
      <c r="B142">
        <f>+_xlfn.XLOOKUP(A142,MASTER!B:B,MASTER!A:A)</f>
        <v>100021658</v>
      </c>
      <c r="C142" t="str">
        <f>+_xlfn.XLOOKUP(A142,MASTER!B:B,MASTER!C:C)</f>
        <v>PALL MALL EX GOLD C 14S 1 CAJETILLA</v>
      </c>
      <c r="D142" s="10" t="str">
        <f>+_xlfn.XLOOKUP(A142,MASTER!B:B,MASTER!D:D)</f>
        <v>BAT</v>
      </c>
      <c r="E142" s="10" t="str">
        <f>+_xlfn.XLOOKUP(A142,MASTER!B:B,MASTER!I:I)</f>
        <v>Activo</v>
      </c>
      <c r="G142">
        <v>75073978</v>
      </c>
      <c r="H142" s="10">
        <f>+_xlfn.XLOOKUP(G142,MASTER!B:B,MASTER!A:A)</f>
        <v>100019548</v>
      </c>
      <c r="I142" s="10" t="str">
        <f>+_xlfn.XLOOKUP(G142,MASTER!B:B,MASTER!C:C)</f>
        <v>LUCKY STRIKE NOVA LATA 1 CAJETILLA</v>
      </c>
    </row>
    <row r="143" spans="1:9" x14ac:dyDescent="0.35">
      <c r="A143">
        <v>75077389</v>
      </c>
      <c r="B143">
        <f>+_xlfn.XLOOKUP(A143,MASTER!B:B,MASTER!A:A)</f>
        <v>100021886</v>
      </c>
      <c r="C143" t="str">
        <f>+_xlfn.XLOOKUP(A143,MASTER!B:B,MASTER!C:C)</f>
        <v>PALL MALL LT ALA 20S 1 CAJETILLA</v>
      </c>
      <c r="D143" s="10" t="str">
        <f>+_xlfn.XLOOKUP(A143,MASTER!B:B,MASTER!D:D)</f>
        <v>BAT</v>
      </c>
      <c r="E143" s="10" t="str">
        <f>+_xlfn.XLOOKUP(A143,MASTER!B:B,MASTER!I:I)</f>
        <v>Inactivo</v>
      </c>
      <c r="G143">
        <v>75073985</v>
      </c>
      <c r="H143" s="10">
        <f>+_xlfn.XLOOKUP(G143,MASTER!B:B,MASTER!A:A)</f>
        <v>100019549</v>
      </c>
      <c r="I143" s="10" t="str">
        <f>+_xlfn.XLOOKUP(G143,MASTER!B:B,MASTER!C:C)</f>
        <v>LUCKY STRIKE NOVA 20S 1 CAJETILLA</v>
      </c>
    </row>
    <row r="144" spans="1:9" x14ac:dyDescent="0.35">
      <c r="A144">
        <v>75077402</v>
      </c>
      <c r="B144">
        <f>+_xlfn.XLOOKUP(A144,MASTER!B:B,MASTER!A:A)</f>
        <v>100021887</v>
      </c>
      <c r="C144" t="str">
        <f>+_xlfn.XLOOKUP(A144,MASTER!B:B,MASTER!C:C)</f>
        <v>PALL MALL LT MYK 20S 1 CAJETILLA</v>
      </c>
      <c r="D144" s="10" t="str">
        <f>+_xlfn.XLOOKUP(A144,MASTER!B:B,MASTER!D:D)</f>
        <v>BAT</v>
      </c>
      <c r="E144" s="10" t="str">
        <f>+_xlfn.XLOOKUP(A144,MASTER!B:B,MASTER!I:I)</f>
        <v>Inactivo</v>
      </c>
      <c r="G144">
        <v>75074081</v>
      </c>
      <c r="H144" s="10">
        <f>+_xlfn.XLOOKUP(G144,MASTER!B:B,MASTER!A:A)</f>
        <v>100020837</v>
      </c>
      <c r="I144" s="10" t="str">
        <f>+_xlfn.XLOOKUP(G144,MASTER!B:B,MASTER!C:C)</f>
        <v>PALL MALL EX CLASSI 14S 1 CAJETILLA</v>
      </c>
    </row>
    <row r="145" spans="1:9" x14ac:dyDescent="0.35">
      <c r="A145">
        <v>75077426</v>
      </c>
      <c r="B145">
        <f>+_xlfn.XLOOKUP(A145,MASTER!B:B,MASTER!A:A)</f>
        <v>100021889</v>
      </c>
      <c r="C145" t="str">
        <f>+_xlfn.XLOOKUP(A145,MASTER!B:B,MASTER!C:C)</f>
        <v>PALL MALL LT RÍO 20S 1 CAJETILLA</v>
      </c>
      <c r="D145" s="10" t="str">
        <f>+_xlfn.XLOOKUP(A145,MASTER!B:B,MASTER!D:D)</f>
        <v>BAT</v>
      </c>
      <c r="E145" s="10" t="str">
        <f>+_xlfn.XLOOKUP(A145,MASTER!B:B,MASTER!I:I)</f>
        <v>Inactivo</v>
      </c>
      <c r="G145">
        <v>75074203</v>
      </c>
      <c r="H145" s="10">
        <f>+_xlfn.XLOOKUP(G145,MASTER!B:B,MASTER!A:A)</f>
        <v>100018748</v>
      </c>
      <c r="I145" s="10" t="str">
        <f>+_xlfn.XLOOKUP(G145,MASTER!B:B,MASTER!C:C)</f>
        <v>LUCKY STRIKE ECLIPS LATA 1 CAJETILLA</v>
      </c>
    </row>
    <row r="146" spans="1:9" x14ac:dyDescent="0.35">
      <c r="A146">
        <v>75077433</v>
      </c>
      <c r="B146">
        <f>+_xlfn.XLOOKUP(A146,MASTER!B:B,MASTER!A:A)</f>
        <v>100021888</v>
      </c>
      <c r="C146" t="str">
        <f>+_xlfn.XLOOKUP(A146,MASTER!B:B,MASTER!C:C)</f>
        <v>PALL MALL LT TOK 20S 1 CAJETILLA</v>
      </c>
      <c r="D146" s="10" t="str">
        <f>+_xlfn.XLOOKUP(A146,MASTER!B:B,MASTER!D:D)</f>
        <v>BAT</v>
      </c>
      <c r="E146" s="10" t="str">
        <f>+_xlfn.XLOOKUP(A146,MASTER!B:B,MASTER!I:I)</f>
        <v>Inactivo</v>
      </c>
      <c r="G146">
        <v>75074227</v>
      </c>
      <c r="H146" s="10">
        <f>+_xlfn.XLOOKUP(G146,MASTER!B:B,MASTER!A:A)</f>
        <v>100019550</v>
      </c>
      <c r="I146" s="10" t="str">
        <f>+_xlfn.XLOOKUP(G146,MASTER!B:B,MASTER!C:C)</f>
        <v>LUCKY STRIKE COMET 20S 1 CAJETILLA</v>
      </c>
    </row>
    <row r="147" spans="1:9" x14ac:dyDescent="0.35">
      <c r="A147">
        <v>75078638</v>
      </c>
      <c r="B147">
        <f>+_xlfn.XLOOKUP(A147,MASTER!B:B,MASTER!A:A)</f>
        <v>100021978</v>
      </c>
      <c r="C147" t="str">
        <f>+_xlfn.XLOOKUP(A147,MASTER!B:B,MASTER!C:C)</f>
        <v>PALL MALL EX GOLD C 20S 1 CAJETILLA</v>
      </c>
      <c r="D147" s="10" t="str">
        <f>+_xlfn.XLOOKUP(A147,MASTER!B:B,MASTER!D:D)</f>
        <v>BAT</v>
      </c>
      <c r="E147" s="10" t="str">
        <f>+_xlfn.XLOOKUP(A147,MASTER!B:B,MASTER!I:I)</f>
        <v>Activo</v>
      </c>
      <c r="G147">
        <v>75074722</v>
      </c>
      <c r="H147" s="10" t="e">
        <f>+_xlfn.XLOOKUP(G147,MASTER!B:B,MASTER!A:A)</f>
        <v>#N/A</v>
      </c>
      <c r="I147" s="10" t="e">
        <f>+_xlfn.XLOOKUP(G147,MASTER!B:B,MASTER!C:C)</f>
        <v>#N/A</v>
      </c>
    </row>
    <row r="148" spans="1:9" x14ac:dyDescent="0.35">
      <c r="A148">
        <v>75078843</v>
      </c>
      <c r="B148">
        <f>+_xlfn.XLOOKUP(A148,MASTER!B:B,MASTER!A:A)</f>
        <v>100023317</v>
      </c>
      <c r="C148" t="str">
        <f>+_xlfn.XLOOKUP(A148,MASTER!B:B,MASTER!C:C)</f>
        <v>MONTANA SHOTS CLASSICS 25 PZ</v>
      </c>
      <c r="D148" s="10" t="str">
        <f>+_xlfn.XLOOKUP(A148,MASTER!B:B,MASTER!D:D)</f>
        <v>BAT</v>
      </c>
      <c r="E148" s="10" t="str">
        <f>+_xlfn.XLOOKUP(A148,MASTER!B:B,MASTER!I:I)</f>
        <v>Activo</v>
      </c>
      <c r="G148">
        <v>75074739</v>
      </c>
      <c r="H148" s="10" t="e">
        <f>+_xlfn.XLOOKUP(G148,MASTER!B:B,MASTER!A:A)</f>
        <v>#N/A</v>
      </c>
      <c r="I148" s="10" t="e">
        <f>+_xlfn.XLOOKUP(G148,MASTER!B:B,MASTER!C:C)</f>
        <v>#N/A</v>
      </c>
    </row>
    <row r="149" spans="1:9" x14ac:dyDescent="0.35">
      <c r="A149">
        <v>75079017</v>
      </c>
      <c r="B149">
        <f>+_xlfn.XLOOKUP(A149,MASTER!B:B,MASTER!A:A)</f>
        <v>101000079</v>
      </c>
      <c r="C149" t="str">
        <f>+_xlfn.XLOOKUP(A149,MASTER!B:B,MASTER!C:C)</f>
        <v>PALL MALL BORA BORA SUNBREAK 20 PZ</v>
      </c>
      <c r="D149" s="10" t="str">
        <f>+_xlfn.XLOOKUP(A149,MASTER!B:B,MASTER!D:D)</f>
        <v>BAT</v>
      </c>
      <c r="E149" s="10" t="str">
        <f>+_xlfn.XLOOKUP(A149,MASTER!B:B,MASTER!I:I)</f>
        <v>Activo</v>
      </c>
      <c r="G149">
        <v>75074746</v>
      </c>
      <c r="H149" s="10">
        <f>+_xlfn.XLOOKUP(G149,MASTER!B:B,MASTER!A:A)</f>
        <v>100019981</v>
      </c>
      <c r="I149" s="10" t="str">
        <f>+_xlfn.XLOOKUP(G149,MASTER!B:B,MASTER!C:C)</f>
        <v>MARLBORO BLOSSO VISTA BLOSSOM 1 CAJETILLA</v>
      </c>
    </row>
    <row r="150" spans="1:9" x14ac:dyDescent="0.35">
      <c r="A150">
        <v>75079642</v>
      </c>
      <c r="B150">
        <f>+_xlfn.XLOOKUP(A150,MASTER!B:B,MASTER!A:A)</f>
        <v>100023316</v>
      </c>
      <c r="C150" t="str">
        <f>+_xlfn.XLOOKUP(A150,MASTER!B:B,MASTER!C:C)</f>
        <v>PALL MALL TOKYO SUNSHINE LATA 20 PZ</v>
      </c>
      <c r="D150" s="10" t="str">
        <f>+_xlfn.XLOOKUP(A150,MASTER!B:B,MASTER!D:D)</f>
        <v>BAT</v>
      </c>
      <c r="E150" s="10" t="str">
        <f>+_xlfn.XLOOKUP(A150,MASTER!B:B,MASTER!I:I)</f>
        <v>Inactivo</v>
      </c>
      <c r="G150">
        <v>75074753</v>
      </c>
      <c r="H150" s="10">
        <f>+_xlfn.XLOOKUP(G150,MASTER!B:B,MASTER!A:A)</f>
        <v>100020770</v>
      </c>
      <c r="I150" s="10" t="str">
        <f>+_xlfn.XLOOKUP(G150,MASTER!B:B,MASTER!C:C)</f>
        <v>MARLBORO WINTER EDICION LIMITADA W 1 CAJETILLA</v>
      </c>
    </row>
    <row r="151" spans="1:9" x14ac:dyDescent="0.35">
      <c r="A151">
        <v>75079697</v>
      </c>
      <c r="B151">
        <f>+_xlfn.XLOOKUP(A151,MASTER!B:B,MASTER!A:A)</f>
        <v>100023315</v>
      </c>
      <c r="C151" t="str">
        <f>+_xlfn.XLOOKUP(A151,MASTER!B:B,MASTER!C:C)</f>
        <v>PALL MALL ALASKA SUNSHINE LATA 20 PZ</v>
      </c>
      <c r="D151" s="10" t="str">
        <f>+_xlfn.XLOOKUP(A151,MASTER!B:B,MASTER!D:D)</f>
        <v>BAT</v>
      </c>
      <c r="E151" s="10" t="str">
        <f>+_xlfn.XLOOKUP(A151,MASTER!B:B,MASTER!I:I)</f>
        <v>Inactivo</v>
      </c>
      <c r="G151">
        <v>75074784</v>
      </c>
      <c r="H151" s="10">
        <f>+_xlfn.XLOOKUP(G151,MASTER!B:B,MASTER!A:A)</f>
        <v>100019052</v>
      </c>
      <c r="I151" s="10" t="str">
        <f>+_xlfn.XLOOKUP(G151,MASTER!B:B,MASTER!C:C)</f>
        <v>MONTANA SHOTS XL 20S 1 CAJETILLA</v>
      </c>
    </row>
    <row r="152" spans="1:9" x14ac:dyDescent="0.35">
      <c r="A152">
        <v>75079888</v>
      </c>
      <c r="B152">
        <f>+_xlfn.XLOOKUP(A152,MASTER!B:B,MASTER!A:A)</f>
        <v>100023423</v>
      </c>
      <c r="C152" t="str">
        <f>+_xlfn.XLOOKUP(A152,MASTER!B:B,MASTER!C:C)</f>
        <v>LUCKY STRIKE ORIGINS RICH 20 PZ</v>
      </c>
      <c r="D152" s="10" t="str">
        <f>+_xlfn.XLOOKUP(A152,MASTER!B:B,MASTER!D:D)</f>
        <v>BAT</v>
      </c>
      <c r="E152" s="10" t="str">
        <f>+_xlfn.XLOOKUP(A152,MASTER!B:B,MASTER!I:I)</f>
        <v>Descontinuado (con stock)</v>
      </c>
      <c r="G152">
        <v>75074876</v>
      </c>
      <c r="H152" s="10">
        <f>+_xlfn.XLOOKUP(G152,MASTER!B:B,MASTER!A:A)</f>
        <v>100019232</v>
      </c>
      <c r="I152" s="10" t="str">
        <f>+_xlfn.XLOOKUP(G152,MASTER!B:B,MASTER!C:C)</f>
        <v>PALL MALL XL RED &amp; CLICK 15S 1 CAJETILLA</v>
      </c>
    </row>
    <row r="153" spans="1:9" x14ac:dyDescent="0.35">
      <c r="A153">
        <v>75079895</v>
      </c>
      <c r="B153">
        <f>+_xlfn.XLOOKUP(A153,MASTER!B:B,MASTER!A:A)</f>
        <v>100023424</v>
      </c>
      <c r="C153" t="str">
        <f>+_xlfn.XLOOKUP(A153,MASTER!B:B,MASTER!C:C)</f>
        <v>LUCKY STRIKE ORIGINS BRIGHT 20 PZ</v>
      </c>
      <c r="D153" s="10" t="str">
        <f>+_xlfn.XLOOKUP(A153,MASTER!B:B,MASTER!D:D)</f>
        <v>BAT</v>
      </c>
      <c r="E153" s="10" t="str">
        <f>+_xlfn.XLOOKUP(A153,MASTER!B:B,MASTER!I:I)</f>
        <v>Descontinuado (con stock)</v>
      </c>
      <c r="G153">
        <v>75074883</v>
      </c>
      <c r="H153" s="10">
        <f>+_xlfn.XLOOKUP(G153,MASTER!B:B,MASTER!A:A)</f>
        <v>100019228</v>
      </c>
      <c r="I153" s="10" t="str">
        <f>+_xlfn.XLOOKUP(G153,MASTER!B:B,MASTER!C:C)</f>
        <v>PALL MALL XL WHITE&amp; CLICK 15S 1 CAJETILLA</v>
      </c>
    </row>
    <row r="154" spans="1:9" x14ac:dyDescent="0.35">
      <c r="A154">
        <v>75079901</v>
      </c>
      <c r="B154">
        <f>+_xlfn.XLOOKUP(A154,MASTER!B:B,MASTER!A:A)</f>
        <v>100023422</v>
      </c>
      <c r="C154" t="str">
        <f>+_xlfn.XLOOKUP(A154,MASTER!B:B,MASTER!C:C)</f>
        <v>LUCKY STRIKE ORIGINS DARK 20 PZ</v>
      </c>
      <c r="D154" s="10" t="str">
        <f>+_xlfn.XLOOKUP(A154,MASTER!B:B,MASTER!D:D)</f>
        <v>BAT</v>
      </c>
      <c r="E154" s="10" t="str">
        <f>+_xlfn.XLOOKUP(A154,MASTER!B:B,MASTER!I:I)</f>
        <v>Descontinuado (con stock)</v>
      </c>
      <c r="G154">
        <v>75074913</v>
      </c>
      <c r="H154" s="10">
        <f>+_xlfn.XLOOKUP(G154,MASTER!B:B,MASTER!A:A)</f>
        <v>100019959</v>
      </c>
      <c r="I154" s="10" t="str">
        <f>+_xlfn.XLOOKUP(G154,MASTER!B:B,MASTER!C:C)</f>
        <v>PALL MALL XL ATHENS 20S 1 CAJETILLA</v>
      </c>
    </row>
    <row r="155" spans="1:9" x14ac:dyDescent="0.35">
      <c r="A155">
        <v>75079956</v>
      </c>
      <c r="B155">
        <f>+_xlfn.XLOOKUP(A155,MASTER!B:B,MASTER!A:A)</f>
        <v>100023426</v>
      </c>
      <c r="C155" t="str">
        <f>+_xlfn.XLOOKUP(A155,MASTER!B:B,MASTER!C:C)</f>
        <v>LUCKY STRIKE ORIGINAL RED 20 PZ</v>
      </c>
      <c r="D155" s="10" t="str">
        <f>+_xlfn.XLOOKUP(A155,MASTER!B:B,MASTER!D:D)</f>
        <v>BAT</v>
      </c>
      <c r="E155" s="10" t="str">
        <f>+_xlfn.XLOOKUP(A155,MASTER!B:B,MASTER!I:I)</f>
        <v>Descontinuado (con stock)</v>
      </c>
      <c r="G155">
        <v>75074920</v>
      </c>
      <c r="H155" s="10">
        <f>+_xlfn.XLOOKUP(G155,MASTER!B:B,MASTER!A:A)</f>
        <v>100019958</v>
      </c>
      <c r="I155" s="10" t="str">
        <f>+_xlfn.XLOOKUP(G155,MASTER!B:B,MASTER!C:C)</f>
        <v>PALL MALL XL ICEBER 20S 1 CAJETILLA</v>
      </c>
    </row>
    <row r="156" spans="1:9" x14ac:dyDescent="0.35">
      <c r="A156">
        <v>75079963</v>
      </c>
      <c r="B156">
        <f>+_xlfn.XLOOKUP(A156,MASTER!B:B,MASTER!A:A)</f>
        <v>100023425</v>
      </c>
      <c r="C156" t="str">
        <f>+_xlfn.XLOOKUP(A156,MASTER!B:B,MASTER!C:C)</f>
        <v>PALL MALL CLASSICS 25 PZ</v>
      </c>
      <c r="D156" s="10" t="str">
        <f>+_xlfn.XLOOKUP(A156,MASTER!B:B,MASTER!D:D)</f>
        <v>BAT</v>
      </c>
      <c r="E156" s="10" t="str">
        <f>+_xlfn.XLOOKUP(A156,MASTER!B:B,MASTER!I:I)</f>
        <v>Activo</v>
      </c>
      <c r="G156">
        <v>75074937</v>
      </c>
      <c r="H156" s="10">
        <f>+_xlfn.XLOOKUP(G156,MASTER!B:B,MASTER!A:A)</f>
        <v>100020528</v>
      </c>
      <c r="I156" s="10" t="str">
        <f>+_xlfn.XLOOKUP(G156,MASTER!B:B,MASTER!C:C)</f>
        <v>PALL MALL XL FUJI 20S 1 CAJETILLA</v>
      </c>
    </row>
    <row r="157" spans="1:9" x14ac:dyDescent="0.35">
      <c r="A157">
        <v>75080105</v>
      </c>
      <c r="B157">
        <f>+_xlfn.XLOOKUP(A157,MASTER!B:B,MASTER!A:A)</f>
        <v>100023714</v>
      </c>
      <c r="C157" t="str">
        <f>+_xlfn.XLOOKUP(A157,MASTER!B:B,MASTER!C:C)</f>
        <v>LUCKY STRIKE LATA CLÁSICA RED 20 PZ</v>
      </c>
      <c r="D157" s="10" t="str">
        <f>+_xlfn.XLOOKUP(A157,MASTER!B:B,MASTER!D:D)</f>
        <v>BAT</v>
      </c>
      <c r="E157" s="10" t="str">
        <f>+_xlfn.XLOOKUP(A157,MASTER!B:B,MASTER!I:I)</f>
        <v>Descontinuado (con stock)</v>
      </c>
      <c r="G157">
        <v>75074944</v>
      </c>
      <c r="H157" s="10">
        <f>+_xlfn.XLOOKUP(G157,MASTER!B:B,MASTER!A:A)</f>
        <v>100020838</v>
      </c>
      <c r="I157" s="10" t="str">
        <f>+_xlfn.XLOOKUP(G157,MASTER!B:B,MASTER!C:C)</f>
        <v>PALL MALL XL RÍO SU 20S 1 CAJETILLA</v>
      </c>
    </row>
    <row r="158" spans="1:9" x14ac:dyDescent="0.35">
      <c r="A158">
        <v>75080495</v>
      </c>
      <c r="B158">
        <f>+_xlfn.XLOOKUP(A158,MASTER!B:B,MASTER!A:A)</f>
        <v>100026386</v>
      </c>
      <c r="C158" t="str">
        <f>+_xlfn.XLOOKUP(A158,MASTER!B:B,MASTER!C:C)</f>
        <v>PALL MALL ICELAND 20 PZ</v>
      </c>
      <c r="D158" s="10" t="str">
        <f>+_xlfn.XLOOKUP(A158,MASTER!B:B,MASTER!D:D)</f>
        <v>BAT</v>
      </c>
      <c r="E158" s="10" t="str">
        <f>+_xlfn.XLOOKUP(A158,MASTER!B:B,MASTER!I:I)</f>
        <v>Activo</v>
      </c>
      <c r="G158">
        <v>75074975</v>
      </c>
      <c r="H158" s="10">
        <f>+_xlfn.XLOOKUP(G158,MASTER!B:B,MASTER!A:A)</f>
        <v>100019234</v>
      </c>
      <c r="I158" s="10" t="str">
        <f>+_xlfn.XLOOKUP(G158,MASTER!B:B,MASTER!C:C)</f>
        <v>PALL MALL XL ALASKA 15S 1 CAJETILLA</v>
      </c>
    </row>
    <row r="159" spans="1:9" x14ac:dyDescent="0.35">
      <c r="A159">
        <v>75080501</v>
      </c>
      <c r="B159">
        <f>+_xlfn.XLOOKUP(A159,MASTER!B:B,MASTER!A:A)</f>
        <v>100026387</v>
      </c>
      <c r="C159" t="str">
        <f>+_xlfn.XLOOKUP(A159,MASTER!B:B,MASTER!C:C)</f>
        <v>PALL MALL ARUBA 20 PZ</v>
      </c>
      <c r="D159" s="10" t="str">
        <f>+_xlfn.XLOOKUP(A159,MASTER!B:B,MASTER!D:D)</f>
        <v>BAT</v>
      </c>
      <c r="E159" s="10" t="str">
        <f>+_xlfn.XLOOKUP(A159,MASTER!B:B,MASTER!I:I)</f>
        <v>Activo</v>
      </c>
      <c r="G159">
        <v>75074982</v>
      </c>
      <c r="H159" s="10">
        <f>+_xlfn.XLOOKUP(G159,MASTER!B:B,MASTER!A:A)</f>
        <v>100019230</v>
      </c>
      <c r="I159" s="10" t="str">
        <f>+_xlfn.XLOOKUP(G159,MASTER!B:B,MASTER!C:C)</f>
        <v>PALL MALL XL TOKYO 15S 1 CAJETILLA</v>
      </c>
    </row>
    <row r="160" spans="1:9" x14ac:dyDescent="0.35">
      <c r="A160">
        <v>75080518</v>
      </c>
      <c r="B160">
        <f>+_xlfn.XLOOKUP(A160,MASTER!B:B,MASTER!A:A)</f>
        <v>100026388</v>
      </c>
      <c r="C160" t="str">
        <f>+_xlfn.XLOOKUP(A160,MASTER!B:B,MASTER!C:C)</f>
        <v>PALL MALL OSAKA 20 PZ</v>
      </c>
      <c r="D160" s="10" t="str">
        <f>+_xlfn.XLOOKUP(A160,MASTER!B:B,MASTER!D:D)</f>
        <v>BAT</v>
      </c>
      <c r="E160" s="10" t="str">
        <f>+_xlfn.XLOOKUP(A160,MASTER!B:B,MASTER!I:I)</f>
        <v>Activo</v>
      </c>
      <c r="G160">
        <v>75074999</v>
      </c>
      <c r="H160" s="10">
        <f>+_xlfn.XLOOKUP(G160,MASTER!B:B,MASTER!A:A)</f>
        <v>100019233</v>
      </c>
      <c r="I160" s="10" t="str">
        <f>+_xlfn.XLOOKUP(G160,MASTER!B:B,MASTER!C:C)</f>
        <v>PALL MALL XL MYKONO 15S 1 CAJETILLA</v>
      </c>
    </row>
    <row r="161" spans="1:9" x14ac:dyDescent="0.35">
      <c r="A161">
        <v>75080525</v>
      </c>
      <c r="B161">
        <f>+_xlfn.XLOOKUP(A161,MASTER!B:B,MASTER!A:A)</f>
        <v>100026385</v>
      </c>
      <c r="C161" t="str">
        <f>+_xlfn.XLOOKUP(A161,MASTER!B:B,MASTER!C:C)</f>
        <v>PALL MALL HONOLULU 20 PZ</v>
      </c>
      <c r="D161" s="10" t="str">
        <f>+_xlfn.XLOOKUP(A161,MASTER!B:B,MASTER!D:D)</f>
        <v>BAT</v>
      </c>
      <c r="E161" s="10" t="str">
        <f>+_xlfn.XLOOKUP(A161,MASTER!B:B,MASTER!I:I)</f>
        <v>Activo</v>
      </c>
      <c r="G161">
        <v>75075217</v>
      </c>
      <c r="H161" s="10">
        <f>+_xlfn.XLOOKUP(G161,MASTER!B:B,MASTER!A:A)</f>
        <v>100020133</v>
      </c>
      <c r="I161" s="10" t="str">
        <f>+_xlfn.XLOOKUP(G161,MASTER!B:B,MASTER!C:C)</f>
        <v>MARLBORO VISTA SUMMER FUSIO 1 CAJETILLA</v>
      </c>
    </row>
    <row r="162" spans="1:9" x14ac:dyDescent="0.35">
      <c r="A162">
        <v>75080679</v>
      </c>
      <c r="B162">
        <f>+_xlfn.XLOOKUP(A162,MASTER!B:B,MASTER!A:A)</f>
        <v>100024321</v>
      </c>
      <c r="C162" t="str">
        <f>+_xlfn.XLOOKUP(A162,MASTER!B:B,MASTER!C:C)</f>
        <v>LUCKIES 25S</v>
      </c>
      <c r="D162" s="10" t="str">
        <f>+_xlfn.XLOOKUP(A162,MASTER!B:B,MASTER!D:D)</f>
        <v>BAT</v>
      </c>
      <c r="E162" s="10" t="str">
        <f>+_xlfn.XLOOKUP(A162,MASTER!B:B,MASTER!I:I)</f>
        <v>Descontinuado (con stock)</v>
      </c>
      <c r="G162">
        <v>75076405</v>
      </c>
      <c r="H162" s="10">
        <f>+_xlfn.XLOOKUP(G162,MASTER!B:B,MASTER!A:A)</f>
        <v>100020970</v>
      </c>
      <c r="I162" s="10" t="str">
        <f>+_xlfn.XLOOKUP(G162,MASTER!B:B,MASTER!C:C)</f>
        <v>MONTANA CLASSI 14S 1 CAJETILLA</v>
      </c>
    </row>
    <row r="163" spans="1:9" x14ac:dyDescent="0.35">
      <c r="A163">
        <v>75081058</v>
      </c>
      <c r="B163">
        <f>+_xlfn.XLOOKUP(A163,MASTER!B:B,MASTER!A:A)</f>
        <v>100024596</v>
      </c>
      <c r="C163" t="str">
        <f>+_xlfn.XLOOKUP(A163,MASTER!B:B,MASTER!C:C)</f>
        <v>PALL MALL XL MIAMI PARADISE 20S 20 PZ</v>
      </c>
      <c r="D163" s="10" t="str">
        <f>+_xlfn.XLOOKUP(A163,MASTER!B:B,MASTER!D:D)</f>
        <v>BAT</v>
      </c>
      <c r="E163" s="10" t="str">
        <f>+_xlfn.XLOOKUP(A163,MASTER!B:B,MASTER!I:I)</f>
        <v>Descontinuado (con stock)</v>
      </c>
      <c r="G163">
        <v>75076412</v>
      </c>
      <c r="H163" s="10">
        <f>+_xlfn.XLOOKUP(G163,MASTER!B:B,MASTER!A:A)</f>
        <v>100022233</v>
      </c>
      <c r="I163" s="10" t="str">
        <f>+_xlfn.XLOOKUP(G163,MASTER!B:B,MASTER!C:C)</f>
        <v>PALL MALL LONDON 20S 1 CAJETILLA</v>
      </c>
    </row>
    <row r="164" spans="1:9" x14ac:dyDescent="0.35">
      <c r="A164">
        <v>75081362</v>
      </c>
      <c r="B164">
        <f>+_xlfn.XLOOKUP(A164,MASTER!B:B,MASTER!A:A)</f>
        <v>100024932</v>
      </c>
      <c r="C164" t="str">
        <f>+_xlfn.XLOOKUP(A164,MASTER!B:B,MASTER!C:C)</f>
        <v>TEREA BLACK TROPICAL CAJETILLA PZ</v>
      </c>
      <c r="D164" s="10" t="str">
        <f>+_xlfn.XLOOKUP(A164,MASTER!B:B,MASTER!D:D)</f>
        <v>PMI</v>
      </c>
      <c r="E164" s="10" t="str">
        <f>+_xlfn.XLOOKUP(A164,MASTER!B:B,MASTER!I:I)</f>
        <v>Activo</v>
      </c>
      <c r="G164">
        <v>75076429</v>
      </c>
      <c r="H164" s="10">
        <f>+_xlfn.XLOOKUP(G164,MASTER!B:B,MASTER!A:A)</f>
        <v>100022118</v>
      </c>
      <c r="I164" s="10" t="str">
        <f>+_xlfn.XLOOKUP(G164,MASTER!B:B,MASTER!C:C)</f>
        <v>PALL MALL HAWAII 20S 1 CAJETILLA</v>
      </c>
    </row>
    <row r="165" spans="1:9" x14ac:dyDescent="0.35">
      <c r="A165">
        <v>75081652</v>
      </c>
      <c r="B165">
        <f>+_xlfn.XLOOKUP(A165,MASTER!B:B,MASTER!A:A)</f>
        <v>100024999</v>
      </c>
      <c r="C165" t="str">
        <f>+_xlfn.XLOOKUP(A165,MASTER!B:B,MASTER!C:C)</f>
        <v>TEREA PROVENCE PEARL MNT 20 CAJETILLA PZ</v>
      </c>
      <c r="D165" s="10" t="str">
        <f>+_xlfn.XLOOKUP(A165,MASTER!B:B,MASTER!D:D)</f>
        <v>PMI</v>
      </c>
      <c r="E165" s="10" t="str">
        <f>+_xlfn.XLOOKUP(A165,MASTER!B:B,MASTER!I:I)</f>
        <v>Activo</v>
      </c>
      <c r="G165">
        <v>75076740</v>
      </c>
      <c r="H165" s="10">
        <f>+_xlfn.XLOOKUP(G165,MASTER!B:B,MASTER!A:A)</f>
        <v>100020969</v>
      </c>
      <c r="I165" s="10" t="str">
        <f>+_xlfn.XLOOKUP(G165,MASTER!B:B,MASTER!C:C)</f>
        <v>MONTANA CLASSI 20S 1 CAJETILLA</v>
      </c>
    </row>
    <row r="166" spans="1:9" x14ac:dyDescent="0.35">
      <c r="A166">
        <v>75081942</v>
      </c>
      <c r="B166">
        <f>+_xlfn.XLOOKUP(A166,MASTER!B:B,MASTER!A:A)</f>
        <v>100025053</v>
      </c>
      <c r="C166" t="str">
        <f>+_xlfn.XLOOKUP(A166,MASTER!B:B,MASTER!C:C)</f>
        <v>LUCKIES 20S</v>
      </c>
      <c r="D166" s="10" t="str">
        <f>+_xlfn.XLOOKUP(A166,MASTER!B:B,MASTER!D:D)</f>
        <v>BAT</v>
      </c>
      <c r="E166" s="10" t="str">
        <f>+_xlfn.XLOOKUP(A166,MASTER!B:B,MASTER!I:I)</f>
        <v>Descontinuado (con stock)</v>
      </c>
      <c r="G166">
        <v>75076757</v>
      </c>
      <c r="H166" s="10">
        <f>+_xlfn.XLOOKUP(G166,MASTER!B:B,MASTER!A:A)</f>
        <v>100021658</v>
      </c>
      <c r="I166" s="10" t="str">
        <f>+_xlfn.XLOOKUP(G166,MASTER!B:B,MASTER!C:C)</f>
        <v>PALL MALL EX GOLD C 14S 1 CAJETILLA</v>
      </c>
    </row>
    <row r="167" spans="1:9" x14ac:dyDescent="0.35">
      <c r="A167">
        <v>75082277</v>
      </c>
      <c r="B167">
        <f>+_xlfn.XLOOKUP(A167,MASTER!B:B,MASTER!A:A)</f>
        <v>100024882</v>
      </c>
      <c r="C167" t="str">
        <f>+_xlfn.XLOOKUP(A167,MASTER!B:B,MASTER!C:C)</f>
        <v>PALL MALL 125 AÑOS CASE ALASKA 20 PZ</v>
      </c>
      <c r="D167" s="10" t="str">
        <f>+_xlfn.XLOOKUP(A167,MASTER!B:B,MASTER!D:D)</f>
        <v>BAT</v>
      </c>
      <c r="E167" s="10" t="str">
        <f>+_xlfn.XLOOKUP(A167,MASTER!B:B,MASTER!I:I)</f>
        <v>Descontinuado (con stock)</v>
      </c>
      <c r="G167">
        <v>75077389</v>
      </c>
      <c r="H167" s="10">
        <f>+_xlfn.XLOOKUP(G167,MASTER!B:B,MASTER!A:A)</f>
        <v>100021886</v>
      </c>
      <c r="I167" s="10" t="str">
        <f>+_xlfn.XLOOKUP(G167,MASTER!B:B,MASTER!C:C)</f>
        <v>PALL MALL LT ALA 20S 1 CAJETILLA</v>
      </c>
    </row>
    <row r="168" spans="1:9" x14ac:dyDescent="0.35">
      <c r="A168">
        <v>75082284</v>
      </c>
      <c r="B168">
        <f>+_xlfn.XLOOKUP(A168,MASTER!B:B,MASTER!A:A)</f>
        <v>100024884</v>
      </c>
      <c r="C168" t="str">
        <f>+_xlfn.XLOOKUP(A168,MASTER!B:B,MASTER!C:C)</f>
        <v>PALL MALL 125 AÑOS CASE TOKYO 20 PZ</v>
      </c>
      <c r="D168" s="10" t="str">
        <f>+_xlfn.XLOOKUP(A168,MASTER!B:B,MASTER!D:D)</f>
        <v>BAT</v>
      </c>
      <c r="E168" s="10" t="str">
        <f>+_xlfn.XLOOKUP(A168,MASTER!B:B,MASTER!I:I)</f>
        <v>Descontinuado (con stock)</v>
      </c>
      <c r="G168">
        <v>75077402</v>
      </c>
      <c r="H168" s="10">
        <f>+_xlfn.XLOOKUP(G168,MASTER!B:B,MASTER!A:A)</f>
        <v>100021887</v>
      </c>
      <c r="I168" s="10" t="str">
        <f>+_xlfn.XLOOKUP(G168,MASTER!B:B,MASTER!C:C)</f>
        <v>PALL MALL LT MYK 20S 1 CAJETILLA</v>
      </c>
    </row>
    <row r="169" spans="1:9" x14ac:dyDescent="0.35">
      <c r="A169">
        <v>75082291</v>
      </c>
      <c r="B169">
        <f>+_xlfn.XLOOKUP(A169,MASTER!B:B,MASTER!A:A)</f>
        <v>100024885</v>
      </c>
      <c r="C169" t="str">
        <f>+_xlfn.XLOOKUP(A169,MASTER!B:B,MASTER!C:C)</f>
        <v>PALL MALL 125 AÑOS CASE MYKONOS 20 PZ</v>
      </c>
      <c r="D169" s="10" t="str">
        <f>+_xlfn.XLOOKUP(A169,MASTER!B:B,MASTER!D:D)</f>
        <v>BAT</v>
      </c>
      <c r="E169" s="10" t="str">
        <f>+_xlfn.XLOOKUP(A169,MASTER!B:B,MASTER!I:I)</f>
        <v>Descontinuado (con stock)</v>
      </c>
      <c r="G169">
        <v>75077426</v>
      </c>
      <c r="H169" s="10">
        <f>+_xlfn.XLOOKUP(G169,MASTER!B:B,MASTER!A:A)</f>
        <v>100021889</v>
      </c>
      <c r="I169" s="10" t="str">
        <f>+_xlfn.XLOOKUP(G169,MASTER!B:B,MASTER!C:C)</f>
        <v>PALL MALL LT RÍO 20S 1 CAJETILLA</v>
      </c>
    </row>
    <row r="170" spans="1:9" x14ac:dyDescent="0.35">
      <c r="A170">
        <v>75082307</v>
      </c>
      <c r="B170">
        <f>+_xlfn.XLOOKUP(A170,MASTER!B:B,MASTER!A:A)</f>
        <v>100024887</v>
      </c>
      <c r="C170" t="str">
        <f>+_xlfn.XLOOKUP(A170,MASTER!B:B,MASTER!C:C)</f>
        <v>PALL MALL 125 AÑOS CASE HAWAII 20 PZ</v>
      </c>
      <c r="D170" s="10" t="str">
        <f>+_xlfn.XLOOKUP(A170,MASTER!B:B,MASTER!D:D)</f>
        <v>BAT</v>
      </c>
      <c r="E170" s="10" t="str">
        <f>+_xlfn.XLOOKUP(A170,MASTER!B:B,MASTER!I:I)</f>
        <v>Descontinuado (con stock)</v>
      </c>
      <c r="G170">
        <v>75077433</v>
      </c>
      <c r="H170" s="10">
        <f>+_xlfn.XLOOKUP(G170,MASTER!B:B,MASTER!A:A)</f>
        <v>100021888</v>
      </c>
      <c r="I170" s="10" t="str">
        <f>+_xlfn.XLOOKUP(G170,MASTER!B:B,MASTER!C:C)</f>
        <v>PALL MALL LT TOK 20S 1 CAJETILLA</v>
      </c>
    </row>
    <row r="171" spans="1:9" x14ac:dyDescent="0.35">
      <c r="A171">
        <v>75082314</v>
      </c>
      <c r="B171">
        <f>+_xlfn.XLOOKUP(A171,MASTER!B:B,MASTER!A:A)</f>
        <v>100024886</v>
      </c>
      <c r="C171" t="str">
        <f>+_xlfn.XLOOKUP(A171,MASTER!B:B,MASTER!C:C)</f>
        <v>PALL MALL 125 AÑOS CASE LONDON 20 PZ</v>
      </c>
      <c r="D171" s="10" t="str">
        <f>+_xlfn.XLOOKUP(A171,MASTER!B:B,MASTER!D:D)</f>
        <v>BAT</v>
      </c>
      <c r="E171" s="10" t="str">
        <f>+_xlfn.XLOOKUP(A171,MASTER!B:B,MASTER!I:I)</f>
        <v>Descontinuado (con stock)</v>
      </c>
      <c r="G171">
        <v>75078638</v>
      </c>
      <c r="H171" s="10">
        <f>+_xlfn.XLOOKUP(G171,MASTER!B:B,MASTER!A:A)</f>
        <v>100021978</v>
      </c>
      <c r="I171" s="10" t="str">
        <f>+_xlfn.XLOOKUP(G171,MASTER!B:B,MASTER!C:C)</f>
        <v>PALL MALL EX GOLD C 20S 1 CAJETILLA</v>
      </c>
    </row>
    <row r="172" spans="1:9" x14ac:dyDescent="0.35">
      <c r="A172">
        <v>75082321</v>
      </c>
      <c r="B172">
        <f>+_xlfn.XLOOKUP(A172,MASTER!B:B,MASTER!A:A)</f>
        <v>100024883</v>
      </c>
      <c r="C172" t="str">
        <f>+_xlfn.XLOOKUP(A172,MASTER!B:B,MASTER!C:C)</f>
        <v>PALL MALL 125 AÑOS CASE BORA BORA 20 PZ</v>
      </c>
      <c r="D172" s="10" t="str">
        <f>+_xlfn.XLOOKUP(A172,MASTER!B:B,MASTER!D:D)</f>
        <v>BAT</v>
      </c>
      <c r="E172" s="10" t="str">
        <f>+_xlfn.XLOOKUP(A172,MASTER!B:B,MASTER!I:I)</f>
        <v>Descontinuado (con stock)</v>
      </c>
      <c r="G172">
        <v>75078843</v>
      </c>
      <c r="H172" s="10">
        <f>+_xlfn.XLOOKUP(G172,MASTER!B:B,MASTER!A:A)</f>
        <v>100023317</v>
      </c>
      <c r="I172" s="10" t="str">
        <f>+_xlfn.XLOOKUP(G172,MASTER!B:B,MASTER!C:C)</f>
        <v>MONTANA SHOTS CLASSICS 25 PZ</v>
      </c>
    </row>
    <row r="173" spans="1:9" x14ac:dyDescent="0.35">
      <c r="A173">
        <v>75082338</v>
      </c>
      <c r="B173">
        <f>+_xlfn.XLOOKUP(A173,MASTER!B:B,MASTER!A:A)</f>
        <v>100024888</v>
      </c>
      <c r="C173" t="str">
        <f>+_xlfn.XLOOKUP(A173,MASTER!B:B,MASTER!C:C)</f>
        <v>PALL MALL 125 AÑOS CASE MIAMI 20 PZ</v>
      </c>
      <c r="D173" s="10" t="str">
        <f>+_xlfn.XLOOKUP(A173,MASTER!B:B,MASTER!D:D)</f>
        <v>BAT</v>
      </c>
      <c r="E173" s="10" t="str">
        <f>+_xlfn.XLOOKUP(A173,MASTER!B:B,MASTER!I:I)</f>
        <v>Descontinuado (con stock)</v>
      </c>
      <c r="G173">
        <v>75079017</v>
      </c>
      <c r="H173" s="10">
        <f>+_xlfn.XLOOKUP(G173,MASTER!B:B,MASTER!A:A)</f>
        <v>101000079</v>
      </c>
      <c r="I173" s="10" t="str">
        <f>+_xlfn.XLOOKUP(G173,MASTER!B:B,MASTER!C:C)</f>
        <v>PALL MALL BORA BORA SUNBREAK 20 PZ</v>
      </c>
    </row>
    <row r="174" spans="1:9" x14ac:dyDescent="0.35">
      <c r="A174">
        <v>75082345</v>
      </c>
      <c r="B174">
        <f>+_xlfn.XLOOKUP(A174,MASTER!B:B,MASTER!A:A)</f>
        <v>100024881</v>
      </c>
      <c r="C174" t="str">
        <f>+_xlfn.XLOOKUP(A174,MASTER!B:B,MASTER!C:C)</f>
        <v>MARLBORO PROVENCE FUSION MNT 100 BOX 20 CAJETILLA PZ</v>
      </c>
      <c r="D174" s="10" t="str">
        <f>+_xlfn.XLOOKUP(A174,MASTER!B:B,MASTER!D:D)</f>
        <v>PMI</v>
      </c>
      <c r="E174" s="10" t="str">
        <f>+_xlfn.XLOOKUP(A174,MASTER!B:B,MASTER!I:I)</f>
        <v>Activo</v>
      </c>
      <c r="G174">
        <v>75079642</v>
      </c>
      <c r="H174" s="10">
        <f>+_xlfn.XLOOKUP(G174,MASTER!B:B,MASTER!A:A)</f>
        <v>100023316</v>
      </c>
      <c r="I174" s="10" t="str">
        <f>+_xlfn.XLOOKUP(G174,MASTER!B:B,MASTER!C:C)</f>
        <v>PALL MALL TOKYO SUNSHINE LATA 20 PZ</v>
      </c>
    </row>
    <row r="175" spans="1:9" x14ac:dyDescent="0.35">
      <c r="A175">
        <v>75082543</v>
      </c>
      <c r="B175">
        <f>+_xlfn.XLOOKUP(A175,MASTER!B:B,MASTER!A:A)</f>
        <v>100025282</v>
      </c>
      <c r="C175" t="str">
        <f>+_xlfn.XLOOKUP(A175,MASTER!B:B,MASTER!C:C)</f>
        <v>PALL MALL HAWAII SUNLIGHT 15 PZ</v>
      </c>
      <c r="D175" s="10" t="str">
        <f>+_xlfn.XLOOKUP(A175,MASTER!B:B,MASTER!D:D)</f>
        <v>BAT</v>
      </c>
      <c r="E175" s="10" t="str">
        <f>+_xlfn.XLOOKUP(A175,MASTER!B:B,MASTER!I:I)</f>
        <v>Activo</v>
      </c>
      <c r="G175">
        <v>75079697</v>
      </c>
      <c r="H175" s="10">
        <f>+_xlfn.XLOOKUP(G175,MASTER!B:B,MASTER!A:A)</f>
        <v>100023315</v>
      </c>
      <c r="I175" s="10" t="str">
        <f>+_xlfn.XLOOKUP(G175,MASTER!B:B,MASTER!C:C)</f>
        <v>PALL MALL ALASKA SUNSHINE LATA 20 PZ</v>
      </c>
    </row>
    <row r="176" spans="1:9" x14ac:dyDescent="0.35">
      <c r="A176">
        <v>75083632</v>
      </c>
      <c r="B176">
        <f>+_xlfn.XLOOKUP(A176,MASTER!B:B,MASTER!A:A)</f>
        <v>100025850</v>
      </c>
      <c r="C176" t="str">
        <f>+_xlfn.XLOOKUP(A176,MASTER!B:B,MASTER!C:C)</f>
        <v>PALL MALL PM MANILA DAYLIGHT 20 PZ</v>
      </c>
      <c r="D176" s="10" t="str">
        <f>+_xlfn.XLOOKUP(A176,MASTER!B:B,MASTER!D:D)</f>
        <v>BAT</v>
      </c>
      <c r="E176" s="10" t="str">
        <f>+_xlfn.XLOOKUP(A176,MASTER!B:B,MASTER!I:I)</f>
        <v>Activo</v>
      </c>
      <c r="G176">
        <v>75079888</v>
      </c>
      <c r="H176" s="10">
        <f>+_xlfn.XLOOKUP(G176,MASTER!B:B,MASTER!A:A)</f>
        <v>100023423</v>
      </c>
      <c r="I176" s="10" t="str">
        <f>+_xlfn.XLOOKUP(G176,MASTER!B:B,MASTER!C:C)</f>
        <v>LUCKY STRIKE ORIGINS RICH 20 PZ</v>
      </c>
    </row>
    <row r="177" spans="1:9" x14ac:dyDescent="0.35">
      <c r="A177">
        <v>75083649</v>
      </c>
      <c r="B177">
        <f>+_xlfn.XLOOKUP(A177,MASTER!B:B,MASTER!A:A)</f>
        <v>100025310</v>
      </c>
      <c r="C177" t="str">
        <f>+_xlfn.XLOOKUP(A177,MASTER!B:B,MASTER!C:C)</f>
        <v>TEREA GLACIER PEARL 20 CAJETILLA PZ</v>
      </c>
      <c r="D177" s="10" t="str">
        <f>+_xlfn.XLOOKUP(A177,MASTER!B:B,MASTER!D:D)</f>
        <v>PMI</v>
      </c>
      <c r="E177" s="10" t="str">
        <f>+_xlfn.XLOOKUP(A177,MASTER!B:B,MASTER!I:I)</f>
        <v>Activo</v>
      </c>
      <c r="G177">
        <v>75079895</v>
      </c>
      <c r="H177" s="10">
        <f>+_xlfn.XLOOKUP(G177,MASTER!B:B,MASTER!A:A)</f>
        <v>100023424</v>
      </c>
      <c r="I177" s="10" t="str">
        <f>+_xlfn.XLOOKUP(G177,MASTER!B:B,MASTER!C:C)</f>
        <v>LUCKY STRIKE ORIGINS BRIGHT 20 PZ</v>
      </c>
    </row>
    <row r="178" spans="1:9" x14ac:dyDescent="0.35">
      <c r="A178">
        <v>75083656</v>
      </c>
      <c r="B178">
        <f>+_xlfn.XLOOKUP(A178,MASTER!B:B,MASTER!A:A)</f>
        <v>100025311</v>
      </c>
      <c r="C178" t="str">
        <f>+_xlfn.XLOOKUP(A178,MASTER!B:B,MASTER!C:C)</f>
        <v>TEREA TWILIGHT PEARL 20 CAJETILLA PZ</v>
      </c>
      <c r="D178" s="10" t="str">
        <f>+_xlfn.XLOOKUP(A178,MASTER!B:B,MASTER!D:D)</f>
        <v>PMI</v>
      </c>
      <c r="E178" s="10" t="str">
        <f>+_xlfn.XLOOKUP(A178,MASTER!B:B,MASTER!I:I)</f>
        <v>Activo</v>
      </c>
      <c r="G178">
        <v>75079901</v>
      </c>
      <c r="H178" s="10">
        <f>+_xlfn.XLOOKUP(G178,MASTER!B:B,MASTER!A:A)</f>
        <v>100023422</v>
      </c>
      <c r="I178" s="10" t="str">
        <f>+_xlfn.XLOOKUP(G178,MASTER!B:B,MASTER!C:C)</f>
        <v>LUCKY STRIKE ORIGINS DARK 20 PZ</v>
      </c>
    </row>
    <row r="179" spans="1:9" x14ac:dyDescent="0.35">
      <c r="A179">
        <v>75083755</v>
      </c>
      <c r="B179">
        <f>+_xlfn.XLOOKUP(A179,MASTER!B:B,MASTER!A:A)</f>
        <v>100025675</v>
      </c>
      <c r="C179" t="str">
        <f>+_xlfn.XLOOKUP(A179,MASTER!B:B,MASTER!C:C)</f>
        <v>PALL MALL PALL MALL SELECT 20 PZ</v>
      </c>
      <c r="D179" s="10" t="str">
        <f>+_xlfn.XLOOKUP(A179,MASTER!B:B,MASTER!D:D)</f>
        <v>BAT</v>
      </c>
      <c r="E179" s="10" t="str">
        <f>+_xlfn.XLOOKUP(A179,MASTER!B:B,MASTER!I:I)</f>
        <v>Activo</v>
      </c>
      <c r="G179">
        <v>75079956</v>
      </c>
      <c r="H179" s="10">
        <f>+_xlfn.XLOOKUP(G179,MASTER!B:B,MASTER!A:A)</f>
        <v>100023426</v>
      </c>
      <c r="I179" s="10" t="str">
        <f>+_xlfn.XLOOKUP(G179,MASTER!B:B,MASTER!C:C)</f>
        <v>LUCKY STRIKE ORIGINAL RED 20 PZ</v>
      </c>
    </row>
    <row r="180" spans="1:9" x14ac:dyDescent="0.35">
      <c r="A180">
        <v>75083762</v>
      </c>
      <c r="B180">
        <f>+_xlfn.XLOOKUP(A180,MASTER!B:B,MASTER!A:A)</f>
        <v>100025672</v>
      </c>
      <c r="C180" t="str">
        <f>+_xlfn.XLOOKUP(A180,MASTER!B:B,MASTER!C:C)</f>
        <v>PALL MALL PALL MALL SELECT 14 PZ</v>
      </c>
      <c r="D180" s="10" t="str">
        <f>+_xlfn.XLOOKUP(A180,MASTER!B:B,MASTER!D:D)</f>
        <v>BAT</v>
      </c>
      <c r="E180" s="10" t="str">
        <f>+_xlfn.XLOOKUP(A180,MASTER!B:B,MASTER!I:I)</f>
        <v>Activo</v>
      </c>
      <c r="G180">
        <v>75079963</v>
      </c>
      <c r="H180" s="10">
        <f>+_xlfn.XLOOKUP(G180,MASTER!B:B,MASTER!A:A)</f>
        <v>100023425</v>
      </c>
      <c r="I180" s="10" t="str">
        <f>+_xlfn.XLOOKUP(G180,MASTER!B:B,MASTER!C:C)</f>
        <v>PALL MALL CLASSICS 25 PZ</v>
      </c>
    </row>
    <row r="181" spans="1:9" x14ac:dyDescent="0.35">
      <c r="A181">
        <v>75083779</v>
      </c>
      <c r="B181">
        <f>+_xlfn.XLOOKUP(A181,MASTER!B:B,MASTER!A:A)</f>
        <v>100025673</v>
      </c>
      <c r="C181" t="str">
        <f>+_xlfn.XLOOKUP(A181,MASTER!B:B,MASTER!C:C)</f>
        <v>PALL MALL PALL MALL GOLD SELECT 20 PZ</v>
      </c>
      <c r="D181" s="10" t="str">
        <f>+_xlfn.XLOOKUP(A181,MASTER!B:B,MASTER!D:D)</f>
        <v>BAT</v>
      </c>
      <c r="E181" s="10" t="str">
        <f>+_xlfn.XLOOKUP(A181,MASTER!B:B,MASTER!I:I)</f>
        <v>Activo</v>
      </c>
      <c r="G181">
        <v>75080105</v>
      </c>
      <c r="H181" s="10">
        <f>+_xlfn.XLOOKUP(G181,MASTER!B:B,MASTER!A:A)</f>
        <v>100023714</v>
      </c>
      <c r="I181" s="10" t="str">
        <f>+_xlfn.XLOOKUP(G181,MASTER!B:B,MASTER!C:C)</f>
        <v>LUCKY STRIKE LATA CLÁSICA RED 20 PZ</v>
      </c>
    </row>
    <row r="182" spans="1:9" x14ac:dyDescent="0.35">
      <c r="A182">
        <v>75083786</v>
      </c>
      <c r="B182">
        <f>+_xlfn.XLOOKUP(A182,MASTER!B:B,MASTER!A:A)</f>
        <v>100025670</v>
      </c>
      <c r="C182" t="str">
        <f>+_xlfn.XLOOKUP(A182,MASTER!B:B,MASTER!C:C)</f>
        <v>PALL MALL GOLD SELECT 14 PZ</v>
      </c>
      <c r="D182" s="10" t="str">
        <f>+_xlfn.XLOOKUP(A182,MASTER!B:B,MASTER!D:D)</f>
        <v>BAT</v>
      </c>
      <c r="E182" s="10" t="str">
        <f>+_xlfn.XLOOKUP(A182,MASTER!B:B,MASTER!I:I)</f>
        <v>Activo</v>
      </c>
      <c r="G182">
        <v>75080495</v>
      </c>
      <c r="H182" s="10">
        <f>+_xlfn.XLOOKUP(G182,MASTER!B:B,MASTER!A:A)</f>
        <v>100026386</v>
      </c>
      <c r="I182" s="10" t="str">
        <f>+_xlfn.XLOOKUP(G182,MASTER!B:B,MASTER!C:C)</f>
        <v>PALL MALL ICELAND 20 PZ</v>
      </c>
    </row>
    <row r="183" spans="1:9" x14ac:dyDescent="0.35">
      <c r="A183">
        <v>75083793</v>
      </c>
      <c r="B183">
        <f>+_xlfn.XLOOKUP(A183,MASTER!B:B,MASTER!A:A)</f>
        <v>100025677</v>
      </c>
      <c r="C183" t="str">
        <f>+_xlfn.XLOOKUP(A183,MASTER!B:B,MASTER!C:C)</f>
        <v>PALL MALL PALL MALL RED SELECT 25 PZ</v>
      </c>
      <c r="D183" s="10" t="str">
        <f>+_xlfn.XLOOKUP(A183,MASTER!B:B,MASTER!D:D)</f>
        <v>BAT</v>
      </c>
      <c r="E183" s="10" t="str">
        <f>+_xlfn.XLOOKUP(A183,MASTER!B:B,MASTER!I:I)</f>
        <v>Activo</v>
      </c>
      <c r="G183">
        <v>75080501</v>
      </c>
      <c r="H183" s="10">
        <f>+_xlfn.XLOOKUP(G183,MASTER!B:B,MASTER!A:A)</f>
        <v>100026387</v>
      </c>
      <c r="I183" s="10" t="str">
        <f>+_xlfn.XLOOKUP(G183,MASTER!B:B,MASTER!C:C)</f>
        <v>PALL MALL ARUBA 20 PZ</v>
      </c>
    </row>
    <row r="184" spans="1:9" x14ac:dyDescent="0.35">
      <c r="A184">
        <v>75083885</v>
      </c>
      <c r="B184">
        <f>+_xlfn.XLOOKUP(A184,MASTER!B:B,MASTER!A:A)</f>
        <v>100025283</v>
      </c>
      <c r="C184" t="str">
        <f>+_xlfn.XLOOKUP(A184,MASTER!B:B,MASTER!C:C)</f>
        <v>PALL MALL HAWAII SUNLIGHT STRESS RELIEVER 15 PZ</v>
      </c>
      <c r="D184" s="10" t="str">
        <f>+_xlfn.XLOOKUP(A184,MASTER!B:B,MASTER!D:D)</f>
        <v>BAT</v>
      </c>
      <c r="E184" s="10" t="str">
        <f>+_xlfn.XLOOKUP(A184,MASTER!B:B,MASTER!I:I)</f>
        <v>Descontinuado (con stock)</v>
      </c>
      <c r="G184">
        <v>75080518</v>
      </c>
      <c r="H184" s="10">
        <f>+_xlfn.XLOOKUP(G184,MASTER!B:B,MASTER!A:A)</f>
        <v>100026388</v>
      </c>
      <c r="I184" s="10" t="str">
        <f>+_xlfn.XLOOKUP(G184,MASTER!B:B,MASTER!C:C)</f>
        <v>PALL MALL OSAKA 20 PZ</v>
      </c>
    </row>
    <row r="185" spans="1:9" x14ac:dyDescent="0.35">
      <c r="A185">
        <v>75083892</v>
      </c>
      <c r="B185">
        <f>+_xlfn.XLOOKUP(A185,MASTER!B:B,MASTER!A:A)</f>
        <v>100025284</v>
      </c>
      <c r="C185" t="str">
        <f>+_xlfn.XLOOKUP(A185,MASTER!B:B,MASTER!C:C)</f>
        <v>PALL MALL HAWAII SUNLIGHT STRESS RELIEVER 20 PZ</v>
      </c>
      <c r="D185" s="10" t="str">
        <f>+_xlfn.XLOOKUP(A185,MASTER!B:B,MASTER!D:D)</f>
        <v>BAT</v>
      </c>
      <c r="E185" s="10" t="str">
        <f>+_xlfn.XLOOKUP(A185,MASTER!B:B,MASTER!I:I)</f>
        <v>Descontinuado (con stock)</v>
      </c>
      <c r="G185">
        <v>75080525</v>
      </c>
      <c r="H185" s="10">
        <f>+_xlfn.XLOOKUP(G185,MASTER!B:B,MASTER!A:A)</f>
        <v>100026385</v>
      </c>
      <c r="I185" s="10" t="str">
        <f>+_xlfn.XLOOKUP(G185,MASTER!B:B,MASTER!C:C)</f>
        <v>PALL MALL HONOLULU 20 PZ</v>
      </c>
    </row>
    <row r="186" spans="1:9" x14ac:dyDescent="0.35">
      <c r="A186">
        <v>75083922</v>
      </c>
      <c r="B186">
        <f>+_xlfn.XLOOKUP(A186,MASTER!B:B,MASTER!A:A)</f>
        <v>100025448</v>
      </c>
      <c r="C186" t="str">
        <f>+_xlfn.XLOOKUP(A186,MASTER!B:B,MASTER!C:C)</f>
        <v>PALL MALL ALASKA STRESS RELIEVER 15 PZ</v>
      </c>
      <c r="D186" s="10" t="str">
        <f>+_xlfn.XLOOKUP(A186,MASTER!B:B,MASTER!D:D)</f>
        <v>BAT</v>
      </c>
      <c r="E186" s="10" t="str">
        <f>+_xlfn.XLOOKUP(A186,MASTER!B:B,MASTER!I:I)</f>
        <v>Descontinuado (con stock)</v>
      </c>
      <c r="G186">
        <v>75080679</v>
      </c>
      <c r="H186" s="10">
        <f>+_xlfn.XLOOKUP(G186,MASTER!B:B,MASTER!A:A)</f>
        <v>100024321</v>
      </c>
      <c r="I186" s="10" t="str">
        <f>+_xlfn.XLOOKUP(G186,MASTER!B:B,MASTER!C:C)</f>
        <v>LUCKIES 25S</v>
      </c>
    </row>
    <row r="187" spans="1:9" x14ac:dyDescent="0.35">
      <c r="A187">
        <v>75083939</v>
      </c>
      <c r="B187">
        <f>+_xlfn.XLOOKUP(A187,MASTER!B:B,MASTER!A:A)</f>
        <v>100025442</v>
      </c>
      <c r="C187" t="str">
        <f>+_xlfn.XLOOKUP(A187,MASTER!B:B,MASTER!C:C)</f>
        <v>PALL MALL ALASKA STRESS RELIEVER 20 PZ</v>
      </c>
      <c r="D187" s="10" t="str">
        <f>+_xlfn.XLOOKUP(A187,MASTER!B:B,MASTER!D:D)</f>
        <v>BAT</v>
      </c>
      <c r="E187" s="10" t="str">
        <f>+_xlfn.XLOOKUP(A187,MASTER!B:B,MASTER!I:I)</f>
        <v>Descontinuado (con stock)</v>
      </c>
      <c r="G187">
        <v>75081058</v>
      </c>
      <c r="H187" s="10">
        <f>+_xlfn.XLOOKUP(G187,MASTER!B:B,MASTER!A:A)</f>
        <v>100024596</v>
      </c>
      <c r="I187" s="10" t="str">
        <f>+_xlfn.XLOOKUP(G187,MASTER!B:B,MASTER!C:C)</f>
        <v>PALL MALL XL MIAMI PARADISE 20S 20 PZ</v>
      </c>
    </row>
    <row r="188" spans="1:9" x14ac:dyDescent="0.35">
      <c r="A188">
        <v>75083953</v>
      </c>
      <c r="B188">
        <f>+_xlfn.XLOOKUP(A188,MASTER!B:B,MASTER!A:A)</f>
        <v>100025444</v>
      </c>
      <c r="C188" t="str">
        <f>+_xlfn.XLOOKUP(A188,MASTER!B:B,MASTER!C:C)</f>
        <v>PALL MALL TOKYO STRESS RELIEVER 20 PZ</v>
      </c>
      <c r="D188" s="10" t="str">
        <f>+_xlfn.XLOOKUP(A188,MASTER!B:B,MASTER!D:D)</f>
        <v>BAT</v>
      </c>
      <c r="E188" s="10" t="str">
        <f>+_xlfn.XLOOKUP(A188,MASTER!B:B,MASTER!I:I)</f>
        <v>Descontinuado (con stock)</v>
      </c>
      <c r="G188">
        <v>75081362</v>
      </c>
      <c r="H188" s="10">
        <f>+_xlfn.XLOOKUP(G188,MASTER!B:B,MASTER!A:A)</f>
        <v>100024932</v>
      </c>
      <c r="I188" s="10" t="str">
        <f>+_xlfn.XLOOKUP(G188,MASTER!B:B,MASTER!C:C)</f>
        <v>TEREA BLACK TROPICAL CAJETILLA PZ</v>
      </c>
    </row>
    <row r="189" spans="1:9" x14ac:dyDescent="0.35">
      <c r="A189">
        <v>75083960</v>
      </c>
      <c r="B189">
        <f>+_xlfn.XLOOKUP(A189,MASTER!B:B,MASTER!A:A)</f>
        <v>100025446</v>
      </c>
      <c r="C189" t="str">
        <f>+_xlfn.XLOOKUP(A189,MASTER!B:B,MASTER!C:C)</f>
        <v>PALL MALL LONDON STRESS RELIEVER 20 PZ</v>
      </c>
      <c r="D189" s="10" t="str">
        <f>+_xlfn.XLOOKUP(A189,MASTER!B:B,MASTER!D:D)</f>
        <v>BAT</v>
      </c>
      <c r="E189" s="10" t="str">
        <f>+_xlfn.XLOOKUP(A189,MASTER!B:B,MASTER!I:I)</f>
        <v>Descontinuado (con stock)</v>
      </c>
      <c r="G189">
        <v>75081652</v>
      </c>
      <c r="H189" s="10">
        <f>+_xlfn.XLOOKUP(G189,MASTER!B:B,MASTER!A:A)</f>
        <v>100024999</v>
      </c>
      <c r="I189" s="10" t="str">
        <f>+_xlfn.XLOOKUP(G189,MASTER!B:B,MASTER!C:C)</f>
        <v>TEREA PROVENCE PEARL MNT 20 CAJETILLA PZ</v>
      </c>
    </row>
    <row r="190" spans="1:9" x14ac:dyDescent="0.35">
      <c r="A190">
        <v>75083977</v>
      </c>
      <c r="B190">
        <f>+_xlfn.XLOOKUP(A190,MASTER!B:B,MASTER!A:A)</f>
        <v>100025445</v>
      </c>
      <c r="C190" t="str">
        <f>+_xlfn.XLOOKUP(A190,MASTER!B:B,MASTER!C:C)</f>
        <v>PALL MALL MIAMI STRESS RELIEVER 20 PZ</v>
      </c>
      <c r="D190" s="10" t="str">
        <f>+_xlfn.XLOOKUP(A190,MASTER!B:B,MASTER!D:D)</f>
        <v>BAT</v>
      </c>
      <c r="E190" s="10" t="str">
        <f>+_xlfn.XLOOKUP(A190,MASTER!B:B,MASTER!I:I)</f>
        <v>Descontinuado (con stock)</v>
      </c>
      <c r="G190">
        <v>75081942</v>
      </c>
      <c r="H190" s="10">
        <f>+_xlfn.XLOOKUP(G190,MASTER!B:B,MASTER!A:A)</f>
        <v>100025053</v>
      </c>
      <c r="I190" s="10" t="str">
        <f>+_xlfn.XLOOKUP(G190,MASTER!B:B,MASTER!C:C)</f>
        <v>LUCKIES 20S</v>
      </c>
    </row>
    <row r="191" spans="1:9" x14ac:dyDescent="0.35">
      <c r="A191">
        <v>75084004</v>
      </c>
      <c r="B191">
        <f>+_xlfn.XLOOKUP(A191,MASTER!B:B,MASTER!A:A)</f>
        <v>100026383</v>
      </c>
      <c r="C191" t="str">
        <f>+_xlfn.XLOOKUP(A191,MASTER!B:B,MASTER!C:C)</f>
        <v>TEREA BERRINE EDITION 20 CAJETILLA PZ</v>
      </c>
      <c r="D191" s="10" t="str">
        <f>+_xlfn.XLOOKUP(A191,MASTER!B:B,MASTER!D:D)</f>
        <v>PMI</v>
      </c>
      <c r="E191" s="10" t="str">
        <f>+_xlfn.XLOOKUP(A191,MASTER!B:B,MASTER!I:I)</f>
        <v>Activo</v>
      </c>
      <c r="G191">
        <v>75082284</v>
      </c>
      <c r="H191" s="10">
        <f>+_xlfn.XLOOKUP(G191,MASTER!B:B,MASTER!A:A)</f>
        <v>100024884</v>
      </c>
      <c r="I191" s="10" t="str">
        <f>+_xlfn.XLOOKUP(G191,MASTER!B:B,MASTER!C:C)</f>
        <v>PALL MALL 125 AÑOS CASE TOKYO 20 PZ</v>
      </c>
    </row>
    <row r="192" spans="1:9" x14ac:dyDescent="0.35">
      <c r="A192">
        <v>75084011</v>
      </c>
      <c r="B192">
        <f>+_xlfn.XLOOKUP(A192,MASTER!B:B,MASTER!A:A)</f>
        <v>100026143</v>
      </c>
      <c r="C192" t="str">
        <f>+_xlfn.XLOOKUP(A192,MASTER!B:B,MASTER!C:C)</f>
        <v>TEREA RIVIERA PEARL 2 CAJETILLA PZ</v>
      </c>
      <c r="D192" s="10" t="str">
        <f>+_xlfn.XLOOKUP(A192,MASTER!B:B,MASTER!D:D)</f>
        <v>PMI</v>
      </c>
      <c r="E192" s="10" t="str">
        <f>+_xlfn.XLOOKUP(A192,MASTER!B:B,MASTER!I:I)</f>
        <v>Activo</v>
      </c>
      <c r="G192">
        <v>75082291</v>
      </c>
      <c r="H192" s="10">
        <f>+_xlfn.XLOOKUP(G192,MASTER!B:B,MASTER!A:A)</f>
        <v>100024885</v>
      </c>
      <c r="I192" s="10" t="str">
        <f>+_xlfn.XLOOKUP(G192,MASTER!B:B,MASTER!C:C)</f>
        <v>PALL MALL 125 AÑOS CASE MYKONOS 20 PZ</v>
      </c>
    </row>
    <row r="193" spans="1:9" x14ac:dyDescent="0.35">
      <c r="A193">
        <v>75084127</v>
      </c>
      <c r="B193">
        <f>+_xlfn.XLOOKUP(A193,MASTER!B:B,MASTER!A:A)</f>
        <v>100025845</v>
      </c>
      <c r="C193" t="str">
        <f>+_xlfn.XLOOKUP(A193,MASTER!B:B,MASTER!C:C)</f>
        <v>PALL MALL HAWAII ROADTRIP CAN 20 PZ</v>
      </c>
      <c r="D193" s="10" t="str">
        <f>+_xlfn.XLOOKUP(A193,MASTER!B:B,MASTER!D:D)</f>
        <v>BAT</v>
      </c>
      <c r="E193" s="10" t="str">
        <f>+_xlfn.XLOOKUP(A193,MASTER!B:B,MASTER!I:I)</f>
        <v>Descontinuado (con stock)</v>
      </c>
      <c r="G193">
        <v>75082307</v>
      </c>
      <c r="H193" s="10">
        <f>+_xlfn.XLOOKUP(G193,MASTER!B:B,MASTER!A:A)</f>
        <v>100024887</v>
      </c>
      <c r="I193" s="10" t="str">
        <f>+_xlfn.XLOOKUP(G193,MASTER!B:B,MASTER!C:C)</f>
        <v>PALL MALL 125 AÑOS CASE HAWAII 20 PZ</v>
      </c>
    </row>
    <row r="194" spans="1:9" x14ac:dyDescent="0.35">
      <c r="A194">
        <v>75084134</v>
      </c>
      <c r="B194">
        <f>+_xlfn.XLOOKUP(A194,MASTER!B:B,MASTER!A:A)</f>
        <v>100025846</v>
      </c>
      <c r="C194" t="str">
        <f>+_xlfn.XLOOKUP(A194,MASTER!B:B,MASTER!C:C)</f>
        <v>PALL MALL BORA BORA ROADTRIP CAN 20 PZ</v>
      </c>
      <c r="D194" s="10" t="str">
        <f>+_xlfn.XLOOKUP(A194,MASTER!B:B,MASTER!D:D)</f>
        <v>BAT</v>
      </c>
      <c r="E194" s="10" t="str">
        <f>+_xlfn.XLOOKUP(A194,MASTER!B:B,MASTER!I:I)</f>
        <v>Descontinuado (con stock)</v>
      </c>
      <c r="G194">
        <v>75082314</v>
      </c>
      <c r="H194" s="10">
        <f>+_xlfn.XLOOKUP(G194,MASTER!B:B,MASTER!A:A)</f>
        <v>100024886</v>
      </c>
      <c r="I194" s="10" t="str">
        <f>+_xlfn.XLOOKUP(G194,MASTER!B:B,MASTER!C:C)</f>
        <v>PALL MALL 125 AÑOS CASE LONDON 20 PZ</v>
      </c>
    </row>
    <row r="195" spans="1:9" x14ac:dyDescent="0.35">
      <c r="A195">
        <v>75084141</v>
      </c>
      <c r="B195">
        <f>+_xlfn.XLOOKUP(A195,MASTER!B:B,MASTER!A:A)</f>
        <v>100025847</v>
      </c>
      <c r="C195" t="str">
        <f>+_xlfn.XLOOKUP(A195,MASTER!B:B,MASTER!C:C)</f>
        <v>PALL MALL MIAMI ROADTRIP CAN 20 PZ</v>
      </c>
      <c r="D195" s="10" t="str">
        <f>+_xlfn.XLOOKUP(A195,MASTER!B:B,MASTER!D:D)</f>
        <v>BAT</v>
      </c>
      <c r="E195" s="10" t="str">
        <f>+_xlfn.XLOOKUP(A195,MASTER!B:B,MASTER!I:I)</f>
        <v>Descontinuado (con stock)</v>
      </c>
      <c r="G195">
        <v>75082321</v>
      </c>
      <c r="H195" s="10">
        <f>+_xlfn.XLOOKUP(G195,MASTER!B:B,MASTER!A:A)</f>
        <v>100024883</v>
      </c>
      <c r="I195" s="10" t="str">
        <f>+_xlfn.XLOOKUP(G195,MASTER!B:B,MASTER!C:C)</f>
        <v>PALL MALL 125 AÑOS CASE BORA BORA 20 PZ</v>
      </c>
    </row>
    <row r="196" spans="1:9" x14ac:dyDescent="0.35">
      <c r="A196">
        <v>75084165</v>
      </c>
      <c r="B196">
        <f>+_xlfn.XLOOKUP(A196,MASTER!B:B,MASTER!A:A)</f>
        <v>100025843</v>
      </c>
      <c r="C196" t="str">
        <f>+_xlfn.XLOOKUP(A196,MASTER!B:B,MASTER!C:C)</f>
        <v>PALL MALL TOKYO ROADTRIP CAN 20 PZ</v>
      </c>
      <c r="D196" s="10" t="str">
        <f>+_xlfn.XLOOKUP(A196,MASTER!B:B,MASTER!D:D)</f>
        <v>BAT</v>
      </c>
      <c r="E196" s="10" t="str">
        <f>+_xlfn.XLOOKUP(A196,MASTER!B:B,MASTER!I:I)</f>
        <v>Descontinuado (con stock)</v>
      </c>
      <c r="G196">
        <v>75082338</v>
      </c>
      <c r="H196" s="10">
        <f>+_xlfn.XLOOKUP(G196,MASTER!B:B,MASTER!A:A)</f>
        <v>100024888</v>
      </c>
      <c r="I196" s="10" t="str">
        <f>+_xlfn.XLOOKUP(G196,MASTER!B:B,MASTER!C:C)</f>
        <v>PALL MALL 125 AÑOS CASE MIAMI 20 PZ</v>
      </c>
    </row>
    <row r="197" spans="1:9" x14ac:dyDescent="0.35">
      <c r="A197">
        <v>75084172</v>
      </c>
      <c r="B197">
        <f>+_xlfn.XLOOKUP(A197,MASTER!B:B,MASTER!A:A)</f>
        <v>100025844</v>
      </c>
      <c r="C197" t="str">
        <f>+_xlfn.XLOOKUP(A197,MASTER!B:B,MASTER!C:C)</f>
        <v>PALL MALL MYKONOS ROADTRIP CAN 20 PZ</v>
      </c>
      <c r="D197" s="10" t="str">
        <f>+_xlfn.XLOOKUP(A197,MASTER!B:B,MASTER!D:D)</f>
        <v>BAT</v>
      </c>
      <c r="E197" s="10" t="str">
        <f>+_xlfn.XLOOKUP(A197,MASTER!B:B,MASTER!I:I)</f>
        <v>Descontinuado (con stock)</v>
      </c>
      <c r="G197">
        <v>75082345</v>
      </c>
      <c r="H197" s="10">
        <f>+_xlfn.XLOOKUP(G197,MASTER!B:B,MASTER!A:A)</f>
        <v>100024881</v>
      </c>
      <c r="I197" s="10" t="str">
        <f>+_xlfn.XLOOKUP(G197,MASTER!B:B,MASTER!C:C)</f>
        <v>MARLBORO PROVENCE FUSION MNT 100 BOX 20 CAJETILLA PZ</v>
      </c>
    </row>
    <row r="198" spans="1:9" x14ac:dyDescent="0.35">
      <c r="A198">
        <v>75084189</v>
      </c>
      <c r="B198">
        <f>+_xlfn.XLOOKUP(A198,MASTER!B:B,MASTER!A:A)</f>
        <v>100025842</v>
      </c>
      <c r="C198" t="str">
        <f>+_xlfn.XLOOKUP(A198,MASTER!B:B,MASTER!C:C)</f>
        <v>PALL MALL ALASKA ROADTRIP CAN 20 PZ</v>
      </c>
      <c r="D198" s="10" t="str">
        <f>+_xlfn.XLOOKUP(A198,MASTER!B:B,MASTER!D:D)</f>
        <v>BAT</v>
      </c>
      <c r="E198" s="10" t="str">
        <f>+_xlfn.XLOOKUP(A198,MASTER!B:B,MASTER!I:I)</f>
        <v>Descontinuado (con stock)</v>
      </c>
      <c r="G198">
        <v>75082543</v>
      </c>
      <c r="H198" s="10">
        <f>+_xlfn.XLOOKUP(G198,MASTER!B:B,MASTER!A:A)</f>
        <v>100025282</v>
      </c>
      <c r="I198" s="10" t="str">
        <f>+_xlfn.XLOOKUP(G198,MASTER!B:B,MASTER!C:C)</f>
        <v>PALL MALL HAWAII SUNLIGHT 15 PZ</v>
      </c>
    </row>
    <row r="199" spans="1:9" x14ac:dyDescent="0.35">
      <c r="A199">
        <v>75084332</v>
      </c>
      <c r="B199">
        <f>+_xlfn.XLOOKUP(A199,MASTER!B:B,MASTER!A:A)</f>
        <v>100026068</v>
      </c>
      <c r="C199" t="str">
        <f>+_xlfn.XLOOKUP(A199,MASTER!B:B,MASTER!C:C)</f>
        <v>LUCKY STRIKE LUCKIES STICK 20S 20 PZ</v>
      </c>
      <c r="D199" s="10" t="str">
        <f>+_xlfn.XLOOKUP(A199,MASTER!B:B,MASTER!D:D)</f>
        <v>BAT</v>
      </c>
      <c r="E199" s="10" t="str">
        <f>+_xlfn.XLOOKUP(A199,MASTER!B:B,MASTER!I:I)</f>
        <v>Descontinuado (con stock)</v>
      </c>
      <c r="G199">
        <v>75083632</v>
      </c>
      <c r="H199" s="10">
        <f>+_xlfn.XLOOKUP(G199,MASTER!B:B,MASTER!A:A)</f>
        <v>100025850</v>
      </c>
      <c r="I199" s="10" t="str">
        <f>+_xlfn.XLOOKUP(G199,MASTER!B:B,MASTER!C:C)</f>
        <v>PALL MALL PM MANILA DAYLIGHT 20 PZ</v>
      </c>
    </row>
    <row r="200" spans="1:9" x14ac:dyDescent="0.35">
      <c r="A200">
        <v>75084486</v>
      </c>
      <c r="B200">
        <f>+_xlfn.XLOOKUP(A200,MASTER!B:B,MASTER!A:A)</f>
        <v>100025848</v>
      </c>
      <c r="C200" t="str">
        <f>+_xlfn.XLOOKUP(A200,MASTER!B:B,MASTER!C:C)</f>
        <v>PALL MALL MANILA ROADTRIP CAN 20 PZ</v>
      </c>
      <c r="D200" s="10" t="str">
        <f>+_xlfn.XLOOKUP(A200,MASTER!B:B,MASTER!D:D)</f>
        <v>BAT</v>
      </c>
      <c r="E200" s="10" t="str">
        <f>+_xlfn.XLOOKUP(A200,MASTER!B:B,MASTER!I:I)</f>
        <v>Descontinuado (con stock)</v>
      </c>
      <c r="G200">
        <v>75083649</v>
      </c>
      <c r="H200" s="10">
        <f>+_xlfn.XLOOKUP(G200,MASTER!B:B,MASTER!A:A)</f>
        <v>100025310</v>
      </c>
      <c r="I200" s="10" t="str">
        <f>+_xlfn.XLOOKUP(G200,MASTER!B:B,MASTER!C:C)</f>
        <v>TEREA GLACIER PEARL 20 CAJETILLA PZ</v>
      </c>
    </row>
    <row r="201" spans="1:9" x14ac:dyDescent="0.35">
      <c r="A201">
        <v>75084585</v>
      </c>
      <c r="B201">
        <f>+_xlfn.XLOOKUP(A201,MASTER!B:B,MASTER!A:A)</f>
        <v>100026687</v>
      </c>
      <c r="C201" t="str">
        <f>+_xlfn.XLOOKUP(A201,MASTER!B:B,MASTER!C:C)</f>
        <v>PALL MALL AIRLINES ALASKA 20 PZ</v>
      </c>
      <c r="D201" s="10" t="str">
        <f>+_xlfn.XLOOKUP(A201,MASTER!B:B,MASTER!D:D)</f>
        <v>BAT</v>
      </c>
      <c r="E201" s="10" t="str">
        <f>+_xlfn.XLOOKUP(A201,MASTER!B:B,MASTER!I:I)</f>
        <v>Descontinuado (con stock)</v>
      </c>
      <c r="G201">
        <v>75083656</v>
      </c>
      <c r="H201" s="10">
        <f>+_xlfn.XLOOKUP(G201,MASTER!B:B,MASTER!A:A)</f>
        <v>100025311</v>
      </c>
      <c r="I201" s="10" t="str">
        <f>+_xlfn.XLOOKUP(G201,MASTER!B:B,MASTER!C:C)</f>
        <v>TEREA TWILIGHT PEARL 20 CAJETILLA PZ</v>
      </c>
    </row>
    <row r="202" spans="1:9" x14ac:dyDescent="0.35">
      <c r="A202">
        <v>75084592</v>
      </c>
      <c r="B202">
        <f>+_xlfn.XLOOKUP(A202,MASTER!B:B,MASTER!A:A)</f>
        <v>100026689</v>
      </c>
      <c r="C202" t="str">
        <f>+_xlfn.XLOOKUP(A202,MASTER!B:B,MASTER!C:C)</f>
        <v>PALL MALL AIRLINES MYKONOS 20 PZ</v>
      </c>
      <c r="D202" s="10" t="str">
        <f>+_xlfn.XLOOKUP(A202,MASTER!B:B,MASTER!D:D)</f>
        <v>BAT</v>
      </c>
      <c r="E202" s="10" t="str">
        <f>+_xlfn.XLOOKUP(A202,MASTER!B:B,MASTER!I:I)</f>
        <v>Descontinuado (con stock)</v>
      </c>
      <c r="G202">
        <v>75083755</v>
      </c>
      <c r="H202" s="10">
        <f>+_xlfn.XLOOKUP(G202,MASTER!B:B,MASTER!A:A)</f>
        <v>100025675</v>
      </c>
      <c r="I202" s="10" t="str">
        <f>+_xlfn.XLOOKUP(G202,MASTER!B:B,MASTER!C:C)</f>
        <v>PALL MALL PALL MALL SELECT 20 PZ</v>
      </c>
    </row>
    <row r="203" spans="1:9" x14ac:dyDescent="0.35">
      <c r="A203">
        <v>75084608</v>
      </c>
      <c r="B203">
        <f>+_xlfn.XLOOKUP(A203,MASTER!B:B,MASTER!A:A)</f>
        <v>100026688</v>
      </c>
      <c r="C203" t="str">
        <f>+_xlfn.XLOOKUP(A203,MASTER!B:B,MASTER!C:C)</f>
        <v>PALL MALL AIRLINES TOKYO 20 PZ</v>
      </c>
      <c r="D203" s="10" t="str">
        <f>+_xlfn.XLOOKUP(A203,MASTER!B:B,MASTER!D:D)</f>
        <v>BAT</v>
      </c>
      <c r="E203" s="10" t="str">
        <f>+_xlfn.XLOOKUP(A203,MASTER!B:B,MASTER!I:I)</f>
        <v>Descontinuado (con stock)</v>
      </c>
      <c r="G203">
        <v>75083762</v>
      </c>
      <c r="H203" s="10">
        <f>+_xlfn.XLOOKUP(G203,MASTER!B:B,MASTER!A:A)</f>
        <v>100025672</v>
      </c>
      <c r="I203" s="10" t="str">
        <f>+_xlfn.XLOOKUP(G203,MASTER!B:B,MASTER!C:C)</f>
        <v>PALL MALL PALL MALL SELECT 14 PZ</v>
      </c>
    </row>
    <row r="204" spans="1:9" x14ac:dyDescent="0.35">
      <c r="A204">
        <v>75084639</v>
      </c>
      <c r="B204">
        <f>+_xlfn.XLOOKUP(A204,MASTER!B:B,MASTER!A:A)</f>
        <v>100026691</v>
      </c>
      <c r="C204" t="str">
        <f>+_xlfn.XLOOKUP(A204,MASTER!B:B,MASTER!C:C)</f>
        <v>PALL MALL AIRLINES BORA BORA 20 PZ</v>
      </c>
      <c r="D204" s="10" t="str">
        <f>+_xlfn.XLOOKUP(A204,MASTER!B:B,MASTER!D:D)</f>
        <v>BAT</v>
      </c>
      <c r="E204" s="10" t="str">
        <f>+_xlfn.XLOOKUP(A204,MASTER!B:B,MASTER!I:I)</f>
        <v>Descontinuado (con stock)</v>
      </c>
      <c r="G204">
        <v>75083779</v>
      </c>
      <c r="H204" s="10">
        <f>+_xlfn.XLOOKUP(G204,MASTER!B:B,MASTER!A:A)</f>
        <v>100025673</v>
      </c>
      <c r="I204" s="10" t="str">
        <f>+_xlfn.XLOOKUP(G204,MASTER!B:B,MASTER!C:C)</f>
        <v>PALL MALL PALL MALL GOLD SELECT 20 PZ</v>
      </c>
    </row>
    <row r="205" spans="1:9" x14ac:dyDescent="0.35">
      <c r="A205">
        <v>75084646</v>
      </c>
      <c r="B205">
        <f>+_xlfn.XLOOKUP(A205,MASTER!B:B,MASTER!A:A)</f>
        <v>100026690</v>
      </c>
      <c r="C205" t="str">
        <f>+_xlfn.XLOOKUP(A205,MASTER!B:B,MASTER!C:C)</f>
        <v>PALL MALL AIRLINES HAWAII 20 PZ</v>
      </c>
      <c r="D205" s="10" t="str">
        <f>+_xlfn.XLOOKUP(A205,MASTER!B:B,MASTER!D:D)</f>
        <v>BAT</v>
      </c>
      <c r="E205" s="10" t="str">
        <f>+_xlfn.XLOOKUP(A205,MASTER!B:B,MASTER!I:I)</f>
        <v>Descontinuado (con stock)</v>
      </c>
      <c r="G205">
        <v>75083786</v>
      </c>
      <c r="H205" s="10">
        <f>+_xlfn.XLOOKUP(G205,MASTER!B:B,MASTER!A:A)</f>
        <v>100025670</v>
      </c>
      <c r="I205" s="10" t="str">
        <f>+_xlfn.XLOOKUP(G205,MASTER!B:B,MASTER!C:C)</f>
        <v>PALL MALL GOLD SELECT 14 PZ</v>
      </c>
    </row>
    <row r="206" spans="1:9" x14ac:dyDescent="0.35">
      <c r="A206">
        <v>75084653</v>
      </c>
      <c r="B206">
        <f>+_xlfn.XLOOKUP(A206,MASTER!B:B,MASTER!A:A)</f>
        <v>100026692</v>
      </c>
      <c r="C206" t="str">
        <f>+_xlfn.XLOOKUP(A206,MASTER!B:B,MASTER!C:C)</f>
        <v>PALL MALL AIRLINES MANILA 20 PZ</v>
      </c>
      <c r="D206" s="10" t="str">
        <f>+_xlfn.XLOOKUP(A206,MASTER!B:B,MASTER!D:D)</f>
        <v>BAT</v>
      </c>
      <c r="E206" s="10" t="str">
        <f>+_xlfn.XLOOKUP(A206,MASTER!B:B,MASTER!I:I)</f>
        <v>Descontinuado (con stock)</v>
      </c>
      <c r="G206">
        <v>75083793</v>
      </c>
      <c r="H206" s="10">
        <f>+_xlfn.XLOOKUP(G206,MASTER!B:B,MASTER!A:A)</f>
        <v>100025677</v>
      </c>
      <c r="I206" s="10" t="str">
        <f>+_xlfn.XLOOKUP(G206,MASTER!B:B,MASTER!C:C)</f>
        <v>PALL MALL PALL MALL RED SELECT 25 PZ</v>
      </c>
    </row>
    <row r="207" spans="1:9" x14ac:dyDescent="0.35">
      <c r="A207">
        <v>75085384</v>
      </c>
      <c r="B207">
        <f>+_xlfn.XLOOKUP(A207,MASTER!B:B,MASTER!A:A)</f>
        <v>100026382</v>
      </c>
      <c r="C207" t="str">
        <f>+_xlfn.XLOOKUP(A207,MASTER!B:B,MASTER!C:C)</f>
        <v>MARLBORO CRAFTED BLOSSOM MIX 100</v>
      </c>
      <c r="D207" s="10" t="str">
        <f>+_xlfn.XLOOKUP(A207,MASTER!B:B,MASTER!D:D)</f>
        <v>PMI</v>
      </c>
      <c r="E207" s="10" t="str">
        <f>+_xlfn.XLOOKUP(A207,MASTER!B:B,MASTER!I:I)</f>
        <v>Activo</v>
      </c>
      <c r="G207">
        <v>75083885</v>
      </c>
      <c r="H207" s="10">
        <f>+_xlfn.XLOOKUP(G207,MASTER!B:B,MASTER!A:A)</f>
        <v>100025283</v>
      </c>
      <c r="I207" s="10" t="str">
        <f>+_xlfn.XLOOKUP(G207,MASTER!B:B,MASTER!C:C)</f>
        <v>PALL MALL HAWAII SUNLIGHT STRESS RELIEVER 15 PZ</v>
      </c>
    </row>
    <row r="208" spans="1:9" x14ac:dyDescent="0.35">
      <c r="A208">
        <v>75086091</v>
      </c>
      <c r="B208">
        <f>+_xlfn.XLOOKUP(A208,MASTER!B:B,MASTER!A:A)</f>
        <v>100026380</v>
      </c>
      <c r="C208" t="str">
        <f>+_xlfn.XLOOKUP(A208,MASTER!B:B,MASTER!C:C)</f>
        <v>MARLBORO CRAFTED SUMMER MIX 100</v>
      </c>
      <c r="D208" s="10" t="str">
        <f>+_xlfn.XLOOKUP(A208,MASTER!B:B,MASTER!D:D)</f>
        <v>PMI</v>
      </c>
      <c r="E208" s="10" t="str">
        <f>+_xlfn.XLOOKUP(A208,MASTER!B:B,MASTER!I:I)</f>
        <v>Activo</v>
      </c>
      <c r="G208">
        <v>75083892</v>
      </c>
      <c r="H208" s="10">
        <f>+_xlfn.XLOOKUP(G208,MASTER!B:B,MASTER!A:A)</f>
        <v>100025284</v>
      </c>
      <c r="I208" s="10" t="str">
        <f>+_xlfn.XLOOKUP(G208,MASTER!B:B,MASTER!C:C)</f>
        <v>PALL MALL HAWAII SUNLIGHT STRESS RELIEVER 20 PZ</v>
      </c>
    </row>
    <row r="209" spans="1:9" x14ac:dyDescent="0.35">
      <c r="A209">
        <v>75086381</v>
      </c>
      <c r="B209">
        <f>+_xlfn.XLOOKUP(A209,MASTER!B:B,MASTER!A:A)</f>
        <v>100026685</v>
      </c>
      <c r="C209" t="str">
        <f>+_xlfn.XLOOKUP(A209,MASTER!B:B,MASTER!C:C)</f>
        <v>MARLBORO CRAFTED RUBY PZ</v>
      </c>
      <c r="D209" s="10" t="str">
        <f>+_xlfn.XLOOKUP(A209,MASTER!B:B,MASTER!D:D)</f>
        <v>PMI</v>
      </c>
      <c r="E209" s="10" t="str">
        <f>+_xlfn.XLOOKUP(A209,MASTER!B:B,MASTER!I:I)</f>
        <v>Activo</v>
      </c>
      <c r="G209">
        <v>75083922</v>
      </c>
      <c r="H209" s="10">
        <f>+_xlfn.XLOOKUP(G209,MASTER!B:B,MASTER!A:A)</f>
        <v>100025448</v>
      </c>
      <c r="I209" s="10" t="str">
        <f>+_xlfn.XLOOKUP(G209,MASTER!B:B,MASTER!C:C)</f>
        <v>PALL MALL ALASKA STRESS RELIEVER 15 PZ</v>
      </c>
    </row>
    <row r="210" spans="1:9" x14ac:dyDescent="0.35">
      <c r="A210">
        <v>25900000295</v>
      </c>
      <c r="B210">
        <f>+_xlfn.XLOOKUP(A210,MASTER!B:B,MASTER!A:A)</f>
        <v>100016254</v>
      </c>
      <c r="C210" t="str">
        <f>+_xlfn.XLOOKUP(A210,MASTER!B:B,MASTER!C:C)</f>
        <v>KING EDWARD PURO  ORIGINAL 1 PZ</v>
      </c>
      <c r="D210" s="10" t="str">
        <f>+_xlfn.XLOOKUP(A210,MASTER!B:B,MASTER!D:D)</f>
        <v>PUROS</v>
      </c>
      <c r="E210" s="10" t="str">
        <f>+_xlfn.XLOOKUP(A210,MASTER!B:B,MASTER!I:I)</f>
        <v>Activo</v>
      </c>
      <c r="G210">
        <v>75083939</v>
      </c>
      <c r="H210" s="10">
        <f>+_xlfn.XLOOKUP(G210,MASTER!B:B,MASTER!A:A)</f>
        <v>100025442</v>
      </c>
      <c r="I210" s="10" t="str">
        <f>+_xlfn.XLOOKUP(G210,MASTER!B:B,MASTER!C:C)</f>
        <v>PALL MALL ALASKA STRESS RELIEVER 20 PZ</v>
      </c>
    </row>
    <row r="211" spans="1:9" x14ac:dyDescent="0.35">
      <c r="A211">
        <v>4033100094316</v>
      </c>
      <c r="B211">
        <f>+_xlfn.XLOOKUP(A211,MASTER!B:B,MASTER!A:A)</f>
        <v>100014850</v>
      </c>
      <c r="C211" t="str">
        <f>+_xlfn.XLOOKUP(A211,MASTER!B:B,MASTER!C:C)</f>
        <v xml:space="preserve">WINSTON CLASSIC 25S		</v>
      </c>
      <c r="D211" s="10" t="str">
        <f>+_xlfn.XLOOKUP(A211,MASTER!B:B,MASTER!D:D)</f>
        <v>JTI</v>
      </c>
      <c r="E211" s="10" t="str">
        <f>+_xlfn.XLOOKUP(A211,MASTER!B:B,MASTER!I:I)</f>
        <v>Descontinuado (con stock)</v>
      </c>
      <c r="G211">
        <v>75083946</v>
      </c>
      <c r="H211" s="10">
        <f>+_xlfn.XLOOKUP(G211,MASTER!B:B,MASTER!A:A)</f>
        <v>100025443</v>
      </c>
      <c r="I211" s="10" t="str">
        <f>+_xlfn.XLOOKUP(G211,MASTER!B:B,MASTER!C:C)</f>
        <v>PALL MALL MYKONOS STRESS RELIEVER 20 PZ</v>
      </c>
    </row>
    <row r="212" spans="1:9" x14ac:dyDescent="0.35">
      <c r="A212">
        <v>5410706884739</v>
      </c>
      <c r="B212">
        <f>+_xlfn.XLOOKUP(A212,MASTER!B:B,MASTER!A:A)</f>
        <v>100020177</v>
      </c>
      <c r="C212" t="str">
        <f>+_xlfn.XLOOKUP(A212,MASTER!B:B,MASTER!C:C)</f>
        <v>IQOS 3 IQOS DUO GREY KIT 1 PZ</v>
      </c>
      <c r="D212" s="10" t="str">
        <f>+_xlfn.XLOOKUP(A212,MASTER!B:B,MASTER!D:D)</f>
        <v>PMI</v>
      </c>
      <c r="E212" s="10" t="str">
        <f>+_xlfn.XLOOKUP(A212,MASTER!B:B,MASTER!I:I)</f>
        <v>Descontinuado (con stock)</v>
      </c>
      <c r="G212">
        <v>75083953</v>
      </c>
      <c r="H212" s="10">
        <f>+_xlfn.XLOOKUP(G212,MASTER!B:B,MASTER!A:A)</f>
        <v>100025444</v>
      </c>
      <c r="I212" s="10" t="str">
        <f>+_xlfn.XLOOKUP(G212,MASTER!B:B,MASTER!C:C)</f>
        <v>PALL MALL TOKYO STRESS RELIEVER 20 PZ</v>
      </c>
    </row>
    <row r="213" spans="1:9" x14ac:dyDescent="0.35">
      <c r="A213">
        <v>7311250035555</v>
      </c>
      <c r="B213">
        <f>+_xlfn.XLOOKUP(A213,MASTER!B:B,MASTER!A:A)</f>
        <v>100026062</v>
      </c>
      <c r="C213" t="str">
        <f>+_xlfn.XLOOKUP(A213,MASTER!B:B,MASTER!C:C)</f>
        <v>ZYN BLACK CHERRY 1.5MG LOW LATA PZ</v>
      </c>
      <c r="D213" s="10" t="str">
        <f>+_xlfn.XLOOKUP(A213,MASTER!B:B,MASTER!D:D)</f>
        <v>PMI</v>
      </c>
      <c r="E213" s="10" t="str">
        <f>+_xlfn.XLOOKUP(A213,MASTER!B:B,MASTER!I:I)</f>
        <v>Activo</v>
      </c>
      <c r="G213">
        <v>75083960</v>
      </c>
      <c r="H213" s="10">
        <f>+_xlfn.XLOOKUP(G213,MASTER!B:B,MASTER!A:A)</f>
        <v>100025446</v>
      </c>
      <c r="I213" s="10" t="str">
        <f>+_xlfn.XLOOKUP(G213,MASTER!B:B,MASTER!C:C)</f>
        <v>PALL MALL LONDON STRESS RELIEVER 20 PZ</v>
      </c>
    </row>
    <row r="214" spans="1:9" x14ac:dyDescent="0.35">
      <c r="A214">
        <v>7311250035562</v>
      </c>
      <c r="B214">
        <f>+_xlfn.XLOOKUP(A214,MASTER!B:B,MASTER!A:A)</f>
        <v>100026064</v>
      </c>
      <c r="C214" t="str">
        <f>+_xlfn.XLOOKUP(A214,MASTER!B:B,MASTER!C:C)</f>
        <v>ZYN COOL MINT 1.5MG LOW LATA PZ</v>
      </c>
      <c r="D214" s="10" t="str">
        <f>+_xlfn.XLOOKUP(A214,MASTER!B:B,MASTER!D:D)</f>
        <v>PMI</v>
      </c>
      <c r="E214" s="10" t="str">
        <f>+_xlfn.XLOOKUP(A214,MASTER!B:B,MASTER!I:I)</f>
        <v>Activo</v>
      </c>
      <c r="G214">
        <v>75083977</v>
      </c>
      <c r="H214" s="10">
        <f>+_xlfn.XLOOKUP(G214,MASTER!B:B,MASTER!A:A)</f>
        <v>100025445</v>
      </c>
      <c r="I214" s="10" t="str">
        <f>+_xlfn.XLOOKUP(G214,MASTER!B:B,MASTER!C:C)</f>
        <v>PALL MALL MIAMI STRESS RELIEVER 20 PZ</v>
      </c>
    </row>
    <row r="215" spans="1:9" x14ac:dyDescent="0.35">
      <c r="A215">
        <v>7311250035579</v>
      </c>
      <c r="B215">
        <f>+_xlfn.XLOOKUP(A215,MASTER!B:B,MASTER!A:A)</f>
        <v>100026067</v>
      </c>
      <c r="C215" t="str">
        <f>+_xlfn.XLOOKUP(A215,MASTER!B:B,MASTER!C:C)</f>
        <v>ZYN PEACH 6MG STRONG LATA PZ</v>
      </c>
      <c r="D215" s="10" t="str">
        <f>+_xlfn.XLOOKUP(A215,MASTER!B:B,MASTER!D:D)</f>
        <v>PMI</v>
      </c>
      <c r="E215" s="10" t="str">
        <f>+_xlfn.XLOOKUP(A215,MASTER!B:B,MASTER!I:I)</f>
        <v>Activo</v>
      </c>
      <c r="G215">
        <v>75084004</v>
      </c>
      <c r="H215" s="10">
        <f>+_xlfn.XLOOKUP(G215,MASTER!B:B,MASTER!A:A)</f>
        <v>100026383</v>
      </c>
      <c r="I215" s="10" t="str">
        <f>+_xlfn.XLOOKUP(G215,MASTER!B:B,MASTER!C:C)</f>
        <v>TEREA BERRINE EDITION 20 CAJETILLA PZ</v>
      </c>
    </row>
    <row r="216" spans="1:9" x14ac:dyDescent="0.35">
      <c r="A216">
        <v>7311250035593</v>
      </c>
      <c r="B216">
        <f>+_xlfn.XLOOKUP(A216,MASTER!B:B,MASTER!A:A)</f>
        <v>100026065</v>
      </c>
      <c r="C216" t="str">
        <f>+_xlfn.XLOOKUP(A216,MASTER!B:B,MASTER!C:C)</f>
        <v>ZYN PEACH 3MG MEDIUM LATA PZ</v>
      </c>
      <c r="D216" s="10" t="str">
        <f>+_xlfn.XLOOKUP(A216,MASTER!B:B,MASTER!D:D)</f>
        <v>PMI</v>
      </c>
      <c r="E216" s="10" t="str">
        <f>+_xlfn.XLOOKUP(A216,MASTER!B:B,MASTER!I:I)</f>
        <v>Activo</v>
      </c>
      <c r="G216">
        <v>75084011</v>
      </c>
      <c r="H216" s="10">
        <f>+_xlfn.XLOOKUP(G216,MASTER!B:B,MASTER!A:A)</f>
        <v>100026143</v>
      </c>
      <c r="I216" s="10" t="str">
        <f>+_xlfn.XLOOKUP(G216,MASTER!B:B,MASTER!C:C)</f>
        <v>TEREA RIVIERA PEARL 2 CAJETILLA PZ</v>
      </c>
    </row>
    <row r="217" spans="1:9" x14ac:dyDescent="0.35">
      <c r="A217">
        <v>7311250044373</v>
      </c>
      <c r="B217">
        <f>+_xlfn.XLOOKUP(A217,MASTER!B:B,MASTER!A:A)</f>
        <v>100024289</v>
      </c>
      <c r="C217" t="str">
        <f>+_xlfn.XLOOKUP(A217,MASTER!B:B,MASTER!C:C)</f>
        <v>ZYN BLACK CHERRY MINI MEDIUM CAJETILLA PZ</v>
      </c>
      <c r="D217" s="10" t="str">
        <f>+_xlfn.XLOOKUP(A217,MASTER!B:B,MASTER!D:D)</f>
        <v>PMI</v>
      </c>
      <c r="E217" s="10" t="str">
        <f>+_xlfn.XLOOKUP(A217,MASTER!B:B,MASTER!I:I)</f>
        <v>Activo</v>
      </c>
      <c r="G217">
        <v>75084332</v>
      </c>
      <c r="H217" s="10">
        <f>+_xlfn.XLOOKUP(G217,MASTER!B:B,MASTER!A:A)</f>
        <v>100026068</v>
      </c>
      <c r="I217" s="10" t="str">
        <f>+_xlfn.XLOOKUP(G217,MASTER!B:B,MASTER!C:C)</f>
        <v>LUCKY STRIKE LUCKIES STICK 20S 20 PZ</v>
      </c>
    </row>
    <row r="218" spans="1:9" x14ac:dyDescent="0.35">
      <c r="A218">
        <v>7311250044380</v>
      </c>
      <c r="B218">
        <f>+_xlfn.XLOOKUP(A218,MASTER!B:B,MASTER!A:A)</f>
        <v>100024397</v>
      </c>
      <c r="C218" t="str">
        <f>+_xlfn.XLOOKUP(A218,MASTER!B:B,MASTER!C:C)</f>
        <v>ZYN BLACK CHERRY MINI STRONG UNIDAD PZ</v>
      </c>
      <c r="D218" s="10" t="str">
        <f>+_xlfn.XLOOKUP(A218,MASTER!B:B,MASTER!D:D)</f>
        <v>PMI</v>
      </c>
      <c r="E218" s="10" t="str">
        <f>+_xlfn.XLOOKUP(A218,MASTER!B:B,MASTER!I:I)</f>
        <v>Activo</v>
      </c>
      <c r="G218">
        <v>75084493</v>
      </c>
      <c r="H218" s="10">
        <f>+_xlfn.XLOOKUP(G218,MASTER!B:B,MASTER!A:A)</f>
        <v>100026684</v>
      </c>
      <c r="I218" s="10" t="str">
        <f>+_xlfn.XLOOKUP(G218,MASTER!B:B,MASTER!C:C)</f>
        <v>PALL MALL AMALFI 20 PZ</v>
      </c>
    </row>
    <row r="219" spans="1:9" x14ac:dyDescent="0.35">
      <c r="A219">
        <v>7311250044397</v>
      </c>
      <c r="B219">
        <f>+_xlfn.XLOOKUP(A219,MASTER!B:B,MASTER!A:A)</f>
        <v>100024294</v>
      </c>
      <c r="C219" t="str">
        <f>+_xlfn.XLOOKUP(A219,MASTER!B:B,MASTER!C:C)</f>
        <v>ZYN COOL MINT MINI MEDIUM CAJETILLA PZ</v>
      </c>
      <c r="D219" s="10" t="str">
        <f>+_xlfn.XLOOKUP(A219,MASTER!B:B,MASTER!D:D)</f>
        <v>PMI</v>
      </c>
      <c r="E219" s="10" t="str">
        <f>+_xlfn.XLOOKUP(A219,MASTER!B:B,MASTER!I:I)</f>
        <v>Activo</v>
      </c>
      <c r="G219">
        <v>75084585</v>
      </c>
      <c r="H219" s="10">
        <f>+_xlfn.XLOOKUP(G219,MASTER!B:B,MASTER!A:A)</f>
        <v>100026687</v>
      </c>
      <c r="I219" s="10" t="str">
        <f>+_xlfn.XLOOKUP(G219,MASTER!B:B,MASTER!C:C)</f>
        <v>PALL MALL AIRLINES ALASKA 20 PZ</v>
      </c>
    </row>
    <row r="220" spans="1:9" x14ac:dyDescent="0.35">
      <c r="A220">
        <v>7311250044403</v>
      </c>
      <c r="B220">
        <f>+_xlfn.XLOOKUP(A220,MASTER!B:B,MASTER!A:A)</f>
        <v>100024399</v>
      </c>
      <c r="C220" t="str">
        <f>+_xlfn.XLOOKUP(A220,MASTER!B:B,MASTER!C:C)</f>
        <v>ZYN COOL MINT MINI STRONG UNIDAD PZ</v>
      </c>
      <c r="D220" s="10" t="str">
        <f>+_xlfn.XLOOKUP(A220,MASTER!B:B,MASTER!D:D)</f>
        <v>PMI</v>
      </c>
      <c r="E220" s="10" t="str">
        <f>+_xlfn.XLOOKUP(A220,MASTER!B:B,MASTER!I:I)</f>
        <v>Activo</v>
      </c>
      <c r="G220">
        <v>75084592</v>
      </c>
      <c r="H220" s="10">
        <f>+_xlfn.XLOOKUP(G220,MASTER!B:B,MASTER!A:A)</f>
        <v>100026689</v>
      </c>
      <c r="I220" s="10" t="str">
        <f>+_xlfn.XLOOKUP(G220,MASTER!B:B,MASTER!C:C)</f>
        <v>PALL MALL AIRLINES MYKONOS 20 PZ</v>
      </c>
    </row>
    <row r="221" spans="1:9" x14ac:dyDescent="0.35">
      <c r="A221">
        <v>7311250044410</v>
      </c>
      <c r="B221">
        <f>+_xlfn.XLOOKUP(A221,MASTER!B:B,MASTER!A:A)</f>
        <v>100024293</v>
      </c>
      <c r="C221" t="str">
        <f>+_xlfn.XLOOKUP(A221,MASTER!B:B,MASTER!C:C)</f>
        <v>ZYN CITRUS MINI MEDIUM CAJETILLA PZ</v>
      </c>
      <c r="D221" s="10" t="str">
        <f>+_xlfn.XLOOKUP(A221,MASTER!B:B,MASTER!D:D)</f>
        <v>PMI</v>
      </c>
      <c r="E221" s="10" t="str">
        <f>+_xlfn.XLOOKUP(A221,MASTER!B:B,MASTER!I:I)</f>
        <v>Activo</v>
      </c>
      <c r="G221">
        <v>75084608</v>
      </c>
      <c r="H221" s="10">
        <f>+_xlfn.XLOOKUP(G221,MASTER!B:B,MASTER!A:A)</f>
        <v>100026688</v>
      </c>
      <c r="I221" s="10" t="str">
        <f>+_xlfn.XLOOKUP(G221,MASTER!B:B,MASTER!C:C)</f>
        <v>PALL MALL AIRLINES TOKYO 20 PZ</v>
      </c>
    </row>
    <row r="222" spans="1:9" x14ac:dyDescent="0.35">
      <c r="A222">
        <v>7311250044427</v>
      </c>
      <c r="B222">
        <f>+_xlfn.XLOOKUP(A222,MASTER!B:B,MASTER!A:A)</f>
        <v>100024398</v>
      </c>
      <c r="C222" t="str">
        <f>+_xlfn.XLOOKUP(A222,MASTER!B:B,MASTER!C:C)</f>
        <v>ZYN CITRUS MINI STRONG UNIDAD PZ</v>
      </c>
      <c r="D222" s="10" t="str">
        <f>+_xlfn.XLOOKUP(A222,MASTER!B:B,MASTER!D:D)</f>
        <v>PMI</v>
      </c>
      <c r="E222" s="10" t="str">
        <f>+_xlfn.XLOOKUP(A222,MASTER!B:B,MASTER!I:I)</f>
        <v>Activo</v>
      </c>
      <c r="G222">
        <v>75084639</v>
      </c>
      <c r="H222" s="10">
        <f>+_xlfn.XLOOKUP(G222,MASTER!B:B,MASTER!A:A)</f>
        <v>100026691</v>
      </c>
      <c r="I222" s="10" t="str">
        <f>+_xlfn.XLOOKUP(G222,MASTER!B:B,MASTER!C:C)</f>
        <v>PALL MALL AIRLINES BORA BORA 20 PZ</v>
      </c>
    </row>
    <row r="223" spans="1:9" x14ac:dyDescent="0.35">
      <c r="A223">
        <v>7311250044434</v>
      </c>
      <c r="B223">
        <f>+_xlfn.XLOOKUP(A223,MASTER!B:B,MASTER!A:A)</f>
        <v>100024295</v>
      </c>
      <c r="C223" t="str">
        <f>+_xlfn.XLOOKUP(A223,MASTER!B:B,MASTER!C:C)</f>
        <v>ZYN ESPRESSINO MINI MEDIUM CAJETILLA PZ</v>
      </c>
      <c r="D223" s="10" t="str">
        <f>+_xlfn.XLOOKUP(A223,MASTER!B:B,MASTER!D:D)</f>
        <v>PMI</v>
      </c>
      <c r="E223" s="10" t="str">
        <f>+_xlfn.XLOOKUP(A223,MASTER!B:B,MASTER!I:I)</f>
        <v>Descontinuado (con stock)</v>
      </c>
      <c r="G223">
        <v>75084646</v>
      </c>
      <c r="H223" s="10">
        <f>+_xlfn.XLOOKUP(G223,MASTER!B:B,MASTER!A:A)</f>
        <v>100026690</v>
      </c>
      <c r="I223" s="10" t="str">
        <f>+_xlfn.XLOOKUP(G223,MASTER!B:B,MASTER!C:C)</f>
        <v>PALL MALL AIRLINES HAWAII 20 PZ</v>
      </c>
    </row>
    <row r="224" spans="1:9" x14ac:dyDescent="0.35">
      <c r="A224">
        <v>7311250044441</v>
      </c>
      <c r="B224">
        <f>+_xlfn.XLOOKUP(A224,MASTER!B:B,MASTER!A:A)</f>
        <v>100024400</v>
      </c>
      <c r="C224" t="str">
        <f>+_xlfn.XLOOKUP(A224,MASTER!B:B,MASTER!C:C)</f>
        <v>ZYN ESPRESSINO MINI STRONG UNIDAD PZ</v>
      </c>
      <c r="D224" s="10" t="str">
        <f>+_xlfn.XLOOKUP(A224,MASTER!B:B,MASTER!D:D)</f>
        <v>PMI</v>
      </c>
      <c r="E224" s="10" t="str">
        <f>+_xlfn.XLOOKUP(A224,MASTER!B:B,MASTER!I:I)</f>
        <v>Descontinuado (con stock)</v>
      </c>
      <c r="G224">
        <v>75084653</v>
      </c>
      <c r="H224" s="10">
        <f>+_xlfn.XLOOKUP(G224,MASTER!B:B,MASTER!A:A)</f>
        <v>100026692</v>
      </c>
      <c r="I224" s="10" t="str">
        <f>+_xlfn.XLOOKUP(G224,MASTER!B:B,MASTER!C:C)</f>
        <v>PALL MALL AIRLINES MANILA 20 PZ</v>
      </c>
    </row>
    <row r="225" spans="1:9" x14ac:dyDescent="0.35">
      <c r="A225">
        <v>7311250046971</v>
      </c>
      <c r="B225">
        <f>+_xlfn.XLOOKUP(A225,MASTER!B:B,MASTER!A:A)</f>
        <v>100024997</v>
      </c>
      <c r="C225" t="str">
        <f>+_xlfn.XLOOKUP(A225,MASTER!B:B,MASTER!C:C)</f>
        <v>ZYN SPEARMINT 3MG MEDIUM CAJETILLA PZ</v>
      </c>
      <c r="D225" s="10" t="str">
        <f>+_xlfn.XLOOKUP(A225,MASTER!B:B,MASTER!D:D)</f>
        <v>PMI</v>
      </c>
      <c r="E225" s="10" t="str">
        <f>+_xlfn.XLOOKUP(A225,MASTER!B:B,MASTER!I:I)</f>
        <v>Activo</v>
      </c>
      <c r="G225">
        <v>75085384</v>
      </c>
      <c r="H225" s="10">
        <f>+_xlfn.XLOOKUP(G225,MASTER!B:B,MASTER!A:A)</f>
        <v>100026382</v>
      </c>
      <c r="I225" s="10" t="str">
        <f>+_xlfn.XLOOKUP(G225,MASTER!B:B,MASTER!C:C)</f>
        <v>MARLBORO CRAFTED BLOSSOM MIX 100</v>
      </c>
    </row>
    <row r="226" spans="1:9" x14ac:dyDescent="0.35">
      <c r="A226">
        <v>7311250046988</v>
      </c>
      <c r="B226">
        <f>+_xlfn.XLOOKUP(A226,MASTER!B:B,MASTER!A:A)</f>
        <v>100024998</v>
      </c>
      <c r="C226" t="str">
        <f>+_xlfn.XLOOKUP(A226,MASTER!B:B,MASTER!C:C)</f>
        <v>ZYN SPEARMINT 6MG STRONG CAJETILLA PZ</v>
      </c>
      <c r="D226" s="10" t="str">
        <f>+_xlfn.XLOOKUP(A226,MASTER!B:B,MASTER!D:D)</f>
        <v>PMI</v>
      </c>
      <c r="E226" s="10" t="str">
        <f>+_xlfn.XLOOKUP(A226,MASTER!B:B,MASTER!I:I)</f>
        <v>Activo</v>
      </c>
      <c r="G226">
        <v>75086091</v>
      </c>
      <c r="H226" s="10">
        <f>+_xlfn.XLOOKUP(G226,MASTER!B:B,MASTER!A:A)</f>
        <v>100026380</v>
      </c>
      <c r="I226" s="10" t="str">
        <f>+_xlfn.XLOOKUP(G226,MASTER!B:B,MASTER!C:C)</f>
        <v>MARLBORO CRAFTED SUMMER MIX 100</v>
      </c>
    </row>
    <row r="227" spans="1:9" x14ac:dyDescent="0.35">
      <c r="A227">
        <v>7311250048388</v>
      </c>
      <c r="B227">
        <f>+_xlfn.XLOOKUP(A227,MASTER!B:B,MASTER!A:A)</f>
        <v>100025304</v>
      </c>
      <c r="C227" t="str">
        <f>+_xlfn.XLOOKUP(A227,MASTER!B:B,MASTER!C:C)</f>
        <v>ZYN SPEARMINIT 1.5MG LOW CAJETILLA PZ</v>
      </c>
      <c r="D227" s="10" t="str">
        <f>+_xlfn.XLOOKUP(A227,MASTER!B:B,MASTER!D:D)</f>
        <v>PMI</v>
      </c>
      <c r="E227" s="10" t="str">
        <f>+_xlfn.XLOOKUP(A227,MASTER!B:B,MASTER!I:I)</f>
        <v>Activo</v>
      </c>
      <c r="G227">
        <v>75086381</v>
      </c>
      <c r="H227" s="10">
        <f>+_xlfn.XLOOKUP(G227,MASTER!B:B,MASTER!A:A)</f>
        <v>100026685</v>
      </c>
      <c r="I227" s="10" t="str">
        <f>+_xlfn.XLOOKUP(G227,MASTER!B:B,MASTER!C:C)</f>
        <v>MARLBORO CRAFTED RUBY PZ</v>
      </c>
    </row>
    <row r="228" spans="1:9" x14ac:dyDescent="0.35">
      <c r="A228">
        <v>7465603180529</v>
      </c>
      <c r="B228">
        <f>+_xlfn.XLOOKUP(A228,MASTER!B:B,MASTER!A:A)</f>
        <v>100016045</v>
      </c>
      <c r="C228" t="str">
        <f>+_xlfn.XLOOKUP(A228,MASTER!B:B,MASTER!C:C)</f>
        <v>PRINCIPE PURO FOIL CEREZA 1 PZ</v>
      </c>
      <c r="D228" s="10" t="str">
        <f>+_xlfn.XLOOKUP(A228,MASTER!B:B,MASTER!D:D)</f>
        <v>PUROS</v>
      </c>
      <c r="E228" s="10" t="str">
        <f>+_xlfn.XLOOKUP(A228,MASTER!B:B,MASTER!I:I)</f>
        <v>Activo</v>
      </c>
      <c r="G228">
        <v>5410706884555</v>
      </c>
      <c r="H228" s="10">
        <f>+_xlfn.XLOOKUP(G228,MASTER!B:B,MASTER!A:A)</f>
        <v>100020228</v>
      </c>
      <c r="I228" s="10" t="str">
        <f>+_xlfn.XLOOKUP(G228,MASTER!B:B,MASTER!C:C)</f>
        <v>IQOS IQOS 3 IQOS DUO WHITE KIT 1 PZ</v>
      </c>
    </row>
    <row r="229" spans="1:9" x14ac:dyDescent="0.35">
      <c r="A229">
        <v>7465603183629</v>
      </c>
      <c r="B229">
        <f>+_xlfn.XLOOKUP(A229,MASTER!B:B,MASTER!A:A)</f>
        <v>100016042</v>
      </c>
      <c r="C229" t="str">
        <f>+_xlfn.XLOOKUP(A229,MASTER!B:B,MASTER!C:C)</f>
        <v>PRINCIPE PURO FOIL CHOCOLATE 1 PZ</v>
      </c>
      <c r="D229" s="10" t="str">
        <f>+_xlfn.XLOOKUP(A229,MASTER!B:B,MASTER!D:D)</f>
        <v>PUROS</v>
      </c>
      <c r="E229" s="10" t="str">
        <f>+_xlfn.XLOOKUP(A229,MASTER!B:B,MASTER!I:I)</f>
        <v>Activo</v>
      </c>
      <c r="G229">
        <v>5410706884739</v>
      </c>
      <c r="H229" s="10">
        <f>+_xlfn.XLOOKUP(G229,MASTER!B:B,MASTER!A:A)</f>
        <v>100020177</v>
      </c>
      <c r="I229" s="10" t="str">
        <f>+_xlfn.XLOOKUP(G229,MASTER!B:B,MASTER!C:C)</f>
        <v>IQOS 3 IQOS DUO GREY KIT 1 PZ</v>
      </c>
    </row>
    <row r="230" spans="1:9" x14ac:dyDescent="0.35">
      <c r="A230">
        <v>7465603183636</v>
      </c>
      <c r="B230">
        <f>+_xlfn.XLOOKUP(A230,MASTER!B:B,MASTER!A:A)</f>
        <v>100016043</v>
      </c>
      <c r="C230" t="str">
        <f>+_xlfn.XLOOKUP(A230,MASTER!B:B,MASTER!C:C)</f>
        <v>PRINCIPE PURO FOIL NATURAL 1 PZ</v>
      </c>
      <c r="D230" s="10" t="str">
        <f>+_xlfn.XLOOKUP(A230,MASTER!B:B,MASTER!D:D)</f>
        <v>PUROS</v>
      </c>
      <c r="E230" s="10" t="str">
        <f>+_xlfn.XLOOKUP(A230,MASTER!B:B,MASTER!I:I)</f>
        <v>Activo</v>
      </c>
      <c r="G230">
        <v>7311250035555</v>
      </c>
      <c r="H230" s="10">
        <f>+_xlfn.XLOOKUP(G230,MASTER!B:B,MASTER!A:A)</f>
        <v>100026062</v>
      </c>
      <c r="I230" s="10" t="str">
        <f>+_xlfn.XLOOKUP(G230,MASTER!B:B,MASTER!C:C)</f>
        <v>ZYN BLACK CHERRY 1.5MG LOW LATA PZ</v>
      </c>
    </row>
    <row r="231" spans="1:9" x14ac:dyDescent="0.35">
      <c r="A231">
        <v>7465603183667</v>
      </c>
      <c r="B231">
        <f>+_xlfn.XLOOKUP(A231,MASTER!B:B,MASTER!A:A)</f>
        <v>100016044</v>
      </c>
      <c r="C231" t="str">
        <f>+_xlfn.XLOOKUP(A231,MASTER!B:B,MASTER!C:C)</f>
        <v>PRINCIPE PURO FOIL VAINILLA 1 PZ</v>
      </c>
      <c r="D231" s="10" t="str">
        <f>+_xlfn.XLOOKUP(A231,MASTER!B:B,MASTER!D:D)</f>
        <v>PUROS</v>
      </c>
      <c r="E231" s="10" t="str">
        <f>+_xlfn.XLOOKUP(A231,MASTER!B:B,MASTER!I:I)</f>
        <v>Activo</v>
      </c>
      <c r="G231">
        <v>7311250035562</v>
      </c>
      <c r="H231" s="10">
        <f>+_xlfn.XLOOKUP(G231,MASTER!B:B,MASTER!A:A)</f>
        <v>100026064</v>
      </c>
      <c r="I231" s="10" t="str">
        <f>+_xlfn.XLOOKUP(G231,MASTER!B:B,MASTER!C:C)</f>
        <v>ZYN COOL MINT 1.5MG LOW LATA PZ</v>
      </c>
    </row>
    <row r="232" spans="1:9" x14ac:dyDescent="0.35">
      <c r="A232">
        <v>7501045300177</v>
      </c>
      <c r="B232">
        <f>+_xlfn.XLOOKUP(A232,MASTER!B:B,MASTER!A:A)</f>
        <v>100026614</v>
      </c>
      <c r="C232" t="str">
        <f>+_xlfn.XLOOKUP(A232,MASTER!B:B,MASTER!C:C)</f>
        <v>MARLBORO VISTA BLOSSOM MIST 100 PZ</v>
      </c>
      <c r="D232" s="10" t="str">
        <f>+_xlfn.XLOOKUP(A232,MASTER!B:B,MASTER!D:D)</f>
        <v>PMI</v>
      </c>
      <c r="E232" s="10" t="str">
        <f>+_xlfn.XLOOKUP(A232,MASTER!B:B,MASTER!I:I)</f>
        <v>Descontinuado (con stock)</v>
      </c>
      <c r="G232">
        <v>7311250035579</v>
      </c>
      <c r="H232" s="10">
        <f>+_xlfn.XLOOKUP(G232,MASTER!B:B,MASTER!A:A)</f>
        <v>100026067</v>
      </c>
      <c r="I232" s="10" t="str">
        <f>+_xlfn.XLOOKUP(G232,MASTER!B:B,MASTER!C:C)</f>
        <v>ZYN PEACH 6MG STRONG LATA PZ</v>
      </c>
    </row>
    <row r="233" spans="1:9" x14ac:dyDescent="0.35">
      <c r="A233">
        <v>7501045356259</v>
      </c>
      <c r="B233">
        <f>+_xlfn.XLOOKUP(A233,MASTER!B:B,MASTER!A:A)</f>
        <v>100015416</v>
      </c>
      <c r="C233" t="str">
        <f>+_xlfn.XLOOKUP(A233,MASTER!B:B,MASTER!C:C)</f>
        <v>HEETS AMBER SELECTION 1 CAJETILLA</v>
      </c>
      <c r="D233" s="10" t="str">
        <f>+_xlfn.XLOOKUP(A233,MASTER!B:B,MASTER!D:D)</f>
        <v>PMI</v>
      </c>
      <c r="E233" s="10" t="str">
        <f>+_xlfn.XLOOKUP(A233,MASTER!B:B,MASTER!I:I)</f>
        <v>Descontinuado (con stock)</v>
      </c>
      <c r="G233">
        <v>7311250035593</v>
      </c>
      <c r="H233" s="10">
        <f>+_xlfn.XLOOKUP(G233,MASTER!B:B,MASTER!A:A)</f>
        <v>100026065</v>
      </c>
      <c r="I233" s="10" t="str">
        <f>+_xlfn.XLOOKUP(G233,MASTER!B:B,MASTER!C:C)</f>
        <v>ZYN PEACH 3MG MEDIUM LATA PZ</v>
      </c>
    </row>
    <row r="234" spans="1:9" x14ac:dyDescent="0.35">
      <c r="A234">
        <v>7501045357416</v>
      </c>
      <c r="B234">
        <f>+_xlfn.XLOOKUP(A234,MASTER!B:B,MASTER!A:A)</f>
        <v>100015420</v>
      </c>
      <c r="C234" t="str">
        <f>+_xlfn.XLOOKUP(A234,MASTER!B:B,MASTER!C:C)</f>
        <v>HEETS TURQUO SELECTION 1 CAJETILLA</v>
      </c>
      <c r="D234" s="10" t="str">
        <f>+_xlfn.XLOOKUP(A234,MASTER!B:B,MASTER!D:D)</f>
        <v>PMI</v>
      </c>
      <c r="E234" s="10" t="str">
        <f>+_xlfn.XLOOKUP(A234,MASTER!B:B,MASTER!I:I)</f>
        <v>Descontinuado (con stock)</v>
      </c>
      <c r="G234">
        <v>7311250044373</v>
      </c>
      <c r="H234" s="10">
        <f>+_xlfn.XLOOKUP(G234,MASTER!B:B,MASTER!A:A)</f>
        <v>100024289</v>
      </c>
      <c r="I234" s="10" t="str">
        <f>+_xlfn.XLOOKUP(G234,MASTER!B:B,MASTER!C:C)</f>
        <v>ZYN BLACK CHERRY MINI MEDIUM CAJETILLA PZ</v>
      </c>
    </row>
    <row r="235" spans="1:9" x14ac:dyDescent="0.35">
      <c r="A235">
        <v>7501045357423</v>
      </c>
      <c r="B235">
        <f>+_xlfn.XLOOKUP(A235,MASTER!B:B,MASTER!A:A)</f>
        <v>100015421</v>
      </c>
      <c r="C235" t="str">
        <f>+_xlfn.XLOOKUP(A235,MASTER!B:B,MASTER!C:C)</f>
        <v>HEETS YELLOW SELECTION 1 CAJETILLA</v>
      </c>
      <c r="D235" s="10" t="str">
        <f>+_xlfn.XLOOKUP(A235,MASTER!B:B,MASTER!D:D)</f>
        <v>PMI</v>
      </c>
      <c r="E235" s="10" t="str">
        <f>+_xlfn.XLOOKUP(A235,MASTER!B:B,MASTER!I:I)</f>
        <v>Descontinuado (con stock)</v>
      </c>
      <c r="G235">
        <v>7311250044380</v>
      </c>
      <c r="H235" s="10">
        <f>+_xlfn.XLOOKUP(G235,MASTER!B:B,MASTER!A:A)</f>
        <v>100024397</v>
      </c>
      <c r="I235" s="10" t="str">
        <f>+_xlfn.XLOOKUP(G235,MASTER!B:B,MASTER!C:C)</f>
        <v>ZYN BLACK CHERRY MINI STRONG UNIDAD PZ</v>
      </c>
    </row>
    <row r="236" spans="1:9" x14ac:dyDescent="0.35">
      <c r="A236">
        <v>7501045357430</v>
      </c>
      <c r="B236">
        <f>+_xlfn.XLOOKUP(A236,MASTER!B:B,MASTER!A:A)</f>
        <v>100015419</v>
      </c>
      <c r="C236" t="str">
        <f>+_xlfn.XLOOKUP(A236,MASTER!B:B,MASTER!C:C)</f>
        <v>HEETS SIENNA SELECTION 1 CAJETILLA</v>
      </c>
      <c r="D236" s="10" t="str">
        <f>+_xlfn.XLOOKUP(A236,MASTER!B:B,MASTER!D:D)</f>
        <v>PMI</v>
      </c>
      <c r="E236" s="10" t="str">
        <f>+_xlfn.XLOOKUP(A236,MASTER!B:B,MASTER!I:I)</f>
        <v>Descontinuado (con stock)</v>
      </c>
      <c r="G236">
        <v>7311250044397</v>
      </c>
      <c r="H236" s="10">
        <f>+_xlfn.XLOOKUP(G236,MASTER!B:B,MASTER!A:A)</f>
        <v>100024294</v>
      </c>
      <c r="I236" s="10" t="str">
        <f>+_xlfn.XLOOKUP(G236,MASTER!B:B,MASTER!C:C)</f>
        <v>ZYN COOL MINT MINI MEDIUM CAJETILLA PZ</v>
      </c>
    </row>
    <row r="237" spans="1:9" x14ac:dyDescent="0.35">
      <c r="A237">
        <v>7501045357447</v>
      </c>
      <c r="B237">
        <f>+_xlfn.XLOOKUP(A237,MASTER!B:B,MASTER!A:A)</f>
        <v>100015417</v>
      </c>
      <c r="C237" t="str">
        <f>+_xlfn.XLOOKUP(A237,MASTER!B:B,MASTER!C:C)</f>
        <v>HEETS BLUE  SELECTION 1 CAJETILLA</v>
      </c>
      <c r="D237" s="10" t="str">
        <f>+_xlfn.XLOOKUP(A237,MASTER!B:B,MASTER!D:D)</f>
        <v>PMI</v>
      </c>
      <c r="E237" s="10" t="str">
        <f>+_xlfn.XLOOKUP(A237,MASTER!B:B,MASTER!I:I)</f>
        <v>Descontinuado (con stock)</v>
      </c>
      <c r="G237">
        <v>7311250044403</v>
      </c>
      <c r="H237" s="10">
        <f>+_xlfn.XLOOKUP(G237,MASTER!B:B,MASTER!A:A)</f>
        <v>100024399</v>
      </c>
      <c r="I237" s="10" t="str">
        <f>+_xlfn.XLOOKUP(G237,MASTER!B:B,MASTER!C:C)</f>
        <v>ZYN COOL MINT MINI STRONG UNIDAD PZ</v>
      </c>
    </row>
    <row r="238" spans="1:9" x14ac:dyDescent="0.35">
      <c r="A238">
        <v>7501045357454</v>
      </c>
      <c r="B238">
        <f>+_xlfn.XLOOKUP(A238,MASTER!B:B,MASTER!A:A)</f>
        <v>100015418</v>
      </c>
      <c r="C238" t="str">
        <f>+_xlfn.XLOOKUP(A238,MASTER!B:B,MASTER!C:C)</f>
        <v>HEETS PURPLE SELECTION 1 CAJETILLA</v>
      </c>
      <c r="D238" s="10" t="str">
        <f>+_xlfn.XLOOKUP(A238,MASTER!B:B,MASTER!D:D)</f>
        <v>PMI</v>
      </c>
      <c r="E238" s="10" t="str">
        <f>+_xlfn.XLOOKUP(A238,MASTER!B:B,MASTER!I:I)</f>
        <v>Descontinuado (con stock)</v>
      </c>
      <c r="G238">
        <v>7311250044410</v>
      </c>
      <c r="H238" s="10">
        <f>+_xlfn.XLOOKUP(G238,MASTER!B:B,MASTER!A:A)</f>
        <v>100024293</v>
      </c>
      <c r="I238" s="10" t="str">
        <f>+_xlfn.XLOOKUP(G238,MASTER!B:B,MASTER!C:C)</f>
        <v>ZYN CITRUS MINI MEDIUM CAJETILLA PZ</v>
      </c>
    </row>
    <row r="239" spans="1:9" x14ac:dyDescent="0.35">
      <c r="A239">
        <v>7501045357881</v>
      </c>
      <c r="B239">
        <f>+_xlfn.XLOOKUP(A239,MASTER!B:B,MASTER!A:A)</f>
        <v>100017980</v>
      </c>
      <c r="C239" t="str">
        <f>+_xlfn.XLOOKUP(A239,MASTER!B:B,MASTER!C:C)</f>
        <v>HEETS BRONZE SELECTION 1 CAJETILLA</v>
      </c>
      <c r="D239" s="10" t="str">
        <f>+_xlfn.XLOOKUP(A239,MASTER!B:B,MASTER!D:D)</f>
        <v>PMI</v>
      </c>
      <c r="E239" s="10" t="str">
        <f>+_xlfn.XLOOKUP(A239,MASTER!B:B,MASTER!I:I)</f>
        <v>Descontinuado (con stock)</v>
      </c>
      <c r="G239">
        <v>7311250044427</v>
      </c>
      <c r="H239" s="10">
        <f>+_xlfn.XLOOKUP(G239,MASTER!B:B,MASTER!A:A)</f>
        <v>100024398</v>
      </c>
      <c r="I239" s="10" t="str">
        <f>+_xlfn.XLOOKUP(G239,MASTER!B:B,MASTER!C:C)</f>
        <v>ZYN CITRUS MINI STRONG UNIDAD PZ</v>
      </c>
    </row>
    <row r="240" spans="1:9" x14ac:dyDescent="0.35">
      <c r="A240">
        <v>7501045357898</v>
      </c>
      <c r="B240">
        <f>+_xlfn.XLOOKUP(A240,MASTER!B:B,MASTER!A:A)</f>
        <v>100018638</v>
      </c>
      <c r="C240" t="str">
        <f>+_xlfn.XLOOKUP(A240,MASTER!B:B,MASTER!C:C)</f>
        <v>HEETS RUSSET SELECTION 1 CAJETILLA</v>
      </c>
      <c r="D240" s="10" t="str">
        <f>+_xlfn.XLOOKUP(A240,MASTER!B:B,MASTER!D:D)</f>
        <v>PMI</v>
      </c>
      <c r="E240" s="10" t="str">
        <f>+_xlfn.XLOOKUP(A240,MASTER!B:B,MASTER!I:I)</f>
        <v>Descontinuado (con stock)</v>
      </c>
      <c r="G240">
        <v>7311250044434</v>
      </c>
      <c r="H240" s="10">
        <f>+_xlfn.XLOOKUP(G240,MASTER!B:B,MASTER!A:A)</f>
        <v>100024295</v>
      </c>
      <c r="I240" s="10" t="str">
        <f>+_xlfn.XLOOKUP(G240,MASTER!B:B,MASTER!C:C)</f>
        <v>ZYN ESPRESSINO MINI MEDIUM CAJETILLA PZ</v>
      </c>
    </row>
    <row r="241" spans="1:9" x14ac:dyDescent="0.35">
      <c r="A241">
        <v>7501045357966</v>
      </c>
      <c r="B241">
        <f>+_xlfn.XLOOKUP(A241,MASTER!B:B,MASTER!A:A)</f>
        <v>100018639</v>
      </c>
      <c r="C241" t="str">
        <f>+_xlfn.XLOOKUP(A241,MASTER!B:B,MASTER!C:C)</f>
        <v>HEETS GREEN ZING 1 CAJETILLA</v>
      </c>
      <c r="D241" s="10" t="str">
        <f>+_xlfn.XLOOKUP(A241,MASTER!B:B,MASTER!D:D)</f>
        <v>PMI</v>
      </c>
      <c r="E241" s="10" t="str">
        <f>+_xlfn.XLOOKUP(A241,MASTER!B:B,MASTER!I:I)</f>
        <v>Descontinuado (con stock)</v>
      </c>
      <c r="G241">
        <v>7311250044441</v>
      </c>
      <c r="H241" s="10">
        <f>+_xlfn.XLOOKUP(G241,MASTER!B:B,MASTER!A:A)</f>
        <v>100024400</v>
      </c>
      <c r="I241" s="10" t="str">
        <f>+_xlfn.XLOOKUP(G241,MASTER!B:B,MASTER!C:C)</f>
        <v>ZYN ESPRESSINO MINI STRONG UNIDAD PZ</v>
      </c>
    </row>
    <row r="242" spans="1:9" x14ac:dyDescent="0.35">
      <c r="A242">
        <v>7501609500241</v>
      </c>
      <c r="B242">
        <f>+_xlfn.XLOOKUP(A242,MASTER!B:B,MASTER!A:A)</f>
        <v>100080351</v>
      </c>
      <c r="C242" t="str">
        <f>+_xlfn.XLOOKUP(A242,MASTER!B:B,MASTER!C:C)</f>
        <v>TE AMO PURO NUM 4 NATURAL PZ</v>
      </c>
      <c r="D242" s="10" t="str">
        <f>+_xlfn.XLOOKUP(A242,MASTER!B:B,MASTER!D:D)</f>
        <v>PUROS</v>
      </c>
      <c r="E242" s="10" t="str">
        <f>+_xlfn.XLOOKUP(A242,MASTER!B:B,MASTER!I:I)</f>
        <v>Activo</v>
      </c>
      <c r="G242">
        <v>7311250046971</v>
      </c>
      <c r="H242" s="10">
        <f>+_xlfn.XLOOKUP(G242,MASTER!B:B,MASTER!A:A)</f>
        <v>100024997</v>
      </c>
      <c r="I242" s="10" t="str">
        <f>+_xlfn.XLOOKUP(G242,MASTER!B:B,MASTER!C:C)</f>
        <v>ZYN SPEARMINT 3MG MEDIUM CAJETILLA PZ</v>
      </c>
    </row>
    <row r="243" spans="1:9" x14ac:dyDescent="0.35">
      <c r="A243">
        <v>7501609501521</v>
      </c>
      <c r="B243">
        <f>+_xlfn.XLOOKUP(A243,MASTER!B:B,MASTER!A:A)</f>
        <v>100080372</v>
      </c>
      <c r="C243" t="str">
        <f>+_xlfn.XLOOKUP(A243,MASTER!B:B,MASTER!C:C)</f>
        <v>MAGNIFICOS PURO CAJET</v>
      </c>
      <c r="D243" s="10" t="str">
        <f>+_xlfn.XLOOKUP(A243,MASTER!B:B,MASTER!D:D)</f>
        <v>PUROS</v>
      </c>
      <c r="E243" s="10" t="str">
        <f>+_xlfn.XLOOKUP(A243,MASTER!B:B,MASTER!I:I)</f>
        <v>Activo</v>
      </c>
      <c r="G243">
        <v>7311250046988</v>
      </c>
      <c r="H243" s="10">
        <f>+_xlfn.XLOOKUP(G243,MASTER!B:B,MASTER!A:A)</f>
        <v>100024998</v>
      </c>
      <c r="I243" s="10" t="str">
        <f>+_xlfn.XLOOKUP(G243,MASTER!B:B,MASTER!C:C)</f>
        <v>ZYN SPEARMINT 6MG STRONG CAJETILLA PZ</v>
      </c>
    </row>
    <row r="244" spans="1:9" x14ac:dyDescent="0.35">
      <c r="A244">
        <v>7501609501804</v>
      </c>
      <c r="B244">
        <f>+_xlfn.XLOOKUP(A244,MASTER!B:B,MASTER!A:A)</f>
        <v>100080381</v>
      </c>
      <c r="C244" t="str">
        <f>+_xlfn.XLOOKUP(A244,MASTER!B:B,MASTER!C:C)</f>
        <v>MATACAN PURO NO.7 CAJET</v>
      </c>
      <c r="D244" s="10" t="str">
        <f>+_xlfn.XLOOKUP(A244,MASTER!B:B,MASTER!D:D)</f>
        <v>PUROS</v>
      </c>
      <c r="E244" s="10" t="str">
        <f>+_xlfn.XLOOKUP(A244,MASTER!B:B,MASTER!I:I)</f>
        <v>Activo</v>
      </c>
      <c r="G244">
        <v>7311250048388</v>
      </c>
      <c r="H244" s="10">
        <f>+_xlfn.XLOOKUP(G244,MASTER!B:B,MASTER!A:A)</f>
        <v>100025304</v>
      </c>
      <c r="I244" s="10" t="str">
        <f>+_xlfn.XLOOKUP(G244,MASTER!B:B,MASTER!C:C)</f>
        <v>ZYN SPEARMINIT 1.5MG LOW CAJETILLA PZ</v>
      </c>
    </row>
    <row r="245" spans="1:9" x14ac:dyDescent="0.35">
      <c r="A245">
        <v>7501609506908</v>
      </c>
      <c r="B245">
        <f>+_xlfn.XLOOKUP(A245,MASTER!B:B,MASTER!A:A)</f>
        <v>100080763</v>
      </c>
      <c r="C245" t="str">
        <f>+_xlfn.XLOOKUP(A245,MASTER!B:B,MASTER!C:C)</f>
        <v>HUMIDIBG PURO PLATINUM CAJET</v>
      </c>
      <c r="D245" s="10" t="str">
        <f>+_xlfn.XLOOKUP(A245,MASTER!B:B,MASTER!D:D)</f>
        <v>PUROS</v>
      </c>
      <c r="E245" s="10" t="str">
        <f>+_xlfn.XLOOKUP(A245,MASTER!B:B,MASTER!I:I)</f>
        <v>Activo</v>
      </c>
      <c r="G245">
        <v>7501045300122</v>
      </c>
      <c r="H245" s="10">
        <f>+_xlfn.XLOOKUP(G245,MASTER!B:B,MASTER!A:A)</f>
        <v>100018203</v>
      </c>
      <c r="I245" s="10" t="str">
        <f>+_xlfn.XLOOKUP(G245,MASTER!B:B,MASTER!C:C)</f>
        <v>CHESTERFIELD REMIX  LATA 20S 1 CAJETILLA</v>
      </c>
    </row>
    <row r="246" spans="1:9" x14ac:dyDescent="0.35">
      <c r="A246">
        <v>7501609515894</v>
      </c>
      <c r="B246">
        <f>+_xlfn.XLOOKUP(A246,MASTER!B:B,MASTER!A:A)</f>
        <v>100024599</v>
      </c>
      <c r="C246" t="str">
        <f>+_xlfn.XLOOKUP(A246,MASTER!B:B,MASTER!C:C)</f>
        <v>PURO MATACAN ROBUSTO IND</v>
      </c>
      <c r="D246" s="10" t="str">
        <f>+_xlfn.XLOOKUP(A246,MASTER!B:B,MASTER!D:D)</f>
        <v>PUROS</v>
      </c>
      <c r="E246" s="10" t="str">
        <f>+_xlfn.XLOOKUP(A246,MASTER!B:B,MASTER!I:I)</f>
        <v>Activo</v>
      </c>
      <c r="G246">
        <v>7501045300177</v>
      </c>
      <c r="H246" s="10">
        <f>+_xlfn.XLOOKUP(G246,MASTER!B:B,MASTER!A:A)</f>
        <v>100026614</v>
      </c>
      <c r="I246" s="10" t="str">
        <f>+_xlfn.XLOOKUP(G246,MASTER!B:B,MASTER!C:C)</f>
        <v>MARLBORO VISTA BLOSSOM MIST 100 PZ</v>
      </c>
    </row>
    <row r="247" spans="1:9" x14ac:dyDescent="0.35">
      <c r="A247">
        <v>7502236550005</v>
      </c>
      <c r="B247">
        <f>+_xlfn.XLOOKUP(A247,MASTER!B:B,MASTER!A:A)</f>
        <v>100014778</v>
      </c>
      <c r="C247" t="str">
        <f>+_xlfn.XLOOKUP(A247,MASTER!B:B,MASTER!C:C)</f>
        <v xml:space="preserve">ARTIGAS/CARL PURO MIX PLUS ROBUSTO M 50GR					</v>
      </c>
      <c r="D247" s="10" t="str">
        <f>+_xlfn.XLOOKUP(A247,MASTER!B:B,MASTER!D:D)</f>
        <v>PUROS</v>
      </c>
      <c r="E247" s="10" t="str">
        <f>+_xlfn.XLOOKUP(A247,MASTER!B:B,MASTER!I:I)</f>
        <v>Activo</v>
      </c>
      <c r="G247">
        <v>7501045356259</v>
      </c>
      <c r="H247" s="10">
        <f>+_xlfn.XLOOKUP(G247,MASTER!B:B,MASTER!A:A)</f>
        <v>100015416</v>
      </c>
      <c r="I247" s="10" t="str">
        <f>+_xlfn.XLOOKUP(G247,MASTER!B:B,MASTER!C:C)</f>
        <v>HEETS AMBER SELECTION 1 CAJETILLA</v>
      </c>
    </row>
    <row r="248" spans="1:9" x14ac:dyDescent="0.35">
      <c r="A248">
        <v>7502236550012</v>
      </c>
      <c r="B248">
        <f>+_xlfn.XLOOKUP(A248,MASTER!B:B,MASTER!A:A)</f>
        <v>100014775</v>
      </c>
      <c r="C248" t="str">
        <f>+_xlfn.XLOOKUP(A248,MASTER!B:B,MASTER!C:C)</f>
        <v xml:space="preserve">ARTIGAS/CARL PURO MIX PLUS BELICOSO  50GR				</v>
      </c>
      <c r="D248" s="10" t="str">
        <f>+_xlfn.XLOOKUP(A248,MASTER!B:B,MASTER!D:D)</f>
        <v>PUROS</v>
      </c>
      <c r="E248" s="10" t="str">
        <f>+_xlfn.XLOOKUP(A248,MASTER!B:B,MASTER!I:I)</f>
        <v>Activo</v>
      </c>
      <c r="G248">
        <v>7501045357416</v>
      </c>
      <c r="H248" s="10">
        <f>+_xlfn.XLOOKUP(G248,MASTER!B:B,MASTER!A:A)</f>
        <v>100015420</v>
      </c>
      <c r="I248" s="10" t="str">
        <f>+_xlfn.XLOOKUP(G248,MASTER!B:B,MASTER!C:C)</f>
        <v>HEETS TURQUO SELECTION 1 CAJETILLA</v>
      </c>
    </row>
    <row r="249" spans="1:9" x14ac:dyDescent="0.35">
      <c r="A249">
        <v>7502236550043</v>
      </c>
      <c r="B249">
        <f>+_xlfn.XLOOKUP(A249,MASTER!B:B,MASTER!A:A)</f>
        <v>100080947</v>
      </c>
      <c r="C249" t="str">
        <f>+_xlfn.XLOOKUP(A249,MASTER!B:B,MASTER!C:C)</f>
        <v>ARTIGAS/CARL PURO MIX PLUS CORONA GO 40GR</v>
      </c>
      <c r="D249" s="10" t="str">
        <f>+_xlfn.XLOOKUP(A249,MASTER!B:B,MASTER!D:D)</f>
        <v>PUROS</v>
      </c>
      <c r="E249" s="10" t="str">
        <f>+_xlfn.XLOOKUP(A249,MASTER!B:B,MASTER!I:I)</f>
        <v>Activo</v>
      </c>
      <c r="G249">
        <v>7501045357423</v>
      </c>
      <c r="H249" s="10">
        <f>+_xlfn.XLOOKUP(G249,MASTER!B:B,MASTER!A:A)</f>
        <v>100015421</v>
      </c>
      <c r="I249" s="10" t="str">
        <f>+_xlfn.XLOOKUP(G249,MASTER!B:B,MASTER!C:C)</f>
        <v>HEETS YELLOW SELECTION 1 CAJETILLA</v>
      </c>
    </row>
    <row r="250" spans="1:9" x14ac:dyDescent="0.35">
      <c r="A250">
        <v>7502236550067</v>
      </c>
      <c r="B250">
        <f>+_xlfn.XLOOKUP(A250,MASTER!B:B,MASTER!A:A)</f>
        <v>100080948</v>
      </c>
      <c r="C250" t="str">
        <f>+_xlfn.XLOOKUP(A250,MASTER!B:B,MASTER!C:C)</f>
        <v>ARTIGAS/CARL PURO MIX PLUS ROBUSTO G 50GR</v>
      </c>
      <c r="D250" s="10" t="str">
        <f>+_xlfn.XLOOKUP(A250,MASTER!B:B,MASTER!D:D)</f>
        <v>PUROS</v>
      </c>
      <c r="E250" s="10" t="str">
        <f>+_xlfn.XLOOKUP(A250,MASTER!B:B,MASTER!I:I)</f>
        <v>Activo</v>
      </c>
      <c r="G250">
        <v>7501045357430</v>
      </c>
      <c r="H250" s="10">
        <f>+_xlfn.XLOOKUP(G250,MASTER!B:B,MASTER!A:A)</f>
        <v>100015419</v>
      </c>
      <c r="I250" s="10" t="str">
        <f>+_xlfn.XLOOKUP(G250,MASTER!B:B,MASTER!C:C)</f>
        <v>HEETS SIENNA SELECTION 1 CAJETILLA</v>
      </c>
    </row>
    <row r="251" spans="1:9" x14ac:dyDescent="0.35">
      <c r="A251">
        <v>7502236550173</v>
      </c>
      <c r="B251">
        <f>+_xlfn.XLOOKUP(A251,MASTER!B:B,MASTER!A:A)</f>
        <v>100080946</v>
      </c>
      <c r="C251" t="str">
        <f>+_xlfn.XLOOKUP(A251,MASTER!B:B,MASTER!C:C)</f>
        <v>GOLD SOFT PUROS HAB GOLD SOFT PZ</v>
      </c>
      <c r="D251" s="10" t="str">
        <f>+_xlfn.XLOOKUP(A251,MASTER!B:B,MASTER!D:D)</f>
        <v>PUROS</v>
      </c>
      <c r="E251" s="10" t="str">
        <f>+_xlfn.XLOOKUP(A251,MASTER!B:B,MASTER!I:I)</f>
        <v>Activo</v>
      </c>
      <c r="G251">
        <v>7501045357447</v>
      </c>
      <c r="H251" s="10">
        <f>+_xlfn.XLOOKUP(G251,MASTER!B:B,MASTER!A:A)</f>
        <v>100015417</v>
      </c>
      <c r="I251" s="10" t="str">
        <f>+_xlfn.XLOOKUP(G251,MASTER!B:B,MASTER!C:C)</f>
        <v>HEETS BLUE  SELECTION 1 CAJETILLA</v>
      </c>
    </row>
    <row r="252" spans="1:9" x14ac:dyDescent="0.35">
      <c r="A252">
        <v>7502236550180</v>
      </c>
      <c r="B252">
        <f>+_xlfn.XLOOKUP(A252,MASTER!B:B,MASTER!A:A)</f>
        <v>100080944</v>
      </c>
      <c r="C252" t="str">
        <f>+_xlfn.XLOOKUP(A252,MASTER!B:B,MASTER!C:C)</f>
        <v>GOLD SOFT PUROS GOLD SOFT VAIN PZ</v>
      </c>
      <c r="D252" s="10" t="str">
        <f>+_xlfn.XLOOKUP(A252,MASTER!B:B,MASTER!D:D)</f>
        <v>PUROS</v>
      </c>
      <c r="E252" s="10" t="str">
        <f>+_xlfn.XLOOKUP(A252,MASTER!B:B,MASTER!I:I)</f>
        <v>Activo</v>
      </c>
      <c r="G252">
        <v>7501045357454</v>
      </c>
      <c r="H252" s="10">
        <f>+_xlfn.XLOOKUP(G252,MASTER!B:B,MASTER!A:A)</f>
        <v>100015418</v>
      </c>
      <c r="I252" s="10" t="str">
        <f>+_xlfn.XLOOKUP(G252,MASTER!B:B,MASTER!C:C)</f>
        <v>HEETS PURPLE SELECTION 1 CAJETILLA</v>
      </c>
    </row>
    <row r="253" spans="1:9" x14ac:dyDescent="0.35">
      <c r="A253">
        <v>7502236550197</v>
      </c>
      <c r="B253">
        <f>+_xlfn.XLOOKUP(A253,MASTER!B:B,MASTER!A:A)</f>
        <v>100080945</v>
      </c>
      <c r="C253" t="str">
        <f>+_xlfn.XLOOKUP(A253,MASTER!B:B,MASTER!C:C)</f>
        <v>GOLD SOFT PURO PZ</v>
      </c>
      <c r="D253" s="10" t="str">
        <f>+_xlfn.XLOOKUP(A253,MASTER!B:B,MASTER!D:D)</f>
        <v>PUROS</v>
      </c>
      <c r="E253" s="10" t="str">
        <f>+_xlfn.XLOOKUP(A253,MASTER!B:B,MASTER!I:I)</f>
        <v>Activo</v>
      </c>
      <c r="G253">
        <v>7501045357881</v>
      </c>
      <c r="H253" s="10">
        <f>+_xlfn.XLOOKUP(G253,MASTER!B:B,MASTER!A:A)</f>
        <v>100017980</v>
      </c>
      <c r="I253" s="10" t="str">
        <f>+_xlfn.XLOOKUP(G253,MASTER!B:B,MASTER!C:C)</f>
        <v>HEETS BRONZE SELECTION 1 CAJETILLA</v>
      </c>
    </row>
    <row r="254" spans="1:9" x14ac:dyDescent="0.35">
      <c r="A254">
        <v>7503006684043</v>
      </c>
      <c r="B254">
        <f>+_xlfn.XLOOKUP(A254,MASTER!B:B,MASTER!A:A)</f>
        <v>100080941</v>
      </c>
      <c r="C254" t="str">
        <f>+_xlfn.XLOOKUP(A254,MASTER!B:B,MASTER!C:C)</f>
        <v>PURO HABANA PZ</v>
      </c>
      <c r="D254" s="10" t="str">
        <f>+_xlfn.XLOOKUP(A254,MASTER!B:B,MASTER!D:D)</f>
        <v>PUROS</v>
      </c>
      <c r="E254" s="10" t="str">
        <f>+_xlfn.XLOOKUP(A254,MASTER!B:B,MASTER!I:I)</f>
        <v>Activo</v>
      </c>
      <c r="G254">
        <v>7501045357898</v>
      </c>
      <c r="H254" s="10">
        <f>+_xlfn.XLOOKUP(G254,MASTER!B:B,MASTER!A:A)</f>
        <v>100018638</v>
      </c>
      <c r="I254" s="10" t="str">
        <f>+_xlfn.XLOOKUP(G254,MASTER!B:B,MASTER!C:C)</f>
        <v>HEETS RUSSET SELECTION 1 CAJETILLA</v>
      </c>
    </row>
    <row r="255" spans="1:9" x14ac:dyDescent="0.35">
      <c r="A255">
        <v>7503006684326</v>
      </c>
      <c r="B255">
        <f>+_xlfn.XLOOKUP(A255,MASTER!B:B,MASTER!A:A)</f>
        <v>100014772</v>
      </c>
      <c r="C255" t="str">
        <f>+_xlfn.XLOOKUP(A255,MASTER!B:B,MASTER!C:C)</f>
        <v xml:space="preserve">ARTIGAS/CARL PURO MIX BELICOSO T/C H 50GR									</v>
      </c>
      <c r="D255" s="10" t="str">
        <f>+_xlfn.XLOOKUP(A255,MASTER!B:B,MASTER!D:D)</f>
        <v>PUROS</v>
      </c>
      <c r="E255" s="10" t="str">
        <f>+_xlfn.XLOOKUP(A255,MASTER!B:B,MASTER!I:I)</f>
        <v>Activo</v>
      </c>
      <c r="G255">
        <v>7501045357966</v>
      </c>
      <c r="H255" s="10">
        <f>+_xlfn.XLOOKUP(G255,MASTER!B:B,MASTER!A:A)</f>
        <v>100018639</v>
      </c>
      <c r="I255" s="10" t="str">
        <f>+_xlfn.XLOOKUP(G255,MASTER!B:B,MASTER!C:C)</f>
        <v>HEETS GREEN ZING 1 CAJETILLA</v>
      </c>
    </row>
    <row r="256" spans="1:9" x14ac:dyDescent="0.35">
      <c r="A256">
        <v>7503006684388</v>
      </c>
      <c r="B256">
        <f>+_xlfn.XLOOKUP(A256,MASTER!B:B,MASTER!A:A)</f>
        <v>100014777</v>
      </c>
      <c r="C256" t="str">
        <f>+_xlfn.XLOOKUP(A256,MASTER!B:B,MASTER!C:C)</f>
        <v xml:space="preserve">ARTIGAS/CARL PURO MIX PLUS CORONA MA 40GR						</v>
      </c>
      <c r="D256" s="10" t="str">
        <f>+_xlfn.XLOOKUP(A256,MASTER!B:B,MASTER!D:D)</f>
        <v>PUROS</v>
      </c>
      <c r="E256" s="10" t="str">
        <f>+_xlfn.XLOOKUP(A256,MASTER!B:B,MASTER!I:I)</f>
        <v>Activo</v>
      </c>
      <c r="G256">
        <v>7503031949001</v>
      </c>
      <c r="H256" s="10">
        <f>+_xlfn.XLOOKUP(G256,MASTER!B:B,MASTER!A:A)</f>
        <v>100024305</v>
      </c>
      <c r="I256" s="10" t="str">
        <f>+_xlfn.XLOOKUP(G256,MASTER!B:B,MASTER!C:C)</f>
        <v>MARLBORO VISTA CARIBBEAN FUSION 100 BOX 20 LATA MEXICO 2024 CAJETILLA PZ</v>
      </c>
    </row>
    <row r="257" spans="1:9" x14ac:dyDescent="0.35">
      <c r="A257">
        <v>7503006684395</v>
      </c>
      <c r="B257">
        <f>+_xlfn.XLOOKUP(A257,MASTER!B:B,MASTER!A:A)</f>
        <v>100080939</v>
      </c>
      <c r="C257" t="str">
        <f>+_xlfn.XLOOKUP(A257,MASTER!B:B,MASTER!C:C)</f>
        <v>PURO ARTIGAS BLACK PZ</v>
      </c>
      <c r="D257" s="10" t="str">
        <f>+_xlfn.XLOOKUP(A257,MASTER!B:B,MASTER!D:D)</f>
        <v>PUROS</v>
      </c>
      <c r="E257" s="10" t="str">
        <f>+_xlfn.XLOOKUP(A257,MASTER!B:B,MASTER!I:I)</f>
        <v>Activo</v>
      </c>
      <c r="G257">
        <v>7503031949094</v>
      </c>
      <c r="H257" s="10">
        <f>+_xlfn.XLOOKUP(G257,MASTER!B:B,MASTER!A:A)</f>
        <v>100024306</v>
      </c>
      <c r="I257" s="10" t="str">
        <f>+_xlfn.XLOOKUP(G257,MASTER!B:B,MASTER!C:C)</f>
        <v>MARLBORO VISTA FOREST FUSION 100 BOX 20 LATA MEXICO 2024 CAJETILLA PZ</v>
      </c>
    </row>
    <row r="258" spans="1:9" x14ac:dyDescent="0.35">
      <c r="A258">
        <v>7503006684425</v>
      </c>
      <c r="B258">
        <f>+_xlfn.XLOOKUP(A258,MASTER!B:B,MASTER!A:A)</f>
        <v>100014779</v>
      </c>
      <c r="C258" t="str">
        <f>+_xlfn.XLOOKUP(A258,MASTER!B:B,MASTER!C:C)</f>
        <v xml:space="preserve">ARTIGAS/CARL PURO MIX ROBUSTO SABOR  50GR					</v>
      </c>
      <c r="D258" s="10" t="str">
        <f>+_xlfn.XLOOKUP(A258,MASTER!B:B,MASTER!D:D)</f>
        <v>PUROS</v>
      </c>
      <c r="E258" s="10" t="str">
        <f>+_xlfn.XLOOKUP(A258,MASTER!B:B,MASTER!I:I)</f>
        <v>Activo</v>
      </c>
      <c r="G258">
        <v>7503031949209</v>
      </c>
      <c r="H258" s="10">
        <f>+_xlfn.XLOOKUP(G258,MASTER!B:B,MASTER!A:A)</f>
        <v>100025451</v>
      </c>
      <c r="I258" s="10" t="str">
        <f>+_xlfn.XLOOKUP(G258,MASTER!B:B,MASTER!C:C)</f>
        <v>MARLBORO VISTA FOREST FUSION 100 BOX 20 (LATA CENICERO '25) CAJETILLA PZ</v>
      </c>
    </row>
    <row r="259" spans="1:9" x14ac:dyDescent="0.35">
      <c r="A259">
        <v>7503006684487</v>
      </c>
      <c r="B259">
        <f>+_xlfn.XLOOKUP(A259,MASTER!B:B,MASTER!A:A)</f>
        <v>100014774</v>
      </c>
      <c r="C259" t="str">
        <f>+_xlfn.XLOOKUP(A259,MASTER!B:B,MASTER!C:C)</f>
        <v xml:space="preserve">ARTIGAS/CARL PURO MIX CORONA SABOR C 40GR				</v>
      </c>
      <c r="D259" s="10" t="str">
        <f>+_xlfn.XLOOKUP(A259,MASTER!B:B,MASTER!D:D)</f>
        <v>PUROS</v>
      </c>
      <c r="E259" s="10" t="str">
        <f>+_xlfn.XLOOKUP(A259,MASTER!B:B,MASTER!I:I)</f>
        <v>Activo</v>
      </c>
      <c r="G259">
        <v>7503031949216</v>
      </c>
      <c r="H259" s="10">
        <f>+_xlfn.XLOOKUP(G259,MASTER!B:B,MASTER!A:A)</f>
        <v>100025449</v>
      </c>
      <c r="I259" s="10" t="str">
        <f>+_xlfn.XLOOKUP(G259,MASTER!B:B,MASTER!C:C)</f>
        <v>VISTA BLOSSOM MIST 100 BOX 20 (LATA CENICERO '25)</v>
      </c>
    </row>
    <row r="260" spans="1:9" x14ac:dyDescent="0.35">
      <c r="A260">
        <v>7503006684791</v>
      </c>
      <c r="B260">
        <f>+_xlfn.XLOOKUP(A260,MASTER!B:B,MASTER!A:A)</f>
        <v>100080938</v>
      </c>
      <c r="C260" t="str">
        <f>+_xlfn.XLOOKUP(A260,MASTER!B:B,MASTER!C:C)</f>
        <v>PURO SANTA CRUZ PZ</v>
      </c>
      <c r="D260" s="10" t="str">
        <f>+_xlfn.XLOOKUP(A260,MASTER!B:B,MASTER!D:D)</f>
        <v>PUROS</v>
      </c>
      <c r="E260" s="10" t="str">
        <f>+_xlfn.XLOOKUP(A260,MASTER!B:B,MASTER!I:I)</f>
        <v>Activo</v>
      </c>
      <c r="G260">
        <v>7503031949223</v>
      </c>
      <c r="H260" s="10">
        <f>+_xlfn.XLOOKUP(G260,MASTER!B:B,MASTER!A:A)</f>
        <v>100025450</v>
      </c>
      <c r="I260" s="10" t="str">
        <f>+_xlfn.XLOOKUP(G260,MASTER!B:B,MASTER!C:C)</f>
        <v>MARLBORO VISTA CARIBBEAN FUSION 100 BOX 20 (LATA CENICERO '25) CAJETILLA PZ</v>
      </c>
    </row>
    <row r="261" spans="1:9" x14ac:dyDescent="0.35">
      <c r="A261">
        <v>7503006684807</v>
      </c>
      <c r="B261">
        <f>+_xlfn.XLOOKUP(A261,MASTER!B:B,MASTER!A:A)</f>
        <v>100080940</v>
      </c>
      <c r="C261" t="str">
        <f>+_xlfn.XLOOKUP(A261,MASTER!B:B,MASTER!C:C)</f>
        <v>PURITO HABANA GOLD VA PZ</v>
      </c>
      <c r="D261" s="10" t="str">
        <f>+_xlfn.XLOOKUP(A261,MASTER!B:B,MASTER!D:D)</f>
        <v>PUROS</v>
      </c>
      <c r="E261" s="10" t="str">
        <f>+_xlfn.XLOOKUP(A261,MASTER!B:B,MASTER!I:I)</f>
        <v>Activo</v>
      </c>
      <c r="G261">
        <v>7503031949322</v>
      </c>
      <c r="H261" s="10">
        <f>+_xlfn.XLOOKUP(G261,MASTER!B:B,MASTER!A:A)</f>
        <v>100025452</v>
      </c>
      <c r="I261" s="10" t="str">
        <f>+_xlfn.XLOOKUP(G261,MASTER!B:B,MASTER!C:C)</f>
        <v>MARLBORO VISTA PROVENCE FUSION 100 BOX 20 (LATA CENICERO '25) CAJETILLA PZ</v>
      </c>
    </row>
    <row r="262" spans="1:9" x14ac:dyDescent="0.35">
      <c r="A262">
        <v>7503006684838</v>
      </c>
      <c r="B262">
        <f>+_xlfn.XLOOKUP(A262,MASTER!B:B,MASTER!A:A)</f>
        <v>100080942</v>
      </c>
      <c r="C262" t="str">
        <f>+_xlfn.XLOOKUP(A262,MASTER!B:B,MASTER!C:C)</f>
        <v>PURO HABANA PZ</v>
      </c>
      <c r="D262" s="10" t="str">
        <f>+_xlfn.XLOOKUP(A262,MASTER!B:B,MASTER!D:D)</f>
        <v>PUROS</v>
      </c>
      <c r="E262" s="10" t="str">
        <f>+_xlfn.XLOOKUP(A262,MASTER!B:B,MASTER!I:I)</f>
        <v>Activo</v>
      </c>
      <c r="G262">
        <v>7503031950113</v>
      </c>
      <c r="H262" s="10">
        <f>+_xlfn.XLOOKUP(G262,MASTER!B:B,MASTER!A:A)</f>
        <v>100019960</v>
      </c>
      <c r="I262" s="10" t="str">
        <f>+_xlfn.XLOOKUP(G262,MASTER!B:B,MASTER!C:C)</f>
        <v>CHESTERFIELD LATA P REMIX PASSION 1 CAJETILLA</v>
      </c>
    </row>
    <row r="263" spans="1:9" x14ac:dyDescent="0.35">
      <c r="A263">
        <v>7503006684852</v>
      </c>
      <c r="B263">
        <f>+_xlfn.XLOOKUP(A263,MASTER!B:B,MASTER!A:A)</f>
        <v>100080943</v>
      </c>
      <c r="C263" t="str">
        <f>+_xlfn.XLOOKUP(A263,MASTER!B:B,MASTER!C:C)</f>
        <v>PURO HABANA PZ</v>
      </c>
      <c r="D263" s="10" t="str">
        <f>+_xlfn.XLOOKUP(A263,MASTER!B:B,MASTER!D:D)</f>
        <v>PUROS</v>
      </c>
      <c r="E263" s="10" t="str">
        <f>+_xlfn.XLOOKUP(A263,MASTER!B:B,MASTER!I:I)</f>
        <v>Activo</v>
      </c>
      <c r="G263">
        <v>7503031950137</v>
      </c>
      <c r="H263" s="10">
        <f>+_xlfn.XLOOKUP(G263,MASTER!B:B,MASTER!A:A)</f>
        <v>100020135</v>
      </c>
      <c r="I263" s="10" t="str">
        <f>+_xlfn.XLOOKUP(G263,MASTER!B:B,MASTER!C:C)</f>
        <v>MARLBORO LATAS  SUMMER DICIEMBRE  1 CAJETILLA</v>
      </c>
    </row>
    <row r="264" spans="1:9" x14ac:dyDescent="0.35">
      <c r="A264">
        <v>7503023648011</v>
      </c>
      <c r="B264">
        <f>+_xlfn.XLOOKUP(A264,MASTER!B:B,MASTER!A:A)</f>
        <v>100009364</v>
      </c>
      <c r="C264" t="str">
        <f>+_xlfn.XLOOKUP(A264,MASTER!B:B,MASTER!C:C)</f>
        <v>MAZATAN PURO TORO PZ</v>
      </c>
      <c r="D264" s="10" t="str">
        <f>+_xlfn.XLOOKUP(A264,MASTER!B:B,MASTER!D:D)</f>
        <v>PUROS</v>
      </c>
      <c r="E264" s="10" t="str">
        <f>+_xlfn.XLOOKUP(A264,MASTER!B:B,MASTER!I:I)</f>
        <v>Activo</v>
      </c>
      <c r="G264">
        <v>7503031950144</v>
      </c>
      <c r="H264" s="10">
        <f>+_xlfn.XLOOKUP(G264,MASTER!B:B,MASTER!A:A)</f>
        <v>100020134</v>
      </c>
      <c r="I264" s="10" t="str">
        <f>+_xlfn.XLOOKUP(G264,MASTER!B:B,MASTER!C:C)</f>
        <v>MARLBORO LATAS  GARDEN DICIEMBRE  1 CAJETILLA</v>
      </c>
    </row>
    <row r="265" spans="1:9" x14ac:dyDescent="0.35">
      <c r="A265">
        <v>7503023648042</v>
      </c>
      <c r="B265">
        <f>+_xlfn.XLOOKUP(A265,MASTER!B:B,MASTER!A:A)</f>
        <v>100009359</v>
      </c>
      <c r="C265" t="str">
        <f>+_xlfn.XLOOKUP(A265,MASTER!B:B,MASTER!C:C)</f>
        <v>MAZATAN PURO PETTITE PANATELA PZ</v>
      </c>
      <c r="D265" s="10" t="str">
        <f>+_xlfn.XLOOKUP(A265,MASTER!B:B,MASTER!D:D)</f>
        <v>PUROS</v>
      </c>
      <c r="E265" s="10" t="str">
        <f>+_xlfn.XLOOKUP(A265,MASTER!B:B,MASTER!I:I)</f>
        <v>Activo</v>
      </c>
      <c r="G265">
        <v>7503031950168</v>
      </c>
      <c r="H265" s="10">
        <f>+_xlfn.XLOOKUP(G265,MASTER!B:B,MASTER!A:A)</f>
        <v>100020137</v>
      </c>
      <c r="I265" s="10" t="str">
        <f>+_xlfn.XLOOKUP(G265,MASTER!B:B,MASTER!C:C)</f>
        <v>MARLBORO CRAFTE CRAFTED ARTESANAL  1 CAJETILLA</v>
      </c>
    </row>
    <row r="266" spans="1:9" x14ac:dyDescent="0.35">
      <c r="A266">
        <v>7503023959001</v>
      </c>
      <c r="B266">
        <f>+_xlfn.XLOOKUP(A266,MASTER!B:B,MASTER!A:A)</f>
        <v>100012957</v>
      </c>
      <c r="C266" t="str">
        <f>+_xlfn.XLOOKUP(A266,MASTER!B:B,MASTER!C:C)</f>
        <v>CAMEL FILTERS 20S 1CAJE</v>
      </c>
      <c r="D266" s="10" t="str">
        <f>+_xlfn.XLOOKUP(A266,MASTER!B:B,MASTER!D:D)</f>
        <v>JTI</v>
      </c>
      <c r="E266" s="10" t="str">
        <f>+_xlfn.XLOOKUP(A266,MASTER!B:B,MASTER!I:I)</f>
        <v>Activo</v>
      </c>
      <c r="G266">
        <v>7503031950175</v>
      </c>
      <c r="H266" s="10">
        <f>+_xlfn.XLOOKUP(G266,MASTER!B:B,MASTER!A:A)</f>
        <v>100020429</v>
      </c>
      <c r="I266" s="10" t="str">
        <f>+_xlfn.XLOOKUP(G266,MASTER!B:B,MASTER!C:C)</f>
        <v>MARLBORO LATA B BLOSSOM 1 CAJETILLA</v>
      </c>
    </row>
    <row r="267" spans="1:9" x14ac:dyDescent="0.35">
      <c r="A267">
        <v>7503023959025</v>
      </c>
      <c r="B267">
        <f>+_xlfn.XLOOKUP(A267,MASTER!B:B,MASTER!A:A)</f>
        <v>100014240</v>
      </c>
      <c r="C267" t="str">
        <f>+_xlfn.XLOOKUP(A267,MASTER!B:B,MASTER!C:C)</f>
        <v>CAMEL CAMEL  FILTERS 14S 1CAJE</v>
      </c>
      <c r="D267" s="10" t="str">
        <f>+_xlfn.XLOOKUP(A267,MASTER!B:B,MASTER!D:D)</f>
        <v>JTI</v>
      </c>
      <c r="E267" s="10" t="str">
        <f>+_xlfn.XLOOKUP(A267,MASTER!B:B,MASTER!I:I)</f>
        <v>Inactivo</v>
      </c>
      <c r="G267">
        <v>7503031950182</v>
      </c>
      <c r="H267" s="10">
        <f>+_xlfn.XLOOKUP(G267,MASTER!B:B,MASTER!A:A)</f>
        <v>100020724</v>
      </c>
      <c r="I267" s="10" t="str">
        <f>+_xlfn.XLOOKUP(G267,MASTER!B:B,MASTER!C:C)</f>
        <v>MARLBORO LATA L SUMMER 1 CAJETILLA</v>
      </c>
    </row>
    <row r="268" spans="1:9" x14ac:dyDescent="0.35">
      <c r="A268">
        <v>7503023959117</v>
      </c>
      <c r="B268">
        <f>+_xlfn.XLOOKUP(A268,MASTER!B:B,MASTER!A:A)</f>
        <v>100014242</v>
      </c>
      <c r="C268" t="str">
        <f>+_xlfn.XLOOKUP(A268,MASTER!B:B,MASTER!C:C)</f>
        <v>CAMEL CAMEL  ACTIVA MINT PURPLE 1CAJE</v>
      </c>
      <c r="D268" s="10" t="str">
        <f>+_xlfn.XLOOKUP(A268,MASTER!B:B,MASTER!D:D)</f>
        <v>JTI</v>
      </c>
      <c r="E268" s="10" t="str">
        <f>+_xlfn.XLOOKUP(A268,MASTER!B:B,MASTER!I:I)</f>
        <v>Inactivo</v>
      </c>
      <c r="G268">
        <v>7503031950199</v>
      </c>
      <c r="H268" s="10">
        <f>+_xlfn.XLOOKUP(G268,MASTER!B:B,MASTER!A:A)</f>
        <v>100020725</v>
      </c>
      <c r="I268" s="10" t="str">
        <f>+_xlfn.XLOOKUP(G268,MASTER!B:B,MASTER!C:C)</f>
        <v>MARLBORO LATA L GARDEN 1 CAJETILLA</v>
      </c>
    </row>
    <row r="269" spans="1:9" x14ac:dyDescent="0.35">
      <c r="A269">
        <v>7503023959148</v>
      </c>
      <c r="B269">
        <f>+_xlfn.XLOOKUP(A269,MASTER!B:B,MASTER!A:A)</f>
        <v>100014678</v>
      </c>
      <c r="C269" t="str">
        <f>+_xlfn.XLOOKUP(A269,MASTER!B:B,MASTER!C:C)</f>
        <v xml:space="preserve">CAMEL NATURAL FLAVOR 20						</v>
      </c>
      <c r="D269" s="10" t="str">
        <f>+_xlfn.XLOOKUP(A269,MASTER!B:B,MASTER!D:D)</f>
        <v>JTI</v>
      </c>
      <c r="E269" s="10" t="str">
        <f>+_xlfn.XLOOKUP(A269,MASTER!B:B,MASTER!I:I)</f>
        <v>Activo</v>
      </c>
      <c r="G269">
        <v>7503031950205</v>
      </c>
      <c r="H269" s="10">
        <f>+_xlfn.XLOOKUP(G269,MASTER!B:B,MASTER!A:A)</f>
        <v>100020726</v>
      </c>
      <c r="I269" s="10" t="str">
        <f>+_xlfn.XLOOKUP(G269,MASTER!B:B,MASTER!C:C)</f>
        <v>MARLBORO LATA L ARCTIC 1 CAJETILLA</v>
      </c>
    </row>
    <row r="270" spans="1:9" x14ac:dyDescent="0.35">
      <c r="A270">
        <v>7503023959162</v>
      </c>
      <c r="B270">
        <f>+_xlfn.XLOOKUP(A270,MASTER!B:B,MASTER!A:A)</f>
        <v>100016411</v>
      </c>
      <c r="C270" t="str">
        <f>+_xlfn.XLOOKUP(A270,MASTER!B:B,MASTER!C:C)</f>
        <v>WINSTON WINSTO WATERMELON 100S 1CAJE</v>
      </c>
      <c r="D270" s="10" t="str">
        <f>+_xlfn.XLOOKUP(A270,MASTER!B:B,MASTER!D:D)</f>
        <v>JTI</v>
      </c>
      <c r="E270" s="10" t="str">
        <f>+_xlfn.XLOOKUP(A270,MASTER!B:B,MASTER!I:I)</f>
        <v>Inactivo</v>
      </c>
      <c r="G270">
        <v>7503031950212</v>
      </c>
      <c r="H270" s="10">
        <f>+_xlfn.XLOOKUP(G270,MASTER!B:B,MASTER!A:A)</f>
        <v>100021091</v>
      </c>
      <c r="I270" s="10" t="str">
        <f>+_xlfn.XLOOKUP(G270,MASTER!B:B,MASTER!C:C)</f>
        <v>MARLBORO LATA B BLOSOM LPE 1 CAJETILLA</v>
      </c>
    </row>
    <row r="271" spans="1:9" x14ac:dyDescent="0.35">
      <c r="A271">
        <v>7503023959230</v>
      </c>
      <c r="B271">
        <f>+_xlfn.XLOOKUP(A271,MASTER!B:B,MASTER!A:A)</f>
        <v>100017393</v>
      </c>
      <c r="C271" t="str">
        <f>+_xlfn.XLOOKUP(A271,MASTER!B:B,MASTER!C:C)</f>
        <v>CAMEL FILTER GREETINGS 20S 1 PZ</v>
      </c>
      <c r="D271" s="10" t="str">
        <f>+_xlfn.XLOOKUP(A271,MASTER!B:B,MASTER!D:D)</f>
        <v>JTI</v>
      </c>
      <c r="E271" s="10" t="str">
        <f>+_xlfn.XLOOKUP(A271,MASTER!B:B,MASTER!I:I)</f>
        <v>Inactivo</v>
      </c>
      <c r="G271">
        <v>7503031950229</v>
      </c>
      <c r="H271" s="10">
        <f>+_xlfn.XLOOKUP(G271,MASTER!B:B,MASTER!A:A)</f>
        <v>100021413</v>
      </c>
      <c r="I271" s="10" t="str">
        <f>+_xlfn.XLOOKUP(G271,MASTER!B:B,MASTER!C:C)</f>
        <v>MARLBORO LPE ME MEXICO SUMMER 1 CAJETILLA</v>
      </c>
    </row>
    <row r="272" spans="1:9" x14ac:dyDescent="0.35">
      <c r="A272">
        <v>7503023959278</v>
      </c>
      <c r="B272">
        <f>+_xlfn.XLOOKUP(A272,MASTER!B:B,MASTER!A:A)</f>
        <v>100022971</v>
      </c>
      <c r="C272" t="str">
        <f>+_xlfn.XLOOKUP(A272,MASTER!B:B,MASTER!C:C)</f>
        <v>CAMEL CAMEL FILTERS ORIGINAL 25S 29 GR</v>
      </c>
      <c r="D272" s="10" t="str">
        <f>+_xlfn.XLOOKUP(A272,MASTER!B:B,MASTER!D:D)</f>
        <v>JTI</v>
      </c>
      <c r="E272" s="10" t="str">
        <f>+_xlfn.XLOOKUP(A272,MASTER!B:B,MASTER!I:I)</f>
        <v>Activo</v>
      </c>
      <c r="G272">
        <v>7503031950243</v>
      </c>
      <c r="H272" s="10">
        <f>+_xlfn.XLOOKUP(G272,MASTER!B:B,MASTER!A:A)</f>
        <v>100021407</v>
      </c>
      <c r="I272" s="10" t="str">
        <f>+_xlfn.XLOOKUP(G272,MASTER!B:B,MASTER!C:C)</f>
        <v>MARLBORO LPE ME MEXICO ARCTIC 1 CAJETILLA</v>
      </c>
    </row>
    <row r="273" spans="1:9" x14ac:dyDescent="0.35">
      <c r="A273">
        <v>7503023959346</v>
      </c>
      <c r="B273">
        <f>+_xlfn.XLOOKUP(A273,MASTER!B:B,MASTER!A:A)</f>
        <v>100018931</v>
      </c>
      <c r="C273" t="str">
        <f>+_xlfn.XLOOKUP(A273,MASTER!B:B,MASTER!C:C)</f>
        <v>CAMEL FILTER LEP ANIMALS 20S 23 G</v>
      </c>
      <c r="D273" s="10" t="str">
        <f>+_xlfn.XLOOKUP(A273,MASTER!B:B,MASTER!D:D)</f>
        <v>JTI</v>
      </c>
      <c r="E273" s="10" t="str">
        <f>+_xlfn.XLOOKUP(A273,MASTER!B:B,MASTER!I:I)</f>
        <v>Inactivo</v>
      </c>
      <c r="G273">
        <v>7503031950267</v>
      </c>
      <c r="H273" s="10">
        <f>+_xlfn.XLOOKUP(G273,MASTER!B:B,MASTER!A:A)</f>
        <v>100021797</v>
      </c>
      <c r="I273" s="10" t="str">
        <f>+_xlfn.XLOOKUP(G273,MASTER!B:B,MASTER!C:C)</f>
        <v>CHESTERFIELD LPE OR LPE 125 1 CAJETILLA</v>
      </c>
    </row>
    <row r="274" spans="1:9" x14ac:dyDescent="0.35">
      <c r="A274">
        <v>7503023959438</v>
      </c>
      <c r="B274">
        <f>+_xlfn.XLOOKUP(A274,MASTER!B:B,MASTER!A:A)</f>
        <v>100022054</v>
      </c>
      <c r="C274" t="str">
        <f>+_xlfn.XLOOKUP(A274,MASTER!B:B,MASTER!C:C)</f>
        <v xml:space="preserve"> WINSTON OASIS FRES 27.4 G	</v>
      </c>
      <c r="D274" s="10" t="str">
        <f>+_xlfn.XLOOKUP(A274,MASTER!B:B,MASTER!D:D)</f>
        <v>JTI</v>
      </c>
      <c r="E274" s="10" t="str">
        <f>+_xlfn.XLOOKUP(A274,MASTER!B:B,MASTER!I:I)</f>
        <v>Activo</v>
      </c>
      <c r="G274">
        <v>7503031950274</v>
      </c>
      <c r="H274" s="10">
        <f>+_xlfn.XLOOKUP(G274,MASTER!B:B,MASTER!A:A)</f>
        <v>100022139</v>
      </c>
      <c r="I274" s="10" t="str">
        <f>+_xlfn.XLOOKUP(G274,MASTER!B:B,MASTER!C:C)</f>
        <v>MARLBORO SUMMER LPE SUMMER 1 CAJETILLA</v>
      </c>
    </row>
    <row r="275" spans="1:9" x14ac:dyDescent="0.35">
      <c r="A275">
        <v>7503023959452</v>
      </c>
      <c r="B275">
        <f>+_xlfn.XLOOKUP(A275,MASTER!B:B,MASTER!A:A)</f>
        <v>100025162</v>
      </c>
      <c r="C275" t="str">
        <f>+_xlfn.XLOOKUP(A275,MASTER!B:B,MASTER!C:C)</f>
        <v>WINSTON WINSTON CLASSIC 25S 25 PZ</v>
      </c>
      <c r="D275" s="10" t="str">
        <f>+_xlfn.XLOOKUP(A275,MASTER!B:B,MASTER!D:D)</f>
        <v>JTI</v>
      </c>
      <c r="E275" s="10" t="str">
        <f>+_xlfn.XLOOKUP(A275,MASTER!B:B,MASTER!I:I)</f>
        <v>Descontinuado (con stock)</v>
      </c>
      <c r="G275">
        <v>7503031950281</v>
      </c>
      <c r="H275" s="10">
        <f>+_xlfn.XLOOKUP(G275,MASTER!B:B,MASTER!A:A)</f>
        <v>100022138</v>
      </c>
      <c r="I275" s="10" t="str">
        <f>+_xlfn.XLOOKUP(G275,MASTER!B:B,MASTER!C:C)</f>
        <v xml:space="preserve">MARLBORO GARDEN LPE GARDEN 1 CAJETILLA	</v>
      </c>
    </row>
    <row r="276" spans="1:9" x14ac:dyDescent="0.35">
      <c r="A276">
        <v>7503023959490</v>
      </c>
      <c r="B276">
        <f>+_xlfn.XLOOKUP(A276,MASTER!B:B,MASTER!A:A)</f>
        <v>100021814</v>
      </c>
      <c r="C276" t="str">
        <f>+_xlfn.XLOOKUP(A276,MASTER!B:B,MASTER!C:C)</f>
        <v>CAMEL SWITCH 100S 27.4 G</v>
      </c>
      <c r="D276" s="10" t="str">
        <f>+_xlfn.XLOOKUP(A276,MASTER!B:B,MASTER!D:D)</f>
        <v>JTI</v>
      </c>
      <c r="E276" s="10" t="str">
        <f>+_xlfn.XLOOKUP(A276,MASTER!B:B,MASTER!I:I)</f>
        <v>Descontinuado (con stock)</v>
      </c>
      <c r="G276">
        <v>7503031950298</v>
      </c>
      <c r="H276" s="10">
        <f>+_xlfn.XLOOKUP(G276,MASTER!B:B,MASTER!A:A)</f>
        <v>100022134</v>
      </c>
      <c r="I276" s="10" t="str">
        <f>+_xlfn.XLOOKUP(G276,MASTER!B:B,MASTER!C:C)</f>
        <v>MARLBORO ARCTIC LPE ARCTIC 1 CAJETILLA</v>
      </c>
    </row>
    <row r="277" spans="1:9" x14ac:dyDescent="0.35">
      <c r="A277">
        <v>7503023959506</v>
      </c>
      <c r="B277">
        <f>+_xlfn.XLOOKUP(A277,MASTER!B:B,MASTER!A:A)</f>
        <v>100021813</v>
      </c>
      <c r="C277" t="str">
        <f>+_xlfn.XLOOKUP(A277,MASTER!B:B,MASTER!C:C)</f>
        <v>CAMEL MAX DOUBLE 1 27.4 G</v>
      </c>
      <c r="D277" s="10" t="str">
        <f>+_xlfn.XLOOKUP(A277,MASTER!B:B,MASTER!D:D)</f>
        <v>JTI</v>
      </c>
      <c r="E277" s="10" t="str">
        <f>+_xlfn.XLOOKUP(A277,MASTER!B:B,MASTER!I:I)</f>
        <v>Descontinuado (con stock)</v>
      </c>
      <c r="G277">
        <v>7503031950304</v>
      </c>
      <c r="H277" s="10">
        <f>+_xlfn.XLOOKUP(G277,MASTER!B:B,MASTER!A:A)</f>
        <v>100022136</v>
      </c>
      <c r="I277" s="10" t="str">
        <f>+_xlfn.XLOOKUP(G277,MASTER!B:B,MASTER!C:C)</f>
        <v>MARLBORO BLOSSO LPE BLOSSOM 1 CAJETILLA</v>
      </c>
    </row>
    <row r="278" spans="1:9" x14ac:dyDescent="0.35">
      <c r="A278">
        <v>7503023959513</v>
      </c>
      <c r="B278">
        <f>+_xlfn.XLOOKUP(A278,MASTER!B:B,MASTER!A:A)</f>
        <v>100022996</v>
      </c>
      <c r="C278" t="str">
        <f>+_xlfn.XLOOKUP(A278,MASTER!B:B,MASTER!C:C)</f>
        <v>WINSTON WINSTON RED 20S 1 PZ</v>
      </c>
      <c r="D278" s="10" t="str">
        <f>+_xlfn.XLOOKUP(A278,MASTER!B:B,MASTER!D:D)</f>
        <v>JTI</v>
      </c>
      <c r="E278" s="10" t="str">
        <f>+_xlfn.XLOOKUP(A278,MASTER!B:B,MASTER!I:I)</f>
        <v>Activo</v>
      </c>
      <c r="G278">
        <v>7503031950311</v>
      </c>
      <c r="H278" s="10">
        <f>+_xlfn.XLOOKUP(G278,MASTER!B:B,MASTER!A:A)</f>
        <v>100022137</v>
      </c>
      <c r="I278" s="10" t="str">
        <f>+_xlfn.XLOOKUP(G278,MASTER!B:B,MASTER!C:C)</f>
        <v>MARLBORO CARIBB LPE CARIBBEAN 1 CAJETILLA</v>
      </c>
    </row>
    <row r="279" spans="1:9" x14ac:dyDescent="0.35">
      <c r="A279">
        <v>7503023959520</v>
      </c>
      <c r="B279">
        <f>+_xlfn.XLOOKUP(A279,MASTER!B:B,MASTER!A:A)</f>
        <v>100022995</v>
      </c>
      <c r="C279" t="str">
        <f>+_xlfn.XLOOKUP(A279,MASTER!B:B,MASTER!C:C)</f>
        <v>WINSTON WINSTON RED 25S 1 PZ</v>
      </c>
      <c r="D279" s="10" t="str">
        <f>+_xlfn.XLOOKUP(A279,MASTER!B:B,MASTER!D:D)</f>
        <v>JTI</v>
      </c>
      <c r="E279" s="10" t="str">
        <f>+_xlfn.XLOOKUP(A279,MASTER!B:B,MASTER!I:I)</f>
        <v>Activo</v>
      </c>
      <c r="G279">
        <v>7503031950458</v>
      </c>
      <c r="H279" s="10">
        <f>+_xlfn.XLOOKUP(G279,MASTER!B:B,MASTER!A:A)</f>
        <v>100022845</v>
      </c>
      <c r="I279" s="10" t="str">
        <f>+_xlfn.XLOOKUP(G279,MASTER!B:B,MASTER!C:C)</f>
        <v>MARLBORO SUMMER LATA 23 CAJET PZ</v>
      </c>
    </row>
    <row r="280" spans="1:9" x14ac:dyDescent="0.35">
      <c r="A280">
        <v>7503023959629</v>
      </c>
      <c r="B280">
        <f>+_xlfn.XLOOKUP(A280,MASTER!B:B,MASTER!A:A)</f>
        <v>100025152</v>
      </c>
      <c r="C280" t="str">
        <f>+_xlfn.XLOOKUP(A280,MASTER!B:B,MASTER!C:C)</f>
        <v>CAMEL CAMEL TROPICAL BREW DOBLE CÁPSULA 20 PZ</v>
      </c>
      <c r="D280" s="10" t="str">
        <f>+_xlfn.XLOOKUP(A280,MASTER!B:B,MASTER!D:D)</f>
        <v>JTI</v>
      </c>
      <c r="E280" s="10" t="str">
        <f>+_xlfn.XLOOKUP(A280,MASTER!B:B,MASTER!I:I)</f>
        <v>Descontinuado (con stock)</v>
      </c>
      <c r="G280">
        <v>7503031950465</v>
      </c>
      <c r="H280" s="10">
        <f>+_xlfn.XLOOKUP(G280,MASTER!B:B,MASTER!A:A)</f>
        <v>100022849</v>
      </c>
      <c r="I280" s="10" t="str">
        <f>+_xlfn.XLOOKUP(G280,MASTER!B:B,MASTER!C:C)</f>
        <v>MARLBORO GARDEN LATA 23 CAJET PZ</v>
      </c>
    </row>
    <row r="281" spans="1:9" x14ac:dyDescent="0.35">
      <c r="A281">
        <v>7503031949001</v>
      </c>
      <c r="B281">
        <f>+_xlfn.XLOOKUP(A281,MASTER!B:B,MASTER!A:A)</f>
        <v>100024305</v>
      </c>
      <c r="C281" t="str">
        <f>+_xlfn.XLOOKUP(A281,MASTER!B:B,MASTER!C:C)</f>
        <v>MARLBORO VISTA CARIBBEAN FUSION 100 BOX 20 LATA MEXICO 2024 CAJETILLA PZ</v>
      </c>
      <c r="D281" s="10" t="str">
        <f>+_xlfn.XLOOKUP(A281,MASTER!B:B,MASTER!D:D)</f>
        <v>PMI</v>
      </c>
      <c r="E281" s="10" t="str">
        <f>+_xlfn.XLOOKUP(A281,MASTER!B:B,MASTER!I:I)</f>
        <v>Descontinuado (con stock)</v>
      </c>
      <c r="G281">
        <v>7503031950472</v>
      </c>
      <c r="H281" s="10">
        <f>+_xlfn.XLOOKUP(G281,MASTER!B:B,MASTER!A:A)</f>
        <v>100022847</v>
      </c>
      <c r="I281" s="10" t="str">
        <f>+_xlfn.XLOOKUP(G281,MASTER!B:B,MASTER!C:C)</f>
        <v>MARLBORO ARTIC LATA 23 CAJET PZ</v>
      </c>
    </row>
    <row r="282" spans="1:9" x14ac:dyDescent="0.35">
      <c r="A282">
        <v>7503031949094</v>
      </c>
      <c r="B282">
        <f>+_xlfn.XLOOKUP(A282,MASTER!B:B,MASTER!A:A)</f>
        <v>100024306</v>
      </c>
      <c r="C282" t="str">
        <f>+_xlfn.XLOOKUP(A282,MASTER!B:B,MASTER!C:C)</f>
        <v>MARLBORO VISTA FOREST FUSION 100 BOX 20 LATA MEXICO 2024 CAJETILLA PZ</v>
      </c>
      <c r="D282" s="10" t="str">
        <f>+_xlfn.XLOOKUP(A282,MASTER!B:B,MASTER!D:D)</f>
        <v>PMI</v>
      </c>
      <c r="E282" s="10" t="str">
        <f>+_xlfn.XLOOKUP(A282,MASTER!B:B,MASTER!I:I)</f>
        <v>Descontinuado (con stock)</v>
      </c>
      <c r="G282">
        <v>7503031950489</v>
      </c>
      <c r="H282" s="10">
        <f>+_xlfn.XLOOKUP(G282,MASTER!B:B,MASTER!A:A)</f>
        <v>100022846</v>
      </c>
      <c r="I282" s="10" t="str">
        <f>+_xlfn.XLOOKUP(G282,MASTER!B:B,MASTER!C:C)</f>
        <v>MARLBORO BLOSSOM LATA 23 CAJET PZ</v>
      </c>
    </row>
    <row r="283" spans="1:9" x14ac:dyDescent="0.35">
      <c r="A283">
        <v>7503031949209</v>
      </c>
      <c r="B283">
        <f>+_xlfn.XLOOKUP(A283,MASTER!B:B,MASTER!A:A)</f>
        <v>100025451</v>
      </c>
      <c r="C283" t="str">
        <f>+_xlfn.XLOOKUP(A283,MASTER!B:B,MASTER!C:C)</f>
        <v>MARLBORO VISTA FOREST FUSION 100 BOX 20 (LATA CENICERO '25) CAJETILLA PZ</v>
      </c>
      <c r="D283" s="10" t="str">
        <f>+_xlfn.XLOOKUP(A283,MASTER!B:B,MASTER!D:D)</f>
        <v>PMI</v>
      </c>
      <c r="E283" s="10" t="str">
        <f>+_xlfn.XLOOKUP(A283,MASTER!B:B,MASTER!I:I)</f>
        <v>Descontinuado (con stock)</v>
      </c>
      <c r="G283">
        <v>7503031950496</v>
      </c>
      <c r="H283" s="10">
        <f>+_xlfn.XLOOKUP(G283,MASTER!B:B,MASTER!A:A)</f>
        <v>100022848</v>
      </c>
      <c r="I283" s="10" t="str">
        <f>+_xlfn.XLOOKUP(G283,MASTER!B:B,MASTER!C:C)</f>
        <v>MARLBORO CARIBBEAN LATA 23 CAJET PZ</v>
      </c>
    </row>
    <row r="284" spans="1:9" x14ac:dyDescent="0.35">
      <c r="A284">
        <v>7503031949216</v>
      </c>
      <c r="B284">
        <f>+_xlfn.XLOOKUP(A284,MASTER!B:B,MASTER!A:A)</f>
        <v>100025449</v>
      </c>
      <c r="C284" t="str">
        <f>+_xlfn.XLOOKUP(A284,MASTER!B:B,MASTER!C:C)</f>
        <v>VISTA BLOSSOM MIST 100 BOX 20 (LATA CENICERO '25)</v>
      </c>
      <c r="D284" s="10" t="str">
        <f>+_xlfn.XLOOKUP(A284,MASTER!B:B,MASTER!D:D)</f>
        <v>PMI</v>
      </c>
      <c r="E284" s="10" t="str">
        <f>+_xlfn.XLOOKUP(A284,MASTER!B:B,MASTER!I:I)</f>
        <v>Descontinuado (con stock)</v>
      </c>
      <c r="G284">
        <v>7503031950533</v>
      </c>
      <c r="H284" s="10">
        <f>+_xlfn.XLOOKUP(G284,MASTER!B:B,MASTER!A:A)</f>
        <v>100023362</v>
      </c>
      <c r="I284" s="10" t="str">
        <f>+_xlfn.XLOOKUP(G284,MASTER!B:B,MASTER!C:C)</f>
        <v>MARLBORO CRAFTED 2.0 RED KS BOX 20 STD - VAO CAJETILLA PZ</v>
      </c>
    </row>
    <row r="285" spans="1:9" x14ac:dyDescent="0.35">
      <c r="A285">
        <v>7503031949223</v>
      </c>
      <c r="B285">
        <f>+_xlfn.XLOOKUP(A285,MASTER!B:B,MASTER!A:A)</f>
        <v>100025450</v>
      </c>
      <c r="C285" t="str">
        <f>+_xlfn.XLOOKUP(A285,MASTER!B:B,MASTER!C:C)</f>
        <v>MARLBORO VISTA CARIBBEAN FUSION 100 BOX 20 (LATA CENICERO '25) CAJETILLA PZ</v>
      </c>
      <c r="D285" s="10" t="str">
        <f>+_xlfn.XLOOKUP(A285,MASTER!B:B,MASTER!D:D)</f>
        <v>PMI</v>
      </c>
      <c r="E285" s="10" t="str">
        <f>+_xlfn.XLOOKUP(A285,MASTER!B:B,MASTER!I:I)</f>
        <v>Descontinuado (con stock)</v>
      </c>
      <c r="G285">
        <v>7503031950540</v>
      </c>
      <c r="H285" s="10">
        <f>+_xlfn.XLOOKUP(G285,MASTER!B:B,MASTER!A:A)</f>
        <v>100023361</v>
      </c>
      <c r="I285" s="10" t="str">
        <f>+_xlfn.XLOOKUP(G285,MASTER!B:B,MASTER!C:C)</f>
        <v>MARLBORO  MARLBORO CRAFTED 2.0 GOLD KS BOX 20 STD - VAO CAJETILLA PZ</v>
      </c>
    </row>
    <row r="286" spans="1:9" x14ac:dyDescent="0.35">
      <c r="A286">
        <v>7503031949322</v>
      </c>
      <c r="B286">
        <f>+_xlfn.XLOOKUP(A286,MASTER!B:B,MASTER!A:A)</f>
        <v>100025452</v>
      </c>
      <c r="C286" t="str">
        <f>+_xlfn.XLOOKUP(A286,MASTER!B:B,MASTER!C:C)</f>
        <v>MARLBORO VISTA PROVENCE FUSION 100 BOX 20 (LATA CENICERO '25) CAJETILLA PZ</v>
      </c>
      <c r="D286" s="10" t="str">
        <f>+_xlfn.XLOOKUP(A286,MASTER!B:B,MASTER!D:D)</f>
        <v>PMI</v>
      </c>
      <c r="E286" s="10" t="str">
        <f>+_xlfn.XLOOKUP(A286,MASTER!B:B,MASTER!I:I)</f>
        <v>Descontinuado (con stock)</v>
      </c>
      <c r="G286">
        <v>7503031950571</v>
      </c>
      <c r="H286" s="10">
        <f>+_xlfn.XLOOKUP(G286,MASTER!B:B,MASTER!A:A)</f>
        <v>100022970</v>
      </c>
      <c r="I286" s="10" t="str">
        <f>+_xlfn.XLOOKUP(G286,MASTER!B:B,MASTER!C:C)</f>
        <v>HEETS BLACK GREEN SELECTION S50 PRI 20 SLI</v>
      </c>
    </row>
    <row r="287" spans="1:9" x14ac:dyDescent="0.35">
      <c r="A287">
        <v>7503031950212</v>
      </c>
      <c r="B287">
        <f>+_xlfn.XLOOKUP(A287,MASTER!B:B,MASTER!A:A)</f>
        <v>100021091</v>
      </c>
      <c r="C287" t="str">
        <f>+_xlfn.XLOOKUP(A287,MASTER!B:B,MASTER!C:C)</f>
        <v>MARLBORO LATA B BLOSOM LPE 1 CAJETILLA</v>
      </c>
      <c r="D287" s="10" t="str">
        <f>+_xlfn.XLOOKUP(A287,MASTER!B:B,MASTER!D:D)</f>
        <v>PMI</v>
      </c>
      <c r="E287" s="10" t="str">
        <f>+_xlfn.XLOOKUP(A287,MASTER!B:B,MASTER!I:I)</f>
        <v>Descontinuado (con stock)</v>
      </c>
      <c r="G287">
        <v>7503031950939</v>
      </c>
      <c r="H287" s="10">
        <f>+_xlfn.XLOOKUP(G287,MASTER!B:B,MASTER!A:A)</f>
        <v>100023891</v>
      </c>
      <c r="I287" s="10" t="str">
        <f>+_xlfn.XLOOKUP(G287,MASTER!B:B,MASTER!C:C)</f>
        <v>MARLBORO SUMMER FUSION MNT LATA DISCO 24 MARLBORO SUMMER LATA 24 DISCO CAJETILLA PZ</v>
      </c>
    </row>
    <row r="288" spans="1:9" x14ac:dyDescent="0.35">
      <c r="A288">
        <v>7503031950274</v>
      </c>
      <c r="B288">
        <f>+_xlfn.XLOOKUP(A288,MASTER!B:B,MASTER!A:A)</f>
        <v>100022139</v>
      </c>
      <c r="C288" t="str">
        <f>+_xlfn.XLOOKUP(A288,MASTER!B:B,MASTER!C:C)</f>
        <v>MARLBORO SUMMER LPE SUMMER 1 CAJETILLA</v>
      </c>
      <c r="D288" s="10" t="str">
        <f>+_xlfn.XLOOKUP(A288,MASTER!B:B,MASTER!D:D)</f>
        <v>PMI</v>
      </c>
      <c r="E288" s="10" t="str">
        <f>+_xlfn.XLOOKUP(A288,MASTER!B:B,MASTER!I:I)</f>
        <v>Descontinuado (con stock)</v>
      </c>
      <c r="G288">
        <v>7503031950946</v>
      </c>
      <c r="H288" s="10">
        <f>+_xlfn.XLOOKUP(G288,MASTER!B:B,MASTER!A:A)</f>
        <v>100023892</v>
      </c>
      <c r="I288" s="10" t="str">
        <f>+_xlfn.XLOOKUP(G288,MASTER!B:B,MASTER!C:C)</f>
        <v>MARLBORO BLOSSOM MIST MNT LATA DISCO 24 PZ</v>
      </c>
    </row>
    <row r="289" spans="1:9" x14ac:dyDescent="0.35">
      <c r="A289">
        <v>7503031950281</v>
      </c>
      <c r="B289">
        <f>+_xlfn.XLOOKUP(A289,MASTER!B:B,MASTER!A:A)</f>
        <v>100022138</v>
      </c>
      <c r="C289" t="str">
        <f>+_xlfn.XLOOKUP(A289,MASTER!B:B,MASTER!C:C)</f>
        <v xml:space="preserve">MARLBORO GARDEN LPE GARDEN 1 CAJETILLA	</v>
      </c>
      <c r="D289" s="10" t="str">
        <f>+_xlfn.XLOOKUP(A289,MASTER!B:B,MASTER!D:D)</f>
        <v>PMI</v>
      </c>
      <c r="E289" s="10" t="str">
        <f>+_xlfn.XLOOKUP(A289,MASTER!B:B,MASTER!I:I)</f>
        <v>Descontinuado (con stock)</v>
      </c>
      <c r="G289">
        <v>7503031950953</v>
      </c>
      <c r="H289" s="10">
        <f>+_xlfn.XLOOKUP(G289,MASTER!B:B,MASTER!A:A)</f>
        <v>100023889</v>
      </c>
      <c r="I289" s="10" t="str">
        <f>+_xlfn.XLOOKUP(G289,MASTER!B:B,MASTER!C:C)</f>
        <v>MARLBORO FOREST FUSION MNT LATA DISCO 24</v>
      </c>
    </row>
    <row r="290" spans="1:9" x14ac:dyDescent="0.35">
      <c r="A290">
        <v>7503031950298</v>
      </c>
      <c r="B290">
        <f>+_xlfn.XLOOKUP(A290,MASTER!B:B,MASTER!A:A)</f>
        <v>100022134</v>
      </c>
      <c r="C290" t="str">
        <f>+_xlfn.XLOOKUP(A290,MASTER!B:B,MASTER!C:C)</f>
        <v>MARLBORO ARCTIC LPE ARCTIC 1 CAJETILLA</v>
      </c>
      <c r="D290" s="10" t="str">
        <f>+_xlfn.XLOOKUP(A290,MASTER!B:B,MASTER!D:D)</f>
        <v>PMI</v>
      </c>
      <c r="E290" s="10" t="str">
        <f>+_xlfn.XLOOKUP(A290,MASTER!B:B,MASTER!I:I)</f>
        <v>Descontinuado (con stock)</v>
      </c>
      <c r="G290">
        <v>7503031950960</v>
      </c>
      <c r="H290" s="10">
        <f>+_xlfn.XLOOKUP(G290,MASTER!B:B,MASTER!A:A)</f>
        <v>100024301</v>
      </c>
      <c r="I290" s="10" t="str">
        <f>+_xlfn.XLOOKUP(G290,MASTER!B:B,MASTER!C:C)</f>
        <v>MARLBORO VISTA SUMMER FUSION 100 BOX 20 LATA MEXICO 2024 CAJETILLA PZ</v>
      </c>
    </row>
    <row r="291" spans="1:9" x14ac:dyDescent="0.35">
      <c r="A291">
        <v>7503031950304</v>
      </c>
      <c r="B291">
        <f>+_xlfn.XLOOKUP(A291,MASTER!B:B,MASTER!A:A)</f>
        <v>100022136</v>
      </c>
      <c r="C291" t="str">
        <f>+_xlfn.XLOOKUP(A291,MASTER!B:B,MASTER!C:C)</f>
        <v>MARLBORO BLOSSO LPE BLOSSOM 1 CAJETILLA</v>
      </c>
      <c r="D291" s="10" t="str">
        <f>+_xlfn.XLOOKUP(A291,MASTER!B:B,MASTER!D:D)</f>
        <v>PMI</v>
      </c>
      <c r="E291" s="10" t="str">
        <f>+_xlfn.XLOOKUP(A291,MASTER!B:B,MASTER!I:I)</f>
        <v>Descontinuado (con stock)</v>
      </c>
      <c r="G291">
        <v>7503031950977</v>
      </c>
      <c r="H291" s="10">
        <f>+_xlfn.XLOOKUP(G291,MASTER!B:B,MASTER!A:A)</f>
        <v>100024303</v>
      </c>
      <c r="I291" s="10" t="str">
        <f>+_xlfn.XLOOKUP(G291,MASTER!B:B,MASTER!C:C)</f>
        <v>MARLBORO VISTA GARDEN FUSION 100 BOX 20 LATA MEXICO 2024 CAJETILLA PZ</v>
      </c>
    </row>
    <row r="292" spans="1:9" x14ac:dyDescent="0.35">
      <c r="A292">
        <v>7503031950311</v>
      </c>
      <c r="B292">
        <f>+_xlfn.XLOOKUP(A292,MASTER!B:B,MASTER!A:A)</f>
        <v>100022137</v>
      </c>
      <c r="C292" t="str">
        <f>+_xlfn.XLOOKUP(A292,MASTER!B:B,MASTER!C:C)</f>
        <v>MARLBORO CARIBB LPE CARIBBEAN 1 CAJETILLA</v>
      </c>
      <c r="D292" s="10" t="str">
        <f>+_xlfn.XLOOKUP(A292,MASTER!B:B,MASTER!D:D)</f>
        <v>PMI</v>
      </c>
      <c r="E292" s="10" t="str">
        <f>+_xlfn.XLOOKUP(A292,MASTER!B:B,MASTER!I:I)</f>
        <v>Descontinuado (con stock)</v>
      </c>
      <c r="G292">
        <v>7503031950991</v>
      </c>
      <c r="H292" s="10">
        <f>+_xlfn.XLOOKUP(G292,MASTER!B:B,MASTER!A:A)</f>
        <v>100024304</v>
      </c>
      <c r="I292" s="10" t="str">
        <f>+_xlfn.XLOOKUP(G292,MASTER!B:B,MASTER!C:C)</f>
        <v>MARLBORO VISTA BLOSSOM 100 BOX 20 LATA MEXICO 2024 CAJETILLA PZ</v>
      </c>
    </row>
    <row r="293" spans="1:9" x14ac:dyDescent="0.35">
      <c r="A293">
        <v>7503031950458</v>
      </c>
      <c r="B293">
        <f>+_xlfn.XLOOKUP(A293,MASTER!B:B,MASTER!A:A)</f>
        <v>100022845</v>
      </c>
      <c r="C293" t="str">
        <f>+_xlfn.XLOOKUP(A293,MASTER!B:B,MASTER!C:C)</f>
        <v>MARLBORO SUMMER LATA 23 CAJET PZ</v>
      </c>
      <c r="D293" s="10" t="str">
        <f>+_xlfn.XLOOKUP(A293,MASTER!B:B,MASTER!D:D)</f>
        <v>PMI</v>
      </c>
      <c r="E293" s="10" t="str">
        <f>+_xlfn.XLOOKUP(A293,MASTER!B:B,MASTER!I:I)</f>
        <v>Descontinuado (con stock)</v>
      </c>
      <c r="G293">
        <v>7503039738386</v>
      </c>
      <c r="H293" s="10">
        <f>+_xlfn.XLOOKUP(G293,MASTER!B:B,MASTER!A:A)</f>
        <v>100025292</v>
      </c>
      <c r="I293" s="10" t="str">
        <f>+_xlfn.XLOOKUP(G293,MASTER!B:B,MASTER!C:C)</f>
        <v>VELO TROPICAL MANGO 8 MG 20 PZ</v>
      </c>
    </row>
    <row r="294" spans="1:9" x14ac:dyDescent="0.35">
      <c r="A294">
        <v>7503031950465</v>
      </c>
      <c r="B294">
        <f>+_xlfn.XLOOKUP(A294,MASTER!B:B,MASTER!A:A)</f>
        <v>100022849</v>
      </c>
      <c r="C294" t="str">
        <f>+_xlfn.XLOOKUP(A294,MASTER!B:B,MASTER!C:C)</f>
        <v>MARLBORO GARDEN LATA 23 CAJET PZ</v>
      </c>
      <c r="D294" s="10" t="str">
        <f>+_xlfn.XLOOKUP(A294,MASTER!B:B,MASTER!D:D)</f>
        <v>PMI</v>
      </c>
      <c r="E294" s="10" t="str">
        <f>+_xlfn.XLOOKUP(A294,MASTER!B:B,MASTER!I:I)</f>
        <v>Descontinuado (con stock)</v>
      </c>
      <c r="G294">
        <v>7503039738393</v>
      </c>
      <c r="H294" s="10">
        <f>+_xlfn.XLOOKUP(G294,MASTER!B:B,MASTER!A:A)</f>
        <v>100025297</v>
      </c>
      <c r="I294" s="10" t="str">
        <f>+_xlfn.XLOOKUP(G294,MASTER!B:B,MASTER!C:C)</f>
        <v>VELO GREEN SPEARMINT 8 MG 20 PZ</v>
      </c>
    </row>
    <row r="295" spans="1:9" x14ac:dyDescent="0.35">
      <c r="A295">
        <v>7503031950472</v>
      </c>
      <c r="B295">
        <f>+_xlfn.XLOOKUP(A295,MASTER!B:B,MASTER!A:A)</f>
        <v>100022847</v>
      </c>
      <c r="C295" t="str">
        <f>+_xlfn.XLOOKUP(A295,MASTER!B:B,MASTER!C:C)</f>
        <v>MARLBORO ARTIC LATA 23 CAJET PZ</v>
      </c>
      <c r="D295" s="10" t="str">
        <f>+_xlfn.XLOOKUP(A295,MASTER!B:B,MASTER!D:D)</f>
        <v>PMI</v>
      </c>
      <c r="E295" s="10" t="str">
        <f>+_xlfn.XLOOKUP(A295,MASTER!B:B,MASTER!I:I)</f>
        <v>Descontinuado (con stock)</v>
      </c>
      <c r="G295">
        <v>7503039738409</v>
      </c>
      <c r="H295" s="10">
        <f>+_xlfn.XLOOKUP(G295,MASTER!B:B,MASTER!A:A)</f>
        <v>100025296</v>
      </c>
      <c r="I295" s="10" t="str">
        <f>+_xlfn.XLOOKUP(G295,MASTER!B:B,MASTER!C:C)</f>
        <v>VELO STRAWBERRY ICE 8 MG 20 PZ</v>
      </c>
    </row>
    <row r="296" spans="1:9" x14ac:dyDescent="0.35">
      <c r="A296">
        <v>7503031950489</v>
      </c>
      <c r="B296">
        <f>+_xlfn.XLOOKUP(A296,MASTER!B:B,MASTER!A:A)</f>
        <v>100022846</v>
      </c>
      <c r="C296" t="str">
        <f>+_xlfn.XLOOKUP(A296,MASTER!B:B,MASTER!C:C)</f>
        <v>MARLBORO BLOSSOM LATA 23 CAJET PZ</v>
      </c>
      <c r="D296" s="10" t="str">
        <f>+_xlfn.XLOOKUP(A296,MASTER!B:B,MASTER!D:D)</f>
        <v>PMI</v>
      </c>
      <c r="E296" s="10" t="str">
        <f>+_xlfn.XLOOKUP(A296,MASTER!B:B,MASTER!I:I)</f>
        <v>Descontinuado (con stock)</v>
      </c>
      <c r="G296">
        <v>7503039738416</v>
      </c>
      <c r="H296" s="10">
        <f>+_xlfn.XLOOKUP(G296,MASTER!B:B,MASTER!A:A)</f>
        <v>100025298</v>
      </c>
      <c r="I296" s="10" t="str">
        <f>+_xlfn.XLOOKUP(G296,MASTER!B:B,MASTER!C:C)</f>
        <v>VELO POLAR PEPPERMINT 8 MG 20 PZ</v>
      </c>
    </row>
    <row r="297" spans="1:9" x14ac:dyDescent="0.35">
      <c r="A297">
        <v>7503031950496</v>
      </c>
      <c r="B297">
        <f>+_xlfn.XLOOKUP(A297,MASTER!B:B,MASTER!A:A)</f>
        <v>100022848</v>
      </c>
      <c r="C297" t="str">
        <f>+_xlfn.XLOOKUP(A297,MASTER!B:B,MASTER!C:C)</f>
        <v>MARLBORO CARIBBEAN LATA 23 CAJET PZ</v>
      </c>
      <c r="D297" s="10" t="str">
        <f>+_xlfn.XLOOKUP(A297,MASTER!B:B,MASTER!D:D)</f>
        <v>PMI</v>
      </c>
      <c r="E297" s="10" t="str">
        <f>+_xlfn.XLOOKUP(A297,MASTER!B:B,MASTER!I:I)</f>
        <v>Descontinuado (con stock)</v>
      </c>
      <c r="G297">
        <v>7503039738447</v>
      </c>
      <c r="H297" s="10">
        <f>+_xlfn.XLOOKUP(G297,MASTER!B:B,MASTER!A:A)</f>
        <v>100025893</v>
      </c>
      <c r="I297" s="10" t="str">
        <f>+_xlfn.XLOOKUP(G297,MASTER!B:B,MASTER!C:C)</f>
        <v>VELO CHERRY ICE 6 MG 15 PZ</v>
      </c>
    </row>
    <row r="298" spans="1:9" x14ac:dyDescent="0.35">
      <c r="A298">
        <v>7503031950533</v>
      </c>
      <c r="B298">
        <f>+_xlfn.XLOOKUP(A298,MASTER!B:B,MASTER!A:A)</f>
        <v>100023362</v>
      </c>
      <c r="C298" t="str">
        <f>+_xlfn.XLOOKUP(A298,MASTER!B:B,MASTER!C:C)</f>
        <v>MARLBORO CRAFTED 2.0 RED KS BOX 20 STD - VAO CAJETILLA PZ</v>
      </c>
      <c r="D298" s="10" t="str">
        <f>+_xlfn.XLOOKUP(A298,MASTER!B:B,MASTER!D:D)</f>
        <v>PMI</v>
      </c>
      <c r="E298" s="10" t="str">
        <f>+_xlfn.XLOOKUP(A298,MASTER!B:B,MASTER!I:I)</f>
        <v>Descontinuado (con stock)</v>
      </c>
      <c r="G298">
        <v>7503039738461</v>
      </c>
      <c r="H298" s="10">
        <f>+_xlfn.XLOOKUP(G298,MASTER!B:B,MASTER!A:A)</f>
        <v>100025894</v>
      </c>
      <c r="I298" s="10" t="str">
        <f>+_xlfn.XLOOKUP(G298,MASTER!B:B,MASTER!C:C)</f>
        <v>VELO PURPLE GRAPE 6MG 15 PZ</v>
      </c>
    </row>
    <row r="299" spans="1:9" x14ac:dyDescent="0.35">
      <c r="A299">
        <v>7503031950540</v>
      </c>
      <c r="B299">
        <f>+_xlfn.XLOOKUP(A299,MASTER!B:B,MASTER!A:A)</f>
        <v>100023361</v>
      </c>
      <c r="C299" t="str">
        <f>+_xlfn.XLOOKUP(A299,MASTER!B:B,MASTER!C:C)</f>
        <v>MARLBORO  MARLBORO CRAFTED 2.0 GOLD KS BOX 20 STD - VAO CAJETILLA PZ</v>
      </c>
      <c r="D299" s="10" t="str">
        <f>+_xlfn.XLOOKUP(A299,MASTER!B:B,MASTER!D:D)</f>
        <v>PMI</v>
      </c>
      <c r="E299" s="10" t="str">
        <f>+_xlfn.XLOOKUP(A299,MASTER!B:B,MASTER!I:I)</f>
        <v>Descontinuado (con stock)</v>
      </c>
      <c r="G299">
        <v>7503039738478</v>
      </c>
      <c r="H299" s="10">
        <f>+_xlfn.XLOOKUP(G299,MASTER!B:B,MASTER!A:A)</f>
        <v>100025895</v>
      </c>
      <c r="I299" s="10" t="str">
        <f>+_xlfn.XLOOKUP(G299,MASTER!B:B,MASTER!C:C)</f>
        <v>VELO WATERMELON ICE 6 MG 15 PZ</v>
      </c>
    </row>
    <row r="300" spans="1:9" x14ac:dyDescent="0.35">
      <c r="A300">
        <v>7503031950571</v>
      </c>
      <c r="B300">
        <f>+_xlfn.XLOOKUP(A300,MASTER!B:B,MASTER!A:A)</f>
        <v>100022970</v>
      </c>
      <c r="C300" t="str">
        <f>+_xlfn.XLOOKUP(A300,MASTER!B:B,MASTER!C:C)</f>
        <v>HEETS BLACK GREEN SELECTION S50 PRI 20 SLI</v>
      </c>
      <c r="D300" s="10" t="str">
        <f>+_xlfn.XLOOKUP(A300,MASTER!B:B,MASTER!D:D)</f>
        <v>PMI</v>
      </c>
      <c r="E300" s="10" t="str">
        <f>+_xlfn.XLOOKUP(A300,MASTER!B:B,MASTER!I:I)</f>
        <v>Descontinuado (con stock)</v>
      </c>
      <c r="G300">
        <v>7503039738539</v>
      </c>
      <c r="H300" s="10">
        <f>+_xlfn.XLOOKUP(G300,MASTER!B:B,MASTER!A:A)</f>
        <v>100026300</v>
      </c>
      <c r="I300" s="10" t="str">
        <f>+_xlfn.XLOOKUP(G300,MASTER!B:B,MASTER!C:C)</f>
        <v>VELO POLAR PEPPERMINT 6MG TC COLOR 15 PZ</v>
      </c>
    </row>
    <row r="301" spans="1:9" x14ac:dyDescent="0.35">
      <c r="A301">
        <v>7503031950939</v>
      </c>
      <c r="B301">
        <f>+_xlfn.XLOOKUP(A301,MASTER!B:B,MASTER!A:A)</f>
        <v>100023891</v>
      </c>
      <c r="C301" t="str">
        <f>+_xlfn.XLOOKUP(A301,MASTER!B:B,MASTER!C:C)</f>
        <v>MARLBORO SUMMER FUSION MNT LATA DISCO 24 MARLBORO SUMMER LATA 24 DISCO CAJETILLA PZ</v>
      </c>
      <c r="D301" s="10" t="str">
        <f>+_xlfn.XLOOKUP(A301,MASTER!B:B,MASTER!D:D)</f>
        <v>PMI</v>
      </c>
      <c r="E301" s="10" t="str">
        <f>+_xlfn.XLOOKUP(A301,MASTER!B:B,MASTER!I:I)</f>
        <v>Descontinuado (con stock)</v>
      </c>
      <c r="G301">
        <v>7503039738546</v>
      </c>
      <c r="H301" s="10">
        <f>+_xlfn.XLOOKUP(G301,MASTER!B:B,MASTER!A:A)</f>
        <v>100026301</v>
      </c>
      <c r="I301" s="10" t="str">
        <f>+_xlfn.XLOOKUP(G301,MASTER!B:B,MASTER!C:C)</f>
        <v>VELO GREEN SPEARMINT 6MG TC COLOR 15 PZ</v>
      </c>
    </row>
    <row r="302" spans="1:9" x14ac:dyDescent="0.35">
      <c r="A302">
        <v>7503031950946</v>
      </c>
      <c r="B302">
        <f>+_xlfn.XLOOKUP(A302,MASTER!B:B,MASTER!A:A)</f>
        <v>100023892</v>
      </c>
      <c r="C302" t="str">
        <f>+_xlfn.XLOOKUP(A302,MASTER!B:B,MASTER!C:C)</f>
        <v>MARLBORO BLOSSOM MIST MNT LATA DISCO 24 PZ</v>
      </c>
      <c r="D302" s="10" t="str">
        <f>+_xlfn.XLOOKUP(A302,MASTER!B:B,MASTER!D:D)</f>
        <v>PMI</v>
      </c>
      <c r="E302" s="10" t="str">
        <f>+_xlfn.XLOOKUP(A302,MASTER!B:B,MASTER!I:I)</f>
        <v>Descontinuado (con stock)</v>
      </c>
      <c r="G302">
        <v>7503039738553</v>
      </c>
      <c r="H302" s="10">
        <f>+_xlfn.XLOOKUP(G302,MASTER!B:B,MASTER!A:A)</f>
        <v>100026302</v>
      </c>
      <c r="I302" s="10" t="str">
        <f>+_xlfn.XLOOKUP(G302,MASTER!B:B,MASTER!C:C)</f>
        <v>VELO STRAWBERRY ICE 6MG TC COLOR 15 PZ</v>
      </c>
    </row>
    <row r="303" spans="1:9" x14ac:dyDescent="0.35">
      <c r="A303">
        <v>7503031950953</v>
      </c>
      <c r="B303">
        <f>+_xlfn.XLOOKUP(A303,MASTER!B:B,MASTER!A:A)</f>
        <v>100023889</v>
      </c>
      <c r="C303" t="str">
        <f>+_xlfn.XLOOKUP(A303,MASTER!B:B,MASTER!C:C)</f>
        <v>MARLBORO FOREST FUSION MNT LATA DISCO 24</v>
      </c>
      <c r="D303" s="10" t="str">
        <f>+_xlfn.XLOOKUP(A303,MASTER!B:B,MASTER!D:D)</f>
        <v>PMI</v>
      </c>
      <c r="E303" s="10" t="str">
        <f>+_xlfn.XLOOKUP(A303,MASTER!B:B,MASTER!I:I)</f>
        <v>Descontinuado (con stock)</v>
      </c>
      <c r="G303">
        <v>7503039738560</v>
      </c>
      <c r="H303" s="10">
        <f>+_xlfn.XLOOKUP(G303,MASTER!B:B,MASTER!A:A)</f>
        <v>100026304</v>
      </c>
      <c r="I303" s="10" t="str">
        <f>+_xlfn.XLOOKUP(G303,MASTER!B:B,MASTER!C:C)</f>
        <v>VELO TROPICAL MANGO 6MG TC COLOR 15 PZ</v>
      </c>
    </row>
    <row r="304" spans="1:9" x14ac:dyDescent="0.35">
      <c r="A304">
        <v>7503031950960</v>
      </c>
      <c r="B304">
        <f>+_xlfn.XLOOKUP(A304,MASTER!B:B,MASTER!A:A)</f>
        <v>100024301</v>
      </c>
      <c r="C304" t="str">
        <f>+_xlfn.XLOOKUP(A304,MASTER!B:B,MASTER!C:C)</f>
        <v>MARLBORO VISTA SUMMER FUSION 100 BOX 20 LATA MEXICO 2024 CAJETILLA PZ</v>
      </c>
      <c r="D304" s="10" t="str">
        <f>+_xlfn.XLOOKUP(A304,MASTER!B:B,MASTER!D:D)</f>
        <v>PMI</v>
      </c>
      <c r="E304" s="10" t="str">
        <f>+_xlfn.XLOOKUP(A304,MASTER!B:B,MASTER!I:I)</f>
        <v>Descontinuado (con stock)</v>
      </c>
      <c r="G304">
        <v>7503039738577</v>
      </c>
      <c r="H304" s="10">
        <f>+_xlfn.XLOOKUP(G304,MASTER!B:B,MASTER!A:A)</f>
        <v>100026305</v>
      </c>
      <c r="I304" s="10" t="str">
        <f>+_xlfn.XLOOKUP(G304,MASTER!B:B,MASTER!C:C)</f>
        <v>VELO WATERMELON ICE 6MG TC COLOR 15 PZ</v>
      </c>
    </row>
    <row r="305" spans="1:9" x14ac:dyDescent="0.35">
      <c r="A305">
        <v>7503031950977</v>
      </c>
      <c r="B305">
        <f>+_xlfn.XLOOKUP(A305,MASTER!B:B,MASTER!A:A)</f>
        <v>100024303</v>
      </c>
      <c r="C305" t="str">
        <f>+_xlfn.XLOOKUP(A305,MASTER!B:B,MASTER!C:C)</f>
        <v>MARLBORO VISTA GARDEN FUSION 100 BOX 20 LATA MEXICO 2024 CAJETILLA PZ</v>
      </c>
      <c r="D305" s="10" t="str">
        <f>+_xlfn.XLOOKUP(A305,MASTER!B:B,MASTER!D:D)</f>
        <v>PMI</v>
      </c>
      <c r="E305" s="10" t="str">
        <f>+_xlfn.XLOOKUP(A305,MASTER!B:B,MASTER!I:I)</f>
        <v>Descontinuado (con stock)</v>
      </c>
      <c r="G305">
        <v>7503039738584</v>
      </c>
      <c r="H305" s="10">
        <f>+_xlfn.XLOOKUP(G305,MASTER!B:B,MASTER!A:A)</f>
        <v>100026306</v>
      </c>
      <c r="I305" s="10" t="str">
        <f>+_xlfn.XLOOKUP(G305,MASTER!B:B,MASTER!C:C)</f>
        <v>VELO CHERRY ICE 6 MG TC COLOR 15 PZ</v>
      </c>
    </row>
    <row r="306" spans="1:9" x14ac:dyDescent="0.35">
      <c r="A306">
        <v>7503031950991</v>
      </c>
      <c r="B306">
        <f>+_xlfn.XLOOKUP(A306,MASTER!B:B,MASTER!A:A)</f>
        <v>100024304</v>
      </c>
      <c r="C306" t="str">
        <f>+_xlfn.XLOOKUP(A306,MASTER!B:B,MASTER!C:C)</f>
        <v>MARLBORO VISTA BLOSSOM 100 BOX 20 LATA MEXICO 2024 CAJETILLA PZ</v>
      </c>
      <c r="D306" s="10" t="str">
        <f>+_xlfn.XLOOKUP(A306,MASTER!B:B,MASTER!D:D)</f>
        <v>PMI</v>
      </c>
      <c r="E306" s="10" t="str">
        <f>+_xlfn.XLOOKUP(A306,MASTER!B:B,MASTER!I:I)</f>
        <v>Descontinuado (con stock)</v>
      </c>
      <c r="G306">
        <v>7503039738591</v>
      </c>
      <c r="H306" s="10">
        <f>+_xlfn.XLOOKUP(G306,MASTER!B:B,MASTER!A:A)</f>
        <v>100026307</v>
      </c>
      <c r="I306" s="10" t="str">
        <f>+_xlfn.XLOOKUP(G306,MASTER!B:B,MASTER!C:C)</f>
        <v>VELO PURPLE GRAPE 6MG TC COLOR 15 PZ</v>
      </c>
    </row>
    <row r="307" spans="1:9" x14ac:dyDescent="0.35">
      <c r="A307">
        <v>7503039738386</v>
      </c>
      <c r="B307">
        <f>+_xlfn.XLOOKUP(A307,MASTER!B:B,MASTER!A:A)</f>
        <v>100025292</v>
      </c>
      <c r="C307" t="str">
        <f>+_xlfn.XLOOKUP(A307,MASTER!B:B,MASTER!C:C)</f>
        <v>VELO TROPICAL MANGO 8 MG 20 PZ</v>
      </c>
      <c r="D307" s="10" t="str">
        <f>+_xlfn.XLOOKUP(A307,MASTER!B:B,MASTER!D:D)</f>
        <v>BAT</v>
      </c>
      <c r="E307" s="10" t="str">
        <f>+_xlfn.XLOOKUP(A307,MASTER!B:B,MASTER!I:I)</f>
        <v>Descontinuado (con stock)</v>
      </c>
      <c r="G307">
        <v>7622100510727</v>
      </c>
      <c r="H307" s="10">
        <f>+_xlfn.XLOOKUP(G307,MASTER!B:B,MASTER!A:A)</f>
        <v>100026471</v>
      </c>
      <c r="I307" s="10" t="str">
        <f>+_xlfn.XLOOKUP(G307,MASTER!B:B,MASTER!C:C)</f>
        <v>IQOS ILUMA I ONE MIDNIGHT BLACK  PZ</v>
      </c>
    </row>
    <row r="308" spans="1:9" x14ac:dyDescent="0.35">
      <c r="A308">
        <v>7503039738393</v>
      </c>
      <c r="B308">
        <f>+_xlfn.XLOOKUP(A308,MASTER!B:B,MASTER!A:A)</f>
        <v>100025297</v>
      </c>
      <c r="C308" t="str">
        <f>+_xlfn.XLOOKUP(A308,MASTER!B:B,MASTER!C:C)</f>
        <v>VELO GREEN SPEARMINT 8 MG 20 PZ</v>
      </c>
      <c r="D308" s="10" t="str">
        <f>+_xlfn.XLOOKUP(A308,MASTER!B:B,MASTER!D:D)</f>
        <v>BAT</v>
      </c>
      <c r="E308" s="10" t="str">
        <f>+_xlfn.XLOOKUP(A308,MASTER!B:B,MASTER!I:I)</f>
        <v>Descontinuado (con stock)</v>
      </c>
      <c r="G308">
        <v>7622100510765</v>
      </c>
      <c r="H308" s="10">
        <f>+_xlfn.XLOOKUP(G308,MASTER!B:B,MASTER!A:A)</f>
        <v>100026473</v>
      </c>
      <c r="I308" s="10" t="str">
        <f>+_xlfn.XLOOKUP(G308,MASTER!B:B,MASTER!C:C)</f>
        <v>IQOS ILUMA I ONE BREEZE BLUE  PZ</v>
      </c>
    </row>
    <row r="309" spans="1:9" x14ac:dyDescent="0.35">
      <c r="A309">
        <v>7503039738409</v>
      </c>
      <c r="B309">
        <f>+_xlfn.XLOOKUP(A309,MASTER!B:B,MASTER!A:A)</f>
        <v>100025296</v>
      </c>
      <c r="C309" t="str">
        <f>+_xlfn.XLOOKUP(A309,MASTER!B:B,MASTER!C:C)</f>
        <v>VELO STRAWBERRY ICE 8 MG 20 PZ</v>
      </c>
      <c r="D309" s="10" t="str">
        <f>+_xlfn.XLOOKUP(A309,MASTER!B:B,MASTER!D:D)</f>
        <v>BAT</v>
      </c>
      <c r="E309" s="10" t="str">
        <f>+_xlfn.XLOOKUP(A309,MASTER!B:B,MASTER!I:I)</f>
        <v>Descontinuado (con stock)</v>
      </c>
      <c r="G309">
        <v>7622100511038</v>
      </c>
      <c r="H309" s="10">
        <f>+_xlfn.XLOOKUP(G309,MASTER!B:B,MASTER!A:A)</f>
        <v>100026616</v>
      </c>
      <c r="I309" s="10" t="str">
        <f>+_xlfn.XLOOKUP(G309,MASTER!B:B,MASTER!C:C)</f>
        <v>IQOS ILUMA I BREEZE BLUE  PZ</v>
      </c>
    </row>
    <row r="310" spans="1:9" x14ac:dyDescent="0.35">
      <c r="A310">
        <v>7503039738416</v>
      </c>
      <c r="B310">
        <f>+_xlfn.XLOOKUP(A310,MASTER!B:B,MASTER!A:A)</f>
        <v>100025298</v>
      </c>
      <c r="C310" t="str">
        <f>+_xlfn.XLOOKUP(A310,MASTER!B:B,MASTER!C:C)</f>
        <v>VELO POLAR PEPPERMINT 8 MG 20 PZ</v>
      </c>
      <c r="D310" s="10" t="str">
        <f>+_xlfn.XLOOKUP(A310,MASTER!B:B,MASTER!D:D)</f>
        <v>BAT</v>
      </c>
      <c r="E310" s="10" t="str">
        <f>+_xlfn.XLOOKUP(A310,MASTER!B:B,MASTER!I:I)</f>
        <v>Descontinuado (con stock)</v>
      </c>
      <c r="G310">
        <v>7622100511076</v>
      </c>
      <c r="H310" s="10">
        <f>+_xlfn.XLOOKUP(G310,MASTER!B:B,MASTER!A:A)</f>
        <v>100026467</v>
      </c>
      <c r="I310" s="10" t="str">
        <f>+_xlfn.XLOOKUP(G310,MASTER!B:B,MASTER!C:C)</f>
        <v>IQOS ILUMA I MIDNIGHT BLACK  PZ</v>
      </c>
    </row>
    <row r="311" spans="1:9" x14ac:dyDescent="0.35">
      <c r="A311">
        <v>7503039738430</v>
      </c>
      <c r="B311">
        <f>+_xlfn.XLOOKUP(A311,MASTER!B:B,MASTER!A:A)</f>
        <v>100026069</v>
      </c>
      <c r="C311" t="str">
        <f>+_xlfn.XLOOKUP(A311,MASTER!B:B,MASTER!C:C)</f>
        <v>VELO SWEET PAPAYA 8 MG 20 PZ</v>
      </c>
      <c r="D311" s="10" t="str">
        <f>+_xlfn.XLOOKUP(A311,MASTER!B:B,MASTER!D:D)</f>
        <v>BAT</v>
      </c>
      <c r="E311" s="10" t="str">
        <f>+_xlfn.XLOOKUP(A311,MASTER!B:B,MASTER!I:I)</f>
        <v>Activo</v>
      </c>
      <c r="G311">
        <v>7622100558248</v>
      </c>
      <c r="H311" s="10">
        <f>+_xlfn.XLOOKUP(G311,MASTER!B:B,MASTER!A:A)</f>
        <v>100024861</v>
      </c>
      <c r="I311" s="10" t="str">
        <f>+_xlfn.XLOOKUP(G311,MASTER!B:B,MASTER!C:C)</f>
        <v xml:space="preserve"> IQOS ILUMA AZURE BLUE CAJETILLA PZ</v>
      </c>
    </row>
    <row r="312" spans="1:9" x14ac:dyDescent="0.35">
      <c r="A312">
        <v>7503039738447</v>
      </c>
      <c r="B312">
        <f>+_xlfn.XLOOKUP(A312,MASTER!B:B,MASTER!A:A)</f>
        <v>100025893</v>
      </c>
      <c r="C312" t="str">
        <f>+_xlfn.XLOOKUP(A312,MASTER!B:B,MASTER!C:C)</f>
        <v>VELO CHERRY ICE 6 MG 15 PZ</v>
      </c>
      <c r="D312" s="10" t="str">
        <f>+_xlfn.XLOOKUP(A312,MASTER!B:B,MASTER!D:D)</f>
        <v>BAT</v>
      </c>
      <c r="E312" s="10" t="str">
        <f>+_xlfn.XLOOKUP(A312,MASTER!B:B,MASTER!I:I)</f>
        <v>Descontinuado (con stock)</v>
      </c>
      <c r="G312">
        <v>7622100558293</v>
      </c>
      <c r="H312" s="10">
        <f>+_xlfn.XLOOKUP(G312,MASTER!B:B,MASTER!A:A)</f>
        <v>100024282</v>
      </c>
      <c r="I312" s="10" t="str">
        <f>+_xlfn.XLOOKUP(G312,MASTER!B:B,MASTER!C:C)</f>
        <v xml:space="preserve"> IQOS ILUMA ONE AZURE BLUE CAJETILLA PZ</v>
      </c>
    </row>
    <row r="313" spans="1:9" x14ac:dyDescent="0.35">
      <c r="A313">
        <v>7503039738461</v>
      </c>
      <c r="B313">
        <f>+_xlfn.XLOOKUP(A313,MASTER!B:B,MASTER!A:A)</f>
        <v>100025894</v>
      </c>
      <c r="C313" t="str">
        <f>+_xlfn.XLOOKUP(A313,MASTER!B:B,MASTER!C:C)</f>
        <v>VELO PURPLE GRAPE 6MG 15 PZ</v>
      </c>
      <c r="D313" s="10" t="str">
        <f>+_xlfn.XLOOKUP(A313,MASTER!B:B,MASTER!D:D)</f>
        <v>BAT</v>
      </c>
      <c r="E313" s="10" t="str">
        <f>+_xlfn.XLOOKUP(A313,MASTER!B:B,MASTER!I:I)</f>
        <v>Activo</v>
      </c>
      <c r="G313">
        <v>7622100558309</v>
      </c>
      <c r="H313" s="10">
        <f>+_xlfn.XLOOKUP(G313,MASTER!B:B,MASTER!A:A)</f>
        <v>100024286</v>
      </c>
      <c r="I313" s="10" t="str">
        <f>+_xlfn.XLOOKUP(G313,MASTER!B:B,MASTER!C:C)</f>
        <v xml:space="preserve"> IQOS ILUMA ONE PEBBLE GREY CAJETILLA PZ</v>
      </c>
    </row>
    <row r="314" spans="1:9" x14ac:dyDescent="0.35">
      <c r="A314">
        <v>7503039738478</v>
      </c>
      <c r="B314">
        <f>+_xlfn.XLOOKUP(A314,MASTER!B:B,MASTER!A:A)</f>
        <v>100025895</v>
      </c>
      <c r="C314" t="str">
        <f>+_xlfn.XLOOKUP(A314,MASTER!B:B,MASTER!C:C)</f>
        <v>VELO WATERMELON ICE 6 MG 15 PZ</v>
      </c>
      <c r="D314" s="10" t="str">
        <f>+_xlfn.XLOOKUP(A314,MASTER!B:B,MASTER!D:D)</f>
        <v>BAT</v>
      </c>
      <c r="E314" s="10" t="str">
        <f>+_xlfn.XLOOKUP(A314,MASTER!B:B,MASTER!I:I)</f>
        <v>Descontinuado (con stock)</v>
      </c>
      <c r="G314">
        <v>7622100558323</v>
      </c>
      <c r="H314" s="10">
        <f>+_xlfn.XLOOKUP(G314,MASTER!B:B,MASTER!A:A)</f>
        <v>100024859</v>
      </c>
      <c r="I314" s="10" t="str">
        <f>+_xlfn.XLOOKUP(G314,MASTER!B:B,MASTER!C:C)</f>
        <v xml:space="preserve"> IQOS ILUMA ONE SUNSET RED - CAJETILLA PZ</v>
      </c>
    </row>
    <row r="315" spans="1:9" x14ac:dyDescent="0.35">
      <c r="A315">
        <v>7503039738492</v>
      </c>
      <c r="B315">
        <f>+_xlfn.XLOOKUP(A315,MASTER!B:B,MASTER!A:A)</f>
        <v>100026070</v>
      </c>
      <c r="C315" t="str">
        <f>+_xlfn.XLOOKUP(A315,MASTER!B:B,MASTER!C:C)</f>
        <v>VELO POLAR PEPPERMINT 4 MG TC BK 15 PZ</v>
      </c>
      <c r="D315" s="10" t="str">
        <f>+_xlfn.XLOOKUP(A315,MASTER!B:B,MASTER!D:D)</f>
        <v>BAT</v>
      </c>
      <c r="E315" s="10" t="str">
        <f>+_xlfn.XLOOKUP(A315,MASTER!B:B,MASTER!I:I)</f>
        <v>Descontinuado (con stock)</v>
      </c>
      <c r="G315">
        <v>7622100558446</v>
      </c>
      <c r="H315" s="10">
        <f>+_xlfn.XLOOKUP(G315,MASTER!B:B,MASTER!A:A)</f>
        <v>100024862</v>
      </c>
      <c r="I315" s="10" t="str">
        <f>+_xlfn.XLOOKUP(G315,MASTER!B:B,MASTER!C:C)</f>
        <v xml:space="preserve"> IQOS ILUMA MOSS GREEN CAJETILLA PZ</v>
      </c>
    </row>
    <row r="316" spans="1:9" x14ac:dyDescent="0.35">
      <c r="A316">
        <v>7503039738508</v>
      </c>
      <c r="B316">
        <f>+_xlfn.XLOOKUP(A316,MASTER!B:B,MASTER!A:A)</f>
        <v>100026071</v>
      </c>
      <c r="C316" t="str">
        <f>+_xlfn.XLOOKUP(A316,MASTER!B:B,MASTER!C:C)</f>
        <v>VELO GREEN SPEARMINT 4 MG TC BK 15 PZ</v>
      </c>
      <c r="D316" s="10" t="str">
        <f>+_xlfn.XLOOKUP(A316,MASTER!B:B,MASTER!D:D)</f>
        <v>BAT</v>
      </c>
      <c r="E316" s="10" t="str">
        <f>+_xlfn.XLOOKUP(A316,MASTER!B:B,MASTER!I:I)</f>
        <v>Descontinuado (con stock)</v>
      </c>
      <c r="G316">
        <v>7622100558453</v>
      </c>
      <c r="H316" s="10">
        <f>+_xlfn.XLOOKUP(G316,MASTER!B:B,MASTER!A:A)</f>
        <v>100024288</v>
      </c>
      <c r="I316" s="10" t="str">
        <f>+_xlfn.XLOOKUP(G316,MASTER!B:B,MASTER!C:C)</f>
        <v xml:space="preserve"> IQOS ILUMA PEBBLE GREY CAJETILLA PZ</v>
      </c>
    </row>
    <row r="317" spans="1:9" x14ac:dyDescent="0.35">
      <c r="A317">
        <v>7503039738515</v>
      </c>
      <c r="B317">
        <f>+_xlfn.XLOOKUP(A317,MASTER!B:B,MASTER!A:A)</f>
        <v>100026072</v>
      </c>
      <c r="C317" t="str">
        <f>+_xlfn.XLOOKUP(A317,MASTER!B:B,MASTER!C:C)</f>
        <v>VELO STRAWBERRY ICE 4 MG TC BK 15 PZ</v>
      </c>
      <c r="D317" s="10" t="str">
        <f>+_xlfn.XLOOKUP(A317,MASTER!B:B,MASTER!D:D)</f>
        <v>BAT</v>
      </c>
      <c r="E317" s="10" t="str">
        <f>+_xlfn.XLOOKUP(A317,MASTER!B:B,MASTER!I:I)</f>
        <v>Descontinuado (con stock)</v>
      </c>
      <c r="G317">
        <v>7622100711049</v>
      </c>
      <c r="H317" s="10">
        <f>+_xlfn.XLOOKUP(G317,MASTER!B:B,MASTER!A:A)</f>
        <v>100021272</v>
      </c>
      <c r="I317" s="10" t="str">
        <f>+_xlfn.XLOOKUP(G317,MASTER!B:B,MASTER!C:C)</f>
        <v xml:space="preserve">IQOS HISOPO GLICERINA  1 CAJETILLA	</v>
      </c>
    </row>
    <row r="318" spans="1:9" x14ac:dyDescent="0.35">
      <c r="A318">
        <v>7503039738522</v>
      </c>
      <c r="B318">
        <f>+_xlfn.XLOOKUP(A318,MASTER!B:B,MASTER!A:A)</f>
        <v>100026074</v>
      </c>
      <c r="C318" t="str">
        <f>+_xlfn.XLOOKUP(A318,MASTER!B:B,MASTER!C:C)</f>
        <v>VELO TROPICAL MANGO 4MG TC BK 15 PZ</v>
      </c>
      <c r="D318" s="10" t="str">
        <f>+_xlfn.XLOOKUP(A318,MASTER!B:B,MASTER!D:D)</f>
        <v>BAT</v>
      </c>
      <c r="E318" s="10" t="str">
        <f>+_xlfn.XLOOKUP(A318,MASTER!B:B,MASTER!I:I)</f>
        <v>Descontinuado (con stock)</v>
      </c>
      <c r="G318">
        <v>7702303121477</v>
      </c>
      <c r="H318" s="10">
        <f>+_xlfn.XLOOKUP(G318,MASTER!B:B,MASTER!A:A)</f>
        <v>100024420</v>
      </c>
      <c r="I318" s="10" t="str">
        <f>+_xlfn.XLOOKUP(G318,MASTER!B:B,MASTER!C:C)</f>
        <v>VELO GREEN SPEARMINT 6 MG 15 PZ</v>
      </c>
    </row>
    <row r="319" spans="1:9" x14ac:dyDescent="0.35">
      <c r="A319">
        <v>7503039738539</v>
      </c>
      <c r="B319">
        <f>+_xlfn.XLOOKUP(A319,MASTER!B:B,MASTER!A:A)</f>
        <v>100026300</v>
      </c>
      <c r="C319" t="str">
        <f>+_xlfn.XLOOKUP(A319,MASTER!B:B,MASTER!C:C)</f>
        <v>VELO POLAR PEPPERMINT 6MG TC COLOR 15 PZ</v>
      </c>
      <c r="D319" s="10" t="str">
        <f>+_xlfn.XLOOKUP(A319,MASTER!B:B,MASTER!D:D)</f>
        <v>BAT</v>
      </c>
      <c r="E319" s="10" t="str">
        <f>+_xlfn.XLOOKUP(A319,MASTER!B:B,MASTER!I:I)</f>
        <v>Descontinuado (con stock)</v>
      </c>
      <c r="G319">
        <v>7702303253338</v>
      </c>
      <c r="H319" s="10">
        <f>+_xlfn.XLOOKUP(G319,MASTER!B:B,MASTER!A:A)</f>
        <v>100024418</v>
      </c>
      <c r="I319" s="10" t="str">
        <f>+_xlfn.XLOOKUP(G319,MASTER!B:B,MASTER!C:C)</f>
        <v>VELO STRAWBERRY ICE 6 MG 15 PZ</v>
      </c>
    </row>
    <row r="320" spans="1:9" x14ac:dyDescent="0.35">
      <c r="A320">
        <v>7503039738546</v>
      </c>
      <c r="B320">
        <f>+_xlfn.XLOOKUP(A320,MASTER!B:B,MASTER!A:A)</f>
        <v>100026301</v>
      </c>
      <c r="C320" t="str">
        <f>+_xlfn.XLOOKUP(A320,MASTER!B:B,MASTER!C:C)</f>
        <v>VELO GREEN SPEARMINT 6MG TC COLOR 15 PZ</v>
      </c>
      <c r="D320" s="10" t="str">
        <f>+_xlfn.XLOOKUP(A320,MASTER!B:B,MASTER!D:D)</f>
        <v>BAT</v>
      </c>
      <c r="E320" s="10" t="str">
        <f>+_xlfn.XLOOKUP(A320,MASTER!B:B,MASTER!I:I)</f>
        <v>Descontinuado (con stock)</v>
      </c>
      <c r="G320">
        <v>7702303391467</v>
      </c>
      <c r="H320" s="10">
        <f>+_xlfn.XLOOKUP(G320,MASTER!B:B,MASTER!A:A)</f>
        <v>100024417</v>
      </c>
      <c r="I320" s="10" t="str">
        <f>+_xlfn.XLOOKUP(G320,MASTER!B:B,MASTER!C:C)</f>
        <v>VELO STRAWBERRY ICE 4 MG 15 PZ</v>
      </c>
    </row>
    <row r="321" spans="1:9" x14ac:dyDescent="0.35">
      <c r="A321">
        <v>7503039738553</v>
      </c>
      <c r="B321">
        <f>+_xlfn.XLOOKUP(A321,MASTER!B:B,MASTER!A:A)</f>
        <v>100026302</v>
      </c>
      <c r="C321" t="str">
        <f>+_xlfn.XLOOKUP(A321,MASTER!B:B,MASTER!C:C)</f>
        <v>VELO STRAWBERRY ICE 6MG TC COLOR 15 PZ</v>
      </c>
      <c r="D321" s="10" t="str">
        <f>+_xlfn.XLOOKUP(A321,MASTER!B:B,MASTER!D:D)</f>
        <v>BAT</v>
      </c>
      <c r="E321" s="10" t="str">
        <f>+_xlfn.XLOOKUP(A321,MASTER!B:B,MASTER!I:I)</f>
        <v>Descontinuado (con stock)</v>
      </c>
      <c r="G321">
        <v>7702303622080</v>
      </c>
      <c r="H321" s="10">
        <f>+_xlfn.XLOOKUP(G321,MASTER!B:B,MASTER!A:A)</f>
        <v>100024419</v>
      </c>
      <c r="I321" s="10" t="str">
        <f>+_xlfn.XLOOKUP(G321,MASTER!B:B,MASTER!C:C)</f>
        <v>VELO GREEN SPEARMINT 4 MG 15 PZ</v>
      </c>
    </row>
    <row r="322" spans="1:9" x14ac:dyDescent="0.35">
      <c r="A322">
        <v>7503039738560</v>
      </c>
      <c r="B322">
        <f>+_xlfn.XLOOKUP(A322,MASTER!B:B,MASTER!A:A)</f>
        <v>100026304</v>
      </c>
      <c r="C322" t="str">
        <f>+_xlfn.XLOOKUP(A322,MASTER!B:B,MASTER!C:C)</f>
        <v>VELO TROPICAL MANGO 6MG TC COLOR 15 PZ</v>
      </c>
      <c r="D322" s="10" t="str">
        <f>+_xlfn.XLOOKUP(A322,MASTER!B:B,MASTER!D:D)</f>
        <v>BAT</v>
      </c>
      <c r="E322" s="10" t="str">
        <f>+_xlfn.XLOOKUP(A322,MASTER!B:B,MASTER!I:I)</f>
        <v>Descontinuado (con stock)</v>
      </c>
      <c r="G322">
        <v>7702303630924</v>
      </c>
      <c r="H322" s="10">
        <f>+_xlfn.XLOOKUP(G322,MASTER!B:B,MASTER!A:A)</f>
        <v>100024415</v>
      </c>
      <c r="I322" s="10" t="str">
        <f>+_xlfn.XLOOKUP(G322,MASTER!B:B,MASTER!C:C)</f>
        <v>VELO TROPICAL MANGO 4 MG 15 PZ</v>
      </c>
    </row>
    <row r="323" spans="1:9" x14ac:dyDescent="0.35">
      <c r="A323">
        <v>7503039738577</v>
      </c>
      <c r="B323">
        <f>+_xlfn.XLOOKUP(A323,MASTER!B:B,MASTER!A:A)</f>
        <v>100026305</v>
      </c>
      <c r="C323" t="str">
        <f>+_xlfn.XLOOKUP(A323,MASTER!B:B,MASTER!C:C)</f>
        <v>VELO WATERMELON ICE 6MG TC COLOR 15 PZ</v>
      </c>
      <c r="D323" s="10" t="str">
        <f>+_xlfn.XLOOKUP(A323,MASTER!B:B,MASTER!D:D)</f>
        <v>BAT</v>
      </c>
      <c r="E323" s="10" t="str">
        <f>+_xlfn.XLOOKUP(A323,MASTER!B:B,MASTER!I:I)</f>
        <v>Descontinuado (con stock)</v>
      </c>
      <c r="G323">
        <v>7702303813235</v>
      </c>
      <c r="H323" s="10">
        <f>+_xlfn.XLOOKUP(G323,MASTER!B:B,MASTER!A:A)</f>
        <v>100024416</v>
      </c>
      <c r="I323" s="10" t="str">
        <f>+_xlfn.XLOOKUP(G323,MASTER!B:B,MASTER!C:C)</f>
        <v>VELO TROPICAL MANGO 6 MG 15 PZ</v>
      </c>
    </row>
    <row r="324" spans="1:9" x14ac:dyDescent="0.35">
      <c r="A324">
        <v>7503039738584</v>
      </c>
      <c r="B324">
        <f>+_xlfn.XLOOKUP(A324,MASTER!B:B,MASTER!A:A)</f>
        <v>100026306</v>
      </c>
      <c r="C324" t="str">
        <f>+_xlfn.XLOOKUP(A324,MASTER!B:B,MASTER!C:C)</f>
        <v>VELO CHERRY ICE 6 MG TC COLOR 15 PZ</v>
      </c>
      <c r="D324" s="10" t="str">
        <f>+_xlfn.XLOOKUP(A324,MASTER!B:B,MASTER!D:D)</f>
        <v>BAT</v>
      </c>
      <c r="E324" s="10" t="str">
        <f>+_xlfn.XLOOKUP(A324,MASTER!B:B,MASTER!I:I)</f>
        <v>Descontinuado (con stock)</v>
      </c>
      <c r="G324">
        <v>7707200943245</v>
      </c>
      <c r="H324" s="10">
        <f>+_xlfn.XLOOKUP(G324,MASTER!B:B,MASTER!A:A)</f>
        <v>100024465</v>
      </c>
      <c r="I324" s="10" t="str">
        <f>+_xlfn.XLOOKUP(G324,MASTER!B:B,MASTER!C:C)</f>
        <v>VELO POLAR PEPPERMINT 6 MG 15 PZ</v>
      </c>
    </row>
    <row r="325" spans="1:9" x14ac:dyDescent="0.35">
      <c r="A325">
        <v>7503039738591</v>
      </c>
      <c r="B325">
        <f>+_xlfn.XLOOKUP(A325,MASTER!B:B,MASTER!A:A)</f>
        <v>100026307</v>
      </c>
      <c r="C325" t="str">
        <f>+_xlfn.XLOOKUP(A325,MASTER!B:B,MASTER!C:C)</f>
        <v>VELO PURPLE GRAPE 6MG TC COLOR 15 PZ</v>
      </c>
      <c r="D325" s="10" t="str">
        <f>+_xlfn.XLOOKUP(A325,MASTER!B:B,MASTER!D:D)</f>
        <v>BAT</v>
      </c>
      <c r="E325" s="10" t="str">
        <f>+_xlfn.XLOOKUP(A325,MASTER!B:B,MASTER!I:I)</f>
        <v>Descontinuado (con stock)</v>
      </c>
      <c r="G325">
        <v>7707200946741</v>
      </c>
      <c r="H325" s="10">
        <f>+_xlfn.XLOOKUP(G325,MASTER!B:B,MASTER!A:A)</f>
        <v>100024462</v>
      </c>
      <c r="I325" s="10" t="str">
        <f>+_xlfn.XLOOKUP(G325,MASTER!B:B,MASTER!C:C)</f>
        <v>VELO POLAR PEPPERMINT 4 MG 15 PZ</v>
      </c>
    </row>
    <row r="326" spans="1:9" x14ac:dyDescent="0.35">
      <c r="A326">
        <v>7622100510727</v>
      </c>
      <c r="B326">
        <f>+_xlfn.XLOOKUP(A326,MASTER!B:B,MASTER!A:A)</f>
        <v>100026471</v>
      </c>
      <c r="C326" t="str">
        <f>+_xlfn.XLOOKUP(A326,MASTER!B:B,MASTER!C:C)</f>
        <v>IQOS ILUMA I ONE MIDNIGHT BLACK  PZ</v>
      </c>
      <c r="D326" s="10" t="str">
        <f>+_xlfn.XLOOKUP(A326,MASTER!B:B,MASTER!D:D)</f>
        <v>PMI</v>
      </c>
      <c r="E326" s="10" t="str">
        <f>+_xlfn.XLOOKUP(A326,MASTER!B:B,MASTER!I:I)</f>
        <v>Activo</v>
      </c>
    </row>
    <row r="327" spans="1:9" x14ac:dyDescent="0.35">
      <c r="A327">
        <v>7622100510765</v>
      </c>
      <c r="B327">
        <f>+_xlfn.XLOOKUP(A327,MASTER!B:B,MASTER!A:A)</f>
        <v>100026473</v>
      </c>
      <c r="C327" t="str">
        <f>+_xlfn.XLOOKUP(A327,MASTER!B:B,MASTER!C:C)</f>
        <v>IQOS ILUMA I ONE BREEZE BLUE  PZ</v>
      </c>
      <c r="D327" s="10" t="str">
        <f>+_xlfn.XLOOKUP(A327,MASTER!B:B,MASTER!D:D)</f>
        <v>PMI</v>
      </c>
      <c r="E327" s="10" t="str">
        <f>+_xlfn.XLOOKUP(A327,MASTER!B:B,MASTER!I:I)</f>
        <v>Activo</v>
      </c>
    </row>
    <row r="328" spans="1:9" x14ac:dyDescent="0.35">
      <c r="A328">
        <v>7622100511038</v>
      </c>
      <c r="B328">
        <f>+_xlfn.XLOOKUP(A328,MASTER!B:B,MASTER!A:A)</f>
        <v>100026616</v>
      </c>
      <c r="C328" t="str">
        <f>+_xlfn.XLOOKUP(A328,MASTER!B:B,MASTER!C:C)</f>
        <v>IQOS ILUMA I BREEZE BLUE  PZ</v>
      </c>
      <c r="D328" s="10" t="str">
        <f>+_xlfn.XLOOKUP(A328,MASTER!B:B,MASTER!D:D)</f>
        <v>PMI</v>
      </c>
      <c r="E328" s="10" t="str">
        <f>+_xlfn.XLOOKUP(A328,MASTER!B:B,MASTER!I:I)</f>
        <v>Activo</v>
      </c>
    </row>
    <row r="329" spans="1:9" x14ac:dyDescent="0.35">
      <c r="A329">
        <v>7622100511076</v>
      </c>
      <c r="B329">
        <f>+_xlfn.XLOOKUP(A329,MASTER!B:B,MASTER!A:A)</f>
        <v>100026467</v>
      </c>
      <c r="C329" t="str">
        <f>+_xlfn.XLOOKUP(A329,MASTER!B:B,MASTER!C:C)</f>
        <v>IQOS ILUMA I MIDNIGHT BLACK  PZ</v>
      </c>
      <c r="D329" s="10" t="str">
        <f>+_xlfn.XLOOKUP(A329,MASTER!B:B,MASTER!D:D)</f>
        <v>PMI</v>
      </c>
      <c r="E329" s="10" t="str">
        <f>+_xlfn.XLOOKUP(A329,MASTER!B:B,MASTER!I:I)</f>
        <v>Activo</v>
      </c>
    </row>
    <row r="330" spans="1:9" x14ac:dyDescent="0.35">
      <c r="A330">
        <v>7622100558248</v>
      </c>
      <c r="B330">
        <f>+_xlfn.XLOOKUP(A330,MASTER!B:B,MASTER!A:A)</f>
        <v>100024861</v>
      </c>
      <c r="C330" t="str">
        <f>+_xlfn.XLOOKUP(A330,MASTER!B:B,MASTER!C:C)</f>
        <v xml:space="preserve"> IQOS ILUMA AZURE BLUE CAJETILLA PZ</v>
      </c>
      <c r="D330" s="10" t="str">
        <f>+_xlfn.XLOOKUP(A330,MASTER!B:B,MASTER!D:D)</f>
        <v>PMI</v>
      </c>
      <c r="E330" s="10" t="str">
        <f>+_xlfn.XLOOKUP(A330,MASTER!B:B,MASTER!I:I)</f>
        <v>Descontinuado (con stock)</v>
      </c>
    </row>
    <row r="331" spans="1:9" x14ac:dyDescent="0.35">
      <c r="A331">
        <v>7622100558293</v>
      </c>
      <c r="B331">
        <f>+_xlfn.XLOOKUP(A331,MASTER!B:B,MASTER!A:A)</f>
        <v>100024282</v>
      </c>
      <c r="C331" t="str">
        <f>+_xlfn.XLOOKUP(A331,MASTER!B:B,MASTER!C:C)</f>
        <v xml:space="preserve"> IQOS ILUMA ONE AZURE BLUE CAJETILLA PZ</v>
      </c>
      <c r="D331" s="10" t="str">
        <f>+_xlfn.XLOOKUP(A331,MASTER!B:B,MASTER!D:D)</f>
        <v>PMI</v>
      </c>
      <c r="E331" s="10" t="str">
        <f>+_xlfn.XLOOKUP(A331,MASTER!B:B,MASTER!I:I)</f>
        <v>Activo</v>
      </c>
    </row>
    <row r="332" spans="1:9" x14ac:dyDescent="0.35">
      <c r="A332">
        <v>7622100558309</v>
      </c>
      <c r="B332">
        <f>+_xlfn.XLOOKUP(A332,MASTER!B:B,MASTER!A:A)</f>
        <v>100024286</v>
      </c>
      <c r="C332" t="str">
        <f>+_xlfn.XLOOKUP(A332,MASTER!B:B,MASTER!C:C)</f>
        <v xml:space="preserve"> IQOS ILUMA ONE PEBBLE GREY CAJETILLA PZ</v>
      </c>
      <c r="D332" s="10" t="str">
        <f>+_xlfn.XLOOKUP(A332,MASTER!B:B,MASTER!D:D)</f>
        <v>PMI</v>
      </c>
      <c r="E332" s="10" t="str">
        <f>+_xlfn.XLOOKUP(A332,MASTER!B:B,MASTER!I:I)</f>
        <v>Descontinuado (con stock)</v>
      </c>
    </row>
    <row r="333" spans="1:9" x14ac:dyDescent="0.35">
      <c r="A333">
        <v>7622100558323</v>
      </c>
      <c r="B333">
        <f>+_xlfn.XLOOKUP(A333,MASTER!B:B,MASTER!A:A)</f>
        <v>100024859</v>
      </c>
      <c r="C333" t="str">
        <f>+_xlfn.XLOOKUP(A333,MASTER!B:B,MASTER!C:C)</f>
        <v xml:space="preserve"> IQOS ILUMA ONE SUNSET RED - CAJETILLA PZ</v>
      </c>
      <c r="D333" s="10" t="str">
        <f>+_xlfn.XLOOKUP(A333,MASTER!B:B,MASTER!D:D)</f>
        <v>PMI</v>
      </c>
      <c r="E333" s="10" t="str">
        <f>+_xlfn.XLOOKUP(A333,MASTER!B:B,MASTER!I:I)</f>
        <v>Descontinuado (con stock)</v>
      </c>
    </row>
    <row r="334" spans="1:9" x14ac:dyDescent="0.35">
      <c r="A334">
        <v>7622100558446</v>
      </c>
      <c r="B334">
        <f>+_xlfn.XLOOKUP(A334,MASTER!B:B,MASTER!A:A)</f>
        <v>100024862</v>
      </c>
      <c r="C334" t="str">
        <f>+_xlfn.XLOOKUP(A334,MASTER!B:B,MASTER!C:C)</f>
        <v xml:space="preserve"> IQOS ILUMA MOSS GREEN CAJETILLA PZ</v>
      </c>
      <c r="D334" s="10" t="str">
        <f>+_xlfn.XLOOKUP(A334,MASTER!B:B,MASTER!D:D)</f>
        <v>PMI</v>
      </c>
      <c r="E334" s="10" t="str">
        <f>+_xlfn.XLOOKUP(A334,MASTER!B:B,MASTER!I:I)</f>
        <v>Descontinuado (con stock)</v>
      </c>
    </row>
    <row r="335" spans="1:9" x14ac:dyDescent="0.35">
      <c r="A335">
        <v>7622100558453</v>
      </c>
      <c r="B335">
        <f>+_xlfn.XLOOKUP(A335,MASTER!B:B,MASTER!A:A)</f>
        <v>100024288</v>
      </c>
      <c r="C335" t="str">
        <f>+_xlfn.XLOOKUP(A335,MASTER!B:B,MASTER!C:C)</f>
        <v xml:space="preserve"> IQOS ILUMA PEBBLE GREY CAJETILLA PZ</v>
      </c>
      <c r="D335" s="10" t="str">
        <f>+_xlfn.XLOOKUP(A335,MASTER!B:B,MASTER!D:D)</f>
        <v>PMI</v>
      </c>
      <c r="E335" s="10" t="str">
        <f>+_xlfn.XLOOKUP(A335,MASTER!B:B,MASTER!I:I)</f>
        <v>Descontinuado (con stock)</v>
      </c>
    </row>
    <row r="336" spans="1:9" x14ac:dyDescent="0.35">
      <c r="A336">
        <v>7622100711049</v>
      </c>
      <c r="B336">
        <f>+_xlfn.XLOOKUP(A336,MASTER!B:B,MASTER!A:A)</f>
        <v>100021272</v>
      </c>
      <c r="C336" t="str">
        <f>+_xlfn.XLOOKUP(A336,MASTER!B:B,MASTER!C:C)</f>
        <v xml:space="preserve">IQOS HISOPO GLICERINA  1 CAJETILLA	</v>
      </c>
      <c r="D336" s="10" t="str">
        <f>+_xlfn.XLOOKUP(A336,MASTER!B:B,MASTER!D:D)</f>
        <v>PMI</v>
      </c>
      <c r="E336" s="10" t="str">
        <f>+_xlfn.XLOOKUP(A336,MASTER!B:B,MASTER!I:I)</f>
        <v>Descontinuado (con stock)</v>
      </c>
    </row>
    <row r="337" spans="1:5" x14ac:dyDescent="0.35">
      <c r="A337">
        <v>7702303121477</v>
      </c>
      <c r="B337">
        <f>+_xlfn.XLOOKUP(A337,MASTER!B:B,MASTER!A:A)</f>
        <v>100024420</v>
      </c>
      <c r="C337" t="str">
        <f>+_xlfn.XLOOKUP(A337,MASTER!B:B,MASTER!C:C)</f>
        <v>VELO GREEN SPEARMINT 6 MG 15 PZ</v>
      </c>
      <c r="D337" s="10" t="str">
        <f>+_xlfn.XLOOKUP(A337,MASTER!B:B,MASTER!D:D)</f>
        <v>BAT</v>
      </c>
      <c r="E337" s="10" t="str">
        <f>+_xlfn.XLOOKUP(A337,MASTER!B:B,MASTER!I:I)</f>
        <v>Activo</v>
      </c>
    </row>
    <row r="338" spans="1:5" x14ac:dyDescent="0.35">
      <c r="A338">
        <v>7702303253338</v>
      </c>
      <c r="B338">
        <f>+_xlfn.XLOOKUP(A338,MASTER!B:B,MASTER!A:A)</f>
        <v>100024418</v>
      </c>
      <c r="C338" t="str">
        <f>+_xlfn.XLOOKUP(A338,MASTER!B:B,MASTER!C:C)</f>
        <v>VELO STRAWBERRY ICE 6 MG 15 PZ</v>
      </c>
      <c r="D338" s="10" t="str">
        <f>+_xlfn.XLOOKUP(A338,MASTER!B:B,MASTER!D:D)</f>
        <v>BAT</v>
      </c>
      <c r="E338" s="10" t="str">
        <f>+_xlfn.XLOOKUP(A338,MASTER!B:B,MASTER!I:I)</f>
        <v>Activo</v>
      </c>
    </row>
    <row r="339" spans="1:5" x14ac:dyDescent="0.35">
      <c r="A339">
        <v>7702303391467</v>
      </c>
      <c r="B339">
        <f>+_xlfn.XLOOKUP(A339,MASTER!B:B,MASTER!A:A)</f>
        <v>100024417</v>
      </c>
      <c r="C339" t="str">
        <f>+_xlfn.XLOOKUP(A339,MASTER!B:B,MASTER!C:C)</f>
        <v>VELO STRAWBERRY ICE 4 MG 15 PZ</v>
      </c>
      <c r="D339" s="10" t="str">
        <f>+_xlfn.XLOOKUP(A339,MASTER!B:B,MASTER!D:D)</f>
        <v>BAT</v>
      </c>
      <c r="E339" s="10" t="str">
        <f>+_xlfn.XLOOKUP(A339,MASTER!B:B,MASTER!I:I)</f>
        <v>Descontinuado (con stock)</v>
      </c>
    </row>
    <row r="340" spans="1:5" x14ac:dyDescent="0.35">
      <c r="A340">
        <v>7702303622080</v>
      </c>
      <c r="B340">
        <f>+_xlfn.XLOOKUP(A340,MASTER!B:B,MASTER!A:A)</f>
        <v>100024419</v>
      </c>
      <c r="C340" t="str">
        <f>+_xlfn.XLOOKUP(A340,MASTER!B:B,MASTER!C:C)</f>
        <v>VELO GREEN SPEARMINT 4 MG 15 PZ</v>
      </c>
      <c r="D340" s="10" t="str">
        <f>+_xlfn.XLOOKUP(A340,MASTER!B:B,MASTER!D:D)</f>
        <v>BAT</v>
      </c>
      <c r="E340" s="10" t="str">
        <f>+_xlfn.XLOOKUP(A340,MASTER!B:B,MASTER!I:I)</f>
        <v>Activo</v>
      </c>
    </row>
    <row r="341" spans="1:5" x14ac:dyDescent="0.35">
      <c r="A341">
        <v>7702303630924</v>
      </c>
      <c r="B341">
        <f>+_xlfn.XLOOKUP(A341,MASTER!B:B,MASTER!A:A)</f>
        <v>100024415</v>
      </c>
      <c r="C341" t="str">
        <f>+_xlfn.XLOOKUP(A341,MASTER!B:B,MASTER!C:C)</f>
        <v>VELO TROPICAL MANGO 4 MG 15 PZ</v>
      </c>
      <c r="D341" s="10" t="str">
        <f>+_xlfn.XLOOKUP(A341,MASTER!B:B,MASTER!D:D)</f>
        <v>BAT</v>
      </c>
      <c r="E341" s="10" t="str">
        <f>+_xlfn.XLOOKUP(A341,MASTER!B:B,MASTER!I:I)</f>
        <v>Activo</v>
      </c>
    </row>
    <row r="342" spans="1:5" x14ac:dyDescent="0.35">
      <c r="A342">
        <v>7702303813235</v>
      </c>
      <c r="B342">
        <f>+_xlfn.XLOOKUP(A342,MASTER!B:B,MASTER!A:A)</f>
        <v>100024416</v>
      </c>
      <c r="C342" t="str">
        <f>+_xlfn.XLOOKUP(A342,MASTER!B:B,MASTER!C:C)</f>
        <v>VELO TROPICAL MANGO 6 MG 15 PZ</v>
      </c>
      <c r="D342" s="10" t="str">
        <f>+_xlfn.XLOOKUP(A342,MASTER!B:B,MASTER!D:D)</f>
        <v>BAT</v>
      </c>
      <c r="E342" s="10" t="str">
        <f>+_xlfn.XLOOKUP(A342,MASTER!B:B,MASTER!I:I)</f>
        <v>Descontinuado (con stock)</v>
      </c>
    </row>
    <row r="343" spans="1:5" x14ac:dyDescent="0.35">
      <c r="A343">
        <v>7707200943245</v>
      </c>
      <c r="B343">
        <f>+_xlfn.XLOOKUP(A343,MASTER!B:B,MASTER!A:A)</f>
        <v>100024465</v>
      </c>
      <c r="C343" t="str">
        <f>+_xlfn.XLOOKUP(A343,MASTER!B:B,MASTER!C:C)</f>
        <v>VELO POLAR PEPPERMINT 6 MG 15 PZ</v>
      </c>
      <c r="D343" s="10" t="str">
        <f>+_xlfn.XLOOKUP(A343,MASTER!B:B,MASTER!D:D)</f>
        <v>BAT</v>
      </c>
      <c r="E343" s="10" t="str">
        <f>+_xlfn.XLOOKUP(A343,MASTER!B:B,MASTER!I:I)</f>
        <v>Activo</v>
      </c>
    </row>
    <row r="344" spans="1:5" x14ac:dyDescent="0.35">
      <c r="A344">
        <v>7707200946741</v>
      </c>
      <c r="B344">
        <f>+_xlfn.XLOOKUP(A344,MASTER!B:B,MASTER!A:A)</f>
        <v>100024462</v>
      </c>
      <c r="C344" t="str">
        <f>+_xlfn.XLOOKUP(A344,MASTER!B:B,MASTER!C:C)</f>
        <v>VELO POLAR PEPPERMINT 4 MG 15 PZ</v>
      </c>
      <c r="D344" s="10" t="str">
        <f>+_xlfn.XLOOKUP(A344,MASTER!B:B,MASTER!D:D)</f>
        <v>BAT</v>
      </c>
      <c r="E344" s="10" t="str">
        <f>+_xlfn.XLOOKUP(A344,MASTER!B:B,MASTER!I:I)</f>
        <v>Activo</v>
      </c>
    </row>
    <row r="345" spans="1:5" x14ac:dyDescent="0.35">
      <c r="A345">
        <v>8414775013578</v>
      </c>
      <c r="B345">
        <f>+_xlfn.XLOOKUP(A345,MASTER!B:B,MASTER!A:A)</f>
        <v>100017182</v>
      </c>
      <c r="C345" t="str">
        <f>+_xlfn.XLOOKUP(A345,MASTER!B:B,MASTER!C:C)</f>
        <v>SMOKING PAPEL ZIGZAG RED 1 PZ</v>
      </c>
      <c r="D345" s="10" t="str">
        <f>+_xlfn.XLOOKUP(A345,MASTER!B:B,MASTER!D:D)</f>
        <v>PUROS</v>
      </c>
      <c r="E345" s="10" t="str">
        <f>+_xlfn.XLOOKUP(A345,MASTER!B:B,MASTER!I:I)</f>
        <v>Activo</v>
      </c>
    </row>
    <row r="346" spans="1:5" x14ac:dyDescent="0.35">
      <c r="B346"/>
      <c r="C346"/>
    </row>
    <row r="347" spans="1:5" x14ac:dyDescent="0.35">
      <c r="B347"/>
      <c r="C347"/>
    </row>
    <row r="348" spans="1:5" x14ac:dyDescent="0.35">
      <c r="B348"/>
      <c r="C348"/>
    </row>
    <row r="349" spans="1:5" x14ac:dyDescent="0.35">
      <c r="B349"/>
      <c r="C349"/>
    </row>
    <row r="350" spans="1:5" x14ac:dyDescent="0.35">
      <c r="B350"/>
      <c r="C350"/>
    </row>
    <row r="351" spans="1:5" x14ac:dyDescent="0.35">
      <c r="B351"/>
      <c r="C351"/>
    </row>
    <row r="352" spans="1:5" x14ac:dyDescent="0.35">
      <c r="B352"/>
      <c r="C352"/>
    </row>
    <row r="353" spans="2:3" x14ac:dyDescent="0.35">
      <c r="B353"/>
      <c r="C353"/>
    </row>
    <row r="354" spans="2:3" x14ac:dyDescent="0.35">
      <c r="B354"/>
      <c r="C354"/>
    </row>
    <row r="355" spans="2:3" x14ac:dyDescent="0.35">
      <c r="B355"/>
      <c r="C355"/>
    </row>
    <row r="356" spans="2:3" x14ac:dyDescent="0.35">
      <c r="B356"/>
      <c r="C356"/>
    </row>
    <row r="357" spans="2:3" x14ac:dyDescent="0.35">
      <c r="B357"/>
      <c r="C357"/>
    </row>
    <row r="358" spans="2:3" x14ac:dyDescent="0.35">
      <c r="B358"/>
      <c r="C358"/>
    </row>
    <row r="359" spans="2:3" x14ac:dyDescent="0.35">
      <c r="B359"/>
      <c r="C359"/>
    </row>
    <row r="360" spans="2:3" x14ac:dyDescent="0.35">
      <c r="B360"/>
      <c r="C360"/>
    </row>
    <row r="361" spans="2:3" x14ac:dyDescent="0.35">
      <c r="B361"/>
      <c r="C361"/>
    </row>
    <row r="362" spans="2:3" x14ac:dyDescent="0.35">
      <c r="B362"/>
      <c r="C362"/>
    </row>
    <row r="363" spans="2:3" x14ac:dyDescent="0.35">
      <c r="B363"/>
      <c r="C363"/>
    </row>
    <row r="364" spans="2:3" x14ac:dyDescent="0.35">
      <c r="B364"/>
      <c r="C364"/>
    </row>
    <row r="365" spans="2:3" x14ac:dyDescent="0.35">
      <c r="B365"/>
      <c r="C365"/>
    </row>
    <row r="366" spans="2:3" x14ac:dyDescent="0.35">
      <c r="B366"/>
      <c r="C366"/>
    </row>
    <row r="367" spans="2:3" x14ac:dyDescent="0.35">
      <c r="B367"/>
      <c r="C367"/>
    </row>
    <row r="368" spans="2:3" x14ac:dyDescent="0.35">
      <c r="B368"/>
      <c r="C368"/>
    </row>
    <row r="369" spans="2:3" x14ac:dyDescent="0.35">
      <c r="B369"/>
      <c r="C369"/>
    </row>
    <row r="370" spans="2:3" x14ac:dyDescent="0.35">
      <c r="B370"/>
      <c r="C370"/>
    </row>
    <row r="371" spans="2:3" x14ac:dyDescent="0.35">
      <c r="B371"/>
      <c r="C371"/>
    </row>
    <row r="372" spans="2:3" x14ac:dyDescent="0.35">
      <c r="B372"/>
      <c r="C372"/>
    </row>
    <row r="373" spans="2:3" x14ac:dyDescent="0.35">
      <c r="B373"/>
      <c r="C373"/>
    </row>
    <row r="374" spans="2:3" x14ac:dyDescent="0.35">
      <c r="B374"/>
      <c r="C374"/>
    </row>
    <row r="375" spans="2:3" x14ac:dyDescent="0.35">
      <c r="B375"/>
      <c r="C375"/>
    </row>
    <row r="376" spans="2:3" x14ac:dyDescent="0.35">
      <c r="B376"/>
      <c r="C376"/>
    </row>
    <row r="377" spans="2:3" x14ac:dyDescent="0.35">
      <c r="B377"/>
      <c r="C377"/>
    </row>
    <row r="378" spans="2:3" x14ac:dyDescent="0.35">
      <c r="B378"/>
      <c r="C378"/>
    </row>
    <row r="379" spans="2:3" x14ac:dyDescent="0.35">
      <c r="B379"/>
      <c r="C379"/>
    </row>
    <row r="380" spans="2:3" x14ac:dyDescent="0.35">
      <c r="B380"/>
      <c r="C380"/>
    </row>
    <row r="381" spans="2:3" x14ac:dyDescent="0.35">
      <c r="B381"/>
      <c r="C381"/>
    </row>
    <row r="382" spans="2:3" x14ac:dyDescent="0.35">
      <c r="B382"/>
      <c r="C382"/>
    </row>
    <row r="383" spans="2:3" x14ac:dyDescent="0.35">
      <c r="B383"/>
      <c r="C383"/>
    </row>
    <row r="384" spans="2:3" x14ac:dyDescent="0.35">
      <c r="B384"/>
      <c r="C384"/>
    </row>
    <row r="385" spans="2:3" x14ac:dyDescent="0.35">
      <c r="B385"/>
      <c r="C385"/>
    </row>
    <row r="386" spans="2:3" x14ac:dyDescent="0.35">
      <c r="B386"/>
      <c r="C386"/>
    </row>
    <row r="387" spans="2:3" x14ac:dyDescent="0.35">
      <c r="B387"/>
      <c r="C387"/>
    </row>
    <row r="388" spans="2:3" x14ac:dyDescent="0.35">
      <c r="B388"/>
      <c r="C388"/>
    </row>
    <row r="389" spans="2:3" x14ac:dyDescent="0.35">
      <c r="B389"/>
      <c r="C389"/>
    </row>
    <row r="390" spans="2:3" x14ac:dyDescent="0.35">
      <c r="B390"/>
      <c r="C390"/>
    </row>
    <row r="391" spans="2:3" x14ac:dyDescent="0.35">
      <c r="B391"/>
      <c r="C391"/>
    </row>
    <row r="392" spans="2:3" x14ac:dyDescent="0.35">
      <c r="B392"/>
      <c r="C392"/>
    </row>
    <row r="393" spans="2:3" x14ac:dyDescent="0.35">
      <c r="B393"/>
      <c r="C393"/>
    </row>
    <row r="394" spans="2:3" x14ac:dyDescent="0.35">
      <c r="B394"/>
      <c r="C394"/>
    </row>
    <row r="395" spans="2:3" x14ac:dyDescent="0.35">
      <c r="B395"/>
      <c r="C395"/>
    </row>
    <row r="396" spans="2:3" x14ac:dyDescent="0.35">
      <c r="B396"/>
      <c r="C396"/>
    </row>
    <row r="397" spans="2:3" x14ac:dyDescent="0.35">
      <c r="B397"/>
      <c r="C397"/>
    </row>
    <row r="398" spans="2:3" x14ac:dyDescent="0.35">
      <c r="B398"/>
      <c r="C398"/>
    </row>
    <row r="399" spans="2:3" x14ac:dyDescent="0.35">
      <c r="B399"/>
      <c r="C399"/>
    </row>
    <row r="400" spans="2:3" x14ac:dyDescent="0.35">
      <c r="B400"/>
      <c r="C400"/>
    </row>
    <row r="401" spans="2:3" x14ac:dyDescent="0.35">
      <c r="B401"/>
      <c r="C401"/>
    </row>
    <row r="402" spans="2:3" x14ac:dyDescent="0.35">
      <c r="B402"/>
      <c r="C402"/>
    </row>
    <row r="403" spans="2:3" x14ac:dyDescent="0.35">
      <c r="B403"/>
      <c r="C403"/>
    </row>
    <row r="404" spans="2:3" x14ac:dyDescent="0.35">
      <c r="B404"/>
      <c r="C404"/>
    </row>
    <row r="405" spans="2:3" x14ac:dyDescent="0.35">
      <c r="B405"/>
      <c r="C405"/>
    </row>
    <row r="406" spans="2:3" x14ac:dyDescent="0.35">
      <c r="B406"/>
      <c r="C406"/>
    </row>
    <row r="407" spans="2:3" x14ac:dyDescent="0.35">
      <c r="B407"/>
      <c r="C407"/>
    </row>
    <row r="408" spans="2:3" x14ac:dyDescent="0.35">
      <c r="B408"/>
      <c r="C408"/>
    </row>
    <row r="409" spans="2:3" x14ac:dyDescent="0.35">
      <c r="B409"/>
      <c r="C409"/>
    </row>
    <row r="410" spans="2:3" x14ac:dyDescent="0.35">
      <c r="B410"/>
      <c r="C410"/>
    </row>
    <row r="411" spans="2:3" x14ac:dyDescent="0.35">
      <c r="B411"/>
      <c r="C411"/>
    </row>
    <row r="412" spans="2:3" x14ac:dyDescent="0.35">
      <c r="B412"/>
      <c r="C412"/>
    </row>
    <row r="413" spans="2:3" x14ac:dyDescent="0.35">
      <c r="B413"/>
      <c r="C413"/>
    </row>
    <row r="414" spans="2:3" x14ac:dyDescent="0.35">
      <c r="B414"/>
      <c r="C414"/>
    </row>
    <row r="415" spans="2:3" x14ac:dyDescent="0.35">
      <c r="B415"/>
      <c r="C415"/>
    </row>
    <row r="416" spans="2:3" x14ac:dyDescent="0.35">
      <c r="B416"/>
      <c r="C416"/>
    </row>
    <row r="417" spans="2:3" x14ac:dyDescent="0.35">
      <c r="B417"/>
      <c r="C417"/>
    </row>
    <row r="418" spans="2:3" x14ac:dyDescent="0.35">
      <c r="B418"/>
      <c r="C418"/>
    </row>
    <row r="419" spans="2:3" x14ac:dyDescent="0.35">
      <c r="B419"/>
      <c r="C419"/>
    </row>
    <row r="420" spans="2:3" x14ac:dyDescent="0.35">
      <c r="B420"/>
      <c r="C420"/>
    </row>
    <row r="421" spans="2:3" x14ac:dyDescent="0.35">
      <c r="B421"/>
      <c r="C421"/>
    </row>
    <row r="422" spans="2:3" x14ac:dyDescent="0.35">
      <c r="B422"/>
      <c r="C422"/>
    </row>
    <row r="423" spans="2:3" x14ac:dyDescent="0.35">
      <c r="B423"/>
      <c r="C423"/>
    </row>
    <row r="424" spans="2:3" x14ac:dyDescent="0.35">
      <c r="B424"/>
      <c r="C424"/>
    </row>
    <row r="425" spans="2:3" x14ac:dyDescent="0.35">
      <c r="B425"/>
      <c r="C425"/>
    </row>
    <row r="426" spans="2:3" x14ac:dyDescent="0.35">
      <c r="B426"/>
      <c r="C426"/>
    </row>
    <row r="427" spans="2:3" x14ac:dyDescent="0.35">
      <c r="B427"/>
      <c r="C427"/>
    </row>
    <row r="428" spans="2:3" x14ac:dyDescent="0.35">
      <c r="B428"/>
      <c r="C428"/>
    </row>
    <row r="429" spans="2:3" x14ac:dyDescent="0.35">
      <c r="B429"/>
      <c r="C429"/>
    </row>
    <row r="430" spans="2:3" x14ac:dyDescent="0.35">
      <c r="B430"/>
      <c r="C430"/>
    </row>
    <row r="431" spans="2:3" x14ac:dyDescent="0.35">
      <c r="B431"/>
      <c r="C431"/>
    </row>
    <row r="432" spans="2:3" x14ac:dyDescent="0.35">
      <c r="B432"/>
      <c r="C432"/>
    </row>
    <row r="433" spans="2:3" x14ac:dyDescent="0.35">
      <c r="B433"/>
      <c r="C433"/>
    </row>
    <row r="434" spans="2:3" x14ac:dyDescent="0.35">
      <c r="B434"/>
      <c r="C434"/>
    </row>
    <row r="435" spans="2:3" x14ac:dyDescent="0.35">
      <c r="B435"/>
      <c r="C435"/>
    </row>
    <row r="436" spans="2:3" x14ac:dyDescent="0.35">
      <c r="B436"/>
      <c r="C436"/>
    </row>
    <row r="437" spans="2:3" x14ac:dyDescent="0.35">
      <c r="B437"/>
      <c r="C437"/>
    </row>
    <row r="438" spans="2:3" x14ac:dyDescent="0.35">
      <c r="B438"/>
      <c r="C438"/>
    </row>
    <row r="439" spans="2:3" x14ac:dyDescent="0.35">
      <c r="B439"/>
      <c r="C439"/>
    </row>
    <row r="440" spans="2:3" x14ac:dyDescent="0.35">
      <c r="B440"/>
      <c r="C440"/>
    </row>
    <row r="441" spans="2:3" x14ac:dyDescent="0.35">
      <c r="B441"/>
      <c r="C441"/>
    </row>
    <row r="442" spans="2:3" x14ac:dyDescent="0.35">
      <c r="B442"/>
      <c r="C442"/>
    </row>
    <row r="443" spans="2:3" x14ac:dyDescent="0.35">
      <c r="B443"/>
      <c r="C443"/>
    </row>
    <row r="444" spans="2:3" x14ac:dyDescent="0.35">
      <c r="B444"/>
      <c r="C444"/>
    </row>
    <row r="445" spans="2:3" x14ac:dyDescent="0.35">
      <c r="B445"/>
      <c r="C445"/>
    </row>
    <row r="446" spans="2:3" x14ac:dyDescent="0.35">
      <c r="B446"/>
      <c r="C446"/>
    </row>
    <row r="447" spans="2:3" x14ac:dyDescent="0.35">
      <c r="B447"/>
      <c r="C447"/>
    </row>
    <row r="448" spans="2:3" x14ac:dyDescent="0.35">
      <c r="B448"/>
      <c r="C448"/>
    </row>
    <row r="449" spans="2:3" x14ac:dyDescent="0.35">
      <c r="B449"/>
      <c r="C449"/>
    </row>
    <row r="450" spans="2:3" x14ac:dyDescent="0.35">
      <c r="B450"/>
      <c r="C450"/>
    </row>
    <row r="451" spans="2:3" x14ac:dyDescent="0.35">
      <c r="B451"/>
      <c r="C451"/>
    </row>
    <row r="452" spans="2:3" x14ac:dyDescent="0.35">
      <c r="B452"/>
      <c r="C452"/>
    </row>
    <row r="453" spans="2:3" x14ac:dyDescent="0.35">
      <c r="B453"/>
      <c r="C453"/>
    </row>
    <row r="454" spans="2:3" x14ac:dyDescent="0.35">
      <c r="B454"/>
      <c r="C454"/>
    </row>
    <row r="455" spans="2:3" x14ac:dyDescent="0.35">
      <c r="B455"/>
      <c r="C455"/>
    </row>
    <row r="456" spans="2:3" x14ac:dyDescent="0.35">
      <c r="B456"/>
      <c r="C456"/>
    </row>
    <row r="457" spans="2:3" x14ac:dyDescent="0.35">
      <c r="B457"/>
      <c r="C457"/>
    </row>
    <row r="458" spans="2:3" x14ac:dyDescent="0.35">
      <c r="B458"/>
      <c r="C458"/>
    </row>
    <row r="459" spans="2:3" x14ac:dyDescent="0.35">
      <c r="B459"/>
      <c r="C459"/>
    </row>
    <row r="460" spans="2:3" x14ac:dyDescent="0.35">
      <c r="B460"/>
      <c r="C460"/>
    </row>
    <row r="461" spans="2:3" x14ac:dyDescent="0.35">
      <c r="B461"/>
      <c r="C461"/>
    </row>
    <row r="462" spans="2:3" x14ac:dyDescent="0.35">
      <c r="B462"/>
      <c r="C462"/>
    </row>
    <row r="463" spans="2:3" x14ac:dyDescent="0.35">
      <c r="B463"/>
      <c r="C463"/>
    </row>
    <row r="464" spans="2:3" x14ac:dyDescent="0.35">
      <c r="B464"/>
      <c r="C464"/>
    </row>
    <row r="465" spans="2:3" x14ac:dyDescent="0.35">
      <c r="B465"/>
      <c r="C465"/>
    </row>
    <row r="466" spans="2:3" x14ac:dyDescent="0.35">
      <c r="B466"/>
      <c r="C466"/>
    </row>
    <row r="467" spans="2:3" x14ac:dyDescent="0.35">
      <c r="B467"/>
      <c r="C467"/>
    </row>
    <row r="468" spans="2:3" x14ac:dyDescent="0.35">
      <c r="B468"/>
      <c r="C468"/>
    </row>
    <row r="469" spans="2:3" x14ac:dyDescent="0.35">
      <c r="B469"/>
      <c r="C469"/>
    </row>
    <row r="470" spans="2:3" x14ac:dyDescent="0.35">
      <c r="B470"/>
      <c r="C470"/>
    </row>
    <row r="471" spans="2:3" x14ac:dyDescent="0.35">
      <c r="B471"/>
      <c r="C471"/>
    </row>
    <row r="472" spans="2:3" x14ac:dyDescent="0.35">
      <c r="B472"/>
      <c r="C472"/>
    </row>
    <row r="473" spans="2:3" x14ac:dyDescent="0.35">
      <c r="B473"/>
      <c r="C473"/>
    </row>
    <row r="474" spans="2:3" x14ac:dyDescent="0.35">
      <c r="B474"/>
      <c r="C474"/>
    </row>
    <row r="475" spans="2:3" x14ac:dyDescent="0.35">
      <c r="B475"/>
      <c r="C475"/>
    </row>
    <row r="476" spans="2:3" x14ac:dyDescent="0.35">
      <c r="B476"/>
      <c r="C476"/>
    </row>
    <row r="477" spans="2:3" x14ac:dyDescent="0.35">
      <c r="B477"/>
      <c r="C477"/>
    </row>
    <row r="478" spans="2:3" x14ac:dyDescent="0.35">
      <c r="B478"/>
      <c r="C478"/>
    </row>
    <row r="479" spans="2:3" x14ac:dyDescent="0.35">
      <c r="B479"/>
      <c r="C479"/>
    </row>
    <row r="480" spans="2:3" x14ac:dyDescent="0.35">
      <c r="B480"/>
      <c r="C480"/>
    </row>
    <row r="481" spans="2:3" x14ac:dyDescent="0.35">
      <c r="B481"/>
      <c r="C481"/>
    </row>
    <row r="482" spans="2:3" x14ac:dyDescent="0.35">
      <c r="B482"/>
      <c r="C482"/>
    </row>
    <row r="483" spans="2:3" x14ac:dyDescent="0.35">
      <c r="B483"/>
      <c r="C483"/>
    </row>
    <row r="484" spans="2:3" x14ac:dyDescent="0.35">
      <c r="B484"/>
      <c r="C484"/>
    </row>
    <row r="485" spans="2:3" x14ac:dyDescent="0.35">
      <c r="B485"/>
      <c r="C485"/>
    </row>
    <row r="486" spans="2:3" x14ac:dyDescent="0.35">
      <c r="B486"/>
      <c r="C486"/>
    </row>
    <row r="487" spans="2:3" x14ac:dyDescent="0.35">
      <c r="B487"/>
      <c r="C487"/>
    </row>
    <row r="488" spans="2:3" x14ac:dyDescent="0.35">
      <c r="B488"/>
      <c r="C488"/>
    </row>
    <row r="489" spans="2:3" x14ac:dyDescent="0.35">
      <c r="B489"/>
      <c r="C489"/>
    </row>
    <row r="490" spans="2:3" x14ac:dyDescent="0.35">
      <c r="B490"/>
      <c r="C490"/>
    </row>
    <row r="491" spans="2:3" x14ac:dyDescent="0.35">
      <c r="B491"/>
      <c r="C491"/>
    </row>
    <row r="492" spans="2:3" x14ac:dyDescent="0.35">
      <c r="B492"/>
      <c r="C492"/>
    </row>
    <row r="493" spans="2:3" x14ac:dyDescent="0.35">
      <c r="B493"/>
      <c r="C493"/>
    </row>
    <row r="494" spans="2:3" x14ac:dyDescent="0.35">
      <c r="B494"/>
      <c r="C494"/>
    </row>
    <row r="495" spans="2:3" x14ac:dyDescent="0.35">
      <c r="B495"/>
      <c r="C495"/>
    </row>
    <row r="496" spans="2:3" x14ac:dyDescent="0.35">
      <c r="B496"/>
      <c r="C496"/>
    </row>
    <row r="497" spans="2:3" x14ac:dyDescent="0.35">
      <c r="B497"/>
      <c r="C497"/>
    </row>
    <row r="498" spans="2:3" x14ac:dyDescent="0.35">
      <c r="B498"/>
      <c r="C498"/>
    </row>
    <row r="499" spans="2:3" x14ac:dyDescent="0.35">
      <c r="B499"/>
      <c r="C499"/>
    </row>
    <row r="500" spans="2:3" x14ac:dyDescent="0.35">
      <c r="B500"/>
      <c r="C500"/>
    </row>
    <row r="501" spans="2:3" x14ac:dyDescent="0.35">
      <c r="B501"/>
      <c r="C501"/>
    </row>
    <row r="502" spans="2:3" x14ac:dyDescent="0.35">
      <c r="B502"/>
      <c r="C502"/>
    </row>
    <row r="503" spans="2:3" x14ac:dyDescent="0.35">
      <c r="B503"/>
      <c r="C503"/>
    </row>
    <row r="504" spans="2:3" x14ac:dyDescent="0.35">
      <c r="B504"/>
      <c r="C504"/>
    </row>
    <row r="505" spans="2:3" x14ac:dyDescent="0.35">
      <c r="B505"/>
      <c r="C505"/>
    </row>
    <row r="506" spans="2:3" x14ac:dyDescent="0.35">
      <c r="B506"/>
      <c r="C506"/>
    </row>
    <row r="507" spans="2:3" x14ac:dyDescent="0.35">
      <c r="B507"/>
      <c r="C507"/>
    </row>
    <row r="508" spans="2:3" x14ac:dyDescent="0.35">
      <c r="B508"/>
      <c r="C508"/>
    </row>
    <row r="509" spans="2:3" x14ac:dyDescent="0.35">
      <c r="B509"/>
      <c r="C509"/>
    </row>
    <row r="510" spans="2:3" x14ac:dyDescent="0.35">
      <c r="B510"/>
      <c r="C510"/>
    </row>
    <row r="511" spans="2:3" x14ac:dyDescent="0.35">
      <c r="B511"/>
      <c r="C511"/>
    </row>
    <row r="512" spans="2:3" x14ac:dyDescent="0.35">
      <c r="B512"/>
      <c r="C512"/>
    </row>
    <row r="513" spans="2:3" x14ac:dyDescent="0.35">
      <c r="B513"/>
      <c r="C513"/>
    </row>
    <row r="514" spans="2:3" x14ac:dyDescent="0.35">
      <c r="B514"/>
      <c r="C514"/>
    </row>
    <row r="515" spans="2:3" x14ac:dyDescent="0.35">
      <c r="B515"/>
      <c r="C515"/>
    </row>
    <row r="516" spans="2:3" x14ac:dyDescent="0.35">
      <c r="B516"/>
      <c r="C516"/>
    </row>
    <row r="517" spans="2:3" x14ac:dyDescent="0.35">
      <c r="B517"/>
      <c r="C517"/>
    </row>
    <row r="518" spans="2:3" x14ac:dyDescent="0.35">
      <c r="B518"/>
      <c r="C518"/>
    </row>
    <row r="519" spans="2:3" x14ac:dyDescent="0.35">
      <c r="B519"/>
      <c r="C519"/>
    </row>
    <row r="520" spans="2:3" x14ac:dyDescent="0.35">
      <c r="B520"/>
      <c r="C520"/>
    </row>
    <row r="521" spans="2:3" x14ac:dyDescent="0.35">
      <c r="B521"/>
      <c r="C521"/>
    </row>
    <row r="522" spans="2:3" x14ac:dyDescent="0.35">
      <c r="B522"/>
      <c r="C522"/>
    </row>
    <row r="523" spans="2:3" x14ac:dyDescent="0.35">
      <c r="B523"/>
      <c r="C523"/>
    </row>
    <row r="524" spans="2:3" x14ac:dyDescent="0.35">
      <c r="B524"/>
      <c r="C524"/>
    </row>
    <row r="525" spans="2:3" x14ac:dyDescent="0.35">
      <c r="B525"/>
      <c r="C525"/>
    </row>
    <row r="526" spans="2:3" x14ac:dyDescent="0.35">
      <c r="B526"/>
      <c r="C526"/>
    </row>
    <row r="527" spans="2:3" x14ac:dyDescent="0.35">
      <c r="B527"/>
      <c r="C527"/>
    </row>
    <row r="528" spans="2:3" x14ac:dyDescent="0.35">
      <c r="B528"/>
      <c r="C528"/>
    </row>
    <row r="529" spans="2:3" x14ac:dyDescent="0.35">
      <c r="B529"/>
      <c r="C529"/>
    </row>
    <row r="530" spans="2:3" x14ac:dyDescent="0.35">
      <c r="B530"/>
      <c r="C530"/>
    </row>
    <row r="531" spans="2:3" x14ac:dyDescent="0.35">
      <c r="B531"/>
      <c r="C531"/>
    </row>
    <row r="532" spans="2:3" x14ac:dyDescent="0.35">
      <c r="B532"/>
      <c r="C532"/>
    </row>
    <row r="533" spans="2:3" x14ac:dyDescent="0.35">
      <c r="B533"/>
      <c r="C533"/>
    </row>
    <row r="534" spans="2:3" x14ac:dyDescent="0.35">
      <c r="B534"/>
      <c r="C534"/>
    </row>
    <row r="535" spans="2:3" x14ac:dyDescent="0.35">
      <c r="B535"/>
      <c r="C535"/>
    </row>
    <row r="536" spans="2:3" x14ac:dyDescent="0.35">
      <c r="B536"/>
      <c r="C536"/>
    </row>
    <row r="537" spans="2:3" x14ac:dyDescent="0.35">
      <c r="B537"/>
      <c r="C537"/>
    </row>
    <row r="538" spans="2:3" x14ac:dyDescent="0.35">
      <c r="B538"/>
      <c r="C538"/>
    </row>
    <row r="539" spans="2:3" x14ac:dyDescent="0.35">
      <c r="B539"/>
      <c r="C539"/>
    </row>
    <row r="540" spans="2:3" x14ac:dyDescent="0.35">
      <c r="B540"/>
      <c r="C540"/>
    </row>
    <row r="541" spans="2:3" x14ac:dyDescent="0.35">
      <c r="B541"/>
      <c r="C541"/>
    </row>
    <row r="542" spans="2:3" x14ac:dyDescent="0.35">
      <c r="B542"/>
      <c r="C542"/>
    </row>
    <row r="543" spans="2:3" x14ac:dyDescent="0.35">
      <c r="B543"/>
      <c r="C543"/>
    </row>
    <row r="544" spans="2:3" x14ac:dyDescent="0.35">
      <c r="B544"/>
      <c r="C544"/>
    </row>
    <row r="545" spans="2:3" x14ac:dyDescent="0.35">
      <c r="B545"/>
      <c r="C545"/>
    </row>
    <row r="546" spans="2:3" x14ac:dyDescent="0.35">
      <c r="B546"/>
      <c r="C546"/>
    </row>
    <row r="547" spans="2:3" x14ac:dyDescent="0.35">
      <c r="B547"/>
      <c r="C547"/>
    </row>
    <row r="548" spans="2:3" x14ac:dyDescent="0.35">
      <c r="B548"/>
      <c r="C548"/>
    </row>
    <row r="549" spans="2:3" x14ac:dyDescent="0.35">
      <c r="B549"/>
      <c r="C549"/>
    </row>
    <row r="550" spans="2:3" x14ac:dyDescent="0.35">
      <c r="B550"/>
      <c r="C550"/>
    </row>
    <row r="551" spans="2:3" x14ac:dyDescent="0.35">
      <c r="B551"/>
      <c r="C551"/>
    </row>
    <row r="552" spans="2:3" x14ac:dyDescent="0.35">
      <c r="B552"/>
      <c r="C552"/>
    </row>
    <row r="553" spans="2:3" x14ac:dyDescent="0.35">
      <c r="B553"/>
      <c r="C553"/>
    </row>
    <row r="554" spans="2:3" x14ac:dyDescent="0.35">
      <c r="B554"/>
      <c r="C554"/>
    </row>
    <row r="555" spans="2:3" x14ac:dyDescent="0.35">
      <c r="B555"/>
      <c r="C555"/>
    </row>
    <row r="556" spans="2:3" x14ac:dyDescent="0.35">
      <c r="B556"/>
      <c r="C556"/>
    </row>
    <row r="557" spans="2:3" x14ac:dyDescent="0.35">
      <c r="B557"/>
      <c r="C557"/>
    </row>
    <row r="558" spans="2:3" x14ac:dyDescent="0.35">
      <c r="B558"/>
      <c r="C558"/>
    </row>
    <row r="559" spans="2:3" x14ac:dyDescent="0.35">
      <c r="B559"/>
      <c r="C559"/>
    </row>
    <row r="560" spans="2:3" x14ac:dyDescent="0.35">
      <c r="B560"/>
      <c r="C560"/>
    </row>
    <row r="561" spans="2:3" x14ac:dyDescent="0.35">
      <c r="B561"/>
      <c r="C561"/>
    </row>
    <row r="562" spans="2:3" x14ac:dyDescent="0.35">
      <c r="B562"/>
      <c r="C562"/>
    </row>
    <row r="563" spans="2:3" x14ac:dyDescent="0.35">
      <c r="B563"/>
      <c r="C563"/>
    </row>
    <row r="564" spans="2:3" x14ac:dyDescent="0.35">
      <c r="B564"/>
      <c r="C564"/>
    </row>
    <row r="565" spans="2:3" x14ac:dyDescent="0.35">
      <c r="B565"/>
      <c r="C565"/>
    </row>
    <row r="566" spans="2:3" x14ac:dyDescent="0.35">
      <c r="B566"/>
      <c r="C566"/>
    </row>
    <row r="567" spans="2:3" x14ac:dyDescent="0.35">
      <c r="B567"/>
      <c r="C567"/>
    </row>
    <row r="568" spans="2:3" x14ac:dyDescent="0.35">
      <c r="B568"/>
      <c r="C568"/>
    </row>
    <row r="569" spans="2:3" x14ac:dyDescent="0.35">
      <c r="B569"/>
      <c r="C569"/>
    </row>
    <row r="570" spans="2:3" x14ac:dyDescent="0.35">
      <c r="B570"/>
      <c r="C570"/>
    </row>
    <row r="571" spans="2:3" x14ac:dyDescent="0.35">
      <c r="B571"/>
      <c r="C571"/>
    </row>
    <row r="572" spans="2:3" x14ac:dyDescent="0.35">
      <c r="B572"/>
      <c r="C572"/>
    </row>
    <row r="573" spans="2:3" x14ac:dyDescent="0.35">
      <c r="B573"/>
      <c r="C573"/>
    </row>
    <row r="574" spans="2:3" x14ac:dyDescent="0.35">
      <c r="B574"/>
      <c r="C574"/>
    </row>
    <row r="575" spans="2:3" x14ac:dyDescent="0.35">
      <c r="B575"/>
      <c r="C575"/>
    </row>
    <row r="576" spans="2:3" x14ac:dyDescent="0.35">
      <c r="B576"/>
      <c r="C576"/>
    </row>
    <row r="577" spans="2:3" x14ac:dyDescent="0.35">
      <c r="B577"/>
      <c r="C577"/>
    </row>
    <row r="578" spans="2:3" x14ac:dyDescent="0.35">
      <c r="B578"/>
      <c r="C578"/>
    </row>
    <row r="579" spans="2:3" x14ac:dyDescent="0.35">
      <c r="B579"/>
      <c r="C579"/>
    </row>
    <row r="580" spans="2:3" x14ac:dyDescent="0.35">
      <c r="B580"/>
      <c r="C580"/>
    </row>
    <row r="581" spans="2:3" x14ac:dyDescent="0.35">
      <c r="B581"/>
      <c r="C581"/>
    </row>
    <row r="582" spans="2:3" x14ac:dyDescent="0.35">
      <c r="B582"/>
      <c r="C582"/>
    </row>
    <row r="583" spans="2:3" x14ac:dyDescent="0.35">
      <c r="B583"/>
      <c r="C583"/>
    </row>
    <row r="584" spans="2:3" x14ac:dyDescent="0.35">
      <c r="B584"/>
      <c r="C584"/>
    </row>
    <row r="585" spans="2:3" x14ac:dyDescent="0.35">
      <c r="B585"/>
      <c r="C585"/>
    </row>
    <row r="586" spans="2:3" x14ac:dyDescent="0.35">
      <c r="B586"/>
      <c r="C586"/>
    </row>
    <row r="587" spans="2:3" x14ac:dyDescent="0.35">
      <c r="B587"/>
      <c r="C587"/>
    </row>
    <row r="588" spans="2:3" x14ac:dyDescent="0.35">
      <c r="B588"/>
      <c r="C588"/>
    </row>
    <row r="589" spans="2:3" x14ac:dyDescent="0.35">
      <c r="B589"/>
      <c r="C589"/>
    </row>
    <row r="590" spans="2:3" x14ac:dyDescent="0.35">
      <c r="B590"/>
      <c r="C590"/>
    </row>
    <row r="591" spans="2:3" x14ac:dyDescent="0.35">
      <c r="B591"/>
      <c r="C591"/>
    </row>
    <row r="592" spans="2:3" x14ac:dyDescent="0.35">
      <c r="B592"/>
      <c r="C592"/>
    </row>
    <row r="593" spans="2:3" x14ac:dyDescent="0.35">
      <c r="B593"/>
      <c r="C593"/>
    </row>
    <row r="594" spans="2:3" x14ac:dyDescent="0.35">
      <c r="B594"/>
      <c r="C594"/>
    </row>
    <row r="595" spans="2:3" x14ac:dyDescent="0.35">
      <c r="B595"/>
      <c r="C595"/>
    </row>
    <row r="596" spans="2:3" x14ac:dyDescent="0.35">
      <c r="B596"/>
      <c r="C596"/>
    </row>
    <row r="597" spans="2:3" x14ac:dyDescent="0.35">
      <c r="B597"/>
      <c r="C597"/>
    </row>
    <row r="598" spans="2:3" x14ac:dyDescent="0.35">
      <c r="B598"/>
      <c r="C598"/>
    </row>
    <row r="599" spans="2:3" x14ac:dyDescent="0.35">
      <c r="B599"/>
      <c r="C599"/>
    </row>
    <row r="600" spans="2:3" x14ac:dyDescent="0.35">
      <c r="B600"/>
      <c r="C600"/>
    </row>
    <row r="601" spans="2:3" x14ac:dyDescent="0.35">
      <c r="B601"/>
      <c r="C601"/>
    </row>
    <row r="602" spans="2:3" x14ac:dyDescent="0.35">
      <c r="B602"/>
      <c r="C602"/>
    </row>
    <row r="603" spans="2:3" x14ac:dyDescent="0.35">
      <c r="B603"/>
      <c r="C603"/>
    </row>
    <row r="604" spans="2:3" x14ac:dyDescent="0.35">
      <c r="B604"/>
      <c r="C604"/>
    </row>
    <row r="605" spans="2:3" x14ac:dyDescent="0.35">
      <c r="B605"/>
      <c r="C605"/>
    </row>
    <row r="606" spans="2:3" x14ac:dyDescent="0.35">
      <c r="B606"/>
      <c r="C606"/>
    </row>
    <row r="607" spans="2:3" x14ac:dyDescent="0.35">
      <c r="B607"/>
      <c r="C607"/>
    </row>
    <row r="608" spans="2:3" x14ac:dyDescent="0.35">
      <c r="B608"/>
      <c r="C608"/>
    </row>
    <row r="609" spans="2:3" x14ac:dyDescent="0.35">
      <c r="B609"/>
      <c r="C609"/>
    </row>
    <row r="610" spans="2:3" x14ac:dyDescent="0.35">
      <c r="B610"/>
      <c r="C610"/>
    </row>
    <row r="611" spans="2:3" x14ac:dyDescent="0.35">
      <c r="B611"/>
      <c r="C611"/>
    </row>
    <row r="612" spans="2:3" x14ac:dyDescent="0.35">
      <c r="B612"/>
      <c r="C612"/>
    </row>
    <row r="613" spans="2:3" x14ac:dyDescent="0.35">
      <c r="B613"/>
      <c r="C613"/>
    </row>
    <row r="614" spans="2:3" x14ac:dyDescent="0.35">
      <c r="B614"/>
      <c r="C614"/>
    </row>
    <row r="615" spans="2:3" x14ac:dyDescent="0.35">
      <c r="B615"/>
      <c r="C615"/>
    </row>
    <row r="616" spans="2:3" x14ac:dyDescent="0.35">
      <c r="B616"/>
      <c r="C616"/>
    </row>
    <row r="617" spans="2:3" x14ac:dyDescent="0.35">
      <c r="B617"/>
      <c r="C617"/>
    </row>
    <row r="618" spans="2:3" x14ac:dyDescent="0.35">
      <c r="B618"/>
      <c r="C618"/>
    </row>
    <row r="619" spans="2:3" x14ac:dyDescent="0.35">
      <c r="B619"/>
      <c r="C619"/>
    </row>
    <row r="620" spans="2:3" x14ac:dyDescent="0.35">
      <c r="B620"/>
      <c r="C620"/>
    </row>
    <row r="621" spans="2:3" x14ac:dyDescent="0.35">
      <c r="B621"/>
      <c r="C621"/>
    </row>
    <row r="622" spans="2:3" x14ac:dyDescent="0.35">
      <c r="B622"/>
      <c r="C622"/>
    </row>
    <row r="623" spans="2:3" x14ac:dyDescent="0.35">
      <c r="B623"/>
      <c r="C623"/>
    </row>
    <row r="624" spans="2:3" x14ac:dyDescent="0.35">
      <c r="B624"/>
      <c r="C624"/>
    </row>
    <row r="625" spans="2:3" x14ac:dyDescent="0.35">
      <c r="B625"/>
      <c r="C625"/>
    </row>
    <row r="626" spans="2:3" x14ac:dyDescent="0.35">
      <c r="B626"/>
      <c r="C626"/>
    </row>
    <row r="627" spans="2:3" x14ac:dyDescent="0.35">
      <c r="B627"/>
      <c r="C627"/>
    </row>
    <row r="628" spans="2:3" x14ac:dyDescent="0.35">
      <c r="B628"/>
      <c r="C628"/>
    </row>
    <row r="629" spans="2:3" x14ac:dyDescent="0.35">
      <c r="B629"/>
      <c r="C629"/>
    </row>
    <row r="630" spans="2:3" x14ac:dyDescent="0.35">
      <c r="B630"/>
      <c r="C630"/>
    </row>
    <row r="631" spans="2:3" x14ac:dyDescent="0.35">
      <c r="B631"/>
      <c r="C631"/>
    </row>
    <row r="632" spans="2:3" x14ac:dyDescent="0.35">
      <c r="B632"/>
      <c r="C632"/>
    </row>
    <row r="633" spans="2:3" x14ac:dyDescent="0.35">
      <c r="B633"/>
      <c r="C633"/>
    </row>
    <row r="634" spans="2:3" x14ac:dyDescent="0.35">
      <c r="B634"/>
      <c r="C634"/>
    </row>
    <row r="635" spans="2:3" x14ac:dyDescent="0.35">
      <c r="B635"/>
      <c r="C635"/>
    </row>
    <row r="636" spans="2:3" x14ac:dyDescent="0.35">
      <c r="B636"/>
      <c r="C636"/>
    </row>
    <row r="637" spans="2:3" x14ac:dyDescent="0.35">
      <c r="B637"/>
      <c r="C637"/>
    </row>
    <row r="638" spans="2:3" x14ac:dyDescent="0.35">
      <c r="B638"/>
      <c r="C638"/>
    </row>
    <row r="639" spans="2:3" x14ac:dyDescent="0.35">
      <c r="B639"/>
      <c r="C639"/>
    </row>
    <row r="640" spans="2:3" x14ac:dyDescent="0.35">
      <c r="B640"/>
      <c r="C640"/>
    </row>
    <row r="641" spans="2:3" x14ac:dyDescent="0.35">
      <c r="B641"/>
      <c r="C641"/>
    </row>
    <row r="642" spans="2:3" x14ac:dyDescent="0.35">
      <c r="B642"/>
      <c r="C642"/>
    </row>
    <row r="643" spans="2:3" x14ac:dyDescent="0.35">
      <c r="B643"/>
      <c r="C643"/>
    </row>
    <row r="644" spans="2:3" x14ac:dyDescent="0.35">
      <c r="B644"/>
      <c r="C644"/>
    </row>
    <row r="645" spans="2:3" x14ac:dyDescent="0.35">
      <c r="B645"/>
      <c r="C645"/>
    </row>
    <row r="646" spans="2:3" x14ac:dyDescent="0.35">
      <c r="B646"/>
      <c r="C646"/>
    </row>
    <row r="647" spans="2:3" x14ac:dyDescent="0.35">
      <c r="B647"/>
      <c r="C647"/>
    </row>
    <row r="648" spans="2:3" x14ac:dyDescent="0.35">
      <c r="B648"/>
      <c r="C648"/>
    </row>
    <row r="649" spans="2:3" x14ac:dyDescent="0.35">
      <c r="B649"/>
      <c r="C649"/>
    </row>
    <row r="650" spans="2:3" x14ac:dyDescent="0.35">
      <c r="B650"/>
      <c r="C650"/>
    </row>
    <row r="651" spans="2:3" x14ac:dyDescent="0.35">
      <c r="B651"/>
      <c r="C651"/>
    </row>
    <row r="652" spans="2:3" x14ac:dyDescent="0.35">
      <c r="B652"/>
      <c r="C652"/>
    </row>
    <row r="653" spans="2:3" x14ac:dyDescent="0.35">
      <c r="B653"/>
      <c r="C653"/>
    </row>
    <row r="654" spans="2:3" x14ac:dyDescent="0.35">
      <c r="B654"/>
      <c r="C654"/>
    </row>
    <row r="655" spans="2:3" x14ac:dyDescent="0.35">
      <c r="B655"/>
      <c r="C655"/>
    </row>
    <row r="656" spans="2:3" x14ac:dyDescent="0.35">
      <c r="B656"/>
      <c r="C656"/>
    </row>
    <row r="657" spans="2:3" x14ac:dyDescent="0.35">
      <c r="B657"/>
      <c r="C657"/>
    </row>
    <row r="658" spans="2:3" x14ac:dyDescent="0.35">
      <c r="B658"/>
      <c r="C658"/>
    </row>
    <row r="659" spans="2:3" x14ac:dyDescent="0.35">
      <c r="B659"/>
      <c r="C659"/>
    </row>
    <row r="660" spans="2:3" x14ac:dyDescent="0.35">
      <c r="B660"/>
      <c r="C660"/>
    </row>
    <row r="661" spans="2:3" x14ac:dyDescent="0.35">
      <c r="B661"/>
      <c r="C661"/>
    </row>
    <row r="662" spans="2:3" x14ac:dyDescent="0.35">
      <c r="B662"/>
      <c r="C662"/>
    </row>
    <row r="663" spans="2:3" x14ac:dyDescent="0.35">
      <c r="B663"/>
      <c r="C663"/>
    </row>
    <row r="664" spans="2:3" x14ac:dyDescent="0.35">
      <c r="B664"/>
      <c r="C664"/>
    </row>
    <row r="665" spans="2:3" x14ac:dyDescent="0.35">
      <c r="B665"/>
      <c r="C665"/>
    </row>
    <row r="666" spans="2:3" x14ac:dyDescent="0.35">
      <c r="B666"/>
      <c r="C666"/>
    </row>
    <row r="667" spans="2:3" x14ac:dyDescent="0.35">
      <c r="B667"/>
      <c r="C667"/>
    </row>
    <row r="668" spans="2:3" x14ac:dyDescent="0.35">
      <c r="B668"/>
      <c r="C668"/>
    </row>
    <row r="669" spans="2:3" x14ac:dyDescent="0.35">
      <c r="B669"/>
      <c r="C669"/>
    </row>
    <row r="670" spans="2:3" x14ac:dyDescent="0.35">
      <c r="B670"/>
      <c r="C670"/>
    </row>
    <row r="671" spans="2:3" x14ac:dyDescent="0.35">
      <c r="B671"/>
      <c r="C671"/>
    </row>
    <row r="672" spans="2:3" x14ac:dyDescent="0.35">
      <c r="B672"/>
      <c r="C672"/>
    </row>
    <row r="673" spans="2:3" x14ac:dyDescent="0.35">
      <c r="B673"/>
      <c r="C673"/>
    </row>
    <row r="674" spans="2:3" x14ac:dyDescent="0.35">
      <c r="B674"/>
      <c r="C674"/>
    </row>
    <row r="675" spans="2:3" x14ac:dyDescent="0.35">
      <c r="B675"/>
      <c r="C675"/>
    </row>
    <row r="676" spans="2:3" x14ac:dyDescent="0.35">
      <c r="B676"/>
      <c r="C676"/>
    </row>
    <row r="677" spans="2:3" x14ac:dyDescent="0.35">
      <c r="B677"/>
      <c r="C677"/>
    </row>
    <row r="678" spans="2:3" x14ac:dyDescent="0.35">
      <c r="B678"/>
      <c r="C678"/>
    </row>
    <row r="679" spans="2:3" x14ac:dyDescent="0.35">
      <c r="B679"/>
      <c r="C679"/>
    </row>
    <row r="680" spans="2:3" x14ac:dyDescent="0.35">
      <c r="B680"/>
      <c r="C680"/>
    </row>
    <row r="681" spans="2:3" x14ac:dyDescent="0.35">
      <c r="B681"/>
      <c r="C681"/>
    </row>
    <row r="682" spans="2:3" x14ac:dyDescent="0.35">
      <c r="B682"/>
      <c r="C682"/>
    </row>
    <row r="683" spans="2:3" x14ac:dyDescent="0.35">
      <c r="B683"/>
      <c r="C683"/>
    </row>
    <row r="684" spans="2:3" x14ac:dyDescent="0.35">
      <c r="B684"/>
      <c r="C684"/>
    </row>
    <row r="685" spans="2:3" x14ac:dyDescent="0.35">
      <c r="B685"/>
      <c r="C685"/>
    </row>
    <row r="686" spans="2:3" x14ac:dyDescent="0.35">
      <c r="B686"/>
      <c r="C686"/>
    </row>
    <row r="687" spans="2:3" x14ac:dyDescent="0.35">
      <c r="B687"/>
      <c r="C687"/>
    </row>
    <row r="688" spans="2:3" x14ac:dyDescent="0.35">
      <c r="B688"/>
      <c r="C688"/>
    </row>
    <row r="689" spans="2:3" x14ac:dyDescent="0.35">
      <c r="B689"/>
      <c r="C689"/>
    </row>
    <row r="690" spans="2:3" x14ac:dyDescent="0.35">
      <c r="B690"/>
      <c r="C690"/>
    </row>
    <row r="691" spans="2:3" x14ac:dyDescent="0.35">
      <c r="B691"/>
      <c r="C691"/>
    </row>
    <row r="692" spans="2:3" x14ac:dyDescent="0.35">
      <c r="B692"/>
      <c r="C692"/>
    </row>
    <row r="693" spans="2:3" x14ac:dyDescent="0.35">
      <c r="B693"/>
      <c r="C693"/>
    </row>
    <row r="694" spans="2:3" x14ac:dyDescent="0.35">
      <c r="B694"/>
      <c r="C694"/>
    </row>
    <row r="695" spans="2:3" x14ac:dyDescent="0.35">
      <c r="B695"/>
      <c r="C695"/>
    </row>
    <row r="696" spans="2:3" x14ac:dyDescent="0.35">
      <c r="B696"/>
      <c r="C696"/>
    </row>
    <row r="697" spans="2:3" x14ac:dyDescent="0.35">
      <c r="B697"/>
      <c r="C697"/>
    </row>
    <row r="698" spans="2:3" x14ac:dyDescent="0.35">
      <c r="B698"/>
      <c r="C698"/>
    </row>
    <row r="699" spans="2:3" x14ac:dyDescent="0.35">
      <c r="B699"/>
      <c r="C699"/>
    </row>
    <row r="700" spans="2:3" x14ac:dyDescent="0.35">
      <c r="B700"/>
      <c r="C700"/>
    </row>
    <row r="701" spans="2:3" x14ac:dyDescent="0.35">
      <c r="B701"/>
      <c r="C701"/>
    </row>
    <row r="702" spans="2:3" x14ac:dyDescent="0.35">
      <c r="B702"/>
      <c r="C702"/>
    </row>
    <row r="703" spans="2:3" x14ac:dyDescent="0.35">
      <c r="B703"/>
      <c r="C703"/>
    </row>
    <row r="704" spans="2:3" x14ac:dyDescent="0.35">
      <c r="B704"/>
      <c r="C704"/>
    </row>
    <row r="705" spans="2:3" x14ac:dyDescent="0.35">
      <c r="B705"/>
      <c r="C705"/>
    </row>
    <row r="706" spans="2:3" x14ac:dyDescent="0.35">
      <c r="B706"/>
      <c r="C706"/>
    </row>
    <row r="707" spans="2:3" x14ac:dyDescent="0.35">
      <c r="B707"/>
      <c r="C707"/>
    </row>
    <row r="708" spans="2:3" x14ac:dyDescent="0.35">
      <c r="B708"/>
      <c r="C708"/>
    </row>
    <row r="709" spans="2:3" x14ac:dyDescent="0.35">
      <c r="B709"/>
      <c r="C709"/>
    </row>
    <row r="710" spans="2:3" x14ac:dyDescent="0.35">
      <c r="B710"/>
      <c r="C710"/>
    </row>
    <row r="711" spans="2:3" x14ac:dyDescent="0.35">
      <c r="B711"/>
      <c r="C711"/>
    </row>
    <row r="712" spans="2:3" x14ac:dyDescent="0.35">
      <c r="B712"/>
      <c r="C712"/>
    </row>
    <row r="713" spans="2:3" x14ac:dyDescent="0.35">
      <c r="B713"/>
      <c r="C713"/>
    </row>
    <row r="714" spans="2:3" x14ac:dyDescent="0.35">
      <c r="B714"/>
      <c r="C714"/>
    </row>
    <row r="715" spans="2:3" x14ac:dyDescent="0.35">
      <c r="B715"/>
      <c r="C715"/>
    </row>
    <row r="716" spans="2:3" x14ac:dyDescent="0.35">
      <c r="B716"/>
      <c r="C716"/>
    </row>
    <row r="717" spans="2:3" x14ac:dyDescent="0.35">
      <c r="B717"/>
      <c r="C717"/>
    </row>
    <row r="718" spans="2:3" x14ac:dyDescent="0.35">
      <c r="B718"/>
      <c r="C718"/>
    </row>
    <row r="719" spans="2:3" x14ac:dyDescent="0.35">
      <c r="B719"/>
      <c r="C719"/>
    </row>
    <row r="720" spans="2:3" x14ac:dyDescent="0.35">
      <c r="B720"/>
      <c r="C720"/>
    </row>
    <row r="721" spans="2:3" x14ac:dyDescent="0.35">
      <c r="B721"/>
      <c r="C721"/>
    </row>
    <row r="722" spans="2:3" x14ac:dyDescent="0.35">
      <c r="B722"/>
      <c r="C722"/>
    </row>
    <row r="723" spans="2:3" x14ac:dyDescent="0.35">
      <c r="B723"/>
      <c r="C723"/>
    </row>
    <row r="724" spans="2:3" x14ac:dyDescent="0.35">
      <c r="B724"/>
      <c r="C724"/>
    </row>
    <row r="725" spans="2:3" x14ac:dyDescent="0.35">
      <c r="B725"/>
      <c r="C725"/>
    </row>
    <row r="726" spans="2:3" x14ac:dyDescent="0.35">
      <c r="B726"/>
      <c r="C726"/>
    </row>
    <row r="727" spans="2:3" x14ac:dyDescent="0.35">
      <c r="B727"/>
      <c r="C727"/>
    </row>
    <row r="728" spans="2:3" x14ac:dyDescent="0.35">
      <c r="B728"/>
      <c r="C728"/>
    </row>
    <row r="729" spans="2:3" x14ac:dyDescent="0.35">
      <c r="B729"/>
      <c r="C729"/>
    </row>
    <row r="730" spans="2:3" x14ac:dyDescent="0.35">
      <c r="B730"/>
      <c r="C730"/>
    </row>
    <row r="731" spans="2:3" x14ac:dyDescent="0.35">
      <c r="B731"/>
      <c r="C731"/>
    </row>
    <row r="732" spans="2:3" x14ac:dyDescent="0.35">
      <c r="B732"/>
      <c r="C732"/>
    </row>
    <row r="733" spans="2:3" x14ac:dyDescent="0.35">
      <c r="B733"/>
      <c r="C733"/>
    </row>
    <row r="734" spans="2:3" x14ac:dyDescent="0.35">
      <c r="B734"/>
      <c r="C734"/>
    </row>
    <row r="735" spans="2:3" x14ac:dyDescent="0.35">
      <c r="B735"/>
      <c r="C735"/>
    </row>
    <row r="736" spans="2:3" x14ac:dyDescent="0.35">
      <c r="B736"/>
      <c r="C736"/>
    </row>
    <row r="737" spans="2:3" x14ac:dyDescent="0.35">
      <c r="B737"/>
      <c r="C737"/>
    </row>
    <row r="738" spans="2:3" x14ac:dyDescent="0.35">
      <c r="B738"/>
      <c r="C738"/>
    </row>
    <row r="739" spans="2:3" x14ac:dyDescent="0.35">
      <c r="B739"/>
      <c r="C739"/>
    </row>
    <row r="740" spans="2:3" x14ac:dyDescent="0.35">
      <c r="B740"/>
      <c r="C740"/>
    </row>
    <row r="741" spans="2:3" x14ac:dyDescent="0.35">
      <c r="B741"/>
      <c r="C741"/>
    </row>
    <row r="742" spans="2:3" x14ac:dyDescent="0.35">
      <c r="B742"/>
      <c r="C742"/>
    </row>
    <row r="743" spans="2:3" x14ac:dyDescent="0.35">
      <c r="B743"/>
      <c r="C743"/>
    </row>
    <row r="744" spans="2:3" x14ac:dyDescent="0.35">
      <c r="B744"/>
      <c r="C744"/>
    </row>
    <row r="745" spans="2:3" x14ac:dyDescent="0.35">
      <c r="B745"/>
      <c r="C745"/>
    </row>
    <row r="746" spans="2:3" x14ac:dyDescent="0.35">
      <c r="B746"/>
      <c r="C746"/>
    </row>
    <row r="747" spans="2:3" x14ac:dyDescent="0.35">
      <c r="B747"/>
      <c r="C747"/>
    </row>
    <row r="748" spans="2:3" x14ac:dyDescent="0.35">
      <c r="B748"/>
      <c r="C748"/>
    </row>
    <row r="749" spans="2:3" x14ac:dyDescent="0.35">
      <c r="B749"/>
      <c r="C749"/>
    </row>
    <row r="750" spans="2:3" x14ac:dyDescent="0.35">
      <c r="B750"/>
      <c r="C750"/>
    </row>
    <row r="751" spans="2:3" x14ac:dyDescent="0.35">
      <c r="B751"/>
      <c r="C751"/>
    </row>
    <row r="752" spans="2:3" x14ac:dyDescent="0.35">
      <c r="B752"/>
      <c r="C752"/>
    </row>
    <row r="753" spans="2:3" x14ac:dyDescent="0.35">
      <c r="B753"/>
      <c r="C753"/>
    </row>
    <row r="754" spans="2:3" x14ac:dyDescent="0.35">
      <c r="B754"/>
      <c r="C754"/>
    </row>
    <row r="755" spans="2:3" x14ac:dyDescent="0.35">
      <c r="B755"/>
      <c r="C755"/>
    </row>
    <row r="756" spans="2:3" x14ac:dyDescent="0.35">
      <c r="B756"/>
      <c r="C756"/>
    </row>
    <row r="757" spans="2:3" x14ac:dyDescent="0.35">
      <c r="B757"/>
      <c r="C757"/>
    </row>
    <row r="758" spans="2:3" x14ac:dyDescent="0.35">
      <c r="B758"/>
      <c r="C758"/>
    </row>
    <row r="759" spans="2:3" x14ac:dyDescent="0.35">
      <c r="B759"/>
      <c r="C759"/>
    </row>
    <row r="760" spans="2:3" x14ac:dyDescent="0.35">
      <c r="B760"/>
      <c r="C760"/>
    </row>
    <row r="761" spans="2:3" x14ac:dyDescent="0.35">
      <c r="B761"/>
      <c r="C761"/>
    </row>
    <row r="762" spans="2:3" x14ac:dyDescent="0.35">
      <c r="B762"/>
      <c r="C762"/>
    </row>
    <row r="763" spans="2:3" x14ac:dyDescent="0.35">
      <c r="B763"/>
      <c r="C763"/>
    </row>
    <row r="764" spans="2:3" x14ac:dyDescent="0.35">
      <c r="B764"/>
      <c r="C764"/>
    </row>
    <row r="765" spans="2:3" x14ac:dyDescent="0.35">
      <c r="B765"/>
      <c r="C765"/>
    </row>
    <row r="766" spans="2:3" x14ac:dyDescent="0.35">
      <c r="B766"/>
      <c r="C766"/>
    </row>
    <row r="767" spans="2:3" x14ac:dyDescent="0.35">
      <c r="B767"/>
      <c r="C767"/>
    </row>
    <row r="768" spans="2:3" x14ac:dyDescent="0.35">
      <c r="B768"/>
      <c r="C768"/>
    </row>
    <row r="769" spans="2:3" x14ac:dyDescent="0.35">
      <c r="B769"/>
      <c r="C769"/>
    </row>
    <row r="770" spans="2:3" x14ac:dyDescent="0.35">
      <c r="B770"/>
      <c r="C770"/>
    </row>
    <row r="771" spans="2:3" x14ac:dyDescent="0.35">
      <c r="B771"/>
      <c r="C771"/>
    </row>
    <row r="772" spans="2:3" x14ac:dyDescent="0.35">
      <c r="B772"/>
      <c r="C772"/>
    </row>
    <row r="773" spans="2:3" x14ac:dyDescent="0.35">
      <c r="B773"/>
      <c r="C773"/>
    </row>
    <row r="774" spans="2:3" x14ac:dyDescent="0.35">
      <c r="B774"/>
      <c r="C774"/>
    </row>
    <row r="775" spans="2:3" x14ac:dyDescent="0.35">
      <c r="B775"/>
      <c r="C775"/>
    </row>
    <row r="776" spans="2:3" x14ac:dyDescent="0.35">
      <c r="B776"/>
      <c r="C776"/>
    </row>
    <row r="777" spans="2:3" x14ac:dyDescent="0.35">
      <c r="B777"/>
      <c r="C777"/>
    </row>
    <row r="778" spans="2:3" x14ac:dyDescent="0.35">
      <c r="B778"/>
      <c r="C778"/>
    </row>
    <row r="779" spans="2:3" x14ac:dyDescent="0.35">
      <c r="B779"/>
      <c r="C779"/>
    </row>
    <row r="780" spans="2:3" x14ac:dyDescent="0.35">
      <c r="B780"/>
      <c r="C780"/>
    </row>
    <row r="781" spans="2:3" x14ac:dyDescent="0.35">
      <c r="B781"/>
      <c r="C781"/>
    </row>
    <row r="782" spans="2:3" x14ac:dyDescent="0.35">
      <c r="B782"/>
      <c r="C782"/>
    </row>
    <row r="783" spans="2:3" x14ac:dyDescent="0.35">
      <c r="B783"/>
      <c r="C783"/>
    </row>
    <row r="784" spans="2:3" x14ac:dyDescent="0.35">
      <c r="B784"/>
      <c r="C784"/>
    </row>
    <row r="785" spans="2:3" x14ac:dyDescent="0.35">
      <c r="B785"/>
      <c r="C785"/>
    </row>
    <row r="786" spans="2:3" x14ac:dyDescent="0.35">
      <c r="B786"/>
      <c r="C786"/>
    </row>
    <row r="787" spans="2:3" x14ac:dyDescent="0.35">
      <c r="B787"/>
      <c r="C787"/>
    </row>
    <row r="788" spans="2:3" x14ac:dyDescent="0.35">
      <c r="B788"/>
      <c r="C788"/>
    </row>
    <row r="789" spans="2:3" x14ac:dyDescent="0.35">
      <c r="B789"/>
      <c r="C789"/>
    </row>
    <row r="790" spans="2:3" x14ac:dyDescent="0.35">
      <c r="B790"/>
      <c r="C790"/>
    </row>
    <row r="791" spans="2:3" x14ac:dyDescent="0.35">
      <c r="B791"/>
      <c r="C791"/>
    </row>
    <row r="792" spans="2:3" x14ac:dyDescent="0.35">
      <c r="B792"/>
      <c r="C792"/>
    </row>
    <row r="793" spans="2:3" x14ac:dyDescent="0.35">
      <c r="B793"/>
      <c r="C793"/>
    </row>
    <row r="794" spans="2:3" x14ac:dyDescent="0.35">
      <c r="B794"/>
      <c r="C794"/>
    </row>
    <row r="795" spans="2:3" x14ac:dyDescent="0.35">
      <c r="B795"/>
      <c r="C795"/>
    </row>
    <row r="796" spans="2:3" x14ac:dyDescent="0.35">
      <c r="B796"/>
      <c r="C796"/>
    </row>
    <row r="797" spans="2:3" x14ac:dyDescent="0.35">
      <c r="B797"/>
      <c r="C797"/>
    </row>
    <row r="798" spans="2:3" x14ac:dyDescent="0.35">
      <c r="B798"/>
      <c r="C798"/>
    </row>
    <row r="799" spans="2:3" x14ac:dyDescent="0.35">
      <c r="B799"/>
      <c r="C799"/>
    </row>
    <row r="800" spans="2:3" x14ac:dyDescent="0.35">
      <c r="B800"/>
      <c r="C800"/>
    </row>
    <row r="801" spans="2:3" x14ac:dyDescent="0.35">
      <c r="B801"/>
      <c r="C801"/>
    </row>
    <row r="802" spans="2:3" x14ac:dyDescent="0.35">
      <c r="B802"/>
      <c r="C802"/>
    </row>
    <row r="803" spans="2:3" x14ac:dyDescent="0.35">
      <c r="B803"/>
      <c r="C803"/>
    </row>
    <row r="804" spans="2:3" x14ac:dyDescent="0.35">
      <c r="B804"/>
      <c r="C804"/>
    </row>
    <row r="805" spans="2:3" x14ac:dyDescent="0.35">
      <c r="B805"/>
      <c r="C805"/>
    </row>
    <row r="806" spans="2:3" x14ac:dyDescent="0.35">
      <c r="B806"/>
      <c r="C806"/>
    </row>
    <row r="807" spans="2:3" x14ac:dyDescent="0.35">
      <c r="B807"/>
      <c r="C807"/>
    </row>
    <row r="808" spans="2:3" x14ac:dyDescent="0.35">
      <c r="B808"/>
      <c r="C808"/>
    </row>
    <row r="809" spans="2:3" x14ac:dyDescent="0.35">
      <c r="B809"/>
      <c r="C809"/>
    </row>
    <row r="810" spans="2:3" x14ac:dyDescent="0.35">
      <c r="B810"/>
      <c r="C810"/>
    </row>
    <row r="811" spans="2:3" x14ac:dyDescent="0.35">
      <c r="B811"/>
      <c r="C811"/>
    </row>
    <row r="812" spans="2:3" x14ac:dyDescent="0.35">
      <c r="B812"/>
      <c r="C812"/>
    </row>
    <row r="813" spans="2:3" x14ac:dyDescent="0.35">
      <c r="B813"/>
      <c r="C813"/>
    </row>
    <row r="814" spans="2:3" x14ac:dyDescent="0.35">
      <c r="B814"/>
      <c r="C814"/>
    </row>
    <row r="815" spans="2:3" x14ac:dyDescent="0.35">
      <c r="B815"/>
      <c r="C815"/>
    </row>
    <row r="816" spans="2:3" x14ac:dyDescent="0.35">
      <c r="B816"/>
      <c r="C816"/>
    </row>
    <row r="817" spans="2:3" x14ac:dyDescent="0.35">
      <c r="B817"/>
      <c r="C817"/>
    </row>
    <row r="818" spans="2:3" x14ac:dyDescent="0.35">
      <c r="B818"/>
      <c r="C818"/>
    </row>
    <row r="819" spans="2:3" x14ac:dyDescent="0.35">
      <c r="B819"/>
      <c r="C819"/>
    </row>
    <row r="820" spans="2:3" x14ac:dyDescent="0.35">
      <c r="B820"/>
      <c r="C820"/>
    </row>
    <row r="821" spans="2:3" x14ac:dyDescent="0.35">
      <c r="B821"/>
      <c r="C821"/>
    </row>
    <row r="822" spans="2:3" x14ac:dyDescent="0.35">
      <c r="B822"/>
      <c r="C822"/>
    </row>
    <row r="823" spans="2:3" x14ac:dyDescent="0.35">
      <c r="B823"/>
      <c r="C823"/>
    </row>
    <row r="824" spans="2:3" x14ac:dyDescent="0.35">
      <c r="B824"/>
      <c r="C824"/>
    </row>
    <row r="825" spans="2:3" x14ac:dyDescent="0.35">
      <c r="B825"/>
      <c r="C825"/>
    </row>
    <row r="826" spans="2:3" x14ac:dyDescent="0.35">
      <c r="B826"/>
      <c r="C826"/>
    </row>
    <row r="827" spans="2:3" x14ac:dyDescent="0.35">
      <c r="B827"/>
      <c r="C827"/>
    </row>
    <row r="828" spans="2:3" x14ac:dyDescent="0.35">
      <c r="B828"/>
      <c r="C828"/>
    </row>
    <row r="829" spans="2:3" x14ac:dyDescent="0.35">
      <c r="B829"/>
      <c r="C829"/>
    </row>
    <row r="830" spans="2:3" x14ac:dyDescent="0.35">
      <c r="B830"/>
      <c r="C830"/>
    </row>
    <row r="831" spans="2:3" x14ac:dyDescent="0.35">
      <c r="B831"/>
      <c r="C831"/>
    </row>
    <row r="832" spans="2:3" x14ac:dyDescent="0.35">
      <c r="B832"/>
      <c r="C832"/>
    </row>
    <row r="833" spans="2:3" x14ac:dyDescent="0.35">
      <c r="B833"/>
      <c r="C833"/>
    </row>
    <row r="834" spans="2:3" x14ac:dyDescent="0.35">
      <c r="B834"/>
      <c r="C834"/>
    </row>
    <row r="835" spans="2:3" x14ac:dyDescent="0.35">
      <c r="B835"/>
      <c r="C835"/>
    </row>
    <row r="836" spans="2:3" x14ac:dyDescent="0.35">
      <c r="B836"/>
      <c r="C836"/>
    </row>
    <row r="837" spans="2:3" x14ac:dyDescent="0.35">
      <c r="B837"/>
      <c r="C837"/>
    </row>
    <row r="838" spans="2:3" x14ac:dyDescent="0.35">
      <c r="B838"/>
      <c r="C838"/>
    </row>
    <row r="839" spans="2:3" x14ac:dyDescent="0.35">
      <c r="B839"/>
      <c r="C839"/>
    </row>
    <row r="840" spans="2:3" x14ac:dyDescent="0.35">
      <c r="B840"/>
      <c r="C840"/>
    </row>
    <row r="841" spans="2:3" x14ac:dyDescent="0.35">
      <c r="B841"/>
      <c r="C841"/>
    </row>
    <row r="842" spans="2:3" x14ac:dyDescent="0.35">
      <c r="B842"/>
      <c r="C842"/>
    </row>
    <row r="843" spans="2:3" x14ac:dyDescent="0.35">
      <c r="B843"/>
      <c r="C843"/>
    </row>
    <row r="844" spans="2:3" x14ac:dyDescent="0.35">
      <c r="B844"/>
      <c r="C844"/>
    </row>
    <row r="845" spans="2:3" x14ac:dyDescent="0.35">
      <c r="B845"/>
      <c r="C845"/>
    </row>
    <row r="846" spans="2:3" x14ac:dyDescent="0.35">
      <c r="B846"/>
      <c r="C846"/>
    </row>
    <row r="847" spans="2:3" x14ac:dyDescent="0.35">
      <c r="B847"/>
      <c r="C847"/>
    </row>
    <row r="848" spans="2:3" x14ac:dyDescent="0.35">
      <c r="B848"/>
      <c r="C848"/>
    </row>
    <row r="849" spans="2:3" x14ac:dyDescent="0.35">
      <c r="B849"/>
      <c r="C849"/>
    </row>
    <row r="850" spans="2:3" x14ac:dyDescent="0.35">
      <c r="B850"/>
      <c r="C850"/>
    </row>
    <row r="851" spans="2:3" x14ac:dyDescent="0.35">
      <c r="B851"/>
      <c r="C851"/>
    </row>
    <row r="852" spans="2:3" x14ac:dyDescent="0.35">
      <c r="B852"/>
      <c r="C852"/>
    </row>
    <row r="853" spans="2:3" x14ac:dyDescent="0.35">
      <c r="B853"/>
      <c r="C853"/>
    </row>
    <row r="854" spans="2:3" x14ac:dyDescent="0.35">
      <c r="B854"/>
      <c r="C854"/>
    </row>
    <row r="855" spans="2:3" x14ac:dyDescent="0.35">
      <c r="B855"/>
      <c r="C855"/>
    </row>
    <row r="856" spans="2:3" x14ac:dyDescent="0.35">
      <c r="B856"/>
      <c r="C856"/>
    </row>
    <row r="857" spans="2:3" x14ac:dyDescent="0.35">
      <c r="B857"/>
      <c r="C857"/>
    </row>
    <row r="858" spans="2:3" x14ac:dyDescent="0.35">
      <c r="B858"/>
      <c r="C858"/>
    </row>
    <row r="859" spans="2:3" x14ac:dyDescent="0.35">
      <c r="B859"/>
      <c r="C859"/>
    </row>
    <row r="860" spans="2:3" x14ac:dyDescent="0.35">
      <c r="B860"/>
      <c r="C860"/>
    </row>
    <row r="861" spans="2:3" x14ac:dyDescent="0.35">
      <c r="B861"/>
      <c r="C861"/>
    </row>
    <row r="862" spans="2:3" x14ac:dyDescent="0.35">
      <c r="B862"/>
      <c r="C862"/>
    </row>
    <row r="863" spans="2:3" x14ac:dyDescent="0.35">
      <c r="B863"/>
      <c r="C863"/>
    </row>
    <row r="864" spans="2:3" x14ac:dyDescent="0.35">
      <c r="B864"/>
      <c r="C864"/>
    </row>
    <row r="865" spans="2:3" x14ac:dyDescent="0.35">
      <c r="B865"/>
      <c r="C865"/>
    </row>
    <row r="866" spans="2:3" x14ac:dyDescent="0.35">
      <c r="B866"/>
      <c r="C866"/>
    </row>
    <row r="867" spans="2:3" x14ac:dyDescent="0.35">
      <c r="B867"/>
      <c r="C867"/>
    </row>
    <row r="868" spans="2:3" x14ac:dyDescent="0.35">
      <c r="B868"/>
      <c r="C868"/>
    </row>
    <row r="869" spans="2:3" x14ac:dyDescent="0.35">
      <c r="B869"/>
      <c r="C869"/>
    </row>
    <row r="870" spans="2:3" x14ac:dyDescent="0.35">
      <c r="B870"/>
      <c r="C870"/>
    </row>
    <row r="871" spans="2:3" x14ac:dyDescent="0.35">
      <c r="B871"/>
      <c r="C871"/>
    </row>
    <row r="872" spans="2:3" x14ac:dyDescent="0.35">
      <c r="B872"/>
      <c r="C872"/>
    </row>
    <row r="873" spans="2:3" x14ac:dyDescent="0.35">
      <c r="B873"/>
      <c r="C873"/>
    </row>
    <row r="874" spans="2:3" x14ac:dyDescent="0.35">
      <c r="B874"/>
      <c r="C874"/>
    </row>
    <row r="875" spans="2:3" x14ac:dyDescent="0.35">
      <c r="B875"/>
      <c r="C875"/>
    </row>
    <row r="876" spans="2:3" x14ac:dyDescent="0.35">
      <c r="B876"/>
      <c r="C876"/>
    </row>
    <row r="877" spans="2:3" x14ac:dyDescent="0.35">
      <c r="B877"/>
      <c r="C877"/>
    </row>
    <row r="878" spans="2:3" x14ac:dyDescent="0.35">
      <c r="B878"/>
      <c r="C878"/>
    </row>
    <row r="879" spans="2:3" x14ac:dyDescent="0.35">
      <c r="B879"/>
      <c r="C879"/>
    </row>
    <row r="880" spans="2:3" x14ac:dyDescent="0.35">
      <c r="B880"/>
      <c r="C880"/>
    </row>
    <row r="881" spans="2:3" x14ac:dyDescent="0.35">
      <c r="B881"/>
      <c r="C881"/>
    </row>
    <row r="882" spans="2:3" x14ac:dyDescent="0.35">
      <c r="B882"/>
      <c r="C882"/>
    </row>
    <row r="883" spans="2:3" x14ac:dyDescent="0.35">
      <c r="B883"/>
      <c r="C883"/>
    </row>
    <row r="884" spans="2:3" x14ac:dyDescent="0.35">
      <c r="B884"/>
      <c r="C884"/>
    </row>
    <row r="885" spans="2:3" x14ac:dyDescent="0.35">
      <c r="B885"/>
      <c r="C885"/>
    </row>
    <row r="886" spans="2:3" x14ac:dyDescent="0.35">
      <c r="B886"/>
      <c r="C886"/>
    </row>
    <row r="887" spans="2:3" x14ac:dyDescent="0.35">
      <c r="B887"/>
      <c r="C887"/>
    </row>
    <row r="888" spans="2:3" x14ac:dyDescent="0.35">
      <c r="B888"/>
      <c r="C888"/>
    </row>
    <row r="889" spans="2:3" x14ac:dyDescent="0.35">
      <c r="B889"/>
      <c r="C889"/>
    </row>
    <row r="890" spans="2:3" x14ac:dyDescent="0.35">
      <c r="B890"/>
      <c r="C890"/>
    </row>
    <row r="891" spans="2:3" x14ac:dyDescent="0.35">
      <c r="B891"/>
      <c r="C891"/>
    </row>
    <row r="892" spans="2:3" x14ac:dyDescent="0.35">
      <c r="B892"/>
      <c r="C892"/>
    </row>
    <row r="893" spans="2:3" x14ac:dyDescent="0.35">
      <c r="B893"/>
      <c r="C893"/>
    </row>
    <row r="894" spans="2:3" x14ac:dyDescent="0.35">
      <c r="B894"/>
      <c r="C894"/>
    </row>
    <row r="895" spans="2:3" x14ac:dyDescent="0.35">
      <c r="B895"/>
      <c r="C895"/>
    </row>
    <row r="896" spans="2:3" x14ac:dyDescent="0.35">
      <c r="B896"/>
      <c r="C896"/>
    </row>
    <row r="897" spans="2:3" x14ac:dyDescent="0.35">
      <c r="B897"/>
      <c r="C897"/>
    </row>
    <row r="898" spans="2:3" x14ac:dyDescent="0.35">
      <c r="B898"/>
      <c r="C898"/>
    </row>
    <row r="899" spans="2:3" x14ac:dyDescent="0.35">
      <c r="B899"/>
      <c r="C899"/>
    </row>
    <row r="900" spans="2:3" x14ac:dyDescent="0.35">
      <c r="B900"/>
      <c r="C900"/>
    </row>
    <row r="901" spans="2:3" x14ac:dyDescent="0.35">
      <c r="B901"/>
      <c r="C901"/>
    </row>
    <row r="902" spans="2:3" x14ac:dyDescent="0.35">
      <c r="B902"/>
      <c r="C902"/>
    </row>
    <row r="903" spans="2:3" x14ac:dyDescent="0.35">
      <c r="B903"/>
      <c r="C903"/>
    </row>
    <row r="904" spans="2:3" x14ac:dyDescent="0.35">
      <c r="B904"/>
      <c r="C904"/>
    </row>
    <row r="905" spans="2:3" x14ac:dyDescent="0.35">
      <c r="B905"/>
      <c r="C905"/>
    </row>
    <row r="906" spans="2:3" x14ac:dyDescent="0.35">
      <c r="B906"/>
      <c r="C906"/>
    </row>
    <row r="907" spans="2:3" x14ac:dyDescent="0.35">
      <c r="B907"/>
      <c r="C907"/>
    </row>
    <row r="908" spans="2:3" x14ac:dyDescent="0.35">
      <c r="B908"/>
      <c r="C908"/>
    </row>
    <row r="909" spans="2:3" x14ac:dyDescent="0.35">
      <c r="B909"/>
      <c r="C909"/>
    </row>
    <row r="910" spans="2:3" x14ac:dyDescent="0.35">
      <c r="B910"/>
      <c r="C910"/>
    </row>
    <row r="911" spans="2:3" x14ac:dyDescent="0.35">
      <c r="B911"/>
      <c r="C911"/>
    </row>
    <row r="912" spans="2:3" x14ac:dyDescent="0.35">
      <c r="B912"/>
      <c r="C912"/>
    </row>
    <row r="913" spans="2:3" x14ac:dyDescent="0.35">
      <c r="B913"/>
      <c r="C913"/>
    </row>
    <row r="914" spans="2:3" x14ac:dyDescent="0.35">
      <c r="B914"/>
      <c r="C914"/>
    </row>
    <row r="915" spans="2:3" x14ac:dyDescent="0.35">
      <c r="B915"/>
      <c r="C915"/>
    </row>
    <row r="916" spans="2:3" x14ac:dyDescent="0.35">
      <c r="B916"/>
      <c r="C916"/>
    </row>
    <row r="917" spans="2:3" x14ac:dyDescent="0.35">
      <c r="B917"/>
      <c r="C917"/>
    </row>
    <row r="918" spans="2:3" x14ac:dyDescent="0.35">
      <c r="B918"/>
      <c r="C918"/>
    </row>
    <row r="919" spans="2:3" x14ac:dyDescent="0.35">
      <c r="B919"/>
      <c r="C919"/>
    </row>
    <row r="920" spans="2:3" x14ac:dyDescent="0.35">
      <c r="B920"/>
      <c r="C920"/>
    </row>
    <row r="921" spans="2:3" x14ac:dyDescent="0.35">
      <c r="B921"/>
      <c r="C921"/>
    </row>
    <row r="922" spans="2:3" x14ac:dyDescent="0.35">
      <c r="B922"/>
      <c r="C922"/>
    </row>
    <row r="923" spans="2:3" x14ac:dyDescent="0.35">
      <c r="B923"/>
      <c r="C923"/>
    </row>
    <row r="924" spans="2:3" x14ac:dyDescent="0.35">
      <c r="B924"/>
      <c r="C924"/>
    </row>
    <row r="925" spans="2:3" x14ac:dyDescent="0.35">
      <c r="B925"/>
      <c r="C925"/>
    </row>
    <row r="926" spans="2:3" x14ac:dyDescent="0.35">
      <c r="B926"/>
      <c r="C926"/>
    </row>
    <row r="927" spans="2:3" x14ac:dyDescent="0.35">
      <c r="B927"/>
      <c r="C927"/>
    </row>
    <row r="928" spans="2:3" x14ac:dyDescent="0.35">
      <c r="B928"/>
      <c r="C928"/>
    </row>
    <row r="929" spans="2:3" x14ac:dyDescent="0.35">
      <c r="B929"/>
      <c r="C929"/>
    </row>
    <row r="930" spans="2:3" x14ac:dyDescent="0.35">
      <c r="B930"/>
      <c r="C930"/>
    </row>
    <row r="931" spans="2:3" x14ac:dyDescent="0.35">
      <c r="B931"/>
      <c r="C931"/>
    </row>
    <row r="932" spans="2:3" x14ac:dyDescent="0.35">
      <c r="B932"/>
      <c r="C932"/>
    </row>
    <row r="933" spans="2:3" x14ac:dyDescent="0.35">
      <c r="B933"/>
      <c r="C933"/>
    </row>
    <row r="934" spans="2:3" x14ac:dyDescent="0.35">
      <c r="B934"/>
      <c r="C934"/>
    </row>
    <row r="935" spans="2:3" x14ac:dyDescent="0.35">
      <c r="B935"/>
      <c r="C935"/>
    </row>
    <row r="936" spans="2:3" x14ac:dyDescent="0.35">
      <c r="B936"/>
      <c r="C936"/>
    </row>
    <row r="937" spans="2:3" x14ac:dyDescent="0.35">
      <c r="B937"/>
      <c r="C937"/>
    </row>
    <row r="938" spans="2:3" x14ac:dyDescent="0.35">
      <c r="B938"/>
      <c r="C938"/>
    </row>
    <row r="939" spans="2:3" x14ac:dyDescent="0.35">
      <c r="B939"/>
      <c r="C939"/>
    </row>
    <row r="940" spans="2:3" x14ac:dyDescent="0.35">
      <c r="B940"/>
      <c r="C940"/>
    </row>
    <row r="941" spans="2:3" x14ac:dyDescent="0.35">
      <c r="B941"/>
      <c r="C941"/>
    </row>
    <row r="942" spans="2:3" x14ac:dyDescent="0.35">
      <c r="B942"/>
      <c r="C942"/>
    </row>
    <row r="943" spans="2:3" x14ac:dyDescent="0.35">
      <c r="B943"/>
      <c r="C943"/>
    </row>
    <row r="944" spans="2:3" x14ac:dyDescent="0.35">
      <c r="B944"/>
      <c r="C944"/>
    </row>
    <row r="945" spans="2:3" x14ac:dyDescent="0.35">
      <c r="B945"/>
      <c r="C945"/>
    </row>
    <row r="946" spans="2:3" x14ac:dyDescent="0.35">
      <c r="B946"/>
      <c r="C946"/>
    </row>
    <row r="947" spans="2:3" x14ac:dyDescent="0.35">
      <c r="B947"/>
      <c r="C947"/>
    </row>
    <row r="948" spans="2:3" x14ac:dyDescent="0.35">
      <c r="B948"/>
      <c r="C948"/>
    </row>
    <row r="949" spans="2:3" x14ac:dyDescent="0.35">
      <c r="B949"/>
      <c r="C949"/>
    </row>
    <row r="950" spans="2:3" x14ac:dyDescent="0.35">
      <c r="B950"/>
      <c r="C950"/>
    </row>
    <row r="951" spans="2:3" x14ac:dyDescent="0.35">
      <c r="B951"/>
      <c r="C951"/>
    </row>
    <row r="952" spans="2:3" x14ac:dyDescent="0.35">
      <c r="B952"/>
      <c r="C952"/>
    </row>
    <row r="953" spans="2:3" x14ac:dyDescent="0.35">
      <c r="B953"/>
      <c r="C953"/>
    </row>
    <row r="954" spans="2:3" x14ac:dyDescent="0.35">
      <c r="B954"/>
      <c r="C954"/>
    </row>
    <row r="955" spans="2:3" x14ac:dyDescent="0.35">
      <c r="B955"/>
      <c r="C955"/>
    </row>
    <row r="956" spans="2:3" x14ac:dyDescent="0.35">
      <c r="B956"/>
      <c r="C956"/>
    </row>
    <row r="957" spans="2:3" x14ac:dyDescent="0.35">
      <c r="B957"/>
      <c r="C957"/>
    </row>
    <row r="958" spans="2:3" x14ac:dyDescent="0.35">
      <c r="B958"/>
      <c r="C958"/>
    </row>
    <row r="959" spans="2:3" x14ac:dyDescent="0.35">
      <c r="B959"/>
      <c r="C959"/>
    </row>
    <row r="960" spans="2:3" x14ac:dyDescent="0.35">
      <c r="B960"/>
      <c r="C960"/>
    </row>
    <row r="961" spans="2:3" x14ac:dyDescent="0.35">
      <c r="B961"/>
      <c r="C961"/>
    </row>
    <row r="962" spans="2:3" x14ac:dyDescent="0.35">
      <c r="B962"/>
      <c r="C962"/>
    </row>
    <row r="963" spans="2:3" x14ac:dyDescent="0.35">
      <c r="B963"/>
      <c r="C963"/>
    </row>
    <row r="964" spans="2:3" x14ac:dyDescent="0.35">
      <c r="B964"/>
      <c r="C964"/>
    </row>
    <row r="965" spans="2:3" x14ac:dyDescent="0.35">
      <c r="B965"/>
      <c r="C965"/>
    </row>
    <row r="966" spans="2:3" x14ac:dyDescent="0.35">
      <c r="B966"/>
      <c r="C966"/>
    </row>
    <row r="967" spans="2:3" x14ac:dyDescent="0.35">
      <c r="B967"/>
      <c r="C967"/>
    </row>
    <row r="968" spans="2:3" x14ac:dyDescent="0.35">
      <c r="B968"/>
      <c r="C968"/>
    </row>
    <row r="969" spans="2:3" x14ac:dyDescent="0.35">
      <c r="B969"/>
      <c r="C969"/>
    </row>
    <row r="970" spans="2:3" x14ac:dyDescent="0.35">
      <c r="B970"/>
      <c r="C970"/>
    </row>
    <row r="971" spans="2:3" x14ac:dyDescent="0.35">
      <c r="B971"/>
      <c r="C971"/>
    </row>
    <row r="972" spans="2:3" x14ac:dyDescent="0.35">
      <c r="B972"/>
      <c r="C972"/>
    </row>
    <row r="973" spans="2:3" x14ac:dyDescent="0.35">
      <c r="B973"/>
      <c r="C973"/>
    </row>
    <row r="974" spans="2:3" x14ac:dyDescent="0.35">
      <c r="B974"/>
      <c r="C974"/>
    </row>
    <row r="975" spans="2:3" x14ac:dyDescent="0.35">
      <c r="B975"/>
      <c r="C975"/>
    </row>
    <row r="976" spans="2:3" x14ac:dyDescent="0.35">
      <c r="B976"/>
      <c r="C976"/>
    </row>
    <row r="977" spans="2:3" x14ac:dyDescent="0.35">
      <c r="B977"/>
      <c r="C977"/>
    </row>
    <row r="978" spans="2:3" x14ac:dyDescent="0.35">
      <c r="B978"/>
      <c r="C978"/>
    </row>
    <row r="979" spans="2:3" x14ac:dyDescent="0.35">
      <c r="B979"/>
      <c r="C979"/>
    </row>
    <row r="980" spans="2:3" x14ac:dyDescent="0.35">
      <c r="B980"/>
      <c r="C980"/>
    </row>
    <row r="981" spans="2:3" x14ac:dyDescent="0.35">
      <c r="B981"/>
      <c r="C981"/>
    </row>
    <row r="982" spans="2:3" x14ac:dyDescent="0.35">
      <c r="B982"/>
      <c r="C982"/>
    </row>
    <row r="983" spans="2:3" x14ac:dyDescent="0.35">
      <c r="B983"/>
      <c r="C983"/>
    </row>
    <row r="984" spans="2:3" x14ac:dyDescent="0.35">
      <c r="B984"/>
      <c r="C984"/>
    </row>
    <row r="985" spans="2:3" x14ac:dyDescent="0.35">
      <c r="B985"/>
      <c r="C985"/>
    </row>
    <row r="986" spans="2:3" x14ac:dyDescent="0.35">
      <c r="B986"/>
      <c r="C986"/>
    </row>
    <row r="987" spans="2:3" x14ac:dyDescent="0.35">
      <c r="B987"/>
      <c r="C987"/>
    </row>
    <row r="988" spans="2:3" x14ac:dyDescent="0.35">
      <c r="B988"/>
      <c r="C988"/>
    </row>
    <row r="989" spans="2:3" x14ac:dyDescent="0.35">
      <c r="B989"/>
      <c r="C989"/>
    </row>
    <row r="990" spans="2:3" x14ac:dyDescent="0.35">
      <c r="B990"/>
      <c r="C990"/>
    </row>
    <row r="991" spans="2:3" x14ac:dyDescent="0.35">
      <c r="B991"/>
      <c r="C991"/>
    </row>
    <row r="992" spans="2:3" x14ac:dyDescent="0.35">
      <c r="B992"/>
      <c r="C992"/>
    </row>
    <row r="993" spans="2:3" x14ac:dyDescent="0.35">
      <c r="B993"/>
      <c r="C993"/>
    </row>
    <row r="994" spans="2:3" x14ac:dyDescent="0.35">
      <c r="B994"/>
      <c r="C994"/>
    </row>
    <row r="995" spans="2:3" x14ac:dyDescent="0.35">
      <c r="B995"/>
      <c r="C995"/>
    </row>
    <row r="996" spans="2:3" x14ac:dyDescent="0.35">
      <c r="B996"/>
      <c r="C996"/>
    </row>
    <row r="997" spans="2:3" x14ac:dyDescent="0.35">
      <c r="B997"/>
      <c r="C997"/>
    </row>
    <row r="998" spans="2:3" x14ac:dyDescent="0.35">
      <c r="B998"/>
      <c r="C998"/>
    </row>
    <row r="999" spans="2:3" x14ac:dyDescent="0.35">
      <c r="B999"/>
      <c r="C999"/>
    </row>
    <row r="1000" spans="2:3" x14ac:dyDescent="0.35">
      <c r="B1000"/>
      <c r="C1000"/>
    </row>
    <row r="1001" spans="2:3" x14ac:dyDescent="0.35">
      <c r="B1001"/>
      <c r="C1001"/>
    </row>
    <row r="1002" spans="2:3" x14ac:dyDescent="0.35">
      <c r="B1002"/>
      <c r="C1002"/>
    </row>
    <row r="1003" spans="2:3" x14ac:dyDescent="0.35">
      <c r="B1003"/>
      <c r="C1003"/>
    </row>
    <row r="1004" spans="2:3" x14ac:dyDescent="0.35">
      <c r="B1004"/>
      <c r="C1004"/>
    </row>
    <row r="1005" spans="2:3" x14ac:dyDescent="0.35">
      <c r="B1005"/>
      <c r="C1005"/>
    </row>
    <row r="1006" spans="2:3" x14ac:dyDescent="0.35">
      <c r="B1006"/>
      <c r="C1006"/>
    </row>
    <row r="1007" spans="2:3" x14ac:dyDescent="0.35">
      <c r="B1007"/>
      <c r="C1007"/>
    </row>
    <row r="1008" spans="2:3" x14ac:dyDescent="0.35">
      <c r="B1008"/>
      <c r="C1008"/>
    </row>
    <row r="1009" spans="2:3" x14ac:dyDescent="0.35">
      <c r="B1009"/>
      <c r="C1009"/>
    </row>
    <row r="1010" spans="2:3" x14ac:dyDescent="0.35">
      <c r="B1010"/>
      <c r="C1010"/>
    </row>
    <row r="1011" spans="2:3" x14ac:dyDescent="0.35">
      <c r="B1011"/>
      <c r="C1011"/>
    </row>
    <row r="1012" spans="2:3" x14ac:dyDescent="0.35">
      <c r="B1012"/>
      <c r="C1012"/>
    </row>
    <row r="1013" spans="2:3" x14ac:dyDescent="0.35">
      <c r="B1013"/>
      <c r="C1013"/>
    </row>
    <row r="1014" spans="2:3" x14ac:dyDescent="0.35">
      <c r="B1014"/>
      <c r="C1014"/>
    </row>
    <row r="1015" spans="2:3" x14ac:dyDescent="0.35">
      <c r="B1015"/>
      <c r="C1015"/>
    </row>
    <row r="1016" spans="2:3" x14ac:dyDescent="0.35">
      <c r="B1016"/>
      <c r="C1016"/>
    </row>
    <row r="1017" spans="2:3" x14ac:dyDescent="0.35">
      <c r="B1017"/>
      <c r="C1017"/>
    </row>
    <row r="1018" spans="2:3" x14ac:dyDescent="0.35">
      <c r="B1018"/>
      <c r="C1018"/>
    </row>
    <row r="1019" spans="2:3" x14ac:dyDescent="0.35">
      <c r="B1019"/>
      <c r="C1019"/>
    </row>
    <row r="1020" spans="2:3" x14ac:dyDescent="0.35">
      <c r="B1020"/>
      <c r="C1020"/>
    </row>
    <row r="1021" spans="2:3" x14ac:dyDescent="0.35">
      <c r="B1021"/>
      <c r="C1021"/>
    </row>
    <row r="1022" spans="2:3" x14ac:dyDescent="0.35">
      <c r="B1022"/>
      <c r="C1022"/>
    </row>
    <row r="1023" spans="2:3" x14ac:dyDescent="0.35">
      <c r="B1023"/>
      <c r="C1023"/>
    </row>
    <row r="1024" spans="2:3" x14ac:dyDescent="0.35">
      <c r="B1024"/>
      <c r="C1024"/>
    </row>
    <row r="1025" spans="2:3" x14ac:dyDescent="0.35">
      <c r="B1025"/>
      <c r="C1025"/>
    </row>
    <row r="1026" spans="2:3" x14ac:dyDescent="0.35">
      <c r="B1026"/>
      <c r="C1026"/>
    </row>
    <row r="1027" spans="2:3" x14ac:dyDescent="0.35">
      <c r="B1027"/>
      <c r="C1027"/>
    </row>
    <row r="1028" spans="2:3" x14ac:dyDescent="0.35">
      <c r="B1028"/>
      <c r="C1028"/>
    </row>
    <row r="1029" spans="2:3" x14ac:dyDescent="0.35">
      <c r="B1029"/>
      <c r="C1029"/>
    </row>
    <row r="1030" spans="2:3" x14ac:dyDescent="0.35">
      <c r="B1030"/>
      <c r="C1030"/>
    </row>
    <row r="1031" spans="2:3" x14ac:dyDescent="0.35">
      <c r="B1031"/>
      <c r="C1031"/>
    </row>
    <row r="1032" spans="2:3" x14ac:dyDescent="0.35">
      <c r="B1032"/>
      <c r="C1032"/>
    </row>
    <row r="1033" spans="2:3" x14ac:dyDescent="0.35">
      <c r="B1033"/>
      <c r="C1033"/>
    </row>
    <row r="1034" spans="2:3" x14ac:dyDescent="0.35">
      <c r="B1034"/>
      <c r="C1034"/>
    </row>
    <row r="1035" spans="2:3" x14ac:dyDescent="0.35">
      <c r="B1035"/>
      <c r="C1035"/>
    </row>
    <row r="1036" spans="2:3" x14ac:dyDescent="0.35">
      <c r="B1036"/>
      <c r="C1036"/>
    </row>
    <row r="1037" spans="2:3" x14ac:dyDescent="0.35">
      <c r="B1037"/>
      <c r="C1037"/>
    </row>
    <row r="1038" spans="2:3" x14ac:dyDescent="0.35">
      <c r="B1038"/>
      <c r="C1038"/>
    </row>
    <row r="1039" spans="2:3" x14ac:dyDescent="0.35">
      <c r="B1039"/>
      <c r="C1039"/>
    </row>
    <row r="1040" spans="2:3" x14ac:dyDescent="0.35">
      <c r="B1040"/>
      <c r="C1040"/>
    </row>
    <row r="1041" spans="2:3" x14ac:dyDescent="0.35">
      <c r="B1041"/>
      <c r="C1041"/>
    </row>
    <row r="1042" spans="2:3" x14ac:dyDescent="0.35">
      <c r="B1042"/>
      <c r="C1042"/>
    </row>
    <row r="1043" spans="2:3" x14ac:dyDescent="0.35">
      <c r="B1043"/>
      <c r="C1043"/>
    </row>
    <row r="1044" spans="2:3" x14ac:dyDescent="0.35">
      <c r="B1044"/>
      <c r="C1044"/>
    </row>
    <row r="1045" spans="2:3" x14ac:dyDescent="0.35">
      <c r="B1045"/>
      <c r="C1045"/>
    </row>
    <row r="1046" spans="2:3" x14ac:dyDescent="0.35">
      <c r="B1046"/>
      <c r="C1046"/>
    </row>
    <row r="1047" spans="2:3" x14ac:dyDescent="0.35">
      <c r="B1047"/>
      <c r="C1047"/>
    </row>
    <row r="1048" spans="2:3" x14ac:dyDescent="0.35">
      <c r="B1048"/>
      <c r="C1048"/>
    </row>
    <row r="1049" spans="2:3" x14ac:dyDescent="0.35">
      <c r="B1049"/>
      <c r="C1049"/>
    </row>
    <row r="1050" spans="2:3" x14ac:dyDescent="0.35">
      <c r="B1050"/>
      <c r="C1050"/>
    </row>
    <row r="1051" spans="2:3" x14ac:dyDescent="0.35">
      <c r="B1051"/>
      <c r="C1051"/>
    </row>
    <row r="1052" spans="2:3" x14ac:dyDescent="0.35">
      <c r="B1052"/>
      <c r="C1052"/>
    </row>
    <row r="1053" spans="2:3" x14ac:dyDescent="0.35">
      <c r="B1053"/>
      <c r="C1053"/>
    </row>
    <row r="1054" spans="2:3" x14ac:dyDescent="0.35">
      <c r="B1054"/>
      <c r="C1054"/>
    </row>
    <row r="1055" spans="2:3" x14ac:dyDescent="0.35">
      <c r="B1055"/>
      <c r="C1055"/>
    </row>
    <row r="1056" spans="2:3" x14ac:dyDescent="0.35">
      <c r="B1056"/>
      <c r="C1056"/>
    </row>
    <row r="1057" spans="2:3" x14ac:dyDescent="0.35">
      <c r="B1057"/>
      <c r="C1057"/>
    </row>
    <row r="1058" spans="2:3" x14ac:dyDescent="0.35">
      <c r="B1058"/>
      <c r="C1058"/>
    </row>
    <row r="1059" spans="2:3" x14ac:dyDescent="0.35">
      <c r="B1059"/>
      <c r="C1059"/>
    </row>
    <row r="1060" spans="2:3" x14ac:dyDescent="0.35">
      <c r="B1060"/>
      <c r="C1060"/>
    </row>
    <row r="1061" spans="2:3" x14ac:dyDescent="0.35">
      <c r="B1061"/>
      <c r="C1061"/>
    </row>
    <row r="1062" spans="2:3" x14ac:dyDescent="0.35">
      <c r="B1062"/>
      <c r="C1062"/>
    </row>
    <row r="1063" spans="2:3" x14ac:dyDescent="0.35">
      <c r="B1063"/>
      <c r="C1063"/>
    </row>
    <row r="1064" spans="2:3" x14ac:dyDescent="0.35">
      <c r="B1064"/>
      <c r="C1064"/>
    </row>
    <row r="1065" spans="2:3" x14ac:dyDescent="0.35">
      <c r="B1065"/>
      <c r="C1065"/>
    </row>
    <row r="1066" spans="2:3" x14ac:dyDescent="0.35">
      <c r="B1066"/>
      <c r="C1066"/>
    </row>
    <row r="1067" spans="2:3" x14ac:dyDescent="0.35">
      <c r="B1067"/>
      <c r="C1067"/>
    </row>
    <row r="1068" spans="2:3" x14ac:dyDescent="0.35">
      <c r="B1068"/>
      <c r="C1068"/>
    </row>
    <row r="1069" spans="2:3" x14ac:dyDescent="0.35">
      <c r="B1069"/>
      <c r="C1069"/>
    </row>
    <row r="1070" spans="2:3" x14ac:dyDescent="0.35">
      <c r="B1070"/>
      <c r="C1070"/>
    </row>
    <row r="1071" spans="2:3" x14ac:dyDescent="0.35">
      <c r="B1071"/>
      <c r="C1071"/>
    </row>
    <row r="1072" spans="2:3" x14ac:dyDescent="0.35">
      <c r="B1072"/>
      <c r="C1072"/>
    </row>
    <row r="1073" spans="2:3" x14ac:dyDescent="0.35">
      <c r="B1073"/>
      <c r="C1073"/>
    </row>
    <row r="1074" spans="2:3" x14ac:dyDescent="0.35">
      <c r="B1074"/>
      <c r="C1074"/>
    </row>
    <row r="1075" spans="2:3" x14ac:dyDescent="0.35">
      <c r="B1075"/>
      <c r="C1075"/>
    </row>
    <row r="1076" spans="2:3" x14ac:dyDescent="0.35">
      <c r="B1076"/>
      <c r="C1076"/>
    </row>
    <row r="1077" spans="2:3" x14ac:dyDescent="0.35">
      <c r="B1077"/>
      <c r="C1077"/>
    </row>
    <row r="1078" spans="2:3" x14ac:dyDescent="0.35">
      <c r="B1078"/>
      <c r="C1078"/>
    </row>
    <row r="1079" spans="2:3" x14ac:dyDescent="0.35">
      <c r="B1079"/>
      <c r="C1079"/>
    </row>
    <row r="1080" spans="2:3" x14ac:dyDescent="0.35">
      <c r="B1080"/>
      <c r="C1080"/>
    </row>
    <row r="1081" spans="2:3" x14ac:dyDescent="0.35">
      <c r="B1081"/>
      <c r="C1081"/>
    </row>
    <row r="1082" spans="2:3" x14ac:dyDescent="0.35">
      <c r="B1082"/>
      <c r="C1082"/>
    </row>
    <row r="1083" spans="2:3" x14ac:dyDescent="0.35">
      <c r="B1083"/>
      <c r="C1083"/>
    </row>
    <row r="1084" spans="2:3" x14ac:dyDescent="0.35">
      <c r="B1084"/>
      <c r="C1084"/>
    </row>
    <row r="1085" spans="2:3" x14ac:dyDescent="0.35">
      <c r="B1085"/>
      <c r="C1085"/>
    </row>
    <row r="1086" spans="2:3" x14ac:dyDescent="0.35">
      <c r="B1086"/>
      <c r="C1086"/>
    </row>
    <row r="1087" spans="2:3" x14ac:dyDescent="0.35">
      <c r="B1087"/>
      <c r="C1087"/>
    </row>
    <row r="1088" spans="2:3" x14ac:dyDescent="0.35">
      <c r="B1088"/>
      <c r="C1088"/>
    </row>
    <row r="1089" spans="2:3" x14ac:dyDescent="0.35">
      <c r="B1089"/>
      <c r="C1089"/>
    </row>
    <row r="1090" spans="2:3" x14ac:dyDescent="0.35">
      <c r="B1090"/>
      <c r="C1090"/>
    </row>
    <row r="1091" spans="2:3" x14ac:dyDescent="0.35">
      <c r="B1091"/>
      <c r="C1091"/>
    </row>
    <row r="1092" spans="2:3" x14ac:dyDescent="0.35">
      <c r="B1092"/>
      <c r="C1092"/>
    </row>
    <row r="1093" spans="2:3" x14ac:dyDescent="0.35">
      <c r="B1093"/>
      <c r="C1093"/>
    </row>
    <row r="1094" spans="2:3" x14ac:dyDescent="0.35">
      <c r="B1094"/>
      <c r="C1094"/>
    </row>
    <row r="1095" spans="2:3" x14ac:dyDescent="0.35">
      <c r="B1095"/>
      <c r="C1095"/>
    </row>
    <row r="1096" spans="2:3" x14ac:dyDescent="0.35">
      <c r="B1096"/>
      <c r="C1096"/>
    </row>
    <row r="1097" spans="2:3" x14ac:dyDescent="0.35">
      <c r="B1097"/>
      <c r="C1097"/>
    </row>
    <row r="1098" spans="2:3" x14ac:dyDescent="0.35">
      <c r="B1098"/>
      <c r="C1098"/>
    </row>
    <row r="1099" spans="2:3" x14ac:dyDescent="0.35">
      <c r="B1099"/>
      <c r="C1099"/>
    </row>
    <row r="1100" spans="2:3" x14ac:dyDescent="0.35">
      <c r="B1100"/>
      <c r="C1100"/>
    </row>
    <row r="1101" spans="2:3" x14ac:dyDescent="0.35">
      <c r="B1101"/>
      <c r="C1101"/>
    </row>
    <row r="1102" spans="2:3" x14ac:dyDescent="0.35">
      <c r="B1102"/>
      <c r="C1102"/>
    </row>
    <row r="1103" spans="2:3" x14ac:dyDescent="0.35">
      <c r="B1103"/>
      <c r="C1103"/>
    </row>
    <row r="1104" spans="2:3" x14ac:dyDescent="0.35">
      <c r="B1104"/>
      <c r="C1104"/>
    </row>
    <row r="1105" spans="2:3" x14ac:dyDescent="0.35">
      <c r="B1105"/>
      <c r="C1105"/>
    </row>
    <row r="1106" spans="2:3" x14ac:dyDescent="0.35">
      <c r="B1106"/>
      <c r="C1106"/>
    </row>
    <row r="1107" spans="2:3" x14ac:dyDescent="0.35">
      <c r="B1107"/>
      <c r="C1107"/>
    </row>
    <row r="1108" spans="2:3" x14ac:dyDescent="0.35">
      <c r="B1108"/>
      <c r="C1108"/>
    </row>
    <row r="1109" spans="2:3" x14ac:dyDescent="0.35">
      <c r="B1109"/>
      <c r="C1109"/>
    </row>
    <row r="1110" spans="2:3" x14ac:dyDescent="0.35">
      <c r="B1110"/>
      <c r="C1110"/>
    </row>
    <row r="1111" spans="2:3" x14ac:dyDescent="0.35">
      <c r="B1111"/>
      <c r="C1111"/>
    </row>
    <row r="1112" spans="2:3" x14ac:dyDescent="0.35">
      <c r="B1112"/>
      <c r="C1112"/>
    </row>
    <row r="1113" spans="2:3" x14ac:dyDescent="0.35">
      <c r="B1113"/>
      <c r="C1113"/>
    </row>
    <row r="1114" spans="2:3" x14ac:dyDescent="0.35">
      <c r="B1114"/>
      <c r="C1114"/>
    </row>
    <row r="1115" spans="2:3" x14ac:dyDescent="0.35">
      <c r="B1115"/>
      <c r="C1115"/>
    </row>
    <row r="1116" spans="2:3" x14ac:dyDescent="0.35">
      <c r="B1116"/>
      <c r="C1116"/>
    </row>
    <row r="1117" spans="2:3" x14ac:dyDescent="0.35">
      <c r="B1117"/>
      <c r="C1117"/>
    </row>
    <row r="1118" spans="2:3" x14ac:dyDescent="0.35">
      <c r="B1118"/>
      <c r="C1118"/>
    </row>
    <row r="1119" spans="2:3" x14ac:dyDescent="0.35">
      <c r="B1119"/>
      <c r="C1119"/>
    </row>
    <row r="1120" spans="2:3" x14ac:dyDescent="0.35">
      <c r="B1120"/>
      <c r="C1120"/>
    </row>
    <row r="1121" spans="2:3" x14ac:dyDescent="0.35">
      <c r="B1121"/>
      <c r="C1121"/>
    </row>
    <row r="1122" spans="2:3" x14ac:dyDescent="0.35">
      <c r="B1122"/>
      <c r="C1122"/>
    </row>
    <row r="1123" spans="2:3" x14ac:dyDescent="0.35">
      <c r="B1123"/>
      <c r="C1123"/>
    </row>
    <row r="1124" spans="2:3" x14ac:dyDescent="0.35">
      <c r="B1124"/>
      <c r="C1124"/>
    </row>
    <row r="1125" spans="2:3" x14ac:dyDescent="0.35">
      <c r="B1125"/>
      <c r="C1125"/>
    </row>
    <row r="1126" spans="2:3" x14ac:dyDescent="0.35">
      <c r="B1126"/>
      <c r="C1126"/>
    </row>
    <row r="1127" spans="2:3" x14ac:dyDescent="0.35">
      <c r="B1127"/>
      <c r="C1127"/>
    </row>
    <row r="1128" spans="2:3" x14ac:dyDescent="0.35">
      <c r="B1128"/>
      <c r="C1128"/>
    </row>
    <row r="1129" spans="2:3" x14ac:dyDescent="0.35">
      <c r="B1129"/>
      <c r="C1129"/>
    </row>
    <row r="1130" spans="2:3" x14ac:dyDescent="0.35">
      <c r="B1130"/>
      <c r="C1130"/>
    </row>
    <row r="1131" spans="2:3" x14ac:dyDescent="0.35">
      <c r="B1131"/>
      <c r="C1131"/>
    </row>
    <row r="1132" spans="2:3" x14ac:dyDescent="0.35">
      <c r="B1132"/>
      <c r="C1132"/>
    </row>
    <row r="1133" spans="2:3" x14ac:dyDescent="0.35">
      <c r="B1133"/>
      <c r="C1133"/>
    </row>
    <row r="1134" spans="2:3" x14ac:dyDescent="0.35">
      <c r="B1134"/>
      <c r="C1134"/>
    </row>
    <row r="1135" spans="2:3" x14ac:dyDescent="0.35">
      <c r="B1135"/>
      <c r="C1135"/>
    </row>
    <row r="1136" spans="2:3" x14ac:dyDescent="0.35">
      <c r="B1136"/>
      <c r="C1136"/>
    </row>
    <row r="1137" spans="2:3" x14ac:dyDescent="0.35">
      <c r="B1137"/>
      <c r="C1137"/>
    </row>
    <row r="1138" spans="2:3" x14ac:dyDescent="0.35">
      <c r="B1138"/>
      <c r="C1138"/>
    </row>
    <row r="1139" spans="2:3" x14ac:dyDescent="0.35">
      <c r="B1139"/>
      <c r="C1139"/>
    </row>
    <row r="1140" spans="2:3" x14ac:dyDescent="0.35">
      <c r="B1140"/>
      <c r="C1140"/>
    </row>
    <row r="1141" spans="2:3" x14ac:dyDescent="0.35">
      <c r="B1141"/>
      <c r="C1141"/>
    </row>
    <row r="1142" spans="2:3" x14ac:dyDescent="0.35">
      <c r="B1142"/>
      <c r="C1142"/>
    </row>
    <row r="1143" spans="2:3" x14ac:dyDescent="0.35">
      <c r="B1143"/>
      <c r="C1143"/>
    </row>
    <row r="1144" spans="2:3" x14ac:dyDescent="0.35">
      <c r="B1144"/>
      <c r="C1144"/>
    </row>
    <row r="1145" spans="2:3" x14ac:dyDescent="0.35">
      <c r="B1145"/>
      <c r="C1145"/>
    </row>
    <row r="1146" spans="2:3" x14ac:dyDescent="0.35">
      <c r="B1146"/>
      <c r="C1146"/>
    </row>
    <row r="1147" spans="2:3" x14ac:dyDescent="0.35">
      <c r="B1147"/>
      <c r="C1147"/>
    </row>
    <row r="1148" spans="2:3" x14ac:dyDescent="0.35">
      <c r="B1148"/>
      <c r="C1148"/>
    </row>
    <row r="1149" spans="2:3" x14ac:dyDescent="0.35">
      <c r="B1149"/>
      <c r="C1149"/>
    </row>
    <row r="1150" spans="2:3" x14ac:dyDescent="0.35">
      <c r="B1150"/>
      <c r="C1150"/>
    </row>
    <row r="1151" spans="2:3" x14ac:dyDescent="0.35">
      <c r="B1151"/>
      <c r="C1151"/>
    </row>
    <row r="1152" spans="2:3" x14ac:dyDescent="0.35">
      <c r="B1152"/>
      <c r="C1152"/>
    </row>
    <row r="1153" spans="2:3" x14ac:dyDescent="0.35">
      <c r="B1153"/>
      <c r="C1153"/>
    </row>
    <row r="1154" spans="2:3" x14ac:dyDescent="0.35">
      <c r="B1154"/>
      <c r="C1154"/>
    </row>
    <row r="1155" spans="2:3" x14ac:dyDescent="0.35">
      <c r="B1155"/>
      <c r="C1155"/>
    </row>
    <row r="1156" spans="2:3" x14ac:dyDescent="0.35">
      <c r="B1156"/>
      <c r="C1156"/>
    </row>
    <row r="1157" spans="2:3" x14ac:dyDescent="0.35">
      <c r="B1157"/>
      <c r="C1157"/>
    </row>
    <row r="1158" spans="2:3" x14ac:dyDescent="0.35">
      <c r="B1158"/>
      <c r="C1158"/>
    </row>
    <row r="1159" spans="2:3" x14ac:dyDescent="0.35">
      <c r="B1159"/>
      <c r="C1159"/>
    </row>
    <row r="1160" spans="2:3" x14ac:dyDescent="0.35">
      <c r="B1160"/>
      <c r="C1160"/>
    </row>
    <row r="1161" spans="2:3" x14ac:dyDescent="0.35">
      <c r="B1161"/>
      <c r="C1161"/>
    </row>
    <row r="1162" spans="2:3" x14ac:dyDescent="0.35">
      <c r="B1162"/>
      <c r="C1162"/>
    </row>
    <row r="1163" spans="2:3" x14ac:dyDescent="0.35">
      <c r="B1163"/>
      <c r="C1163"/>
    </row>
    <row r="1164" spans="2:3" x14ac:dyDescent="0.35">
      <c r="B1164"/>
      <c r="C1164"/>
    </row>
    <row r="1165" spans="2:3" x14ac:dyDescent="0.35">
      <c r="B1165"/>
      <c r="C1165"/>
    </row>
    <row r="1166" spans="2:3" x14ac:dyDescent="0.35">
      <c r="B1166"/>
      <c r="C1166"/>
    </row>
    <row r="1167" spans="2:3" x14ac:dyDescent="0.35">
      <c r="B1167"/>
      <c r="C1167"/>
    </row>
    <row r="1168" spans="2:3" x14ac:dyDescent="0.35">
      <c r="B1168"/>
      <c r="C1168"/>
    </row>
    <row r="1169" spans="2:3" x14ac:dyDescent="0.35">
      <c r="B1169"/>
      <c r="C1169"/>
    </row>
    <row r="1170" spans="2:3" x14ac:dyDescent="0.35">
      <c r="B1170"/>
      <c r="C1170"/>
    </row>
    <row r="1171" spans="2:3" x14ac:dyDescent="0.35">
      <c r="B1171"/>
      <c r="C1171"/>
    </row>
    <row r="1172" spans="2:3" x14ac:dyDescent="0.35">
      <c r="B1172"/>
      <c r="C1172"/>
    </row>
    <row r="1173" spans="2:3" x14ac:dyDescent="0.35">
      <c r="B1173"/>
      <c r="C1173"/>
    </row>
    <row r="1174" spans="2:3" x14ac:dyDescent="0.35">
      <c r="B1174"/>
      <c r="C1174"/>
    </row>
    <row r="1175" spans="2:3" x14ac:dyDescent="0.35">
      <c r="B1175"/>
      <c r="C1175"/>
    </row>
    <row r="1176" spans="2:3" x14ac:dyDescent="0.35">
      <c r="B1176"/>
      <c r="C1176"/>
    </row>
    <row r="1177" spans="2:3" x14ac:dyDescent="0.35">
      <c r="B1177"/>
      <c r="C1177"/>
    </row>
    <row r="1178" spans="2:3" x14ac:dyDescent="0.35">
      <c r="B1178"/>
      <c r="C1178"/>
    </row>
    <row r="1179" spans="2:3" x14ac:dyDescent="0.35">
      <c r="B1179"/>
      <c r="C1179"/>
    </row>
    <row r="1180" spans="2:3" x14ac:dyDescent="0.35">
      <c r="B1180"/>
      <c r="C1180"/>
    </row>
    <row r="1181" spans="2:3" x14ac:dyDescent="0.35">
      <c r="B1181"/>
      <c r="C1181"/>
    </row>
    <row r="1182" spans="2:3" x14ac:dyDescent="0.35">
      <c r="B1182"/>
      <c r="C1182"/>
    </row>
    <row r="1183" spans="2:3" x14ac:dyDescent="0.35">
      <c r="B1183"/>
      <c r="C1183"/>
    </row>
    <row r="1184" spans="2:3" x14ac:dyDescent="0.35">
      <c r="B1184"/>
      <c r="C1184"/>
    </row>
    <row r="1185" spans="2:3" x14ac:dyDescent="0.35">
      <c r="B1185"/>
      <c r="C1185"/>
    </row>
    <row r="1186" spans="2:3" x14ac:dyDescent="0.35">
      <c r="B1186"/>
      <c r="C1186"/>
    </row>
    <row r="1187" spans="2:3" x14ac:dyDescent="0.35">
      <c r="B1187"/>
      <c r="C1187"/>
    </row>
    <row r="1188" spans="2:3" x14ac:dyDescent="0.35">
      <c r="B1188"/>
      <c r="C1188"/>
    </row>
    <row r="1189" spans="2:3" x14ac:dyDescent="0.35">
      <c r="B1189"/>
      <c r="C1189"/>
    </row>
    <row r="1190" spans="2:3" x14ac:dyDescent="0.35">
      <c r="B1190"/>
      <c r="C1190"/>
    </row>
    <row r="1191" spans="2:3" x14ac:dyDescent="0.35">
      <c r="B1191"/>
      <c r="C1191"/>
    </row>
    <row r="1192" spans="2:3" x14ac:dyDescent="0.35">
      <c r="B1192"/>
      <c r="C1192"/>
    </row>
    <row r="1193" spans="2:3" x14ac:dyDescent="0.35">
      <c r="B1193"/>
      <c r="C1193"/>
    </row>
    <row r="1194" spans="2:3" x14ac:dyDescent="0.35">
      <c r="B1194"/>
      <c r="C1194"/>
    </row>
    <row r="1195" spans="2:3" x14ac:dyDescent="0.35">
      <c r="B1195"/>
      <c r="C1195"/>
    </row>
    <row r="1196" spans="2:3" x14ac:dyDescent="0.35">
      <c r="B1196"/>
      <c r="C1196"/>
    </row>
    <row r="1197" spans="2:3" x14ac:dyDescent="0.35">
      <c r="B1197"/>
      <c r="C1197"/>
    </row>
    <row r="1198" spans="2:3" x14ac:dyDescent="0.35">
      <c r="B1198"/>
      <c r="C1198"/>
    </row>
    <row r="1199" spans="2:3" x14ac:dyDescent="0.35">
      <c r="B1199"/>
      <c r="C1199"/>
    </row>
    <row r="1200" spans="2:3" x14ac:dyDescent="0.35">
      <c r="B1200"/>
      <c r="C1200"/>
    </row>
    <row r="1201" spans="2:3" x14ac:dyDescent="0.35">
      <c r="B1201"/>
      <c r="C1201"/>
    </row>
    <row r="1202" spans="2:3" x14ac:dyDescent="0.35">
      <c r="B1202"/>
      <c r="C1202"/>
    </row>
    <row r="1203" spans="2:3" x14ac:dyDescent="0.35">
      <c r="B1203"/>
      <c r="C1203"/>
    </row>
    <row r="1204" spans="2:3" x14ac:dyDescent="0.35">
      <c r="B1204"/>
      <c r="C1204"/>
    </row>
    <row r="1205" spans="2:3" x14ac:dyDescent="0.35">
      <c r="B1205"/>
      <c r="C1205"/>
    </row>
    <row r="1206" spans="2:3" x14ac:dyDescent="0.35">
      <c r="B1206"/>
      <c r="C1206"/>
    </row>
    <row r="1207" spans="2:3" x14ac:dyDescent="0.35">
      <c r="B1207"/>
      <c r="C1207"/>
    </row>
    <row r="1208" spans="2:3" x14ac:dyDescent="0.35">
      <c r="B1208"/>
      <c r="C1208"/>
    </row>
    <row r="1209" spans="2:3" x14ac:dyDescent="0.35">
      <c r="B1209"/>
      <c r="C1209"/>
    </row>
    <row r="1210" spans="2:3" x14ac:dyDescent="0.35">
      <c r="B1210"/>
      <c r="C1210"/>
    </row>
    <row r="1211" spans="2:3" x14ac:dyDescent="0.35">
      <c r="B1211"/>
      <c r="C1211"/>
    </row>
    <row r="1212" spans="2:3" x14ac:dyDescent="0.35">
      <c r="B1212"/>
      <c r="C1212"/>
    </row>
    <row r="1213" spans="2:3" x14ac:dyDescent="0.35">
      <c r="B1213"/>
      <c r="C1213"/>
    </row>
    <row r="1214" spans="2:3" x14ac:dyDescent="0.35">
      <c r="B1214"/>
      <c r="C1214"/>
    </row>
    <row r="1215" spans="2:3" x14ac:dyDescent="0.35">
      <c r="B1215"/>
      <c r="C1215"/>
    </row>
    <row r="1216" spans="2:3" x14ac:dyDescent="0.35">
      <c r="B1216"/>
      <c r="C1216"/>
    </row>
    <row r="1217" spans="2:3" x14ac:dyDescent="0.35">
      <c r="B1217"/>
      <c r="C1217"/>
    </row>
    <row r="1218" spans="2:3" x14ac:dyDescent="0.35">
      <c r="B1218"/>
      <c r="C1218"/>
    </row>
    <row r="1219" spans="2:3" x14ac:dyDescent="0.35">
      <c r="B1219"/>
      <c r="C1219"/>
    </row>
    <row r="1220" spans="2:3" x14ac:dyDescent="0.35">
      <c r="B1220"/>
      <c r="C1220"/>
    </row>
    <row r="1221" spans="2:3" x14ac:dyDescent="0.35">
      <c r="B1221"/>
      <c r="C1221"/>
    </row>
    <row r="1222" spans="2:3" x14ac:dyDescent="0.35">
      <c r="B1222"/>
      <c r="C1222"/>
    </row>
    <row r="1223" spans="2:3" x14ac:dyDescent="0.35">
      <c r="B1223"/>
      <c r="C1223"/>
    </row>
    <row r="1224" spans="2:3" x14ac:dyDescent="0.35">
      <c r="B1224"/>
      <c r="C1224"/>
    </row>
    <row r="1225" spans="2:3" x14ac:dyDescent="0.35">
      <c r="B1225"/>
      <c r="C1225"/>
    </row>
    <row r="1226" spans="2:3" x14ac:dyDescent="0.35">
      <c r="B1226"/>
      <c r="C1226"/>
    </row>
    <row r="1227" spans="2:3" x14ac:dyDescent="0.35">
      <c r="B1227"/>
      <c r="C1227"/>
    </row>
    <row r="1228" spans="2:3" x14ac:dyDescent="0.35">
      <c r="B1228"/>
      <c r="C1228"/>
    </row>
    <row r="1229" spans="2:3" x14ac:dyDescent="0.35">
      <c r="B1229"/>
      <c r="C1229"/>
    </row>
    <row r="1230" spans="2:3" x14ac:dyDescent="0.35">
      <c r="B1230"/>
      <c r="C1230"/>
    </row>
    <row r="1231" spans="2:3" x14ac:dyDescent="0.35">
      <c r="B1231"/>
      <c r="C1231"/>
    </row>
    <row r="1232" spans="2:3" x14ac:dyDescent="0.35">
      <c r="B1232"/>
      <c r="C1232"/>
    </row>
    <row r="1233" spans="2:3" x14ac:dyDescent="0.35">
      <c r="B1233"/>
      <c r="C1233"/>
    </row>
    <row r="1234" spans="2:3" x14ac:dyDescent="0.35">
      <c r="B1234"/>
      <c r="C1234"/>
    </row>
    <row r="1235" spans="2:3" x14ac:dyDescent="0.35">
      <c r="B1235"/>
      <c r="C1235"/>
    </row>
    <row r="1236" spans="2:3" x14ac:dyDescent="0.35">
      <c r="B1236"/>
      <c r="C1236"/>
    </row>
    <row r="1237" spans="2:3" x14ac:dyDescent="0.35">
      <c r="B1237"/>
      <c r="C1237"/>
    </row>
    <row r="1238" spans="2:3" x14ac:dyDescent="0.35">
      <c r="B1238"/>
      <c r="C1238"/>
    </row>
    <row r="1239" spans="2:3" x14ac:dyDescent="0.35">
      <c r="B1239"/>
      <c r="C1239"/>
    </row>
    <row r="1240" spans="2:3" x14ac:dyDescent="0.35">
      <c r="B1240"/>
      <c r="C1240"/>
    </row>
    <row r="1241" spans="2:3" x14ac:dyDescent="0.35">
      <c r="B1241"/>
      <c r="C1241"/>
    </row>
    <row r="1242" spans="2:3" x14ac:dyDescent="0.35">
      <c r="B1242"/>
      <c r="C1242"/>
    </row>
    <row r="1243" spans="2:3" x14ac:dyDescent="0.35">
      <c r="B1243"/>
      <c r="C1243"/>
    </row>
    <row r="1244" spans="2:3" x14ac:dyDescent="0.35">
      <c r="B1244"/>
      <c r="C1244"/>
    </row>
    <row r="1245" spans="2:3" x14ac:dyDescent="0.35">
      <c r="B1245"/>
      <c r="C1245"/>
    </row>
    <row r="1246" spans="2:3" x14ac:dyDescent="0.35">
      <c r="B1246"/>
      <c r="C1246"/>
    </row>
    <row r="1247" spans="2:3" x14ac:dyDescent="0.35">
      <c r="B1247"/>
      <c r="C1247"/>
    </row>
    <row r="1248" spans="2:3" x14ac:dyDescent="0.35">
      <c r="B1248"/>
      <c r="C1248"/>
    </row>
    <row r="1249" spans="2:3" x14ac:dyDescent="0.35">
      <c r="B1249"/>
      <c r="C1249"/>
    </row>
    <row r="1250" spans="2:3" x14ac:dyDescent="0.35">
      <c r="B1250"/>
      <c r="C1250"/>
    </row>
    <row r="1251" spans="2:3" x14ac:dyDescent="0.35">
      <c r="B1251"/>
      <c r="C1251"/>
    </row>
    <row r="1252" spans="2:3" x14ac:dyDescent="0.35">
      <c r="B1252"/>
      <c r="C1252"/>
    </row>
    <row r="1253" spans="2:3" x14ac:dyDescent="0.35">
      <c r="B1253"/>
      <c r="C1253"/>
    </row>
    <row r="1254" spans="2:3" x14ac:dyDescent="0.35">
      <c r="B1254"/>
      <c r="C1254"/>
    </row>
    <row r="1255" spans="2:3" x14ac:dyDescent="0.35">
      <c r="B1255"/>
      <c r="C1255"/>
    </row>
    <row r="1256" spans="2:3" x14ac:dyDescent="0.35">
      <c r="B1256"/>
      <c r="C1256"/>
    </row>
    <row r="1257" spans="2:3" x14ac:dyDescent="0.35">
      <c r="B1257"/>
      <c r="C1257"/>
    </row>
    <row r="1258" spans="2:3" x14ac:dyDescent="0.35">
      <c r="B1258"/>
      <c r="C1258"/>
    </row>
    <row r="1259" spans="2:3" x14ac:dyDescent="0.35">
      <c r="B1259"/>
      <c r="C1259"/>
    </row>
    <row r="1260" spans="2:3" x14ac:dyDescent="0.35">
      <c r="B1260"/>
      <c r="C1260"/>
    </row>
    <row r="1261" spans="2:3" x14ac:dyDescent="0.35">
      <c r="B1261"/>
      <c r="C1261"/>
    </row>
    <row r="1262" spans="2:3" x14ac:dyDescent="0.35">
      <c r="B1262"/>
      <c r="C1262"/>
    </row>
    <row r="1263" spans="2:3" x14ac:dyDescent="0.35">
      <c r="B1263"/>
      <c r="C1263"/>
    </row>
    <row r="1264" spans="2:3" x14ac:dyDescent="0.35">
      <c r="B1264"/>
      <c r="C1264"/>
    </row>
    <row r="1265" spans="2:3" x14ac:dyDescent="0.35">
      <c r="B1265"/>
      <c r="C1265"/>
    </row>
    <row r="1266" spans="2:3" x14ac:dyDescent="0.35">
      <c r="B1266"/>
      <c r="C1266"/>
    </row>
    <row r="1267" spans="2:3" x14ac:dyDescent="0.35">
      <c r="B1267"/>
      <c r="C1267"/>
    </row>
    <row r="1268" spans="2:3" x14ac:dyDescent="0.35">
      <c r="B1268"/>
      <c r="C1268"/>
    </row>
    <row r="1269" spans="2:3" x14ac:dyDescent="0.35">
      <c r="B1269"/>
      <c r="C1269"/>
    </row>
    <row r="1270" spans="2:3" x14ac:dyDescent="0.35">
      <c r="B1270"/>
      <c r="C1270"/>
    </row>
    <row r="1271" spans="2:3" x14ac:dyDescent="0.35">
      <c r="B1271"/>
      <c r="C1271"/>
    </row>
    <row r="1272" spans="2:3" x14ac:dyDescent="0.35">
      <c r="B1272"/>
      <c r="C1272"/>
    </row>
    <row r="1273" spans="2:3" x14ac:dyDescent="0.35">
      <c r="B1273"/>
      <c r="C1273"/>
    </row>
    <row r="1274" spans="2:3" x14ac:dyDescent="0.35">
      <c r="B1274"/>
      <c r="C1274"/>
    </row>
    <row r="1275" spans="2:3" x14ac:dyDescent="0.35">
      <c r="B1275"/>
      <c r="C1275"/>
    </row>
    <row r="1276" spans="2:3" x14ac:dyDescent="0.35">
      <c r="B1276"/>
      <c r="C1276"/>
    </row>
    <row r="1277" spans="2:3" x14ac:dyDescent="0.35">
      <c r="B1277"/>
      <c r="C1277"/>
    </row>
    <row r="1278" spans="2:3" x14ac:dyDescent="0.35">
      <c r="B1278"/>
      <c r="C1278"/>
    </row>
    <row r="1279" spans="2:3" x14ac:dyDescent="0.35">
      <c r="B1279"/>
      <c r="C1279"/>
    </row>
    <row r="1280" spans="2:3" x14ac:dyDescent="0.35">
      <c r="B1280"/>
      <c r="C1280"/>
    </row>
    <row r="1281" spans="2:3" x14ac:dyDescent="0.35">
      <c r="B1281"/>
      <c r="C1281"/>
    </row>
    <row r="1282" spans="2:3" x14ac:dyDescent="0.35">
      <c r="B1282"/>
      <c r="C1282"/>
    </row>
    <row r="1283" spans="2:3" x14ac:dyDescent="0.35">
      <c r="B1283"/>
      <c r="C1283"/>
    </row>
    <row r="1284" spans="2:3" x14ac:dyDescent="0.35">
      <c r="B1284"/>
      <c r="C1284"/>
    </row>
    <row r="1285" spans="2:3" x14ac:dyDescent="0.35">
      <c r="B1285"/>
      <c r="C1285"/>
    </row>
    <row r="1286" spans="2:3" x14ac:dyDescent="0.35">
      <c r="B1286"/>
      <c r="C1286"/>
    </row>
    <row r="1287" spans="2:3" x14ac:dyDescent="0.35">
      <c r="B1287"/>
      <c r="C1287"/>
    </row>
    <row r="1288" spans="2:3" x14ac:dyDescent="0.35">
      <c r="B1288"/>
      <c r="C1288"/>
    </row>
    <row r="1289" spans="2:3" x14ac:dyDescent="0.35">
      <c r="B1289"/>
      <c r="C1289"/>
    </row>
    <row r="1290" spans="2:3" x14ac:dyDescent="0.35">
      <c r="B1290"/>
      <c r="C1290"/>
    </row>
    <row r="1291" spans="2:3" x14ac:dyDescent="0.35">
      <c r="B1291"/>
      <c r="C1291"/>
    </row>
    <row r="1292" spans="2:3" x14ac:dyDescent="0.35">
      <c r="B1292"/>
      <c r="C1292"/>
    </row>
    <row r="1293" spans="2:3" x14ac:dyDescent="0.35">
      <c r="B1293"/>
      <c r="C1293"/>
    </row>
    <row r="1294" spans="2:3" x14ac:dyDescent="0.35">
      <c r="B1294"/>
      <c r="C1294"/>
    </row>
    <row r="1295" spans="2:3" x14ac:dyDescent="0.35">
      <c r="B1295"/>
      <c r="C1295"/>
    </row>
    <row r="1296" spans="2:3" x14ac:dyDescent="0.35">
      <c r="B1296"/>
      <c r="C1296"/>
    </row>
    <row r="1297" spans="2:3" x14ac:dyDescent="0.35">
      <c r="B1297"/>
      <c r="C1297"/>
    </row>
    <row r="1298" spans="2:3" x14ac:dyDescent="0.35">
      <c r="B1298"/>
      <c r="C1298"/>
    </row>
    <row r="1299" spans="2:3" x14ac:dyDescent="0.35">
      <c r="B1299"/>
      <c r="C1299"/>
    </row>
    <row r="1300" spans="2:3" x14ac:dyDescent="0.35">
      <c r="B1300"/>
      <c r="C1300"/>
    </row>
    <row r="1301" spans="2:3" x14ac:dyDescent="0.35">
      <c r="B1301"/>
      <c r="C1301"/>
    </row>
    <row r="1302" spans="2:3" x14ac:dyDescent="0.35">
      <c r="B1302"/>
      <c r="C1302"/>
    </row>
    <row r="1303" spans="2:3" x14ac:dyDescent="0.35">
      <c r="B1303"/>
      <c r="C1303"/>
    </row>
    <row r="1304" spans="2:3" x14ac:dyDescent="0.35">
      <c r="B1304"/>
      <c r="C1304"/>
    </row>
    <row r="1305" spans="2:3" x14ac:dyDescent="0.35">
      <c r="B1305"/>
      <c r="C1305"/>
    </row>
    <row r="1306" spans="2:3" x14ac:dyDescent="0.35">
      <c r="B1306"/>
      <c r="C1306"/>
    </row>
    <row r="1307" spans="2:3" x14ac:dyDescent="0.35">
      <c r="B1307"/>
      <c r="C1307"/>
    </row>
    <row r="1308" spans="2:3" x14ac:dyDescent="0.35">
      <c r="B1308"/>
      <c r="C1308"/>
    </row>
    <row r="1309" spans="2:3" x14ac:dyDescent="0.35">
      <c r="B1309"/>
      <c r="C1309"/>
    </row>
    <row r="1310" spans="2:3" x14ac:dyDescent="0.35">
      <c r="B1310"/>
      <c r="C1310"/>
    </row>
    <row r="1311" spans="2:3" x14ac:dyDescent="0.35">
      <c r="B1311"/>
      <c r="C1311"/>
    </row>
    <row r="1312" spans="2:3" x14ac:dyDescent="0.35">
      <c r="B1312"/>
      <c r="C1312"/>
    </row>
    <row r="1313" spans="2:3" x14ac:dyDescent="0.35">
      <c r="B1313"/>
      <c r="C1313"/>
    </row>
    <row r="1314" spans="2:3" x14ac:dyDescent="0.35">
      <c r="B1314"/>
      <c r="C1314"/>
    </row>
    <row r="1315" spans="2:3" x14ac:dyDescent="0.35">
      <c r="B1315"/>
      <c r="C1315"/>
    </row>
    <row r="1316" spans="2:3" x14ac:dyDescent="0.35">
      <c r="B1316"/>
      <c r="C1316"/>
    </row>
    <row r="1317" spans="2:3" x14ac:dyDescent="0.35">
      <c r="B1317"/>
      <c r="C1317"/>
    </row>
    <row r="1318" spans="2:3" x14ac:dyDescent="0.35">
      <c r="B1318"/>
      <c r="C1318"/>
    </row>
    <row r="1319" spans="2:3" x14ac:dyDescent="0.35">
      <c r="B1319"/>
      <c r="C1319"/>
    </row>
    <row r="1320" spans="2:3" x14ac:dyDescent="0.35">
      <c r="B1320"/>
      <c r="C1320"/>
    </row>
    <row r="1321" spans="2:3" x14ac:dyDescent="0.35">
      <c r="B1321"/>
      <c r="C1321"/>
    </row>
    <row r="1322" spans="2:3" x14ac:dyDescent="0.35">
      <c r="B1322"/>
      <c r="C1322"/>
    </row>
    <row r="1323" spans="2:3" x14ac:dyDescent="0.35">
      <c r="B1323"/>
      <c r="C1323"/>
    </row>
    <row r="1324" spans="2:3" x14ac:dyDescent="0.35">
      <c r="B1324"/>
      <c r="C1324"/>
    </row>
    <row r="1325" spans="2:3" x14ac:dyDescent="0.35">
      <c r="B1325"/>
      <c r="C1325"/>
    </row>
    <row r="1326" spans="2:3" x14ac:dyDescent="0.35">
      <c r="B1326"/>
      <c r="C1326"/>
    </row>
    <row r="1327" spans="2:3" x14ac:dyDescent="0.35">
      <c r="B1327"/>
      <c r="C1327"/>
    </row>
    <row r="1328" spans="2:3" x14ac:dyDescent="0.35">
      <c r="B1328"/>
      <c r="C1328"/>
    </row>
    <row r="1329" spans="2:3" x14ac:dyDescent="0.35">
      <c r="B1329"/>
      <c r="C1329"/>
    </row>
    <row r="1330" spans="2:3" x14ac:dyDescent="0.35">
      <c r="B1330"/>
      <c r="C1330"/>
    </row>
    <row r="1331" spans="2:3" x14ac:dyDescent="0.35">
      <c r="B1331"/>
      <c r="C1331"/>
    </row>
    <row r="1332" spans="2:3" x14ac:dyDescent="0.35">
      <c r="B1332"/>
      <c r="C1332"/>
    </row>
    <row r="1333" spans="2:3" x14ac:dyDescent="0.35">
      <c r="B1333"/>
      <c r="C1333"/>
    </row>
    <row r="1334" spans="2:3" x14ac:dyDescent="0.35">
      <c r="B1334"/>
      <c r="C1334"/>
    </row>
    <row r="1335" spans="2:3" x14ac:dyDescent="0.35">
      <c r="B1335"/>
      <c r="C1335"/>
    </row>
    <row r="1336" spans="2:3" x14ac:dyDescent="0.35">
      <c r="B1336"/>
      <c r="C1336"/>
    </row>
    <row r="1337" spans="2:3" x14ac:dyDescent="0.35">
      <c r="B1337"/>
      <c r="C1337"/>
    </row>
    <row r="1338" spans="2:3" x14ac:dyDescent="0.35">
      <c r="B1338"/>
      <c r="C1338"/>
    </row>
    <row r="1339" spans="2:3" x14ac:dyDescent="0.35">
      <c r="B1339"/>
      <c r="C1339"/>
    </row>
    <row r="1340" spans="2:3" x14ac:dyDescent="0.35">
      <c r="B1340"/>
      <c r="C1340"/>
    </row>
    <row r="1341" spans="2:3" x14ac:dyDescent="0.35">
      <c r="B1341"/>
      <c r="C1341"/>
    </row>
    <row r="1342" spans="2:3" x14ac:dyDescent="0.35">
      <c r="B1342"/>
      <c r="C1342"/>
    </row>
    <row r="1343" spans="2:3" x14ac:dyDescent="0.35">
      <c r="B1343"/>
      <c r="C1343"/>
    </row>
    <row r="1344" spans="2:3" x14ac:dyDescent="0.35">
      <c r="B1344"/>
      <c r="C1344"/>
    </row>
    <row r="1345" spans="2:3" x14ac:dyDescent="0.35">
      <c r="B1345"/>
      <c r="C1345"/>
    </row>
    <row r="1346" spans="2:3" x14ac:dyDescent="0.35">
      <c r="B1346"/>
      <c r="C1346"/>
    </row>
    <row r="1347" spans="2:3" x14ac:dyDescent="0.35">
      <c r="B1347"/>
      <c r="C1347"/>
    </row>
    <row r="1348" spans="2:3" x14ac:dyDescent="0.35">
      <c r="B1348"/>
      <c r="C1348"/>
    </row>
    <row r="1349" spans="2:3" x14ac:dyDescent="0.35">
      <c r="B1349"/>
      <c r="C1349"/>
    </row>
    <row r="1350" spans="2:3" x14ac:dyDescent="0.35">
      <c r="B1350"/>
      <c r="C1350"/>
    </row>
    <row r="1351" spans="2:3" x14ac:dyDescent="0.35">
      <c r="B1351"/>
      <c r="C1351"/>
    </row>
    <row r="1352" spans="2:3" x14ac:dyDescent="0.35">
      <c r="B1352"/>
      <c r="C1352"/>
    </row>
    <row r="1353" spans="2:3" x14ac:dyDescent="0.35">
      <c r="B1353"/>
      <c r="C1353"/>
    </row>
    <row r="1354" spans="2:3" x14ac:dyDescent="0.35">
      <c r="B1354"/>
      <c r="C1354"/>
    </row>
    <row r="1355" spans="2:3" x14ac:dyDescent="0.35">
      <c r="B1355"/>
      <c r="C1355"/>
    </row>
    <row r="1356" spans="2:3" x14ac:dyDescent="0.35">
      <c r="B1356"/>
      <c r="C1356"/>
    </row>
    <row r="1357" spans="2:3" x14ac:dyDescent="0.35">
      <c r="B1357"/>
      <c r="C1357"/>
    </row>
    <row r="1358" spans="2:3" x14ac:dyDescent="0.35">
      <c r="B1358"/>
      <c r="C1358"/>
    </row>
    <row r="1359" spans="2:3" x14ac:dyDescent="0.35">
      <c r="B1359"/>
      <c r="C1359"/>
    </row>
    <row r="1360" spans="2:3" x14ac:dyDescent="0.35">
      <c r="B1360"/>
      <c r="C1360"/>
    </row>
    <row r="1361" spans="2:3" x14ac:dyDescent="0.35">
      <c r="B1361"/>
      <c r="C1361"/>
    </row>
    <row r="1362" spans="2:3" x14ac:dyDescent="0.35">
      <c r="B1362"/>
      <c r="C1362"/>
    </row>
    <row r="1363" spans="2:3" x14ac:dyDescent="0.35">
      <c r="B1363"/>
      <c r="C1363"/>
    </row>
    <row r="1364" spans="2:3" x14ac:dyDescent="0.35">
      <c r="B1364"/>
      <c r="C1364"/>
    </row>
    <row r="1365" spans="2:3" x14ac:dyDescent="0.35">
      <c r="B1365"/>
      <c r="C1365"/>
    </row>
    <row r="1366" spans="2:3" x14ac:dyDescent="0.35">
      <c r="B1366"/>
      <c r="C1366"/>
    </row>
    <row r="1367" spans="2:3" x14ac:dyDescent="0.35">
      <c r="B1367"/>
      <c r="C1367"/>
    </row>
    <row r="1368" spans="2:3" x14ac:dyDescent="0.35">
      <c r="B1368"/>
      <c r="C1368"/>
    </row>
    <row r="1369" spans="2:3" x14ac:dyDescent="0.35">
      <c r="B1369"/>
      <c r="C1369"/>
    </row>
    <row r="1370" spans="2:3" x14ac:dyDescent="0.35">
      <c r="B1370"/>
      <c r="C1370"/>
    </row>
    <row r="1371" spans="2:3" x14ac:dyDescent="0.35">
      <c r="B1371"/>
      <c r="C1371"/>
    </row>
    <row r="1372" spans="2:3" x14ac:dyDescent="0.35">
      <c r="B1372"/>
      <c r="C1372"/>
    </row>
    <row r="1373" spans="2:3" x14ac:dyDescent="0.35">
      <c r="B1373"/>
      <c r="C1373"/>
    </row>
    <row r="1374" spans="2:3" x14ac:dyDescent="0.35">
      <c r="B1374"/>
      <c r="C1374"/>
    </row>
    <row r="1375" spans="2:3" x14ac:dyDescent="0.35">
      <c r="B1375"/>
      <c r="C1375"/>
    </row>
    <row r="1376" spans="2:3" x14ac:dyDescent="0.35">
      <c r="B1376"/>
      <c r="C1376"/>
    </row>
    <row r="1377" spans="2:3" x14ac:dyDescent="0.35">
      <c r="B1377"/>
      <c r="C1377"/>
    </row>
    <row r="1378" spans="2:3" x14ac:dyDescent="0.35">
      <c r="B1378"/>
      <c r="C1378"/>
    </row>
    <row r="1379" spans="2:3" x14ac:dyDescent="0.35">
      <c r="B1379"/>
      <c r="C1379"/>
    </row>
    <row r="1380" spans="2:3" x14ac:dyDescent="0.35">
      <c r="B1380"/>
      <c r="C1380"/>
    </row>
    <row r="1381" spans="2:3" x14ac:dyDescent="0.35">
      <c r="B1381"/>
      <c r="C1381"/>
    </row>
    <row r="1382" spans="2:3" x14ac:dyDescent="0.35">
      <c r="B1382"/>
      <c r="C1382"/>
    </row>
    <row r="1383" spans="2:3" x14ac:dyDescent="0.35">
      <c r="B1383"/>
      <c r="C1383"/>
    </row>
    <row r="1384" spans="2:3" x14ac:dyDescent="0.35">
      <c r="B1384"/>
      <c r="C1384"/>
    </row>
    <row r="1385" spans="2:3" x14ac:dyDescent="0.35">
      <c r="B1385"/>
      <c r="C1385"/>
    </row>
    <row r="1386" spans="2:3" x14ac:dyDescent="0.35">
      <c r="B1386"/>
      <c r="C1386"/>
    </row>
    <row r="1387" spans="2:3" x14ac:dyDescent="0.35">
      <c r="B1387"/>
      <c r="C1387"/>
    </row>
    <row r="1388" spans="2:3" x14ac:dyDescent="0.35">
      <c r="B1388"/>
      <c r="C1388"/>
    </row>
    <row r="1389" spans="2:3" x14ac:dyDescent="0.35">
      <c r="B1389"/>
      <c r="C1389"/>
    </row>
    <row r="1390" spans="2:3" x14ac:dyDescent="0.35">
      <c r="B1390"/>
      <c r="C1390"/>
    </row>
    <row r="1391" spans="2:3" x14ac:dyDescent="0.35">
      <c r="B1391"/>
      <c r="C1391"/>
    </row>
    <row r="1392" spans="2:3" x14ac:dyDescent="0.35">
      <c r="B1392"/>
      <c r="C1392"/>
    </row>
    <row r="1393" spans="2:3" x14ac:dyDescent="0.35">
      <c r="B1393"/>
      <c r="C1393"/>
    </row>
    <row r="1394" spans="2:3" x14ac:dyDescent="0.35">
      <c r="B1394"/>
      <c r="C1394"/>
    </row>
    <row r="1395" spans="2:3" x14ac:dyDescent="0.35">
      <c r="B1395"/>
      <c r="C1395"/>
    </row>
    <row r="1396" spans="2:3" x14ac:dyDescent="0.35">
      <c r="B1396"/>
      <c r="C1396"/>
    </row>
    <row r="1397" spans="2:3" x14ac:dyDescent="0.35">
      <c r="B1397"/>
      <c r="C1397"/>
    </row>
    <row r="1398" spans="2:3" x14ac:dyDescent="0.35">
      <c r="B1398"/>
      <c r="C1398"/>
    </row>
    <row r="1399" spans="2:3" x14ac:dyDescent="0.35">
      <c r="B1399"/>
      <c r="C1399"/>
    </row>
    <row r="1400" spans="2:3" x14ac:dyDescent="0.35">
      <c r="B1400"/>
      <c r="C1400"/>
    </row>
    <row r="1401" spans="2:3" x14ac:dyDescent="0.35">
      <c r="B1401"/>
      <c r="C1401"/>
    </row>
    <row r="1402" spans="2:3" x14ac:dyDescent="0.35">
      <c r="B1402"/>
      <c r="C1402"/>
    </row>
    <row r="1403" spans="2:3" x14ac:dyDescent="0.35">
      <c r="B1403"/>
      <c r="C1403"/>
    </row>
    <row r="1404" spans="2:3" x14ac:dyDescent="0.35">
      <c r="B1404"/>
      <c r="C1404"/>
    </row>
    <row r="1405" spans="2:3" x14ac:dyDescent="0.35">
      <c r="B1405"/>
      <c r="C1405"/>
    </row>
    <row r="1406" spans="2:3" x14ac:dyDescent="0.35">
      <c r="B1406"/>
      <c r="C1406"/>
    </row>
    <row r="1407" spans="2:3" x14ac:dyDescent="0.35">
      <c r="B1407"/>
      <c r="C1407"/>
    </row>
    <row r="1408" spans="2:3" x14ac:dyDescent="0.35">
      <c r="B1408"/>
      <c r="C1408"/>
    </row>
    <row r="1409" spans="2:3" x14ac:dyDescent="0.35">
      <c r="B1409"/>
      <c r="C1409"/>
    </row>
    <row r="1410" spans="2:3" x14ac:dyDescent="0.35">
      <c r="B1410"/>
      <c r="C1410"/>
    </row>
    <row r="1411" spans="2:3" x14ac:dyDescent="0.35">
      <c r="B1411"/>
      <c r="C1411"/>
    </row>
    <row r="1412" spans="2:3" x14ac:dyDescent="0.35">
      <c r="B1412"/>
      <c r="C1412"/>
    </row>
    <row r="1413" spans="2:3" x14ac:dyDescent="0.35">
      <c r="B1413"/>
      <c r="C1413"/>
    </row>
    <row r="1414" spans="2:3" x14ac:dyDescent="0.35">
      <c r="B1414"/>
      <c r="C1414"/>
    </row>
    <row r="1415" spans="2:3" x14ac:dyDescent="0.35">
      <c r="B1415"/>
      <c r="C1415"/>
    </row>
    <row r="1416" spans="2:3" x14ac:dyDescent="0.35">
      <c r="B1416"/>
      <c r="C1416"/>
    </row>
    <row r="1417" spans="2:3" x14ac:dyDescent="0.35">
      <c r="B1417"/>
      <c r="C1417"/>
    </row>
    <row r="1418" spans="2:3" x14ac:dyDescent="0.35">
      <c r="B1418"/>
      <c r="C1418"/>
    </row>
    <row r="1419" spans="2:3" x14ac:dyDescent="0.35">
      <c r="B1419"/>
      <c r="C1419"/>
    </row>
    <row r="1420" spans="2:3" x14ac:dyDescent="0.35">
      <c r="B1420"/>
      <c r="C1420"/>
    </row>
    <row r="1421" spans="2:3" x14ac:dyDescent="0.35">
      <c r="B1421"/>
      <c r="C1421"/>
    </row>
    <row r="1422" spans="2:3" x14ac:dyDescent="0.35">
      <c r="B1422"/>
      <c r="C1422"/>
    </row>
    <row r="1423" spans="2:3" x14ac:dyDescent="0.35">
      <c r="B1423"/>
      <c r="C1423"/>
    </row>
    <row r="1424" spans="2:3" x14ac:dyDescent="0.35">
      <c r="B1424"/>
      <c r="C1424"/>
    </row>
    <row r="1425" spans="2:3" x14ac:dyDescent="0.35">
      <c r="B1425"/>
      <c r="C1425"/>
    </row>
    <row r="1426" spans="2:3" x14ac:dyDescent="0.35">
      <c r="B1426"/>
      <c r="C1426"/>
    </row>
    <row r="1427" spans="2:3" x14ac:dyDescent="0.35">
      <c r="B1427"/>
      <c r="C1427"/>
    </row>
    <row r="1428" spans="2:3" x14ac:dyDescent="0.35">
      <c r="B1428"/>
      <c r="C1428"/>
    </row>
    <row r="1429" spans="2:3" x14ac:dyDescent="0.35">
      <c r="B1429"/>
      <c r="C1429"/>
    </row>
    <row r="1430" spans="2:3" x14ac:dyDescent="0.35">
      <c r="B1430"/>
      <c r="C1430"/>
    </row>
    <row r="1431" spans="2:3" x14ac:dyDescent="0.35">
      <c r="B1431"/>
      <c r="C1431"/>
    </row>
    <row r="1432" spans="2:3" x14ac:dyDescent="0.35">
      <c r="B1432"/>
      <c r="C1432"/>
    </row>
    <row r="1433" spans="2:3" x14ac:dyDescent="0.35">
      <c r="B1433"/>
      <c r="C1433"/>
    </row>
    <row r="1434" spans="2:3" x14ac:dyDescent="0.35">
      <c r="B1434"/>
      <c r="C1434"/>
    </row>
    <row r="1435" spans="2:3" x14ac:dyDescent="0.35">
      <c r="B1435"/>
      <c r="C1435"/>
    </row>
    <row r="1436" spans="2:3" x14ac:dyDescent="0.35">
      <c r="B1436"/>
      <c r="C1436"/>
    </row>
    <row r="1437" spans="2:3" x14ac:dyDescent="0.35">
      <c r="B1437"/>
      <c r="C1437"/>
    </row>
    <row r="1438" spans="2:3" x14ac:dyDescent="0.35">
      <c r="B1438"/>
      <c r="C1438"/>
    </row>
    <row r="1439" spans="2:3" x14ac:dyDescent="0.35">
      <c r="B1439"/>
      <c r="C1439"/>
    </row>
    <row r="1440" spans="2:3" x14ac:dyDescent="0.35">
      <c r="B1440"/>
      <c r="C1440"/>
    </row>
    <row r="1441" spans="2:3" x14ac:dyDescent="0.35">
      <c r="B1441"/>
      <c r="C1441"/>
    </row>
    <row r="1442" spans="2:3" x14ac:dyDescent="0.35">
      <c r="B1442"/>
      <c r="C1442"/>
    </row>
    <row r="1443" spans="2:3" x14ac:dyDescent="0.35">
      <c r="B1443"/>
      <c r="C1443"/>
    </row>
    <row r="1444" spans="2:3" x14ac:dyDescent="0.35">
      <c r="B1444"/>
      <c r="C1444"/>
    </row>
    <row r="1445" spans="2:3" x14ac:dyDescent="0.35">
      <c r="B1445"/>
      <c r="C1445"/>
    </row>
    <row r="1446" spans="2:3" x14ac:dyDescent="0.35">
      <c r="B1446"/>
      <c r="C1446"/>
    </row>
    <row r="1447" spans="2:3" x14ac:dyDescent="0.35">
      <c r="B1447"/>
      <c r="C1447"/>
    </row>
    <row r="1448" spans="2:3" x14ac:dyDescent="0.35">
      <c r="B1448"/>
      <c r="C1448"/>
    </row>
    <row r="1449" spans="2:3" x14ac:dyDescent="0.35">
      <c r="B1449"/>
      <c r="C1449"/>
    </row>
    <row r="1450" spans="2:3" x14ac:dyDescent="0.35">
      <c r="B1450"/>
      <c r="C1450"/>
    </row>
    <row r="1451" spans="2:3" x14ac:dyDescent="0.35">
      <c r="B1451"/>
      <c r="C1451"/>
    </row>
    <row r="1452" spans="2:3" x14ac:dyDescent="0.35">
      <c r="B1452"/>
      <c r="C1452"/>
    </row>
    <row r="1453" spans="2:3" x14ac:dyDescent="0.35">
      <c r="B1453"/>
      <c r="C1453"/>
    </row>
    <row r="1454" spans="2:3" x14ac:dyDescent="0.35">
      <c r="B1454"/>
      <c r="C1454"/>
    </row>
    <row r="1455" spans="2:3" x14ac:dyDescent="0.35">
      <c r="B1455"/>
      <c r="C1455"/>
    </row>
    <row r="1456" spans="2:3" x14ac:dyDescent="0.35">
      <c r="B1456"/>
      <c r="C1456"/>
    </row>
    <row r="1457" spans="2:3" x14ac:dyDescent="0.35">
      <c r="B1457"/>
      <c r="C1457"/>
    </row>
    <row r="1458" spans="2:3" x14ac:dyDescent="0.35">
      <c r="B1458"/>
      <c r="C1458"/>
    </row>
    <row r="1459" spans="2:3" x14ac:dyDescent="0.35">
      <c r="B1459"/>
      <c r="C1459"/>
    </row>
    <row r="1460" spans="2:3" x14ac:dyDescent="0.35">
      <c r="B1460"/>
      <c r="C1460"/>
    </row>
    <row r="1461" spans="2:3" x14ac:dyDescent="0.35">
      <c r="B1461"/>
      <c r="C1461"/>
    </row>
    <row r="1462" spans="2:3" x14ac:dyDescent="0.35">
      <c r="B1462"/>
      <c r="C1462"/>
    </row>
    <row r="1463" spans="2:3" x14ac:dyDescent="0.35">
      <c r="B1463"/>
      <c r="C1463"/>
    </row>
    <row r="1464" spans="2:3" x14ac:dyDescent="0.35">
      <c r="B1464"/>
      <c r="C1464"/>
    </row>
    <row r="1465" spans="2:3" x14ac:dyDescent="0.35">
      <c r="B1465"/>
      <c r="C1465"/>
    </row>
    <row r="1466" spans="2:3" x14ac:dyDescent="0.35">
      <c r="B1466"/>
      <c r="C1466"/>
    </row>
    <row r="1467" spans="2:3" x14ac:dyDescent="0.35">
      <c r="B1467"/>
      <c r="C1467"/>
    </row>
    <row r="1468" spans="2:3" x14ac:dyDescent="0.35">
      <c r="B1468"/>
      <c r="C1468"/>
    </row>
    <row r="1469" spans="2:3" x14ac:dyDescent="0.35">
      <c r="B1469"/>
      <c r="C1469"/>
    </row>
    <row r="1470" spans="2:3" x14ac:dyDescent="0.35">
      <c r="B1470"/>
      <c r="C1470"/>
    </row>
    <row r="1471" spans="2:3" x14ac:dyDescent="0.35">
      <c r="B1471"/>
      <c r="C1471"/>
    </row>
    <row r="1472" spans="2:3" x14ac:dyDescent="0.35">
      <c r="B1472"/>
      <c r="C1472"/>
    </row>
    <row r="1473" spans="2:3" x14ac:dyDescent="0.35">
      <c r="B1473"/>
      <c r="C1473"/>
    </row>
    <row r="1474" spans="2:3" x14ac:dyDescent="0.35">
      <c r="B1474"/>
      <c r="C1474"/>
    </row>
    <row r="1475" spans="2:3" x14ac:dyDescent="0.35">
      <c r="B1475"/>
      <c r="C1475"/>
    </row>
    <row r="1476" spans="2:3" x14ac:dyDescent="0.35">
      <c r="B1476"/>
      <c r="C1476"/>
    </row>
    <row r="1477" spans="2:3" x14ac:dyDescent="0.35">
      <c r="B1477"/>
      <c r="C1477"/>
    </row>
    <row r="1478" spans="2:3" x14ac:dyDescent="0.35">
      <c r="B1478"/>
      <c r="C1478"/>
    </row>
    <row r="1479" spans="2:3" x14ac:dyDescent="0.35">
      <c r="B1479"/>
      <c r="C1479"/>
    </row>
    <row r="1480" spans="2:3" x14ac:dyDescent="0.35">
      <c r="B1480"/>
      <c r="C1480"/>
    </row>
    <row r="1481" spans="2:3" x14ac:dyDescent="0.35">
      <c r="B1481"/>
      <c r="C1481"/>
    </row>
    <row r="1482" spans="2:3" x14ac:dyDescent="0.35">
      <c r="B1482"/>
      <c r="C1482"/>
    </row>
    <row r="1483" spans="2:3" x14ac:dyDescent="0.35">
      <c r="B1483"/>
      <c r="C1483"/>
    </row>
    <row r="1484" spans="2:3" x14ac:dyDescent="0.35">
      <c r="B1484"/>
      <c r="C1484"/>
    </row>
    <row r="1485" spans="2:3" x14ac:dyDescent="0.35">
      <c r="B1485"/>
      <c r="C1485"/>
    </row>
    <row r="1486" spans="2:3" x14ac:dyDescent="0.35">
      <c r="B1486"/>
      <c r="C1486"/>
    </row>
    <row r="1487" spans="2:3" x14ac:dyDescent="0.35">
      <c r="B1487"/>
      <c r="C1487"/>
    </row>
    <row r="1488" spans="2:3" x14ac:dyDescent="0.35">
      <c r="B1488"/>
      <c r="C1488"/>
    </row>
    <row r="1489" spans="2:3" x14ac:dyDescent="0.35">
      <c r="B1489"/>
      <c r="C1489"/>
    </row>
    <row r="1490" spans="2:3" x14ac:dyDescent="0.35">
      <c r="B1490"/>
      <c r="C1490"/>
    </row>
    <row r="1491" spans="2:3" x14ac:dyDescent="0.35">
      <c r="B1491"/>
      <c r="C1491"/>
    </row>
    <row r="1492" spans="2:3" x14ac:dyDescent="0.35">
      <c r="B1492"/>
      <c r="C1492"/>
    </row>
    <row r="1493" spans="2:3" x14ac:dyDescent="0.35">
      <c r="B1493"/>
      <c r="C1493"/>
    </row>
    <row r="1494" spans="2:3" x14ac:dyDescent="0.35">
      <c r="B1494"/>
      <c r="C1494"/>
    </row>
    <row r="1495" spans="2:3" x14ac:dyDescent="0.35">
      <c r="B1495"/>
      <c r="C1495"/>
    </row>
    <row r="1496" spans="2:3" x14ac:dyDescent="0.35">
      <c r="B1496"/>
      <c r="C1496"/>
    </row>
    <row r="1497" spans="2:3" x14ac:dyDescent="0.35">
      <c r="B1497"/>
      <c r="C1497"/>
    </row>
    <row r="1498" spans="2:3" x14ac:dyDescent="0.35">
      <c r="B1498"/>
      <c r="C1498"/>
    </row>
    <row r="1499" spans="2:3" x14ac:dyDescent="0.35">
      <c r="B1499"/>
      <c r="C1499"/>
    </row>
    <row r="1500" spans="2:3" x14ac:dyDescent="0.35">
      <c r="B1500"/>
      <c r="C1500"/>
    </row>
    <row r="1501" spans="2:3" x14ac:dyDescent="0.35">
      <c r="B1501"/>
      <c r="C1501"/>
    </row>
    <row r="1502" spans="2:3" x14ac:dyDescent="0.35">
      <c r="B1502"/>
      <c r="C1502"/>
    </row>
    <row r="1503" spans="2:3" x14ac:dyDescent="0.35">
      <c r="B1503"/>
      <c r="C1503"/>
    </row>
    <row r="1504" spans="2:3" x14ac:dyDescent="0.35">
      <c r="B1504"/>
      <c r="C1504"/>
    </row>
    <row r="1505" spans="2:3" x14ac:dyDescent="0.35">
      <c r="B1505"/>
      <c r="C1505"/>
    </row>
    <row r="1506" spans="2:3" x14ac:dyDescent="0.35">
      <c r="B1506"/>
      <c r="C1506"/>
    </row>
    <row r="1507" spans="2:3" x14ac:dyDescent="0.35">
      <c r="B1507"/>
      <c r="C1507"/>
    </row>
    <row r="1508" spans="2:3" x14ac:dyDescent="0.35">
      <c r="B1508"/>
      <c r="C1508"/>
    </row>
    <row r="1509" spans="2:3" x14ac:dyDescent="0.35">
      <c r="B1509"/>
      <c r="C1509"/>
    </row>
    <row r="1510" spans="2:3" x14ac:dyDescent="0.35">
      <c r="B1510"/>
      <c r="C1510"/>
    </row>
    <row r="1511" spans="2:3" x14ac:dyDescent="0.35">
      <c r="B1511"/>
      <c r="C1511"/>
    </row>
    <row r="1512" spans="2:3" x14ac:dyDescent="0.35">
      <c r="B1512"/>
      <c r="C1512"/>
    </row>
    <row r="1513" spans="2:3" x14ac:dyDescent="0.35">
      <c r="B1513"/>
      <c r="C1513"/>
    </row>
    <row r="1514" spans="2:3" x14ac:dyDescent="0.35">
      <c r="B1514"/>
      <c r="C1514"/>
    </row>
    <row r="1515" spans="2:3" x14ac:dyDescent="0.35">
      <c r="B1515"/>
      <c r="C1515"/>
    </row>
    <row r="1516" spans="2:3" x14ac:dyDescent="0.35">
      <c r="B1516"/>
      <c r="C1516"/>
    </row>
    <row r="1517" spans="2:3" x14ac:dyDescent="0.35">
      <c r="B1517"/>
      <c r="C1517"/>
    </row>
    <row r="1518" spans="2:3" x14ac:dyDescent="0.35">
      <c r="B1518"/>
      <c r="C1518"/>
    </row>
    <row r="1519" spans="2:3" x14ac:dyDescent="0.35">
      <c r="B1519"/>
      <c r="C1519"/>
    </row>
    <row r="1520" spans="2:3" x14ac:dyDescent="0.35">
      <c r="B1520"/>
      <c r="C1520"/>
    </row>
    <row r="1521" spans="2:3" x14ac:dyDescent="0.35">
      <c r="B1521"/>
      <c r="C1521"/>
    </row>
    <row r="1522" spans="2:3" x14ac:dyDescent="0.35">
      <c r="B1522"/>
      <c r="C1522"/>
    </row>
    <row r="1523" spans="2:3" x14ac:dyDescent="0.35">
      <c r="B1523"/>
      <c r="C1523"/>
    </row>
    <row r="1524" spans="2:3" x14ac:dyDescent="0.35">
      <c r="B1524"/>
      <c r="C1524"/>
    </row>
    <row r="1525" spans="2:3" x14ac:dyDescent="0.35">
      <c r="B1525"/>
      <c r="C1525"/>
    </row>
    <row r="1526" spans="2:3" x14ac:dyDescent="0.35">
      <c r="B1526"/>
      <c r="C1526"/>
    </row>
    <row r="1527" spans="2:3" x14ac:dyDescent="0.35">
      <c r="B1527"/>
      <c r="C1527"/>
    </row>
    <row r="1528" spans="2:3" x14ac:dyDescent="0.35">
      <c r="B1528"/>
      <c r="C1528"/>
    </row>
    <row r="1529" spans="2:3" x14ac:dyDescent="0.35">
      <c r="B1529"/>
      <c r="C1529"/>
    </row>
    <row r="1530" spans="2:3" x14ac:dyDescent="0.35">
      <c r="B1530"/>
      <c r="C1530"/>
    </row>
    <row r="1531" spans="2:3" x14ac:dyDescent="0.35">
      <c r="B1531"/>
      <c r="C1531"/>
    </row>
    <row r="1532" spans="2:3" x14ac:dyDescent="0.35">
      <c r="B1532"/>
      <c r="C1532"/>
    </row>
    <row r="1533" spans="2:3" x14ac:dyDescent="0.35">
      <c r="B1533"/>
      <c r="C1533"/>
    </row>
    <row r="1534" spans="2:3" x14ac:dyDescent="0.35">
      <c r="B1534"/>
      <c r="C1534"/>
    </row>
    <row r="1535" spans="2:3" x14ac:dyDescent="0.35">
      <c r="B1535"/>
      <c r="C1535"/>
    </row>
    <row r="1536" spans="2:3" x14ac:dyDescent="0.35">
      <c r="B1536"/>
      <c r="C1536"/>
    </row>
    <row r="1537" spans="2:3" x14ac:dyDescent="0.35">
      <c r="B1537"/>
      <c r="C1537"/>
    </row>
    <row r="1538" spans="2:3" x14ac:dyDescent="0.35">
      <c r="B1538"/>
      <c r="C1538"/>
    </row>
    <row r="1539" spans="2:3" x14ac:dyDescent="0.35">
      <c r="B1539"/>
      <c r="C1539"/>
    </row>
    <row r="1540" spans="2:3" x14ac:dyDescent="0.35">
      <c r="B1540"/>
      <c r="C1540"/>
    </row>
    <row r="1541" spans="2:3" x14ac:dyDescent="0.35">
      <c r="B1541"/>
      <c r="C1541"/>
    </row>
    <row r="1542" spans="2:3" x14ac:dyDescent="0.35">
      <c r="B1542"/>
      <c r="C1542"/>
    </row>
    <row r="1543" spans="2:3" x14ac:dyDescent="0.35">
      <c r="B1543"/>
      <c r="C1543"/>
    </row>
    <row r="1544" spans="2:3" x14ac:dyDescent="0.35">
      <c r="B1544"/>
      <c r="C1544"/>
    </row>
    <row r="1545" spans="2:3" x14ac:dyDescent="0.35">
      <c r="B1545"/>
      <c r="C1545"/>
    </row>
    <row r="1546" spans="2:3" x14ac:dyDescent="0.35">
      <c r="B1546"/>
      <c r="C1546"/>
    </row>
    <row r="1547" spans="2:3" x14ac:dyDescent="0.35">
      <c r="B1547"/>
      <c r="C1547"/>
    </row>
    <row r="1548" spans="2:3" x14ac:dyDescent="0.35">
      <c r="B1548"/>
      <c r="C1548"/>
    </row>
  </sheetData>
  <autoFilter ref="N1:S41" xr:uid="{2F7A77CA-5197-4D2A-AA97-14AFDC1C3CE2}">
    <filterColumn colId="4">
      <filters>
        <filter val="Activo"/>
      </filters>
    </filterColumn>
    <filterColumn colId="5">
      <filters>
        <filter val="no"/>
      </filters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6AF80-5996-40B5-B34C-C68FBBC9B500}">
  <dimension ref="A1:N288"/>
  <sheetViews>
    <sheetView topLeftCell="A270" workbookViewId="0">
      <selection activeCell="L63" sqref="L63"/>
    </sheetView>
  </sheetViews>
  <sheetFormatPr baseColWidth="10" defaultColWidth="11.453125" defaultRowHeight="16.5" x14ac:dyDescent="0.35"/>
  <cols>
    <col min="2" max="2" width="17.7265625" style="10" customWidth="1"/>
    <col min="3" max="3" width="48.453125" style="10" customWidth="1"/>
    <col min="4" max="6" width="0" style="10" hidden="1" customWidth="1"/>
    <col min="7" max="7" width="16.1796875" style="10" hidden="1" customWidth="1"/>
    <col min="8" max="8" width="13.81640625" style="10" hidden="1" customWidth="1"/>
    <col min="9" max="9" width="24.26953125" style="10" hidden="1" customWidth="1"/>
    <col min="10" max="10" width="13.7265625" style="10" bestFit="1" customWidth="1"/>
    <col min="11" max="11" width="13" style="10" customWidth="1"/>
    <col min="12" max="12" width="11.1796875" style="10" bestFit="1" customWidth="1"/>
  </cols>
  <sheetData>
    <row r="1" spans="1:14" ht="35.25" customHeight="1" x14ac:dyDescent="0.35">
      <c r="A1" t="s">
        <v>572</v>
      </c>
      <c r="B1" t="s">
        <v>1</v>
      </c>
      <c r="C1" t="s">
        <v>573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574</v>
      </c>
      <c r="K1" t="s">
        <v>575</v>
      </c>
      <c r="L1" t="s">
        <v>576</v>
      </c>
      <c r="M1" t="s">
        <v>577</v>
      </c>
    </row>
    <row r="2" spans="1:14" ht="14.5" x14ac:dyDescent="0.35">
      <c r="A2">
        <v>100023426</v>
      </c>
      <c r="B2">
        <v>75079956</v>
      </c>
      <c r="C2" t="s">
        <v>444</v>
      </c>
      <c r="D2" t="s">
        <v>44</v>
      </c>
      <c r="E2" t="s">
        <v>33</v>
      </c>
      <c r="F2" t="s">
        <v>41</v>
      </c>
      <c r="G2" t="s">
        <v>35</v>
      </c>
      <c r="H2" t="s">
        <v>36</v>
      </c>
      <c r="I2" t="s">
        <v>109</v>
      </c>
      <c r="J2">
        <f>VLOOKUP(A2,Catálogo!A:B,2,0)</f>
        <v>67215.28</v>
      </c>
      <c r="K2">
        <f>VLOOKUP(A2,Catálogo!A:C,3,0)</f>
        <v>1066</v>
      </c>
      <c r="L2">
        <f>VLOOKUP(A2,Catálogo!A:D,4,0)</f>
        <v>49.448200000000014</v>
      </c>
      <c r="M2">
        <f t="shared" ref="M2:M7" si="0">J2/L2</f>
        <v>1359.3069110705744</v>
      </c>
      <c r="N2" s="10" t="str">
        <f>VLOOKUP(A2,[2]Hoja1!$B:$D,3,0)</f>
        <v>Devolución 2024 PMI</v>
      </c>
    </row>
    <row r="3" spans="1:14" ht="14.5" x14ac:dyDescent="0.35">
      <c r="A3">
        <v>100024134</v>
      </c>
      <c r="B3">
        <v>75006587</v>
      </c>
      <c r="C3" t="s">
        <v>170</v>
      </c>
      <c r="D3" t="s">
        <v>11</v>
      </c>
      <c r="E3" t="s">
        <v>33</v>
      </c>
      <c r="F3" t="s">
        <v>39</v>
      </c>
      <c r="G3" t="s">
        <v>75</v>
      </c>
      <c r="H3" t="s">
        <v>70</v>
      </c>
      <c r="I3" t="s">
        <v>109</v>
      </c>
      <c r="J3">
        <f>VLOOKUP(A3,Catálogo!A:B,2,0)</f>
        <v>48812.000000000022</v>
      </c>
      <c r="K3">
        <f>VLOOKUP(A3,Catálogo!A:C,3,0)</f>
        <v>677</v>
      </c>
      <c r="L3">
        <f>VLOOKUP(A3,Catálogo!A:D,4,0)</f>
        <v>33.552300000000002</v>
      </c>
      <c r="M3">
        <f t="shared" si="0"/>
        <v>1454.8033964884678</v>
      </c>
      <c r="N3" s="10" t="str">
        <f>VLOOKUP(A3,[2]Hoja1!$B:$D,3,0)</f>
        <v>Descontinuado PMI</v>
      </c>
    </row>
    <row r="4" spans="1:14" ht="14.5" x14ac:dyDescent="0.35">
      <c r="A4">
        <v>100023684</v>
      </c>
      <c r="B4">
        <v>75006952</v>
      </c>
      <c r="C4" t="s">
        <v>319</v>
      </c>
      <c r="D4" t="s">
        <v>11</v>
      </c>
      <c r="E4" t="s">
        <v>33</v>
      </c>
      <c r="F4" t="s">
        <v>39</v>
      </c>
      <c r="G4" t="s">
        <v>75</v>
      </c>
      <c r="H4" t="s">
        <v>70</v>
      </c>
      <c r="I4" t="s">
        <v>109</v>
      </c>
      <c r="J4">
        <f>VLOOKUP(A4,Catálogo!A:B,2,0)</f>
        <v>45466.620000000017</v>
      </c>
      <c r="K4">
        <f>VLOOKUP(A4,Catálogo!A:C,3,0)</f>
        <v>664</v>
      </c>
      <c r="L4">
        <f>VLOOKUP(A4,Catálogo!A:D,4,0)</f>
        <v>73.097999999999999</v>
      </c>
      <c r="M4">
        <f t="shared" si="0"/>
        <v>621.99540343101069</v>
      </c>
      <c r="N4" s="10" t="str">
        <f>VLOOKUP(A4,[2]Hoja1!$B:$D,3,0)</f>
        <v>Devoluciones Terea</v>
      </c>
    </row>
    <row r="5" spans="1:14" ht="14.5" x14ac:dyDescent="0.35">
      <c r="A5">
        <v>100023680</v>
      </c>
      <c r="B5">
        <v>75032777</v>
      </c>
      <c r="C5" t="s">
        <v>321</v>
      </c>
      <c r="D5" t="s">
        <v>11</v>
      </c>
      <c r="E5" t="s">
        <v>33</v>
      </c>
      <c r="F5" t="s">
        <v>39</v>
      </c>
      <c r="G5" t="s">
        <v>75</v>
      </c>
      <c r="H5" t="s">
        <v>70</v>
      </c>
      <c r="I5" t="s">
        <v>109</v>
      </c>
      <c r="J5">
        <f>VLOOKUP(A5,Catálogo!A:B,2,0)</f>
        <v>35041.860000000015</v>
      </c>
      <c r="K5">
        <f>VLOOKUP(A5,Catálogo!A:C,3,0)</f>
        <v>504</v>
      </c>
      <c r="L5">
        <f>VLOOKUP(A5,Catálogo!A:D,4,0)</f>
        <v>84.323799999999991</v>
      </c>
      <c r="M5">
        <f t="shared" si="0"/>
        <v>415.5631031808341</v>
      </c>
      <c r="N5" s="10" t="str">
        <f>VLOOKUP(A5,[2]Hoja1!$B:$D,3,0)</f>
        <v>Devoluciones Terea</v>
      </c>
    </row>
    <row r="6" spans="1:14" ht="14.5" x14ac:dyDescent="0.35">
      <c r="A6">
        <v>100023683</v>
      </c>
      <c r="B6">
        <v>75006341</v>
      </c>
      <c r="C6" t="s">
        <v>320</v>
      </c>
      <c r="D6" t="s">
        <v>11</v>
      </c>
      <c r="E6" t="s">
        <v>33</v>
      </c>
      <c r="F6" t="s">
        <v>39</v>
      </c>
      <c r="G6" t="s">
        <v>75</v>
      </c>
      <c r="H6" t="s">
        <v>70</v>
      </c>
      <c r="I6" t="s">
        <v>109</v>
      </c>
      <c r="J6">
        <f>VLOOKUP(A6,Catálogo!A:B,2,0)</f>
        <v>21145.559999999987</v>
      </c>
      <c r="K6">
        <f>VLOOKUP(A6,Catálogo!A:C,3,0)</f>
        <v>302</v>
      </c>
      <c r="L6">
        <f>VLOOKUP(A6,Catálogo!A:D,4,0)</f>
        <v>24.137800000000002</v>
      </c>
      <c r="M6">
        <f t="shared" si="0"/>
        <v>876.03509847624821</v>
      </c>
      <c r="N6" s="10" t="str">
        <f>VLOOKUP(A6,[2]Hoja1!$B:$D,3,0)</f>
        <v>Devoluciones Terea</v>
      </c>
    </row>
    <row r="7" spans="1:14" ht="14.5" x14ac:dyDescent="0.35">
      <c r="A7">
        <v>100023422</v>
      </c>
      <c r="B7">
        <v>75079901</v>
      </c>
      <c r="C7" t="s">
        <v>442</v>
      </c>
      <c r="D7" t="s">
        <v>44</v>
      </c>
      <c r="E7" t="s">
        <v>33</v>
      </c>
      <c r="F7" t="s">
        <v>39</v>
      </c>
      <c r="G7" t="s">
        <v>35</v>
      </c>
      <c r="H7" t="s">
        <v>36</v>
      </c>
      <c r="I7" t="s">
        <v>109</v>
      </c>
      <c r="J7">
        <f>VLOOKUP(A7,Catálogo!A:B,2,0)</f>
        <v>-222469.03000000003</v>
      </c>
      <c r="K7">
        <f>VLOOKUP(A7,Catálogo!A:C,3,0)</f>
        <v>-2823</v>
      </c>
      <c r="L7">
        <f>VLOOKUP(A7,Catálogo!A:D,4,0)</f>
        <v>14.2971</v>
      </c>
      <c r="M7">
        <f t="shared" si="0"/>
        <v>-15560.430436941759</v>
      </c>
      <c r="N7" s="10" t="str">
        <f>VLOOKUP(A7,[2]Hoja1!$B:$D,3,0)</f>
        <v>Artículos In&amp;Out</v>
      </c>
    </row>
    <row r="8" spans="1:14" ht="14.5" x14ac:dyDescent="0.35">
      <c r="A8">
        <v>100015174</v>
      </c>
      <c r="B8">
        <v>75067878</v>
      </c>
      <c r="C8" t="s">
        <v>458</v>
      </c>
      <c r="D8" t="s">
        <v>44</v>
      </c>
      <c r="E8" t="s">
        <v>33</v>
      </c>
      <c r="F8" t="s">
        <v>39</v>
      </c>
      <c r="G8" t="s">
        <v>54</v>
      </c>
      <c r="H8" t="s">
        <v>36</v>
      </c>
      <c r="I8" t="s">
        <v>109</v>
      </c>
      <c r="J8">
        <f>VLOOKUP(A8,Catálogo!A:B,2,0)</f>
        <v>16123.659999999998</v>
      </c>
      <c r="K8">
        <f>VLOOKUP(A8,Catálogo!A:C,3,0)</f>
        <v>215</v>
      </c>
      <c r="L8">
        <f>VLOOKUP(A8,Catálogo!A:D,4,0)</f>
        <v>0</v>
      </c>
      <c r="N8" s="10" t="str">
        <f>VLOOKUP(A8,[2]Hoja1!$B:$D,3,0)</f>
        <v>Descontinuado BAT</v>
      </c>
    </row>
    <row r="9" spans="1:14" ht="14.5" x14ac:dyDescent="0.35">
      <c r="A9">
        <v>100021272</v>
      </c>
      <c r="B9">
        <v>7622100711049</v>
      </c>
      <c r="C9" t="s">
        <v>466</v>
      </c>
      <c r="D9" t="s">
        <v>11</v>
      </c>
      <c r="E9" t="s">
        <v>33</v>
      </c>
      <c r="F9" t="s">
        <v>239</v>
      </c>
      <c r="G9" t="s">
        <v>239</v>
      </c>
      <c r="H9" t="s">
        <v>70</v>
      </c>
      <c r="I9" t="s">
        <v>109</v>
      </c>
      <c r="J9">
        <f>VLOOKUP(A9,Catálogo!A:B,2,0)</f>
        <v>9305.7100000000009</v>
      </c>
      <c r="K9">
        <f>VLOOKUP(A9,Catálogo!A:C,3,0)</f>
        <v>298</v>
      </c>
      <c r="L9">
        <f>VLOOKUP(A9,Catálogo!A:D,4,0)</f>
        <v>0</v>
      </c>
      <c r="M9" t="e">
        <f>J9/L9</f>
        <v>#DIV/0!</v>
      </c>
      <c r="N9" s="10" t="str">
        <f>VLOOKUP(A9,[2]Hoja1!$B:$D,3,0)</f>
        <v>Por devolver Iqos</v>
      </c>
    </row>
    <row r="10" spans="1:14" ht="14.5" x14ac:dyDescent="0.35">
      <c r="A10">
        <v>100023423</v>
      </c>
      <c r="B10">
        <v>75079888</v>
      </c>
      <c r="C10" t="s">
        <v>441</v>
      </c>
      <c r="D10" t="s">
        <v>44</v>
      </c>
      <c r="E10" t="s">
        <v>33</v>
      </c>
      <c r="F10" t="s">
        <v>39</v>
      </c>
      <c r="G10" t="s">
        <v>58</v>
      </c>
      <c r="H10" t="s">
        <v>36</v>
      </c>
      <c r="I10" t="s">
        <v>109</v>
      </c>
      <c r="J10">
        <f>VLOOKUP(A10,Catálogo!A:B,2,0)</f>
        <v>13128.560000000003</v>
      </c>
      <c r="K10">
        <f>VLOOKUP(A10,Catálogo!A:C,3,0)</f>
        <v>170</v>
      </c>
      <c r="L10">
        <f>VLOOKUP(A10,Catálogo!A:D,4,0)</f>
        <v>14.277899999999999</v>
      </c>
      <c r="M10">
        <f>J10/L10</f>
        <v>919.50216768572443</v>
      </c>
      <c r="N10" s="10" t="str">
        <f>VLOOKUP(A10,[2]Hoja1!$B:$D,3,0)</f>
        <v>Próxima devolución BAT (Ago 2025)</v>
      </c>
    </row>
    <row r="11" spans="1:14" ht="14.5" x14ac:dyDescent="0.35">
      <c r="A11">
        <v>100015648</v>
      </c>
      <c r="B11">
        <v>75070588</v>
      </c>
      <c r="C11" t="s">
        <v>459</v>
      </c>
      <c r="D11" t="s">
        <v>44</v>
      </c>
      <c r="E11" t="s">
        <v>33</v>
      </c>
      <c r="F11" t="s">
        <v>46</v>
      </c>
      <c r="G11" t="s">
        <v>35</v>
      </c>
      <c r="H11" t="s">
        <v>36</v>
      </c>
      <c r="I11" t="s">
        <v>247</v>
      </c>
      <c r="J11">
        <f>VLOOKUP(A11,Catálogo!A:B,2,0)</f>
        <v>11470.859999999995</v>
      </c>
      <c r="K11">
        <f>VLOOKUP(A11,Catálogo!A:C,3,0)</f>
        <v>170</v>
      </c>
      <c r="L11">
        <f>VLOOKUP(A11,Catálogo!A:D,4,0)</f>
        <v>16.810400000000001</v>
      </c>
      <c r="M11">
        <f>J11/L11</f>
        <v>682.36686812925302</v>
      </c>
      <c r="N11" s="10" t="str">
        <f>VLOOKUP(A11,[2]Hoja1!$B:$D,3,0)</f>
        <v>Próxima devolución BAT (Ago 2025)</v>
      </c>
    </row>
    <row r="12" spans="1:14" ht="14.5" x14ac:dyDescent="0.35">
      <c r="A12">
        <v>100023424</v>
      </c>
      <c r="B12">
        <v>75079895</v>
      </c>
      <c r="C12" t="s">
        <v>443</v>
      </c>
      <c r="D12" t="s">
        <v>44</v>
      </c>
      <c r="E12" t="s">
        <v>33</v>
      </c>
      <c r="F12" t="s">
        <v>39</v>
      </c>
      <c r="G12" t="s">
        <v>35</v>
      </c>
      <c r="H12" t="s">
        <v>36</v>
      </c>
      <c r="I12" t="s">
        <v>109</v>
      </c>
      <c r="J12">
        <f>VLOOKUP(A12,Catálogo!A:B,2,0)</f>
        <v>10811.630000000003</v>
      </c>
      <c r="K12">
        <f>VLOOKUP(A12,Catálogo!A:C,3,0)</f>
        <v>141</v>
      </c>
      <c r="L12">
        <f>VLOOKUP(A12,Catálogo!A:D,4,0)</f>
        <v>5.6879</v>
      </c>
      <c r="M12">
        <f>J12/L12</f>
        <v>1900.8122505669935</v>
      </c>
      <c r="N12" s="10" t="str">
        <f>VLOOKUP(A12,[2]Hoja1!$B:$D,3,0)</f>
        <v>Devolución 2025 BAT Ola 2 (Nacional excepto Tamps)</v>
      </c>
    </row>
    <row r="13" spans="1:14" ht="14.5" x14ac:dyDescent="0.35">
      <c r="A13">
        <v>100019548</v>
      </c>
      <c r="B13">
        <v>75073978</v>
      </c>
      <c r="C13" t="s">
        <v>445</v>
      </c>
      <c r="D13" t="s">
        <v>44</v>
      </c>
      <c r="E13" t="s">
        <v>33</v>
      </c>
      <c r="F13" t="s">
        <v>41</v>
      </c>
      <c r="G13" t="s">
        <v>14</v>
      </c>
      <c r="H13" t="s">
        <v>36</v>
      </c>
      <c r="I13" t="s">
        <v>109</v>
      </c>
      <c r="J13">
        <f>VLOOKUP(A13,Catálogo!A:B,2,0)</f>
        <v>9707.67</v>
      </c>
      <c r="K13">
        <f>VLOOKUP(A13,Catálogo!A:C,3,0)</f>
        <v>140</v>
      </c>
      <c r="L13">
        <f>VLOOKUP(A13,Catálogo!A:D,4,0)</f>
        <v>0</v>
      </c>
      <c r="N13" s="10" t="str">
        <f>VLOOKUP(A13,[2]Hoja1!$B:$D,3,0)</f>
        <v>Próxima devolución BAT (Ago 2025)</v>
      </c>
    </row>
    <row r="14" spans="1:14" ht="14.5" x14ac:dyDescent="0.35">
      <c r="A14">
        <v>101000089</v>
      </c>
      <c r="B14">
        <v>7702303023221</v>
      </c>
      <c r="C14" t="s">
        <v>276</v>
      </c>
      <c r="D14" t="s">
        <v>44</v>
      </c>
      <c r="E14" t="s">
        <v>33</v>
      </c>
      <c r="F14" t="s">
        <v>39</v>
      </c>
      <c r="G14" t="s">
        <v>139</v>
      </c>
      <c r="H14" t="s">
        <v>252</v>
      </c>
      <c r="I14" t="s">
        <v>247</v>
      </c>
      <c r="J14">
        <f>VLOOKUP(A14,Catálogo!A:B,2,0)</f>
        <v>13869.730000000001</v>
      </c>
      <c r="K14">
        <f>VLOOKUP(A14,Catálogo!A:C,3,0)</f>
        <v>50</v>
      </c>
      <c r="L14">
        <f>VLOOKUP(A14,Catálogo!A:D,4,0)</f>
        <v>0</v>
      </c>
      <c r="N14" s="10" t="str">
        <f>VLOOKUP(A14,[2]Hoja1!$B:$D,3,0)</f>
        <v>Devoluciones Vuse (feb 2025)</v>
      </c>
    </row>
    <row r="15" spans="1:14" ht="14.5" x14ac:dyDescent="0.35">
      <c r="A15">
        <v>101000090</v>
      </c>
      <c r="B15">
        <v>7702303936590</v>
      </c>
      <c r="C15" t="s">
        <v>279</v>
      </c>
      <c r="D15" t="s">
        <v>44</v>
      </c>
      <c r="E15" t="s">
        <v>33</v>
      </c>
      <c r="F15" t="s">
        <v>39</v>
      </c>
      <c r="G15" t="s">
        <v>139</v>
      </c>
      <c r="H15" t="s">
        <v>252</v>
      </c>
      <c r="I15" t="s">
        <v>247</v>
      </c>
      <c r="J15">
        <f>VLOOKUP(A15,Catálogo!A:B,2,0)</f>
        <v>12500.009999999998</v>
      </c>
      <c r="K15">
        <f>VLOOKUP(A15,Catálogo!A:C,3,0)</f>
        <v>45</v>
      </c>
      <c r="L15">
        <f>VLOOKUP(A15,Catálogo!A:D,4,0)</f>
        <v>0</v>
      </c>
      <c r="N15" s="10" t="str">
        <f>VLOOKUP(A15,[2]Hoja1!$B:$D,3,0)</f>
        <v>Devoluciones Vuse (feb 2025)</v>
      </c>
    </row>
    <row r="16" spans="1:14" ht="14.5" x14ac:dyDescent="0.35">
      <c r="A16">
        <v>101000084</v>
      </c>
      <c r="B16">
        <v>7707200941241</v>
      </c>
      <c r="C16" t="s">
        <v>317</v>
      </c>
      <c r="D16" t="s">
        <v>44</v>
      </c>
      <c r="E16" t="s">
        <v>33</v>
      </c>
      <c r="F16" t="s">
        <v>39</v>
      </c>
      <c r="G16" t="s">
        <v>139</v>
      </c>
      <c r="H16" t="s">
        <v>252</v>
      </c>
      <c r="I16" t="s">
        <v>247</v>
      </c>
      <c r="J16">
        <f>VLOOKUP(A16,Catálogo!A:B,2,0)</f>
        <v>11388.890000000001</v>
      </c>
      <c r="K16">
        <f>VLOOKUP(A16,Catálogo!A:C,3,0)</f>
        <v>82</v>
      </c>
      <c r="L16">
        <f>VLOOKUP(A16,Catálogo!A:D,4,0)</f>
        <v>0</v>
      </c>
      <c r="N16" s="10" t="str">
        <f>VLOOKUP(A16,[2]Hoja1!$B:$D,3,0)</f>
        <v>Devoluciones Vuse (feb 2025)</v>
      </c>
    </row>
    <row r="17" spans="1:14" ht="14.5" x14ac:dyDescent="0.35">
      <c r="A17" s="10">
        <v>100024722</v>
      </c>
      <c r="B17">
        <v>7707200945072</v>
      </c>
      <c r="C17" s="10" t="s">
        <v>268</v>
      </c>
      <c r="D17" t="s">
        <v>44</v>
      </c>
      <c r="E17" t="s">
        <v>33</v>
      </c>
      <c r="F17" t="s">
        <v>39</v>
      </c>
      <c r="G17" t="s">
        <v>139</v>
      </c>
      <c r="H17" t="s">
        <v>252</v>
      </c>
      <c r="I17" t="s">
        <v>247</v>
      </c>
      <c r="J17">
        <f>VLOOKUP(A17,Catálogo!A:B,2,0)</f>
        <v>11259.26</v>
      </c>
      <c r="K17">
        <f>VLOOKUP(A17,Catálogo!A:C,3,0)</f>
        <v>38</v>
      </c>
      <c r="L17">
        <f>VLOOKUP(A17,Catálogo!A:D,4,0)</f>
        <v>0</v>
      </c>
      <c r="N17" s="10" t="str">
        <f>VLOOKUP(A17,[2]Hoja1!$B:$D,3,0)</f>
        <v>Devoluciones Vuse (feb 2025)</v>
      </c>
    </row>
    <row r="18" spans="1:14" ht="14.5" x14ac:dyDescent="0.35">
      <c r="A18">
        <v>100015416</v>
      </c>
      <c r="B18">
        <v>7501045356259</v>
      </c>
      <c r="C18" t="s">
        <v>485</v>
      </c>
      <c r="D18" t="s">
        <v>11</v>
      </c>
      <c r="E18" t="s">
        <v>33</v>
      </c>
      <c r="F18" t="s">
        <v>46</v>
      </c>
      <c r="G18" t="s">
        <v>75</v>
      </c>
      <c r="H18" t="s">
        <v>70</v>
      </c>
      <c r="I18" t="s">
        <v>109</v>
      </c>
      <c r="J18">
        <f>VLOOKUP(A18,Catálogo!A:B,2,0)</f>
        <v>12857.049999999996</v>
      </c>
      <c r="K18">
        <f>VLOOKUP(A18,Catálogo!A:C,3,0)</f>
        <v>187</v>
      </c>
      <c r="L18">
        <f>VLOOKUP(A18,Catálogo!A:D,4,0)</f>
        <v>0</v>
      </c>
      <c r="M18" t="e">
        <f>J18/L18</f>
        <v>#DIV/0!</v>
      </c>
      <c r="N18" s="10" t="str">
        <f>VLOOKUP(A18,[2]Hoja1!$B:$D,3,0)</f>
        <v>Devoluciones Heets</v>
      </c>
    </row>
    <row r="19" spans="1:14" ht="14.5" x14ac:dyDescent="0.35">
      <c r="A19">
        <v>100015215</v>
      </c>
      <c r="B19">
        <v>75069490</v>
      </c>
      <c r="C19" t="s">
        <v>358</v>
      </c>
      <c r="D19" t="s">
        <v>44</v>
      </c>
      <c r="E19" t="s">
        <v>33</v>
      </c>
      <c r="F19" t="s">
        <v>46</v>
      </c>
      <c r="G19" t="s">
        <v>54</v>
      </c>
      <c r="H19" t="s">
        <v>36</v>
      </c>
      <c r="I19" t="s">
        <v>247</v>
      </c>
      <c r="J19">
        <f>VLOOKUP(A19,Catálogo!A:B,2,0)</f>
        <v>8150.73</v>
      </c>
      <c r="K19">
        <f>VLOOKUP(A19,Catálogo!A:C,3,0)</f>
        <v>123</v>
      </c>
      <c r="L19">
        <f>VLOOKUP(A19,Catálogo!A:D,4,0)</f>
        <v>0</v>
      </c>
      <c r="M19" t="e">
        <f>J19/L19</f>
        <v>#DIV/0!</v>
      </c>
      <c r="N19" s="10" t="str">
        <f>VLOOKUP(A19,[2]Hoja1!$B:$D,3,0)</f>
        <v>Descontinuado BAT</v>
      </c>
    </row>
    <row r="20" spans="1:14" ht="14.5" x14ac:dyDescent="0.35">
      <c r="A20">
        <v>101000093</v>
      </c>
      <c r="B20">
        <v>7702303182898</v>
      </c>
      <c r="C20" t="s">
        <v>281</v>
      </c>
      <c r="D20" t="s">
        <v>44</v>
      </c>
      <c r="E20" t="s">
        <v>33</v>
      </c>
      <c r="F20" t="s">
        <v>39</v>
      </c>
      <c r="G20" t="s">
        <v>139</v>
      </c>
      <c r="H20" t="s">
        <v>252</v>
      </c>
      <c r="I20" t="s">
        <v>247</v>
      </c>
      <c r="J20">
        <f>VLOOKUP(A20,Catálogo!A:B,2,0)</f>
        <v>11091.95</v>
      </c>
      <c r="K20">
        <f>VLOOKUP(A20,Catálogo!A:C,3,0)</f>
        <v>40</v>
      </c>
      <c r="L20">
        <f>VLOOKUP(A20,Catálogo!A:D,4,0)</f>
        <v>0</v>
      </c>
      <c r="N20" s="10" t="str">
        <f>VLOOKUP(A20,[2]Hoja1!$B:$D,3,0)</f>
        <v>Devoluciones Vuse (feb 2025)</v>
      </c>
    </row>
    <row r="21" spans="1:14" ht="14.5" x14ac:dyDescent="0.35">
      <c r="A21">
        <v>100019052</v>
      </c>
      <c r="B21">
        <v>75074784</v>
      </c>
      <c r="C21" t="s">
        <v>370</v>
      </c>
      <c r="D21" t="s">
        <v>44</v>
      </c>
      <c r="E21" t="s">
        <v>33</v>
      </c>
      <c r="F21" t="s">
        <v>41</v>
      </c>
      <c r="G21" t="s">
        <v>35</v>
      </c>
      <c r="H21" t="s">
        <v>36</v>
      </c>
      <c r="I21" t="s">
        <v>109</v>
      </c>
      <c r="J21">
        <f>VLOOKUP(A21,Catálogo!A:B,2,0)</f>
        <v>6411.619999999999</v>
      </c>
      <c r="K21">
        <f>VLOOKUP(A21,Catálogo!A:C,3,0)</f>
        <v>100</v>
      </c>
      <c r="L21">
        <f>VLOOKUP(A21,Catálogo!A:D,4,0)</f>
        <v>0</v>
      </c>
      <c r="M21" t="e">
        <f>J21/L21</f>
        <v>#DIV/0!</v>
      </c>
      <c r="N21" s="10" t="str">
        <f>VLOOKUP(A21,[2]Hoja1!$B:$D,3,0)</f>
        <v>Artículos In&amp;Out</v>
      </c>
    </row>
    <row r="22" spans="1:14" ht="14.5" x14ac:dyDescent="0.35">
      <c r="A22">
        <v>101000087</v>
      </c>
      <c r="B22">
        <v>7702303419598</v>
      </c>
      <c r="C22" t="s">
        <v>263</v>
      </c>
      <c r="D22" t="s">
        <v>44</v>
      </c>
      <c r="E22" t="s">
        <v>33</v>
      </c>
      <c r="F22" t="s">
        <v>39</v>
      </c>
      <c r="G22" t="s">
        <v>139</v>
      </c>
      <c r="H22" t="s">
        <v>252</v>
      </c>
      <c r="I22" t="s">
        <v>247</v>
      </c>
      <c r="J22">
        <f>VLOOKUP(A22,Catálogo!A:B,2,0)</f>
        <v>10555.560000000001</v>
      </c>
      <c r="K22">
        <f>VLOOKUP(A22,Catálogo!A:C,3,0)</f>
        <v>76</v>
      </c>
      <c r="L22">
        <f>VLOOKUP(A22,Catálogo!A:D,4,0)</f>
        <v>0</v>
      </c>
      <c r="N22" s="10" t="str">
        <f>VLOOKUP(A22,[2]Hoja1!$B:$D,3,0)</f>
        <v>Devoluciones Vuse (feb 2025)</v>
      </c>
    </row>
    <row r="23" spans="1:14" ht="14.5" x14ac:dyDescent="0.35">
      <c r="A23">
        <v>100017980</v>
      </c>
      <c r="B23">
        <v>7501045357881</v>
      </c>
      <c r="C23" t="s">
        <v>482</v>
      </c>
      <c r="D23" t="s">
        <v>11</v>
      </c>
      <c r="E23" t="s">
        <v>33</v>
      </c>
      <c r="F23" t="s">
        <v>46</v>
      </c>
      <c r="G23" t="s">
        <v>75</v>
      </c>
      <c r="H23" t="s">
        <v>70</v>
      </c>
      <c r="I23" t="s">
        <v>109</v>
      </c>
      <c r="J23">
        <f>VLOOKUP(A23,Catálogo!A:B,2,0)</f>
        <v>14366.799999999994</v>
      </c>
      <c r="K23">
        <f>VLOOKUP(A23,Catálogo!A:C,3,0)</f>
        <v>211</v>
      </c>
      <c r="L23">
        <f>VLOOKUP(A23,Catálogo!A:D,4,0)</f>
        <v>0</v>
      </c>
      <c r="M23" t="e">
        <f>J23/L23</f>
        <v>#DIV/0!</v>
      </c>
      <c r="N23" s="10" t="str">
        <f>VLOOKUP(A23,[2]Hoja1!$B:$D,3,0)</f>
        <v>Devoluciones Heets</v>
      </c>
    </row>
    <row r="24" spans="1:14" ht="14.5" x14ac:dyDescent="0.35">
      <c r="A24">
        <v>100020728</v>
      </c>
      <c r="B24">
        <v>75018825</v>
      </c>
      <c r="C24" t="s">
        <v>542</v>
      </c>
      <c r="D24" t="s">
        <v>11</v>
      </c>
      <c r="E24" t="s">
        <v>33</v>
      </c>
      <c r="F24" t="s">
        <v>46</v>
      </c>
      <c r="G24" t="s">
        <v>14</v>
      </c>
      <c r="H24" t="s">
        <v>36</v>
      </c>
      <c r="I24" t="s">
        <v>109</v>
      </c>
      <c r="J24">
        <f>VLOOKUP(A24,Catálogo!A:B,2,0)</f>
        <v>4351.1899999999987</v>
      </c>
      <c r="K24">
        <f>VLOOKUP(A24,Catálogo!A:C,3,0)</f>
        <v>63</v>
      </c>
      <c r="L24">
        <f>VLOOKUP(A24,Catálogo!A:D,4,0)</f>
        <v>0</v>
      </c>
      <c r="M24" t="e">
        <f>J24/L24</f>
        <v>#DIV/0!</v>
      </c>
      <c r="N24" s="10" t="str">
        <f>VLOOKUP(A24,[2]Hoja1!$B:$D,3,0)</f>
        <v>Devolución 2024 PMI</v>
      </c>
    </row>
    <row r="25" spans="1:14" ht="14.5" x14ac:dyDescent="0.35">
      <c r="A25">
        <v>101000088</v>
      </c>
      <c r="B25">
        <v>7702303342513</v>
      </c>
      <c r="C25" t="s">
        <v>262</v>
      </c>
      <c r="D25" t="s">
        <v>44</v>
      </c>
      <c r="E25" t="s">
        <v>33</v>
      </c>
      <c r="F25" t="s">
        <v>39</v>
      </c>
      <c r="G25" t="s">
        <v>139</v>
      </c>
      <c r="H25" t="s">
        <v>252</v>
      </c>
      <c r="I25" t="s">
        <v>247</v>
      </c>
      <c r="J25">
        <f>VLOOKUP(A25,Catálogo!A:B,2,0)</f>
        <v>9722.23</v>
      </c>
      <c r="K25">
        <f>VLOOKUP(A25,Catálogo!A:C,3,0)</f>
        <v>70</v>
      </c>
      <c r="L25">
        <f>VLOOKUP(A25,Catálogo!A:D,4,0)</f>
        <v>0</v>
      </c>
      <c r="N25" s="10" t="str">
        <f>VLOOKUP(A25,[2]Hoja1!$B:$D,3,0)</f>
        <v>Devoluciones Vuse (feb 2025)</v>
      </c>
    </row>
    <row r="26" spans="1:14" ht="14.5" x14ac:dyDescent="0.35">
      <c r="A26">
        <v>100016411</v>
      </c>
      <c r="B26">
        <v>7503023959162</v>
      </c>
      <c r="C26" t="s">
        <v>246</v>
      </c>
      <c r="D26" t="s">
        <v>32</v>
      </c>
      <c r="E26" t="s">
        <v>33</v>
      </c>
      <c r="F26" t="s">
        <v>34</v>
      </c>
      <c r="G26" t="s">
        <v>14</v>
      </c>
      <c r="H26" t="s">
        <v>36</v>
      </c>
      <c r="I26" t="s">
        <v>247</v>
      </c>
      <c r="J26">
        <f>VLOOKUP(A26,Catálogo!A:B,2,0)</f>
        <v>2730</v>
      </c>
      <c r="K26">
        <f>VLOOKUP(A26,Catálogo!A:C,3,0)</f>
        <v>55</v>
      </c>
      <c r="L26">
        <f>VLOOKUP(A26,Catálogo!A:D,4,0)</f>
        <v>0</v>
      </c>
      <c r="M26" t="e">
        <f>J26/L26</f>
        <v>#DIV/0!</v>
      </c>
      <c r="N26" s="10" t="str">
        <f>VLOOKUP(A26,[2]Hoja1!$B:$D,3,0)</f>
        <v>Próxima devolución BAT (Ago 2025)</v>
      </c>
    </row>
    <row r="27" spans="1:14" ht="14.5" x14ac:dyDescent="0.35">
      <c r="A27">
        <v>100020528</v>
      </c>
      <c r="B27">
        <v>75074937</v>
      </c>
      <c r="C27" t="s">
        <v>329</v>
      </c>
      <c r="D27" t="s">
        <v>44</v>
      </c>
      <c r="E27" t="s">
        <v>33</v>
      </c>
      <c r="F27" t="s">
        <v>46</v>
      </c>
      <c r="G27" t="s">
        <v>14</v>
      </c>
      <c r="H27" t="s">
        <v>36</v>
      </c>
      <c r="I27" t="s">
        <v>109</v>
      </c>
      <c r="J27">
        <f>VLOOKUP(A27,Catálogo!A:B,2,0)</f>
        <v>6689.73</v>
      </c>
      <c r="K27">
        <f>VLOOKUP(A27,Catálogo!A:C,3,0)</f>
        <v>95</v>
      </c>
      <c r="L27">
        <f>VLOOKUP(A27,Catálogo!A:D,4,0)</f>
        <v>2.6124999999999998</v>
      </c>
      <c r="M27">
        <f>J27/L27</f>
        <v>2560.6622009569378</v>
      </c>
      <c r="N27" s="10" t="str">
        <f>VLOOKUP(A27,[2]Hoja1!$B:$D,3,0)</f>
        <v>Devolución 2024 PMI</v>
      </c>
    </row>
    <row r="28" spans="1:14" ht="14.5" x14ac:dyDescent="0.35">
      <c r="A28">
        <v>101000091</v>
      </c>
      <c r="B28">
        <v>7702303890434</v>
      </c>
      <c r="C28" t="s">
        <v>280</v>
      </c>
      <c r="D28" t="s">
        <v>44</v>
      </c>
      <c r="E28" t="s">
        <v>33</v>
      </c>
      <c r="F28" t="s">
        <v>39</v>
      </c>
      <c r="G28" t="s">
        <v>139</v>
      </c>
      <c r="H28" t="s">
        <v>252</v>
      </c>
      <c r="I28" t="s">
        <v>247</v>
      </c>
      <c r="J28">
        <f>VLOOKUP(A28,Catálogo!A:B,2,0)</f>
        <v>8611.1099999999988</v>
      </c>
      <c r="K28">
        <f>VLOOKUP(A28,Catálogo!A:C,3,0)</f>
        <v>31</v>
      </c>
      <c r="L28">
        <f>VLOOKUP(A28,Catálogo!A:D,4,0)</f>
        <v>0</v>
      </c>
      <c r="N28" s="10" t="str">
        <f>VLOOKUP(A28,[2]Hoja1!$B:$D,3,0)</f>
        <v>Devoluciones Vuse (feb 2025)</v>
      </c>
    </row>
    <row r="29" spans="1:14" ht="14.5" x14ac:dyDescent="0.35">
      <c r="A29">
        <v>101000085</v>
      </c>
      <c r="B29">
        <v>7707200941753</v>
      </c>
      <c r="C29" t="s">
        <v>264</v>
      </c>
      <c r="D29" t="s">
        <v>44</v>
      </c>
      <c r="E29" t="s">
        <v>33</v>
      </c>
      <c r="F29" t="s">
        <v>39</v>
      </c>
      <c r="G29" t="s">
        <v>139</v>
      </c>
      <c r="H29" t="s">
        <v>252</v>
      </c>
      <c r="I29" t="s">
        <v>247</v>
      </c>
      <c r="J29">
        <f>VLOOKUP(A29,Catálogo!A:B,2,0)</f>
        <v>7777.7799999999988</v>
      </c>
      <c r="K29">
        <f>VLOOKUP(A29,Catálogo!A:C,3,0)</f>
        <v>56</v>
      </c>
      <c r="L29">
        <f>VLOOKUP(A29,Catálogo!A:D,4,0)</f>
        <v>0</v>
      </c>
      <c r="N29" s="10" t="str">
        <f>VLOOKUP(A29,[2]Hoja1!$B:$D,3,0)</f>
        <v>Devoluciones Vuse (feb 2025)</v>
      </c>
    </row>
    <row r="30" spans="1:14" ht="14.5" x14ac:dyDescent="0.35">
      <c r="A30">
        <v>101000080</v>
      </c>
      <c r="B30">
        <v>7702303820974</v>
      </c>
      <c r="C30" t="s">
        <v>254</v>
      </c>
      <c r="D30" t="s">
        <v>44</v>
      </c>
      <c r="E30" t="s">
        <v>33</v>
      </c>
      <c r="F30" t="s">
        <v>39</v>
      </c>
      <c r="G30" t="s">
        <v>139</v>
      </c>
      <c r="H30" t="s">
        <v>252</v>
      </c>
      <c r="I30" t="s">
        <v>247</v>
      </c>
      <c r="J30">
        <f>VLOOKUP(A30,Catálogo!A:B,2,0)</f>
        <v>8472.2199999999993</v>
      </c>
      <c r="K30">
        <f>VLOOKUP(A30,Catálogo!A:C,3,0)</f>
        <v>61</v>
      </c>
      <c r="L30">
        <f>VLOOKUP(A30,Catálogo!A:D,4,0)</f>
        <v>0</v>
      </c>
      <c r="N30" s="10" t="str">
        <f>VLOOKUP(A30,[2]Hoja1!$B:$D,3,0)</f>
        <v>Devoluciones Vuse (feb 2025)</v>
      </c>
    </row>
    <row r="31" spans="1:14" ht="14.5" x14ac:dyDescent="0.35">
      <c r="A31">
        <v>100015417</v>
      </c>
      <c r="B31">
        <v>7501045357447</v>
      </c>
      <c r="C31" t="s">
        <v>483</v>
      </c>
      <c r="D31" t="s">
        <v>11</v>
      </c>
      <c r="E31" t="s">
        <v>33</v>
      </c>
      <c r="F31" t="s">
        <v>46</v>
      </c>
      <c r="G31" t="s">
        <v>75</v>
      </c>
      <c r="H31" t="s">
        <v>70</v>
      </c>
      <c r="I31" t="s">
        <v>109</v>
      </c>
      <c r="J31">
        <f>VLOOKUP(A31,Catálogo!A:B,2,0)</f>
        <v>8465.6799999999967</v>
      </c>
      <c r="K31">
        <f>VLOOKUP(A31,Catálogo!A:C,3,0)</f>
        <v>124</v>
      </c>
      <c r="L31">
        <f>VLOOKUP(A31,Catálogo!A:D,4,0)</f>
        <v>0</v>
      </c>
      <c r="M31" t="e">
        <f>J31/L31</f>
        <v>#DIV/0!</v>
      </c>
      <c r="N31" s="10" t="str">
        <f>VLOOKUP(A31,[2]Hoja1!$B:$D,3,0)</f>
        <v>Devoluciones Heets</v>
      </c>
    </row>
    <row r="32" spans="1:14" ht="14.5" x14ac:dyDescent="0.35">
      <c r="A32">
        <v>100006296</v>
      </c>
      <c r="B32">
        <v>75053758</v>
      </c>
      <c r="C32" t="s">
        <v>384</v>
      </c>
      <c r="D32" t="s">
        <v>11</v>
      </c>
      <c r="E32" t="s">
        <v>33</v>
      </c>
      <c r="F32" t="s">
        <v>41</v>
      </c>
      <c r="G32" t="s">
        <v>35</v>
      </c>
      <c r="H32" t="s">
        <v>36</v>
      </c>
      <c r="I32" t="s">
        <v>109</v>
      </c>
      <c r="J32">
        <f>VLOOKUP(A32,Catálogo!A:B,2,0)</f>
        <v>4660.04</v>
      </c>
      <c r="K32">
        <f>VLOOKUP(A32,Catálogo!A:C,3,0)</f>
        <v>77</v>
      </c>
      <c r="L32">
        <f>VLOOKUP(A32,Catálogo!A:D,4,0)</f>
        <v>0</v>
      </c>
      <c r="M32" t="e">
        <f>J32/L32</f>
        <v>#DIV/0!</v>
      </c>
      <c r="N32" s="10" t="str">
        <f>VLOOKUP(A32,[2]Hoja1!$B:$D,3,0)</f>
        <v>Descontinuado PMI</v>
      </c>
    </row>
    <row r="33" spans="1:14" ht="14.5" x14ac:dyDescent="0.35">
      <c r="A33">
        <v>101000092</v>
      </c>
      <c r="B33">
        <v>7702303007979</v>
      </c>
      <c r="C33" t="s">
        <v>278</v>
      </c>
      <c r="D33" t="s">
        <v>44</v>
      </c>
      <c r="E33" t="s">
        <v>33</v>
      </c>
      <c r="F33" t="s">
        <v>39</v>
      </c>
      <c r="G33" t="s">
        <v>139</v>
      </c>
      <c r="H33" t="s">
        <v>252</v>
      </c>
      <c r="I33" t="s">
        <v>247</v>
      </c>
      <c r="J33">
        <f>VLOOKUP(A33,Catálogo!A:B,2,0)</f>
        <v>7758.619999999999</v>
      </c>
      <c r="K33">
        <f>VLOOKUP(A33,Catálogo!A:C,3,0)</f>
        <v>28</v>
      </c>
      <c r="L33">
        <f>VLOOKUP(A33,Catálogo!A:D,4,0)</f>
        <v>0</v>
      </c>
      <c r="N33" s="10" t="str">
        <f>VLOOKUP(A33,[2]Hoja1!$B:$D,3,0)</f>
        <v>Devoluciones Vuse (feb 2025)</v>
      </c>
    </row>
    <row r="34" spans="1:14" ht="14.5" x14ac:dyDescent="0.35">
      <c r="A34">
        <v>100019549</v>
      </c>
      <c r="B34">
        <v>75073985</v>
      </c>
      <c r="C34" t="s">
        <v>446</v>
      </c>
      <c r="D34" t="s">
        <v>44</v>
      </c>
      <c r="E34" t="s">
        <v>33</v>
      </c>
      <c r="F34" t="s">
        <v>46</v>
      </c>
      <c r="G34" t="s">
        <v>54</v>
      </c>
      <c r="H34" t="s">
        <v>36</v>
      </c>
      <c r="I34" t="s">
        <v>247</v>
      </c>
      <c r="J34">
        <f>VLOOKUP(A34,Catálogo!A:B,2,0)</f>
        <v>3562.22</v>
      </c>
      <c r="K34">
        <f>VLOOKUP(A34,Catálogo!A:C,3,0)</f>
        <v>51</v>
      </c>
      <c r="L34">
        <f>VLOOKUP(A34,Catálogo!A:D,4,0)</f>
        <v>5.1725000000000003</v>
      </c>
      <c r="M34">
        <f>J34/L34</f>
        <v>688.68438859352341</v>
      </c>
      <c r="N34" s="10" t="str">
        <f>VLOOKUP(A34,[2]Hoja1!$B:$D,3,0)</f>
        <v>Próxima devolución BAT (Ago 2025)</v>
      </c>
    </row>
    <row r="35" spans="1:14" ht="14.5" x14ac:dyDescent="0.35">
      <c r="A35">
        <v>100020727</v>
      </c>
      <c r="B35">
        <v>75015725</v>
      </c>
      <c r="C35" t="s">
        <v>540</v>
      </c>
      <c r="D35" t="s">
        <v>11</v>
      </c>
      <c r="E35" t="s">
        <v>33</v>
      </c>
      <c r="F35" t="s">
        <v>46</v>
      </c>
      <c r="G35" t="s">
        <v>54</v>
      </c>
      <c r="H35" t="s">
        <v>36</v>
      </c>
      <c r="I35" t="s">
        <v>109</v>
      </c>
      <c r="J35">
        <f>VLOOKUP(A35,Catálogo!A:B,2,0)</f>
        <v>2238.1799999999998</v>
      </c>
      <c r="K35">
        <f>VLOOKUP(A35,Catálogo!A:C,3,0)</f>
        <v>32</v>
      </c>
      <c r="L35">
        <f>VLOOKUP(A35,Catálogo!A:D,4,0)</f>
        <v>0</v>
      </c>
      <c r="M35" t="e">
        <f>J35/L35</f>
        <v>#DIV/0!</v>
      </c>
      <c r="N35" s="10" t="str">
        <f>VLOOKUP(A35,[2]Hoja1!$B:$D,3,0)</f>
        <v>Devolución 2024 PMI</v>
      </c>
    </row>
    <row r="36" spans="1:14" ht="14.5" x14ac:dyDescent="0.35">
      <c r="A36" s="10">
        <v>100024721</v>
      </c>
      <c r="B36">
        <v>7707200949551</v>
      </c>
      <c r="C36" s="10" t="s">
        <v>272</v>
      </c>
      <c r="D36" t="s">
        <v>44</v>
      </c>
      <c r="E36" t="s">
        <v>33</v>
      </c>
      <c r="F36" t="s">
        <v>39</v>
      </c>
      <c r="G36" t="s">
        <v>139</v>
      </c>
      <c r="H36" t="s">
        <v>252</v>
      </c>
      <c r="I36" t="s">
        <v>247</v>
      </c>
      <c r="J36">
        <f>VLOOKUP(A36,Catálogo!A:B,2,0)</f>
        <v>7407.41</v>
      </c>
      <c r="K36">
        <f>VLOOKUP(A36,Catálogo!A:C,3,0)</f>
        <v>25</v>
      </c>
      <c r="L36">
        <f>VLOOKUP(A36,Catálogo!A:D,4,0)</f>
        <v>0</v>
      </c>
      <c r="N36" s="10" t="str">
        <f>VLOOKUP(A36,[2]Hoja1!$B:$D,3,0)</f>
        <v>Devoluciones Vuse (feb 2025)</v>
      </c>
    </row>
    <row r="37" spans="1:14" ht="14.5" x14ac:dyDescent="0.35">
      <c r="A37">
        <v>100018931</v>
      </c>
      <c r="B37">
        <v>7503023959346</v>
      </c>
      <c r="C37" t="s">
        <v>530</v>
      </c>
      <c r="D37" t="s">
        <v>32</v>
      </c>
      <c r="E37" t="s">
        <v>33</v>
      </c>
      <c r="F37" t="s">
        <v>39</v>
      </c>
      <c r="G37" t="s">
        <v>35</v>
      </c>
      <c r="H37" t="s">
        <v>36</v>
      </c>
      <c r="I37" t="s">
        <v>247</v>
      </c>
      <c r="J37">
        <f>VLOOKUP(A37,Catálogo!A:B,2,0)</f>
        <v>7216.31</v>
      </c>
      <c r="K37">
        <f>VLOOKUP(A37,Catálogo!A:C,3,0)</f>
        <v>93</v>
      </c>
      <c r="L37">
        <f>VLOOKUP(A37,Catálogo!A:D,4,0)</f>
        <v>0</v>
      </c>
      <c r="N37" s="10" t="str">
        <f>VLOOKUP(A37,[2]Hoja1!$B:$D,3,0)</f>
        <v>Descontinuado JTI</v>
      </c>
    </row>
    <row r="38" spans="1:14" ht="14.5" x14ac:dyDescent="0.35">
      <c r="A38">
        <v>100015645</v>
      </c>
      <c r="B38">
        <v>75070373</v>
      </c>
      <c r="C38" t="s">
        <v>457</v>
      </c>
      <c r="D38" t="s">
        <v>44</v>
      </c>
      <c r="E38" t="s">
        <v>33</v>
      </c>
      <c r="F38" t="s">
        <v>39</v>
      </c>
      <c r="G38" t="s">
        <v>54</v>
      </c>
      <c r="H38" t="s">
        <v>36</v>
      </c>
      <c r="I38" t="s">
        <v>109</v>
      </c>
      <c r="J38">
        <f>VLOOKUP(A38,Catálogo!A:B,2,0)</f>
        <v>4122.45</v>
      </c>
      <c r="K38">
        <f>VLOOKUP(A38,Catálogo!A:C,3,0)</f>
        <v>55</v>
      </c>
      <c r="L38">
        <f>VLOOKUP(A38,Catálogo!A:D,4,0)</f>
        <v>2.6171000000000002</v>
      </c>
      <c r="N38" s="10" t="str">
        <f>VLOOKUP(A38,[2]Hoja1!$B:$D,3,0)</f>
        <v>Descontinuado BAT</v>
      </c>
    </row>
    <row r="39" spans="1:14" ht="14.5" x14ac:dyDescent="0.35">
      <c r="A39">
        <v>100022968</v>
      </c>
      <c r="B39">
        <v>75025359</v>
      </c>
      <c r="C39" t="s">
        <v>388</v>
      </c>
      <c r="D39" t="s">
        <v>11</v>
      </c>
      <c r="E39" t="s">
        <v>33</v>
      </c>
      <c r="F39" t="s">
        <v>46</v>
      </c>
      <c r="G39" t="s">
        <v>14</v>
      </c>
      <c r="H39" t="s">
        <v>36</v>
      </c>
      <c r="I39" t="s">
        <v>109</v>
      </c>
      <c r="J39">
        <f>VLOOKUP(A39,Catálogo!A:B,2,0)</f>
        <v>3851.7299999999991</v>
      </c>
      <c r="K39">
        <f>VLOOKUP(A39,Catálogo!A:C,3,0)</f>
        <v>55</v>
      </c>
      <c r="L39">
        <f>VLOOKUP(A39,Catálogo!A:D,4,0)</f>
        <v>0</v>
      </c>
      <c r="M39" t="e">
        <f>J39/L39</f>
        <v>#DIV/0!</v>
      </c>
      <c r="N39" s="10" t="str">
        <f>VLOOKUP(A39,[2]Hoja1!$B:$D,3,0)</f>
        <v>Artículos In&amp;Out</v>
      </c>
    </row>
    <row r="40" spans="1:14" ht="14.5" x14ac:dyDescent="0.35">
      <c r="A40">
        <v>101000081</v>
      </c>
      <c r="B40">
        <v>7702303239264</v>
      </c>
      <c r="C40" t="s">
        <v>253</v>
      </c>
      <c r="D40" t="s">
        <v>44</v>
      </c>
      <c r="E40" t="s">
        <v>33</v>
      </c>
      <c r="F40" t="s">
        <v>39</v>
      </c>
      <c r="G40" t="s">
        <v>139</v>
      </c>
      <c r="H40" t="s">
        <v>252</v>
      </c>
      <c r="I40" t="s">
        <v>247</v>
      </c>
      <c r="J40">
        <f>VLOOKUP(A40,Catálogo!A:B,2,0)</f>
        <v>7064.17</v>
      </c>
      <c r="K40">
        <f>VLOOKUP(A40,Catálogo!A:C,3,0)</f>
        <v>51</v>
      </c>
      <c r="L40">
        <f>VLOOKUP(A40,Catálogo!A:D,4,0)</f>
        <v>0</v>
      </c>
      <c r="N40" s="10" t="str">
        <f>VLOOKUP(A40,[2]Hoja1!$B:$D,3,0)</f>
        <v>Devoluciones Vuse (feb 2025)</v>
      </c>
    </row>
    <row r="41" spans="1:14" ht="14.5" x14ac:dyDescent="0.35">
      <c r="A41">
        <v>101000086</v>
      </c>
      <c r="B41">
        <v>7702303173667</v>
      </c>
      <c r="C41" t="s">
        <v>265</v>
      </c>
      <c r="D41" t="s">
        <v>44</v>
      </c>
      <c r="E41" t="s">
        <v>33</v>
      </c>
      <c r="F41" t="s">
        <v>39</v>
      </c>
      <c r="G41" t="s">
        <v>139</v>
      </c>
      <c r="H41" t="s">
        <v>252</v>
      </c>
      <c r="I41" t="s">
        <v>247</v>
      </c>
      <c r="J41">
        <f>VLOOKUP(A41,Catálogo!A:B,2,0)</f>
        <v>7083.32</v>
      </c>
      <c r="K41">
        <f>VLOOKUP(A41,Catálogo!A:C,3,0)</f>
        <v>51</v>
      </c>
      <c r="L41">
        <f>VLOOKUP(A41,Catálogo!A:D,4,0)</f>
        <v>0</v>
      </c>
      <c r="N41" s="10" t="str">
        <f>VLOOKUP(A41,[2]Hoja1!$B:$D,3,0)</f>
        <v>Devoluciones Vuse (feb 2025)</v>
      </c>
    </row>
    <row r="42" spans="1:14" ht="14.5" x14ac:dyDescent="0.35">
      <c r="A42">
        <v>101000082</v>
      </c>
      <c r="B42">
        <v>7702303464376</v>
      </c>
      <c r="C42" t="s">
        <v>251</v>
      </c>
      <c r="D42" t="s">
        <v>44</v>
      </c>
      <c r="E42" t="s">
        <v>33</v>
      </c>
      <c r="F42" t="s">
        <v>39</v>
      </c>
      <c r="G42" t="s">
        <v>139</v>
      </c>
      <c r="H42" t="s">
        <v>252</v>
      </c>
      <c r="I42" t="s">
        <v>247</v>
      </c>
      <c r="J42">
        <f>VLOOKUP(A42,Catálogo!A:B,2,0)</f>
        <v>6944.45</v>
      </c>
      <c r="K42">
        <f>VLOOKUP(A42,Catálogo!A:C,3,0)</f>
        <v>50</v>
      </c>
      <c r="L42">
        <f>VLOOKUP(A42,Catálogo!A:D,4,0)</f>
        <v>0</v>
      </c>
      <c r="N42" s="10" t="str">
        <f>VLOOKUP(A42,[2]Hoja1!$B:$D,3,0)</f>
        <v>Devoluciones Vuse (feb 2025)</v>
      </c>
    </row>
    <row r="43" spans="1:14" ht="14.5" x14ac:dyDescent="0.35">
      <c r="A43">
        <v>100022054</v>
      </c>
      <c r="B43">
        <v>7503023959438</v>
      </c>
      <c r="C43" t="s">
        <v>552</v>
      </c>
      <c r="D43" t="s">
        <v>32</v>
      </c>
      <c r="E43" t="s">
        <v>33</v>
      </c>
      <c r="F43" t="s">
        <v>34</v>
      </c>
      <c r="G43" t="s">
        <v>14</v>
      </c>
      <c r="H43" t="s">
        <v>36</v>
      </c>
      <c r="I43" t="s">
        <v>247</v>
      </c>
      <c r="J43">
        <f>VLOOKUP(A43,Catálogo!A:B,2,0)</f>
        <v>2434.4799999999996</v>
      </c>
      <c r="K43">
        <f>VLOOKUP(A43,Catálogo!A:C,3,0)</f>
        <v>49</v>
      </c>
      <c r="L43">
        <f>VLOOKUP(A43,Catálogo!A:D,4,0)</f>
        <v>4.0639000000000003</v>
      </c>
      <c r="M43">
        <f>J43/L43</f>
        <v>599.05017347867795</v>
      </c>
      <c r="N43" s="10" t="str">
        <f>VLOOKUP(A43,[2]Hoja1!$B:$D,3,0)</f>
        <v>Descontinuado JTI</v>
      </c>
    </row>
    <row r="44" spans="1:14" ht="14.5" x14ac:dyDescent="0.35">
      <c r="A44">
        <v>100011677</v>
      </c>
      <c r="B44">
        <v>75063740</v>
      </c>
      <c r="C44" t="s">
        <v>529</v>
      </c>
      <c r="D44" t="s">
        <v>11</v>
      </c>
      <c r="E44" t="s">
        <v>33</v>
      </c>
      <c r="F44" t="s">
        <v>41</v>
      </c>
      <c r="G44" t="s">
        <v>71</v>
      </c>
      <c r="H44" t="s">
        <v>36</v>
      </c>
      <c r="I44" t="s">
        <v>109</v>
      </c>
      <c r="J44">
        <f>VLOOKUP(A44,Catálogo!A:B,2,0)</f>
        <v>3593.69</v>
      </c>
      <c r="K44">
        <f>VLOOKUP(A44,Catálogo!A:C,3,0)</f>
        <v>112</v>
      </c>
      <c r="L44">
        <f>VLOOKUP(A44,Catálogo!A:D,4,0)</f>
        <v>0</v>
      </c>
      <c r="M44" t="e">
        <f>J44/L44</f>
        <v>#DIV/0!</v>
      </c>
      <c r="N44" s="10" t="str">
        <f>VLOOKUP(A44,[2]Hoja1!$B:$D,3,0)</f>
        <v>Devolución 2024 PMI</v>
      </c>
    </row>
    <row r="45" spans="1:14" ht="14.5" x14ac:dyDescent="0.35">
      <c r="A45" s="10">
        <v>100024720</v>
      </c>
      <c r="B45">
        <v>7707200949285</v>
      </c>
      <c r="C45" s="10" t="s">
        <v>270</v>
      </c>
      <c r="D45" t="s">
        <v>44</v>
      </c>
      <c r="E45" t="s">
        <v>33</v>
      </c>
      <c r="F45" t="s">
        <v>39</v>
      </c>
      <c r="G45" t="s">
        <v>139</v>
      </c>
      <c r="H45" t="s">
        <v>252</v>
      </c>
      <c r="I45" t="s">
        <v>247</v>
      </c>
      <c r="J45">
        <f>VLOOKUP(A45,Catálogo!A:B,2,0)</f>
        <v>6518.5200000000013</v>
      </c>
      <c r="K45">
        <f>VLOOKUP(A45,Catálogo!A:C,3,0)</f>
        <v>22</v>
      </c>
      <c r="L45">
        <f>VLOOKUP(A45,Catálogo!A:D,4,0)</f>
        <v>0</v>
      </c>
      <c r="N45" s="10" t="str">
        <f>VLOOKUP(A45,[2]Hoja1!$B:$D,3,0)</f>
        <v>Devoluciones Vuse (feb 2025)</v>
      </c>
    </row>
    <row r="46" spans="1:14" ht="14.5" x14ac:dyDescent="0.35">
      <c r="A46">
        <v>100015418</v>
      </c>
      <c r="B46">
        <v>7501045357454</v>
      </c>
      <c r="C46" t="s">
        <v>480</v>
      </c>
      <c r="D46" t="s">
        <v>11</v>
      </c>
      <c r="E46" t="s">
        <v>33</v>
      </c>
      <c r="F46" t="s">
        <v>46</v>
      </c>
      <c r="G46" t="s">
        <v>75</v>
      </c>
      <c r="H46" t="s">
        <v>70</v>
      </c>
      <c r="I46" t="s">
        <v>109</v>
      </c>
      <c r="J46">
        <f>VLOOKUP(A46,Catálogo!A:B,2,0)</f>
        <v>9633.7299999999941</v>
      </c>
      <c r="K46">
        <f>VLOOKUP(A46,Catálogo!A:C,3,0)</f>
        <v>139</v>
      </c>
      <c r="L46">
        <f>VLOOKUP(A46,Catálogo!A:D,4,0)</f>
        <v>0</v>
      </c>
      <c r="M46" t="e">
        <f>J46/L46</f>
        <v>#DIV/0!</v>
      </c>
      <c r="N46" s="10" t="str">
        <f>VLOOKUP(A46,[2]Hoja1!$B:$D,3,0)</f>
        <v>Devoluciones Heets</v>
      </c>
    </row>
    <row r="47" spans="1:14" x14ac:dyDescent="0.35">
      <c r="A47">
        <v>100023714</v>
      </c>
      <c r="B47">
        <v>75080105</v>
      </c>
      <c r="C47" t="s">
        <v>448</v>
      </c>
      <c r="D47" t="s">
        <v>44</v>
      </c>
      <c r="E47" t="s">
        <v>33</v>
      </c>
      <c r="F47" t="s">
        <v>41</v>
      </c>
      <c r="G47" t="s">
        <v>35</v>
      </c>
      <c r="H47" t="s">
        <v>36</v>
      </c>
      <c r="I47" t="s">
        <v>109</v>
      </c>
      <c r="J47">
        <f>VLOOKUP(A47,Catálogo!A:B,2,0)</f>
        <v>1285.3600000000001</v>
      </c>
      <c r="K47">
        <f>VLOOKUP(A47,Catálogo!A:C,3,0)</f>
        <v>21</v>
      </c>
      <c r="L47">
        <f>VLOOKUP(A47,Catálogo!A:D,4,0)</f>
        <v>0</v>
      </c>
      <c r="N47" s="10" t="str">
        <f>VLOOKUP(A47,[2]Hoja1!$B:$D,3,0)</f>
        <v>Próxima devolución BAT (Ago 2025)</v>
      </c>
    </row>
    <row r="48" spans="1:14" ht="14.5" x14ac:dyDescent="0.35">
      <c r="A48">
        <v>100022848</v>
      </c>
      <c r="B48">
        <v>7503031950496</v>
      </c>
      <c r="C48" t="s">
        <v>429</v>
      </c>
      <c r="D48" t="s">
        <v>11</v>
      </c>
      <c r="E48" t="s">
        <v>33</v>
      </c>
      <c r="F48" t="s">
        <v>46</v>
      </c>
      <c r="G48" t="s">
        <v>14</v>
      </c>
      <c r="H48" t="s">
        <v>36</v>
      </c>
      <c r="I48" t="s">
        <v>109</v>
      </c>
      <c r="J48">
        <f>VLOOKUP(A48,Catálogo!A:B,2,0)</f>
        <v>2701.7</v>
      </c>
      <c r="K48">
        <f>VLOOKUP(A48,Catálogo!A:C,3,0)</f>
        <v>37</v>
      </c>
      <c r="L48">
        <f>VLOOKUP(A48,Catálogo!A:D,4,0)</f>
        <v>2.4632000000000001</v>
      </c>
      <c r="N48" s="10" t="str">
        <f>VLOOKUP(A48,[2]Hoja1!$B:$D,3,0)</f>
        <v>Descontinuado PMI</v>
      </c>
    </row>
    <row r="49" spans="1:14" ht="14.5" x14ac:dyDescent="0.35">
      <c r="A49">
        <v>100024306</v>
      </c>
      <c r="B49">
        <v>7503031949094</v>
      </c>
      <c r="C49" t="s">
        <v>376</v>
      </c>
      <c r="D49" t="s">
        <v>11</v>
      </c>
      <c r="E49" t="s">
        <v>33</v>
      </c>
      <c r="F49" t="s">
        <v>46</v>
      </c>
      <c r="G49" t="s">
        <v>14</v>
      </c>
      <c r="H49" t="s">
        <v>36</v>
      </c>
      <c r="I49" t="s">
        <v>109</v>
      </c>
      <c r="J49">
        <f>VLOOKUP(A49,Catálogo!A:B,2,0)</f>
        <v>2081.2800000000002</v>
      </c>
      <c r="K49">
        <f>VLOOKUP(A49,Catálogo!A:C,3,0)</f>
        <v>29</v>
      </c>
      <c r="L49">
        <f>VLOOKUP(A49,Catálogo!A:D,4,0)</f>
        <v>2.4632000000000001</v>
      </c>
      <c r="M49">
        <f>J49/L49</f>
        <v>844.94965898018847</v>
      </c>
      <c r="N49" s="10" t="str">
        <f>VLOOKUP(A49,[2]Hoja1!$B:$D,3,0)</f>
        <v>Descontinuado PMI</v>
      </c>
    </row>
    <row r="50" spans="1:14" ht="14.5" x14ac:dyDescent="0.35">
      <c r="A50">
        <v>101000083</v>
      </c>
      <c r="B50">
        <v>7702303238434</v>
      </c>
      <c r="C50" t="s">
        <v>255</v>
      </c>
      <c r="D50" t="s">
        <v>44</v>
      </c>
      <c r="E50" t="s">
        <v>33</v>
      </c>
      <c r="F50" t="s">
        <v>39</v>
      </c>
      <c r="G50" t="s">
        <v>139</v>
      </c>
      <c r="H50" t="s">
        <v>252</v>
      </c>
      <c r="I50" t="s">
        <v>247</v>
      </c>
      <c r="J50">
        <f>VLOOKUP(A50,Catálogo!A:B,2,0)</f>
        <v>5675.28</v>
      </c>
      <c r="K50">
        <f>VLOOKUP(A50,Catálogo!A:C,3,0)</f>
        <v>41</v>
      </c>
      <c r="L50">
        <f>VLOOKUP(A50,Catálogo!A:D,4,0)</f>
        <v>0</v>
      </c>
      <c r="N50" s="10" t="str">
        <f>VLOOKUP(A50,[2]Hoja1!$B:$D,3,0)</f>
        <v>Devoluciones Vuse (feb 2025)</v>
      </c>
    </row>
    <row r="51" spans="1:14" ht="14.5" x14ac:dyDescent="0.35">
      <c r="A51">
        <v>100022137</v>
      </c>
      <c r="B51">
        <v>7503031950311</v>
      </c>
      <c r="C51" t="s">
        <v>431</v>
      </c>
      <c r="D51" t="s">
        <v>11</v>
      </c>
      <c r="E51" t="s">
        <v>33</v>
      </c>
      <c r="F51" t="s">
        <v>46</v>
      </c>
      <c r="G51" t="s">
        <v>14</v>
      </c>
      <c r="H51" t="s">
        <v>36</v>
      </c>
      <c r="I51" t="s">
        <v>109</v>
      </c>
      <c r="J51">
        <f>VLOOKUP(A51,Catálogo!A:B,2,0)</f>
        <v>4100.7699999999995</v>
      </c>
      <c r="K51">
        <f>VLOOKUP(A51,Catálogo!A:C,3,0)</f>
        <v>56</v>
      </c>
      <c r="L51">
        <f>VLOOKUP(A51,Catálogo!A:D,4,0)</f>
        <v>2.4632000000000001</v>
      </c>
      <c r="N51" s="10" t="str">
        <f>VLOOKUP(A51,[2]Hoja1!$B:$D,3,0)</f>
        <v>Descontinuado PMI</v>
      </c>
    </row>
    <row r="52" spans="1:14" ht="14.5" x14ac:dyDescent="0.35">
      <c r="A52">
        <v>100023892</v>
      </c>
      <c r="B52">
        <v>7503031950946</v>
      </c>
      <c r="C52" t="s">
        <v>432</v>
      </c>
      <c r="D52" t="s">
        <v>11</v>
      </c>
      <c r="E52" t="s">
        <v>33</v>
      </c>
      <c r="F52" t="s">
        <v>46</v>
      </c>
      <c r="G52" t="s">
        <v>14</v>
      </c>
      <c r="H52" t="s">
        <v>36</v>
      </c>
      <c r="I52" t="s">
        <v>109</v>
      </c>
      <c r="J52">
        <f>VLOOKUP(A52,Catálogo!A:B,2,0)</f>
        <v>4942.5499999999993</v>
      </c>
      <c r="K52">
        <f>VLOOKUP(A52,Catálogo!A:C,3,0)</f>
        <v>71</v>
      </c>
      <c r="L52">
        <f>VLOOKUP(A52,Catálogo!A:D,4,0)</f>
        <v>10.3996</v>
      </c>
      <c r="N52" s="10" t="str">
        <f>VLOOKUP(A52,[2]Hoja1!$B:$D,3,0)</f>
        <v>Descontinuado PMI</v>
      </c>
    </row>
    <row r="53" spans="1:14" ht="14.5" x14ac:dyDescent="0.35">
      <c r="A53">
        <v>100080899</v>
      </c>
      <c r="B53">
        <v>40331379</v>
      </c>
      <c r="C53" t="s">
        <v>250</v>
      </c>
      <c r="D53" t="s">
        <v>32</v>
      </c>
      <c r="E53" t="s">
        <v>33</v>
      </c>
      <c r="F53" t="s">
        <v>41</v>
      </c>
      <c r="G53" t="s">
        <v>35</v>
      </c>
      <c r="H53" t="s">
        <v>36</v>
      </c>
      <c r="I53" t="s">
        <v>247</v>
      </c>
      <c r="J53">
        <f>VLOOKUP(A53,Catálogo!A:B,2,0)</f>
        <v>1047.6100000000001</v>
      </c>
      <c r="K53">
        <f>VLOOKUP(A53,Catálogo!A:C,3,0)</f>
        <v>27</v>
      </c>
      <c r="L53">
        <f>VLOOKUP(A53,Catálogo!A:D,4,0)</f>
        <v>0</v>
      </c>
      <c r="N53" s="10" t="str">
        <f>VLOOKUP(A53,[2]Hoja1!$B:$D,3,0)</f>
        <v>Descontinuado JTI</v>
      </c>
    </row>
    <row r="54" spans="1:14" ht="14.5" x14ac:dyDescent="0.35">
      <c r="A54">
        <v>101000061</v>
      </c>
      <c r="B54">
        <v>75006204</v>
      </c>
      <c r="C54" t="s">
        <v>430</v>
      </c>
      <c r="D54" t="s">
        <v>11</v>
      </c>
      <c r="E54" t="s">
        <v>33</v>
      </c>
      <c r="F54" t="s">
        <v>46</v>
      </c>
      <c r="G54" t="s">
        <v>14</v>
      </c>
      <c r="H54" t="s">
        <v>36</v>
      </c>
      <c r="I54" t="s">
        <v>109</v>
      </c>
      <c r="J54">
        <f>VLOOKUP(A54,Catálogo!A:B,2,0)</f>
        <v>3759.4700000000003</v>
      </c>
      <c r="K54">
        <f>VLOOKUP(A54,Catálogo!A:C,3,0)</f>
        <v>73</v>
      </c>
      <c r="L54">
        <f>VLOOKUP(A54,Catálogo!A:D,4,0)</f>
        <v>0</v>
      </c>
      <c r="M54" t="e">
        <f>J54/L54</f>
        <v>#DIV/0!</v>
      </c>
      <c r="N54" s="10" t="str">
        <f>VLOOKUP(A54,[2]Hoja1!$B:$D,3,0)</f>
        <v>Artículos In&amp;Out</v>
      </c>
    </row>
    <row r="55" spans="1:14" ht="14.5" x14ac:dyDescent="0.35">
      <c r="A55">
        <v>100022210</v>
      </c>
      <c r="B55">
        <v>75012694</v>
      </c>
      <c r="C55" t="s">
        <v>541</v>
      </c>
      <c r="D55" t="s">
        <v>11</v>
      </c>
      <c r="E55" t="s">
        <v>33</v>
      </c>
      <c r="F55" t="s">
        <v>46</v>
      </c>
      <c r="G55" t="s">
        <v>14</v>
      </c>
      <c r="H55" t="s">
        <v>36</v>
      </c>
      <c r="I55" t="s">
        <v>109</v>
      </c>
      <c r="J55">
        <f>VLOOKUP(A55,Catálogo!A:B,2,0)</f>
        <v>1395.2</v>
      </c>
      <c r="K55">
        <f>VLOOKUP(A55,Catálogo!A:C,3,0)</f>
        <v>20</v>
      </c>
      <c r="L55">
        <f>VLOOKUP(A55,Catálogo!A:D,4,0)</f>
        <v>0</v>
      </c>
      <c r="N55" s="10" t="str">
        <f>VLOOKUP(A55,[2]Hoja1!$B:$D,3,0)</f>
        <v>Devolución 2024 PMI</v>
      </c>
    </row>
    <row r="56" spans="1:14" ht="14.5" x14ac:dyDescent="0.35">
      <c r="A56">
        <v>100022847</v>
      </c>
      <c r="B56">
        <v>7503031950472</v>
      </c>
      <c r="C56" t="s">
        <v>435</v>
      </c>
      <c r="D56" t="s">
        <v>11</v>
      </c>
      <c r="E56" t="s">
        <v>33</v>
      </c>
      <c r="F56" t="s">
        <v>46</v>
      </c>
      <c r="G56" t="s">
        <v>54</v>
      </c>
      <c r="H56" t="s">
        <v>36</v>
      </c>
      <c r="I56" t="s">
        <v>109</v>
      </c>
      <c r="J56">
        <f>VLOOKUP(A56,Catálogo!A:B,2,0)</f>
        <v>1953.54</v>
      </c>
      <c r="K56">
        <f>VLOOKUP(A56,Catálogo!A:C,3,0)</f>
        <v>27</v>
      </c>
      <c r="L56">
        <f>VLOOKUP(A56,Catálogo!A:D,4,0)</f>
        <v>0</v>
      </c>
      <c r="M56" t="e">
        <f>J56/L56</f>
        <v>#DIV/0!</v>
      </c>
      <c r="N56" s="10" t="str">
        <f>VLOOKUP(A56,[2]Hoja1!$B:$D,3,0)</f>
        <v>Descontinuado PMI</v>
      </c>
    </row>
    <row r="57" spans="1:14" ht="14.5" x14ac:dyDescent="0.35">
      <c r="A57">
        <v>100018748</v>
      </c>
      <c r="B57">
        <v>75074203</v>
      </c>
      <c r="C57" t="s">
        <v>453</v>
      </c>
      <c r="D57" t="s">
        <v>44</v>
      </c>
      <c r="E57" t="s">
        <v>33</v>
      </c>
      <c r="F57" t="s">
        <v>46</v>
      </c>
      <c r="G57" t="s">
        <v>35</v>
      </c>
      <c r="H57" t="s">
        <v>36</v>
      </c>
      <c r="I57" t="s">
        <v>247</v>
      </c>
      <c r="J57">
        <f>VLOOKUP(A57,Catálogo!A:B,2,0)</f>
        <v>437.03999999999996</v>
      </c>
      <c r="K57">
        <f>VLOOKUP(A57,Catálogo!A:C,3,0)</f>
        <v>8</v>
      </c>
      <c r="L57">
        <f>VLOOKUP(A57,Catálogo!A:D,4,0)</f>
        <v>0</v>
      </c>
      <c r="N57" s="10" t="str">
        <f>VLOOKUP(A57,[2]Hoja1!$B:$D,3,0)</f>
        <v>Próxima devolución BAT (Ago 2025)</v>
      </c>
    </row>
    <row r="58" spans="1:14" ht="14.5" x14ac:dyDescent="0.35">
      <c r="A58">
        <v>100024303</v>
      </c>
      <c r="B58">
        <v>7503031950977</v>
      </c>
      <c r="C58" t="s">
        <v>375</v>
      </c>
      <c r="D58" t="s">
        <v>11</v>
      </c>
      <c r="E58" t="s">
        <v>33</v>
      </c>
      <c r="F58" t="s">
        <v>46</v>
      </c>
      <c r="G58" t="s">
        <v>14</v>
      </c>
      <c r="H58" t="s">
        <v>36</v>
      </c>
      <c r="I58" t="s">
        <v>109</v>
      </c>
      <c r="J58">
        <f>VLOOKUP(A58,Catálogo!A:B,2,0)</f>
        <v>638.79999999999995</v>
      </c>
      <c r="K58">
        <f>VLOOKUP(A58,Catálogo!A:C,3,0)</f>
        <v>9</v>
      </c>
      <c r="L58">
        <f>VLOOKUP(A58,Catálogo!A:D,4,0)</f>
        <v>2.6785999999999999</v>
      </c>
      <c r="M58">
        <f>J58/L58</f>
        <v>238.48278951691182</v>
      </c>
      <c r="N58" s="10" t="str">
        <f>VLOOKUP(A58,[2]Hoja1!$B:$D,3,0)</f>
        <v>Devolución PMI 2025</v>
      </c>
    </row>
    <row r="59" spans="1:14" ht="14.5" x14ac:dyDescent="0.35">
      <c r="A59">
        <v>100022845</v>
      </c>
      <c r="B59">
        <v>7503031950458</v>
      </c>
      <c r="C59" t="s">
        <v>386</v>
      </c>
      <c r="D59" t="s">
        <v>11</v>
      </c>
      <c r="E59" t="s">
        <v>33</v>
      </c>
      <c r="F59" t="s">
        <v>46</v>
      </c>
      <c r="G59" t="s">
        <v>14</v>
      </c>
      <c r="H59" t="s">
        <v>36</v>
      </c>
      <c r="I59" t="s">
        <v>109</v>
      </c>
      <c r="J59">
        <f>VLOOKUP(A59,Catálogo!A:B,2,0)</f>
        <v>2120.06</v>
      </c>
      <c r="K59">
        <f>VLOOKUP(A59,Catálogo!A:C,3,0)</f>
        <v>30</v>
      </c>
      <c r="L59">
        <f>VLOOKUP(A59,Catálogo!A:D,4,0)</f>
        <v>0</v>
      </c>
      <c r="M59" t="e">
        <f>J59/L59</f>
        <v>#DIV/0!</v>
      </c>
      <c r="N59" s="10" t="str">
        <f>VLOOKUP(A59,[2]Hoja1!$B:$D,3,0)</f>
        <v>Descontinuado PMI</v>
      </c>
    </row>
    <row r="60" spans="1:14" ht="14.5" x14ac:dyDescent="0.35">
      <c r="A60">
        <v>100022849</v>
      </c>
      <c r="B60">
        <v>7503031950465</v>
      </c>
      <c r="C60" t="s">
        <v>416</v>
      </c>
      <c r="D60" t="s">
        <v>11</v>
      </c>
      <c r="E60" t="s">
        <v>33</v>
      </c>
      <c r="F60" t="s">
        <v>46</v>
      </c>
      <c r="G60" t="s">
        <v>14</v>
      </c>
      <c r="H60" t="s">
        <v>36</v>
      </c>
      <c r="I60" t="s">
        <v>109</v>
      </c>
      <c r="J60">
        <f>VLOOKUP(A60,Catálogo!A:B,2,0)</f>
        <v>1628.67</v>
      </c>
      <c r="K60">
        <f>VLOOKUP(A60,Catálogo!A:C,3,0)</f>
        <v>22</v>
      </c>
      <c r="L60">
        <f>VLOOKUP(A60,Catálogo!A:D,4,0)</f>
        <v>0</v>
      </c>
      <c r="M60" t="e">
        <f>J60/L60</f>
        <v>#DIV/0!</v>
      </c>
      <c r="N60" s="10" t="str">
        <f>VLOOKUP(A60,[2]Hoja1!$B:$D,3,0)</f>
        <v>Descontinuado PMI</v>
      </c>
    </row>
    <row r="61" spans="1:14" ht="14.5" x14ac:dyDescent="0.35">
      <c r="A61">
        <v>100022785</v>
      </c>
      <c r="B61">
        <v>7501031701698</v>
      </c>
      <c r="C61" t="s">
        <v>292</v>
      </c>
      <c r="D61" t="s">
        <v>44</v>
      </c>
      <c r="E61" t="s">
        <v>33</v>
      </c>
      <c r="F61" t="s">
        <v>39</v>
      </c>
      <c r="G61" t="s">
        <v>139</v>
      </c>
      <c r="H61" t="s">
        <v>252</v>
      </c>
      <c r="I61" t="s">
        <v>247</v>
      </c>
      <c r="J61">
        <f>VLOOKUP(A61,Catálogo!A:B,2,0)</f>
        <v>648.15</v>
      </c>
      <c r="K61">
        <f>VLOOKUP(A61,Catálogo!A:C,3,0)</f>
        <v>5</v>
      </c>
      <c r="L61">
        <f>VLOOKUP(A61,Catálogo!A:D,4,0)</f>
        <v>0</v>
      </c>
      <c r="N61" s="10" t="str">
        <f>VLOOKUP(A61,[2]Hoja1!$B:$D,3,0)</f>
        <v>Devoluciones Vuse (feb 2025)</v>
      </c>
    </row>
    <row r="62" spans="1:14" ht="14.5" x14ac:dyDescent="0.35">
      <c r="A62" s="10">
        <v>100024725</v>
      </c>
      <c r="B62">
        <v>7707200944563</v>
      </c>
      <c r="C62" s="10" t="s">
        <v>261</v>
      </c>
      <c r="D62" t="s">
        <v>44</v>
      </c>
      <c r="E62" t="s">
        <v>33</v>
      </c>
      <c r="F62" t="s">
        <v>39</v>
      </c>
      <c r="G62" t="s">
        <v>139</v>
      </c>
      <c r="H62" t="s">
        <v>252</v>
      </c>
      <c r="I62" t="s">
        <v>247</v>
      </c>
      <c r="J62">
        <f>VLOOKUP(A62,Catálogo!A:B,2,0)</f>
        <v>3812.2599999999998</v>
      </c>
      <c r="K62">
        <f>VLOOKUP(A62,Catálogo!A:C,3,0)</f>
        <v>28</v>
      </c>
      <c r="L62">
        <f>VLOOKUP(A62,Catálogo!A:D,4,0)</f>
        <v>0</v>
      </c>
      <c r="N62" s="10" t="str">
        <f>VLOOKUP(A62,[2]Hoja1!$B:$D,3,0)</f>
        <v>Devoluciones Vuse (feb 2025)</v>
      </c>
    </row>
    <row r="63" spans="1:14" ht="14.5" x14ac:dyDescent="0.35">
      <c r="A63">
        <v>100011672</v>
      </c>
      <c r="B63">
        <v>75063801</v>
      </c>
      <c r="C63" t="s">
        <v>568</v>
      </c>
      <c r="D63" t="s">
        <v>11</v>
      </c>
      <c r="E63" t="s">
        <v>33</v>
      </c>
      <c r="F63" t="s">
        <v>41</v>
      </c>
      <c r="G63" t="s">
        <v>54</v>
      </c>
      <c r="H63" t="s">
        <v>36</v>
      </c>
      <c r="I63" t="s">
        <v>109</v>
      </c>
      <c r="J63">
        <f>VLOOKUP(A63,Catálogo!A:B,2,0)</f>
        <v>28959.699999999997</v>
      </c>
      <c r="K63">
        <f>VLOOKUP(A63,Catálogo!A:C,3,0)</f>
        <v>568</v>
      </c>
      <c r="L63">
        <f>VLOOKUP(A63,Catálogo!A:D,4,0)</f>
        <v>0</v>
      </c>
      <c r="M63" t="e">
        <f>J63/L63</f>
        <v>#DIV/0!</v>
      </c>
      <c r="N63" s="10" t="str">
        <f>VLOOKUP(A63,[2]Hoja1!$B:$D,3,0)</f>
        <v>Devolución PMI 2025</v>
      </c>
    </row>
    <row r="64" spans="1:14" ht="14.5" x14ac:dyDescent="0.35">
      <c r="A64">
        <v>100020729</v>
      </c>
      <c r="B64">
        <v>75012564</v>
      </c>
      <c r="C64" t="s">
        <v>543</v>
      </c>
      <c r="D64" t="s">
        <v>11</v>
      </c>
      <c r="E64" t="s">
        <v>33</v>
      </c>
      <c r="F64" t="s">
        <v>46</v>
      </c>
      <c r="G64" t="s">
        <v>14</v>
      </c>
      <c r="H64" t="s">
        <v>36</v>
      </c>
      <c r="I64" t="s">
        <v>109</v>
      </c>
      <c r="J64">
        <f>VLOOKUP(A64,Catálogo!A:B,2,0)</f>
        <v>1648.65</v>
      </c>
      <c r="K64">
        <f>VLOOKUP(A64,Catálogo!A:C,3,0)</f>
        <v>24</v>
      </c>
      <c r="L64">
        <f>VLOOKUP(A64,Catálogo!A:D,4,0)</f>
        <v>0</v>
      </c>
      <c r="N64" s="10" t="str">
        <f>VLOOKUP(A64,[2]Hoja1!$B:$D,3,0)</f>
        <v>Devolución 2024 PMI</v>
      </c>
    </row>
    <row r="65" spans="1:14" ht="14.5" x14ac:dyDescent="0.35">
      <c r="A65">
        <v>100019959</v>
      </c>
      <c r="B65">
        <v>75074913</v>
      </c>
      <c r="C65" t="s">
        <v>332</v>
      </c>
      <c r="D65" t="s">
        <v>44</v>
      </c>
      <c r="E65" t="s">
        <v>33</v>
      </c>
      <c r="F65" t="s">
        <v>46</v>
      </c>
      <c r="G65" t="s">
        <v>52</v>
      </c>
      <c r="H65" t="s">
        <v>36</v>
      </c>
      <c r="I65" t="s">
        <v>109</v>
      </c>
      <c r="J65">
        <f>VLOOKUP(A65,Catálogo!A:B,2,0)</f>
        <v>634.70000000000005</v>
      </c>
      <c r="K65">
        <f>VLOOKUP(A65,Catálogo!A:C,3,0)</f>
        <v>9</v>
      </c>
      <c r="L65">
        <f>VLOOKUP(A65,Catálogo!A:D,4,0)</f>
        <v>0</v>
      </c>
      <c r="M65" t="e">
        <f>J65/L65</f>
        <v>#DIV/0!</v>
      </c>
      <c r="N65" s="10" t="str">
        <f>VLOOKUP(A65,[2]Hoja1!$B:$D,3,0)</f>
        <v>Devolución 2025 BAT Ola 1 (Nacional excepto Tamps)</v>
      </c>
    </row>
    <row r="66" spans="1:14" ht="14.5" x14ac:dyDescent="0.35">
      <c r="A66">
        <v>100023126</v>
      </c>
      <c r="B66">
        <v>7501031701520</v>
      </c>
      <c r="C66" t="s">
        <v>260</v>
      </c>
      <c r="D66" t="s">
        <v>44</v>
      </c>
      <c r="E66" t="s">
        <v>33</v>
      </c>
      <c r="F66" t="s">
        <v>39</v>
      </c>
      <c r="G66" t="s">
        <v>578</v>
      </c>
      <c r="H66" t="s">
        <v>252</v>
      </c>
      <c r="I66" t="s">
        <v>247</v>
      </c>
      <c r="J66">
        <f>VLOOKUP(A66,Catálogo!A:B,2,0)</f>
        <v>3483.33</v>
      </c>
      <c r="K66">
        <f>VLOOKUP(A66,Catálogo!A:C,3,0)</f>
        <v>38</v>
      </c>
      <c r="L66">
        <f>VLOOKUP(A66,Catálogo!A:D,4,0)</f>
        <v>0</v>
      </c>
      <c r="N66" s="10" t="str">
        <f>VLOOKUP(A66,[2]Hoja1!$B:$D,3,0)</f>
        <v>Devoluciones Vuse (feb 2025)</v>
      </c>
    </row>
    <row r="67" spans="1:14" ht="14.5" x14ac:dyDescent="0.35">
      <c r="A67">
        <v>100015222</v>
      </c>
      <c r="B67">
        <v>75068790</v>
      </c>
      <c r="C67" t="s">
        <v>438</v>
      </c>
      <c r="D67" t="s">
        <v>11</v>
      </c>
      <c r="E67" t="s">
        <v>33</v>
      </c>
      <c r="F67" t="s">
        <v>39</v>
      </c>
      <c r="G67" t="s">
        <v>14</v>
      </c>
      <c r="H67" t="s">
        <v>36</v>
      </c>
      <c r="I67" t="s">
        <v>109</v>
      </c>
      <c r="J67">
        <f>VLOOKUP(A67,Catálogo!A:B,2,0)</f>
        <v>301.72000000000003</v>
      </c>
      <c r="K67">
        <f>VLOOKUP(A67,Catálogo!A:C,3,0)</f>
        <v>5</v>
      </c>
      <c r="L67">
        <f>VLOOKUP(A67,Catálogo!A:D,4,0)</f>
        <v>0</v>
      </c>
      <c r="M67" t="e">
        <f>J67/L67</f>
        <v>#DIV/0!</v>
      </c>
      <c r="N67" s="10" t="str">
        <f>VLOOKUP(A67,[2]Hoja1!$B:$D,3,0)</f>
        <v>Descontinuado PMI</v>
      </c>
    </row>
    <row r="68" spans="1:14" ht="14.5" x14ac:dyDescent="0.35">
      <c r="A68">
        <v>100080862</v>
      </c>
      <c r="B68">
        <v>75038007</v>
      </c>
      <c r="C68" t="s">
        <v>547</v>
      </c>
      <c r="D68" t="s">
        <v>11</v>
      </c>
      <c r="E68" t="s">
        <v>33</v>
      </c>
      <c r="F68" t="s">
        <v>39</v>
      </c>
      <c r="G68" t="s">
        <v>54</v>
      </c>
      <c r="H68" t="s">
        <v>36</v>
      </c>
      <c r="I68" t="s">
        <v>109</v>
      </c>
      <c r="J68">
        <f>VLOOKUP(A68,Catálogo!A:B,2,0)</f>
        <v>1939.12</v>
      </c>
      <c r="K68">
        <f>VLOOKUP(A68,Catálogo!A:C,3,0)</f>
        <v>40</v>
      </c>
      <c r="L68">
        <f>VLOOKUP(A68,Catálogo!A:D,4,0)</f>
        <v>0</v>
      </c>
      <c r="M68" t="e">
        <f>J68/L68</f>
        <v>#DIV/0!</v>
      </c>
      <c r="N68" s="10" t="str">
        <f>VLOOKUP(A68,[2]Hoja1!$B:$D,3,0)</f>
        <v>Devolución 2024 PMI</v>
      </c>
    </row>
    <row r="69" spans="1:14" ht="14.5" x14ac:dyDescent="0.35">
      <c r="A69">
        <v>100014718</v>
      </c>
      <c r="B69">
        <v>75068806</v>
      </c>
      <c r="C69" t="s">
        <v>545</v>
      </c>
      <c r="D69" t="s">
        <v>11</v>
      </c>
      <c r="E69" t="s">
        <v>33</v>
      </c>
      <c r="F69" t="s">
        <v>39</v>
      </c>
      <c r="G69" t="s">
        <v>71</v>
      </c>
      <c r="H69" t="s">
        <v>36</v>
      </c>
      <c r="I69" t="s">
        <v>109</v>
      </c>
      <c r="J69">
        <f>VLOOKUP(A69,Catálogo!A:B,2,0)</f>
        <v>1569.8500000000001</v>
      </c>
      <c r="K69">
        <f>VLOOKUP(A69,Catálogo!A:C,3,0)</f>
        <v>32</v>
      </c>
      <c r="L69">
        <f>VLOOKUP(A69,Catálogo!A:D,4,0)</f>
        <v>0</v>
      </c>
      <c r="M69" t="e">
        <f>J69/L69</f>
        <v>#DIV/0!</v>
      </c>
      <c r="N69" s="10" t="str">
        <f>VLOOKUP(A69,[2]Hoja1!$B:$D,3,0)</f>
        <v>Devolución 2024 PMI</v>
      </c>
    </row>
    <row r="70" spans="1:14" ht="14.5" x14ac:dyDescent="0.35">
      <c r="A70">
        <v>100080829</v>
      </c>
      <c r="B70">
        <v>75034375</v>
      </c>
      <c r="C70" t="s">
        <v>422</v>
      </c>
      <c r="D70" t="s">
        <v>11</v>
      </c>
      <c r="E70" t="s">
        <v>33</v>
      </c>
      <c r="F70" t="s">
        <v>39</v>
      </c>
      <c r="G70" t="s">
        <v>35</v>
      </c>
      <c r="H70" t="s">
        <v>36</v>
      </c>
      <c r="I70" t="s">
        <v>109</v>
      </c>
      <c r="J70">
        <f>VLOOKUP(A70,Catálogo!A:B,2,0)</f>
        <v>1064.81</v>
      </c>
      <c r="K70">
        <f>VLOOKUP(A70,Catálogo!A:C,3,0)</f>
        <v>23</v>
      </c>
      <c r="L70">
        <f>VLOOKUP(A70,Catálogo!A:D,4,0)</f>
        <v>0</v>
      </c>
      <c r="N70" s="10" t="str">
        <f>VLOOKUP(A70,[2]Hoja1!$B:$D,3,0)</f>
        <v>Descontinuado PMI</v>
      </c>
    </row>
    <row r="71" spans="1:14" ht="14.5" x14ac:dyDescent="0.35">
      <c r="A71">
        <v>100015420</v>
      </c>
      <c r="B71">
        <v>7501045357416</v>
      </c>
      <c r="C71" t="s">
        <v>477</v>
      </c>
      <c r="D71" t="s">
        <v>11</v>
      </c>
      <c r="E71" t="s">
        <v>33</v>
      </c>
      <c r="F71" t="s">
        <v>46</v>
      </c>
      <c r="G71" t="s">
        <v>75</v>
      </c>
      <c r="H71" t="s">
        <v>70</v>
      </c>
      <c r="I71" t="s">
        <v>109</v>
      </c>
      <c r="J71">
        <f>VLOOKUP(A71,Catálogo!A:B,2,0)</f>
        <v>1832.1799999999998</v>
      </c>
      <c r="K71">
        <f>VLOOKUP(A71,Catálogo!A:C,3,0)</f>
        <v>27</v>
      </c>
      <c r="L71">
        <f>VLOOKUP(A71,Catálogo!A:D,4,0)</f>
        <v>0</v>
      </c>
      <c r="N71" s="10" t="str">
        <f>VLOOKUP(A71,[2]Hoja1!$B:$D,3,0)</f>
        <v>Devoluciones Heets</v>
      </c>
    </row>
    <row r="72" spans="1:14" ht="14.5" x14ac:dyDescent="0.35">
      <c r="A72">
        <v>100006294</v>
      </c>
      <c r="B72">
        <v>75053765</v>
      </c>
      <c r="C72" t="s">
        <v>390</v>
      </c>
      <c r="D72" t="s">
        <v>11</v>
      </c>
      <c r="E72" t="s">
        <v>33</v>
      </c>
      <c r="F72" t="s">
        <v>41</v>
      </c>
      <c r="G72" t="s">
        <v>35</v>
      </c>
      <c r="H72" t="s">
        <v>36</v>
      </c>
      <c r="I72" t="s">
        <v>109</v>
      </c>
      <c r="J72">
        <f>VLOOKUP(A72,Catálogo!A:B,2,0)</f>
        <v>1028.3599999999999</v>
      </c>
      <c r="K72">
        <f>VLOOKUP(A72,Catálogo!A:C,3,0)</f>
        <v>18</v>
      </c>
      <c r="L72">
        <f>VLOOKUP(A72,Catálogo!A:D,4,0)</f>
        <v>4.0641999999999996</v>
      </c>
      <c r="M72">
        <f>J72/L72</f>
        <v>253.02888637370208</v>
      </c>
      <c r="N72" s="10" t="str">
        <f>VLOOKUP(A72,[2]Hoja1!$B:$D,3,0)</f>
        <v>Descontinuado PMI</v>
      </c>
    </row>
    <row r="73" spans="1:14" ht="14.5" x14ac:dyDescent="0.35">
      <c r="A73">
        <v>100017624</v>
      </c>
      <c r="B73">
        <v>75072674</v>
      </c>
      <c r="C73" t="s">
        <v>460</v>
      </c>
      <c r="D73" t="s">
        <v>44</v>
      </c>
      <c r="E73" t="s">
        <v>33</v>
      </c>
      <c r="F73" t="s">
        <v>46</v>
      </c>
      <c r="G73" t="s">
        <v>54</v>
      </c>
      <c r="H73" t="s">
        <v>36</v>
      </c>
      <c r="I73" t="s">
        <v>109</v>
      </c>
      <c r="J73">
        <f>VLOOKUP(A73,Catálogo!A:B,2,0)</f>
        <v>730.53</v>
      </c>
      <c r="K73">
        <f>VLOOKUP(A73,Catálogo!A:C,3,0)</f>
        <v>10</v>
      </c>
      <c r="L73">
        <f>VLOOKUP(A73,Catálogo!A:D,4,0)</f>
        <v>0</v>
      </c>
      <c r="M73" t="e">
        <f>J73/L73</f>
        <v>#DIV/0!</v>
      </c>
      <c r="N73" s="10" t="str">
        <f>VLOOKUP(A73,[2]Hoja1!$B:$D,3,0)</f>
        <v>Próxima devolución BAT (Ago 2025)</v>
      </c>
    </row>
    <row r="74" spans="1:14" ht="14.5" x14ac:dyDescent="0.35">
      <c r="A74">
        <v>100021091</v>
      </c>
      <c r="B74">
        <v>7503031950212</v>
      </c>
      <c r="C74" t="s">
        <v>414</v>
      </c>
      <c r="D74" t="s">
        <v>11</v>
      </c>
      <c r="E74" t="s">
        <v>33</v>
      </c>
      <c r="F74" t="s">
        <v>46</v>
      </c>
      <c r="G74" t="s">
        <v>14</v>
      </c>
      <c r="H74" t="s">
        <v>36</v>
      </c>
      <c r="I74" t="s">
        <v>109</v>
      </c>
      <c r="J74">
        <f>VLOOKUP(A74,Catálogo!A:B,2,0)</f>
        <v>965.52</v>
      </c>
      <c r="K74">
        <f>VLOOKUP(A74,Catálogo!A:C,3,0)</f>
        <v>14</v>
      </c>
      <c r="L74">
        <f>VLOOKUP(A74,Catálogo!A:D,4,0)</f>
        <v>4.9260999999999999</v>
      </c>
      <c r="N74" s="10" t="str">
        <f>VLOOKUP(A74,[2]Hoja1!$B:$D,3,0)</f>
        <v>Descontinuado PMI</v>
      </c>
    </row>
    <row r="75" spans="1:14" ht="14.5" x14ac:dyDescent="0.35">
      <c r="A75" s="10">
        <v>100024712</v>
      </c>
      <c r="B75">
        <v>7707200946239</v>
      </c>
      <c r="C75" s="10" t="s">
        <v>285</v>
      </c>
      <c r="D75" t="s">
        <v>44</v>
      </c>
      <c r="E75" t="s">
        <v>33</v>
      </c>
      <c r="F75" t="s">
        <v>39</v>
      </c>
      <c r="G75" t="s">
        <v>139</v>
      </c>
      <c r="H75" t="s">
        <v>252</v>
      </c>
      <c r="I75" t="s">
        <v>247</v>
      </c>
      <c r="J75">
        <f>VLOOKUP(A75,Catálogo!A:B,2,0)</f>
        <v>2361.12</v>
      </c>
      <c r="K75">
        <f>VLOOKUP(A75,Catálogo!A:C,3,0)</f>
        <v>17</v>
      </c>
      <c r="L75">
        <f>VLOOKUP(A75,Catálogo!A:D,4,0)</f>
        <v>0</v>
      </c>
      <c r="N75" s="10" t="str">
        <f>VLOOKUP(A75,[2]Hoja1!$B:$D,3,0)</f>
        <v>Devoluciones Vuse (feb 2025)</v>
      </c>
    </row>
    <row r="76" spans="1:14" ht="14.5" x14ac:dyDescent="0.35">
      <c r="A76">
        <v>100018586</v>
      </c>
      <c r="B76">
        <v>75001414</v>
      </c>
      <c r="C76" t="s">
        <v>391</v>
      </c>
      <c r="D76" t="s">
        <v>11</v>
      </c>
      <c r="E76" t="s">
        <v>33</v>
      </c>
      <c r="F76" t="s">
        <v>41</v>
      </c>
      <c r="G76" t="s">
        <v>35</v>
      </c>
      <c r="H76" t="s">
        <v>36</v>
      </c>
      <c r="I76" t="s">
        <v>109</v>
      </c>
      <c r="J76">
        <f>VLOOKUP(A76,Catálogo!A:B,2,0)</f>
        <v>1617.81</v>
      </c>
      <c r="K76">
        <f>VLOOKUP(A76,Catálogo!A:C,3,0)</f>
        <v>40</v>
      </c>
      <c r="L76">
        <f>VLOOKUP(A76,Catálogo!A:D,4,0)</f>
        <v>0</v>
      </c>
      <c r="M76" t="e">
        <f>J76/L76</f>
        <v>#DIV/0!</v>
      </c>
      <c r="N76" s="10" t="str">
        <f>VLOOKUP(A76,[2]Hoja1!$B:$D,3,0)</f>
        <v>Descontinuado PMI</v>
      </c>
    </row>
    <row r="77" spans="1:14" ht="14.5" x14ac:dyDescent="0.35">
      <c r="A77">
        <v>100022331</v>
      </c>
      <c r="B77">
        <v>75004408</v>
      </c>
      <c r="C77" t="s">
        <v>382</v>
      </c>
      <c r="D77" t="s">
        <v>11</v>
      </c>
      <c r="E77" t="s">
        <v>33</v>
      </c>
      <c r="F77" t="s">
        <v>46</v>
      </c>
      <c r="G77" t="s">
        <v>54</v>
      </c>
      <c r="H77" t="s">
        <v>36</v>
      </c>
      <c r="I77" t="s">
        <v>109</v>
      </c>
      <c r="J77">
        <f>VLOOKUP(A77,Catálogo!A:B,2,0)</f>
        <v>898.56000000000006</v>
      </c>
      <c r="K77">
        <f>VLOOKUP(A77,Catálogo!A:C,3,0)</f>
        <v>17</v>
      </c>
      <c r="L77">
        <f>VLOOKUP(A77,Catálogo!A:D,4,0)</f>
        <v>0</v>
      </c>
      <c r="M77" t="e">
        <f>J77/L77</f>
        <v>#DIV/0!</v>
      </c>
      <c r="N77" s="10" t="str">
        <f>VLOOKUP(A77,[2]Hoja1!$B:$D,3,0)</f>
        <v>Descontinuado PMI</v>
      </c>
    </row>
    <row r="78" spans="1:14" ht="14.5" x14ac:dyDescent="0.35">
      <c r="A78">
        <v>100080797</v>
      </c>
      <c r="B78">
        <v>75029388</v>
      </c>
      <c r="C78" t="s">
        <v>428</v>
      </c>
      <c r="D78" t="s">
        <v>11</v>
      </c>
      <c r="E78" t="s">
        <v>33</v>
      </c>
      <c r="F78" t="s">
        <v>39</v>
      </c>
      <c r="G78" t="s">
        <v>54</v>
      </c>
      <c r="H78" t="s">
        <v>36</v>
      </c>
      <c r="I78" t="s">
        <v>109</v>
      </c>
      <c r="J78">
        <f>VLOOKUP(A78,Catálogo!A:B,2,0)</f>
        <v>422.41</v>
      </c>
      <c r="K78">
        <f>VLOOKUP(A78,Catálogo!A:C,3,0)</f>
        <v>10</v>
      </c>
      <c r="L78">
        <f>VLOOKUP(A78,Catálogo!A:D,4,0)</f>
        <v>0</v>
      </c>
      <c r="N78" s="10" t="str">
        <f>VLOOKUP(A78,[2]Hoja1!$B:$D,3,0)</f>
        <v>Descontinuado PMI</v>
      </c>
    </row>
    <row r="79" spans="1:14" ht="14.5" x14ac:dyDescent="0.35">
      <c r="A79">
        <v>100024305</v>
      </c>
      <c r="B79">
        <v>7503031949001</v>
      </c>
      <c r="C79" t="s">
        <v>378</v>
      </c>
      <c r="D79" t="s">
        <v>11</v>
      </c>
      <c r="E79" t="s">
        <v>33</v>
      </c>
      <c r="F79" t="s">
        <v>46</v>
      </c>
      <c r="G79" t="s">
        <v>14</v>
      </c>
      <c r="H79" t="s">
        <v>36</v>
      </c>
      <c r="I79" t="s">
        <v>109</v>
      </c>
      <c r="J79">
        <f>VLOOKUP(A79,Catálogo!A:B,2,0)</f>
        <v>689.66</v>
      </c>
      <c r="K79">
        <f>VLOOKUP(A79,Catálogo!A:C,3,0)</f>
        <v>10</v>
      </c>
      <c r="L79">
        <f>VLOOKUP(A79,Catálogo!A:D,4,0)</f>
        <v>0</v>
      </c>
      <c r="M79" t="e">
        <f>J79/L79</f>
        <v>#DIV/0!</v>
      </c>
      <c r="N79" s="10" t="str">
        <f>VLOOKUP(A79,[2]Hoja1!$B:$D,3,0)</f>
        <v>Devolución PMI 2025</v>
      </c>
    </row>
    <row r="80" spans="1:14" ht="14.5" x14ac:dyDescent="0.35">
      <c r="A80">
        <v>100022139</v>
      </c>
      <c r="B80">
        <v>7503031950274</v>
      </c>
      <c r="C80" t="s">
        <v>385</v>
      </c>
      <c r="D80" t="s">
        <v>11</v>
      </c>
      <c r="E80" t="s">
        <v>33</v>
      </c>
      <c r="F80" t="s">
        <v>46</v>
      </c>
      <c r="G80" t="s">
        <v>14</v>
      </c>
      <c r="H80" t="s">
        <v>36</v>
      </c>
      <c r="I80" t="s">
        <v>109</v>
      </c>
      <c r="J80">
        <f>VLOOKUP(A80,Catálogo!A:B,2,0)</f>
        <v>1135.03</v>
      </c>
      <c r="K80">
        <f>VLOOKUP(A80,Catálogo!A:C,3,0)</f>
        <v>16</v>
      </c>
      <c r="L80">
        <f>VLOOKUP(A80,Catálogo!A:D,4,0)</f>
        <v>0</v>
      </c>
      <c r="M80" t="e">
        <f>J80/L80</f>
        <v>#DIV/0!</v>
      </c>
      <c r="N80" s="10" t="str">
        <f>VLOOKUP(A80,[2]Hoja1!$B:$D,3,0)</f>
        <v>Descontinuado PMI</v>
      </c>
    </row>
    <row r="81" spans="1:14" ht="14.5" x14ac:dyDescent="0.35">
      <c r="A81">
        <v>100014571</v>
      </c>
      <c r="B81">
        <v>75069506</v>
      </c>
      <c r="C81" t="s">
        <v>514</v>
      </c>
      <c r="D81" t="s">
        <v>11</v>
      </c>
      <c r="E81" t="s">
        <v>33</v>
      </c>
      <c r="F81" t="s">
        <v>41</v>
      </c>
      <c r="G81" t="s">
        <v>54</v>
      </c>
      <c r="H81" t="s">
        <v>36</v>
      </c>
      <c r="I81" t="s">
        <v>109</v>
      </c>
      <c r="J81">
        <f>VLOOKUP(A81,Catálogo!A:B,2,0)</f>
        <v>923.94</v>
      </c>
      <c r="K81">
        <f>VLOOKUP(A81,Catálogo!A:C,3,0)</f>
        <v>13</v>
      </c>
      <c r="L81">
        <f>VLOOKUP(A81,Catálogo!A:D,4,0)</f>
        <v>0</v>
      </c>
      <c r="M81" t="e">
        <f>J81/L81</f>
        <v>#DIV/0!</v>
      </c>
      <c r="N81" s="10" t="str">
        <f>VLOOKUP(A81,[2]Hoja1!$B:$D,3,0)</f>
        <v>Devolución 2024 PMI</v>
      </c>
    </row>
    <row r="82" spans="1:14" ht="14.5" x14ac:dyDescent="0.35">
      <c r="A82">
        <v>100080029</v>
      </c>
      <c r="B82">
        <v>75001292</v>
      </c>
      <c r="C82" t="s">
        <v>424</v>
      </c>
      <c r="D82" t="s">
        <v>11</v>
      </c>
      <c r="E82" t="s">
        <v>33</v>
      </c>
      <c r="F82" t="s">
        <v>39</v>
      </c>
      <c r="G82" t="s">
        <v>71</v>
      </c>
      <c r="H82" t="s">
        <v>36</v>
      </c>
      <c r="I82" t="s">
        <v>109</v>
      </c>
      <c r="J82">
        <f>VLOOKUP(A82,Catálogo!A:B,2,0)</f>
        <v>1166.9899999999998</v>
      </c>
      <c r="K82">
        <f>VLOOKUP(A82,Catálogo!A:C,3,0)</f>
        <v>60</v>
      </c>
      <c r="L82">
        <f>VLOOKUP(A82,Catálogo!A:D,4,0)</f>
        <v>0</v>
      </c>
      <c r="N82" s="10" t="str">
        <f>VLOOKUP(A82,[2]Hoja1!$B:$D,3,0)</f>
        <v>Descontinuado PMI</v>
      </c>
    </row>
    <row r="83" spans="1:14" ht="14.5" x14ac:dyDescent="0.35">
      <c r="A83">
        <v>100018639</v>
      </c>
      <c r="B83">
        <v>7501045357966</v>
      </c>
      <c r="C83" t="s">
        <v>481</v>
      </c>
      <c r="D83" t="s">
        <v>11</v>
      </c>
      <c r="E83" t="s">
        <v>33</v>
      </c>
      <c r="F83" t="s">
        <v>46</v>
      </c>
      <c r="G83" t="s">
        <v>75</v>
      </c>
      <c r="H83" t="s">
        <v>70</v>
      </c>
      <c r="I83" t="s">
        <v>109</v>
      </c>
      <c r="J83">
        <f>VLOOKUP(A83,Catálogo!A:B,2,0)</f>
        <v>2547.69</v>
      </c>
      <c r="K83">
        <f>VLOOKUP(A83,Catálogo!A:C,3,0)</f>
        <v>37</v>
      </c>
      <c r="L83">
        <f>VLOOKUP(A83,Catálogo!A:D,4,0)</f>
        <v>0</v>
      </c>
      <c r="M83" t="e">
        <f>J83/L83</f>
        <v>#DIV/0!</v>
      </c>
      <c r="N83" s="10" t="str">
        <f>VLOOKUP(A83,[2]Hoja1!$B:$D,3,0)</f>
        <v>Devoluciones Heets</v>
      </c>
    </row>
    <row r="84" spans="1:14" ht="14.5" x14ac:dyDescent="0.35">
      <c r="A84">
        <v>100022136</v>
      </c>
      <c r="B84">
        <v>7503031950304</v>
      </c>
      <c r="C84" t="s">
        <v>434</v>
      </c>
      <c r="D84" t="s">
        <v>11</v>
      </c>
      <c r="E84" t="s">
        <v>33</v>
      </c>
      <c r="F84" t="s">
        <v>46</v>
      </c>
      <c r="G84" t="s">
        <v>14</v>
      </c>
      <c r="H84" t="s">
        <v>36</v>
      </c>
      <c r="I84" t="s">
        <v>109</v>
      </c>
      <c r="J84">
        <f>VLOOKUP(A84,Catálogo!A:B,2,0)</f>
        <v>789.27</v>
      </c>
      <c r="K84">
        <f>VLOOKUP(A84,Catálogo!A:C,3,0)</f>
        <v>11</v>
      </c>
      <c r="L84">
        <f>VLOOKUP(A84,Catálogo!A:D,4,0)</f>
        <v>0</v>
      </c>
      <c r="N84" s="10" t="str">
        <f>VLOOKUP(A84,[2]Hoja1!$B:$D,3,0)</f>
        <v>Descontinuado PMI</v>
      </c>
    </row>
    <row r="85" spans="1:14" ht="14.5" x14ac:dyDescent="0.35">
      <c r="A85">
        <v>100014242</v>
      </c>
      <c r="B85">
        <v>7503023959117</v>
      </c>
      <c r="C85" t="s">
        <v>538</v>
      </c>
      <c r="D85" t="s">
        <v>32</v>
      </c>
      <c r="E85" t="s">
        <v>33</v>
      </c>
      <c r="F85" t="s">
        <v>46</v>
      </c>
      <c r="G85" t="s">
        <v>14</v>
      </c>
      <c r="H85" t="s">
        <v>36</v>
      </c>
      <c r="I85" t="s">
        <v>247</v>
      </c>
      <c r="J85">
        <f>VLOOKUP(A85,Catálogo!A:B,2,0)</f>
        <v>697.31999999999994</v>
      </c>
      <c r="K85">
        <f>VLOOKUP(A85,Catálogo!A:C,3,0)</f>
        <v>10</v>
      </c>
      <c r="L85">
        <f>VLOOKUP(A85,Catálogo!A:D,4,0)</f>
        <v>0</v>
      </c>
      <c r="M85" t="e">
        <f>J85/L85</f>
        <v>#DIV/0!</v>
      </c>
      <c r="N85" s="10" t="str">
        <f>VLOOKUP(A85,[2]Hoja1!$B:$D,3,0)</f>
        <v>Descontinuado JTI</v>
      </c>
    </row>
    <row r="86" spans="1:14" ht="14.5" x14ac:dyDescent="0.35">
      <c r="A86">
        <v>100010332</v>
      </c>
      <c r="B86">
        <v>75062736</v>
      </c>
      <c r="C86" t="s">
        <v>389</v>
      </c>
      <c r="D86" t="s">
        <v>11</v>
      </c>
      <c r="E86" t="s">
        <v>33</v>
      </c>
      <c r="F86" t="s">
        <v>46</v>
      </c>
      <c r="G86" t="s">
        <v>14</v>
      </c>
      <c r="H86" t="s">
        <v>36</v>
      </c>
      <c r="I86" t="s">
        <v>109</v>
      </c>
      <c r="J86">
        <f>VLOOKUP(A86,Catálogo!A:B,2,0)</f>
        <v>749.6099999999999</v>
      </c>
      <c r="K86">
        <f>VLOOKUP(A86,Catálogo!A:C,3,0)</f>
        <v>11</v>
      </c>
      <c r="L86">
        <f>VLOOKUP(A86,Catálogo!A:D,4,0)</f>
        <v>0</v>
      </c>
      <c r="N86" s="10" t="str">
        <f>VLOOKUP(A86,[2]Hoja1!$B:$D,3,0)</f>
        <v>Descontinuado PMI</v>
      </c>
    </row>
    <row r="87" spans="1:14" ht="14.5" x14ac:dyDescent="0.35">
      <c r="A87">
        <v>100020770</v>
      </c>
      <c r="B87">
        <v>75074753</v>
      </c>
      <c r="C87" t="s">
        <v>372</v>
      </c>
      <c r="D87" t="s">
        <v>11</v>
      </c>
      <c r="E87" t="s">
        <v>33</v>
      </c>
      <c r="F87" t="s">
        <v>46</v>
      </c>
      <c r="G87" t="s">
        <v>14</v>
      </c>
      <c r="H87" t="s">
        <v>36</v>
      </c>
      <c r="I87" t="s">
        <v>109</v>
      </c>
      <c r="J87">
        <f>VLOOKUP(A87,Catálogo!A:B,2,0)</f>
        <v>1175.8700000000001</v>
      </c>
      <c r="K87">
        <f>VLOOKUP(A87,Catálogo!A:C,3,0)</f>
        <v>16</v>
      </c>
      <c r="L87">
        <f>VLOOKUP(A87,Catálogo!A:D,4,0)</f>
        <v>0</v>
      </c>
      <c r="M87" t="e">
        <f>J87/L87</f>
        <v>#DIV/0!</v>
      </c>
      <c r="N87" s="10" t="str">
        <f>VLOOKUP(A87,[2]Hoja1!$B:$D,3,0)</f>
        <v>Devolución PMI 2025</v>
      </c>
    </row>
    <row r="88" spans="1:14" ht="14.5" x14ac:dyDescent="0.35">
      <c r="A88">
        <v>100023361</v>
      </c>
      <c r="B88">
        <v>7503031950540</v>
      </c>
      <c r="C88" t="s">
        <v>439</v>
      </c>
      <c r="D88" t="s">
        <v>11</v>
      </c>
      <c r="E88" t="s">
        <v>33</v>
      </c>
      <c r="F88" t="s">
        <v>41</v>
      </c>
      <c r="G88" t="s">
        <v>71</v>
      </c>
      <c r="H88" t="s">
        <v>36</v>
      </c>
      <c r="I88" t="s">
        <v>109</v>
      </c>
      <c r="J88">
        <f>VLOOKUP(A88,Catálogo!A:B,2,0)</f>
        <v>916.67000000000007</v>
      </c>
      <c r="K88">
        <f>VLOOKUP(A88,Catálogo!A:C,3,0)</f>
        <v>15</v>
      </c>
      <c r="L88">
        <f>VLOOKUP(A88,Catálogo!A:D,4,0)</f>
        <v>0</v>
      </c>
      <c r="N88" s="10" t="str">
        <f>VLOOKUP(A88,[2]Hoja1!$B:$D,3,0)</f>
        <v>Descontinuado PMI</v>
      </c>
    </row>
    <row r="89" spans="1:14" ht="14.5" x14ac:dyDescent="0.35">
      <c r="A89">
        <v>100019958</v>
      </c>
      <c r="B89">
        <v>75074920</v>
      </c>
      <c r="C89" t="s">
        <v>328</v>
      </c>
      <c r="D89" t="s">
        <v>44</v>
      </c>
      <c r="E89" t="s">
        <v>33</v>
      </c>
      <c r="F89" t="s">
        <v>46</v>
      </c>
      <c r="G89" t="s">
        <v>54</v>
      </c>
      <c r="H89" t="s">
        <v>36</v>
      </c>
      <c r="I89" t="s">
        <v>109</v>
      </c>
      <c r="J89" t="e">
        <f>VLOOKUP(A89,Catálogo!A:B,2,0)</f>
        <v>#N/A</v>
      </c>
      <c r="K89" t="e">
        <f>VLOOKUP(A89,Catálogo!A:C,3,0)</f>
        <v>#N/A</v>
      </c>
      <c r="L89" t="e">
        <f>VLOOKUP(A89,Catálogo!A:D,4,0)</f>
        <v>#N/A</v>
      </c>
      <c r="M89" t="e">
        <f>J89/L89</f>
        <v>#N/A</v>
      </c>
      <c r="N89" s="10" t="str">
        <f>VLOOKUP(A89,[2]Hoja1!$B:$D,3,0)</f>
        <v>Descontinuado BAT</v>
      </c>
    </row>
    <row r="90" spans="1:14" ht="14.5" x14ac:dyDescent="0.35">
      <c r="A90" s="10">
        <v>100024728</v>
      </c>
      <c r="B90">
        <v>7702303657044</v>
      </c>
      <c r="C90" s="10" t="s">
        <v>259</v>
      </c>
      <c r="D90" t="s">
        <v>44</v>
      </c>
      <c r="E90" t="s">
        <v>33</v>
      </c>
      <c r="F90" t="s">
        <v>39</v>
      </c>
      <c r="G90" t="s">
        <v>139</v>
      </c>
      <c r="H90" t="s">
        <v>252</v>
      </c>
      <c r="I90" t="s">
        <v>247</v>
      </c>
      <c r="J90">
        <f>VLOOKUP(A90,Catálogo!A:B,2,0)</f>
        <v>878.67000000000007</v>
      </c>
      <c r="K90">
        <f>VLOOKUP(A90,Catálogo!A:C,3,0)</f>
        <v>6</v>
      </c>
      <c r="L90">
        <f>VLOOKUP(A90,Catálogo!A:D,4,0)</f>
        <v>0</v>
      </c>
      <c r="N90" s="10" t="str">
        <f>VLOOKUP(A90,[2]Hoja1!$B:$D,3,0)</f>
        <v>Devoluciones Vuse (feb 2025)</v>
      </c>
    </row>
    <row r="91" spans="1:14" ht="14.5" x14ac:dyDescent="0.35">
      <c r="A91">
        <v>100015419</v>
      </c>
      <c r="B91">
        <v>7501045357430</v>
      </c>
      <c r="C91" t="s">
        <v>478</v>
      </c>
      <c r="D91" t="s">
        <v>11</v>
      </c>
      <c r="E91" t="s">
        <v>33</v>
      </c>
      <c r="F91" t="s">
        <v>46</v>
      </c>
      <c r="G91" t="s">
        <v>75</v>
      </c>
      <c r="H91" t="s">
        <v>70</v>
      </c>
      <c r="I91" t="s">
        <v>109</v>
      </c>
      <c r="J91">
        <f>VLOOKUP(A91,Catálogo!A:B,2,0)</f>
        <v>3160.35</v>
      </c>
      <c r="K91">
        <f>VLOOKUP(A91,Catálogo!A:C,3,0)</f>
        <v>47</v>
      </c>
      <c r="L91">
        <v>0</v>
      </c>
      <c r="M91" t="e">
        <f>J91/L91</f>
        <v>#DIV/0!</v>
      </c>
      <c r="N91" s="10" t="str">
        <f>VLOOKUP(A91,[2]Hoja1!$B:$D,3,0)</f>
        <v>Devoluciones Heets</v>
      </c>
    </row>
    <row r="92" spans="1:14" x14ac:dyDescent="0.35">
      <c r="A92">
        <v>100022332</v>
      </c>
      <c r="B92">
        <v>75018832</v>
      </c>
      <c r="C92" t="s">
        <v>380</v>
      </c>
      <c r="D92" t="s">
        <v>11</v>
      </c>
      <c r="E92" t="s">
        <v>33</v>
      </c>
      <c r="F92" t="s">
        <v>46</v>
      </c>
      <c r="G92" t="s">
        <v>14</v>
      </c>
      <c r="H92" t="s">
        <v>36</v>
      </c>
      <c r="I92" t="s">
        <v>109</v>
      </c>
      <c r="J92">
        <f>VLOOKUP(A92,Catálogo!A:B,2,0)</f>
        <v>2024.91</v>
      </c>
      <c r="K92">
        <f>VLOOKUP(A92,Catálogo!A:C,3,0)</f>
        <v>38</v>
      </c>
      <c r="L92">
        <f>VLOOKUP(A92,Catálogo!A:D,4,0)</f>
        <v>0</v>
      </c>
      <c r="M92" t="e">
        <f>J92/L92</f>
        <v>#DIV/0!</v>
      </c>
      <c r="N92" s="10" t="str">
        <f>VLOOKUP(A92,[2]Hoja1!$B:$D,3,0)</f>
        <v>Devolución PMI 2025</v>
      </c>
    </row>
    <row r="93" spans="1:14" ht="14.5" x14ac:dyDescent="0.35">
      <c r="A93">
        <v>100080031</v>
      </c>
      <c r="B93">
        <v>75001254</v>
      </c>
      <c r="C93" t="s">
        <v>550</v>
      </c>
      <c r="D93" t="s">
        <v>11</v>
      </c>
      <c r="E93" t="s">
        <v>33</v>
      </c>
      <c r="F93" t="s">
        <v>39</v>
      </c>
      <c r="G93" t="s">
        <v>71</v>
      </c>
      <c r="H93" t="s">
        <v>36</v>
      </c>
      <c r="I93" t="s">
        <v>109</v>
      </c>
      <c r="J93">
        <f>VLOOKUP(A93,Catálogo!A:B,2,0)</f>
        <v>108.62</v>
      </c>
      <c r="K93">
        <f>VLOOKUP(A93,Catálogo!A:C,3,0)</f>
        <v>2</v>
      </c>
      <c r="L93">
        <f>VLOOKUP(A93,Catálogo!A:D,4,0)</f>
        <v>0</v>
      </c>
      <c r="N93" s="10" t="str">
        <f>VLOOKUP(A93,[2]Hoja1!$B:$D,3,0)</f>
        <v>Devolución 2024 PMI</v>
      </c>
    </row>
    <row r="94" spans="1:14" ht="14.5" x14ac:dyDescent="0.35">
      <c r="A94">
        <v>100024304</v>
      </c>
      <c r="B94">
        <v>7503031950991</v>
      </c>
      <c r="C94" t="s">
        <v>381</v>
      </c>
      <c r="D94" t="s">
        <v>11</v>
      </c>
      <c r="E94" t="s">
        <v>33</v>
      </c>
      <c r="F94" t="s">
        <v>46</v>
      </c>
      <c r="G94" t="s">
        <v>14</v>
      </c>
      <c r="H94" t="s">
        <v>36</v>
      </c>
      <c r="I94" t="s">
        <v>109</v>
      </c>
      <c r="J94">
        <f>VLOOKUP(A94,Catálogo!A:B,2,0)</f>
        <v>444.44</v>
      </c>
      <c r="K94">
        <f>VLOOKUP(A94,Catálogo!A:C,3,0)</f>
        <v>6</v>
      </c>
      <c r="L94">
        <f>VLOOKUP(A94,Catálogo!A:D,4,0)</f>
        <v>5.2907999999999999</v>
      </c>
      <c r="M94">
        <f>J94/L94</f>
        <v>84.002419293868599</v>
      </c>
      <c r="N94" s="10" t="str">
        <f>VLOOKUP(A94,[2]Hoja1!$B:$D,3,0)</f>
        <v>Artículos In&amp;Out</v>
      </c>
    </row>
    <row r="95" spans="1:14" ht="14.5" x14ac:dyDescent="0.35">
      <c r="A95" s="10">
        <v>100024727</v>
      </c>
      <c r="B95">
        <v>7702303265324</v>
      </c>
      <c r="C95" s="10" t="s">
        <v>257</v>
      </c>
      <c r="D95" t="s">
        <v>44</v>
      </c>
      <c r="E95" t="s">
        <v>33</v>
      </c>
      <c r="F95" t="s">
        <v>39</v>
      </c>
      <c r="G95" t="s">
        <v>139</v>
      </c>
      <c r="H95" t="s">
        <v>252</v>
      </c>
      <c r="I95" t="s">
        <v>247</v>
      </c>
      <c r="J95">
        <f>VLOOKUP(A95,Catálogo!A:B,2,0)</f>
        <v>1185.18</v>
      </c>
      <c r="K95">
        <f>VLOOKUP(A95,Catálogo!A:C,3,0)</f>
        <v>8</v>
      </c>
      <c r="L95">
        <f>VLOOKUP(A95,Catálogo!A:D,4,0)</f>
        <v>0</v>
      </c>
      <c r="N95" s="10" t="str">
        <f>VLOOKUP(A95,[2]Hoja1!$B:$D,3,0)</f>
        <v>Devoluciones Vuse (feb 2025)</v>
      </c>
    </row>
    <row r="96" spans="1:14" ht="14.5" x14ac:dyDescent="0.35">
      <c r="A96">
        <v>100022970</v>
      </c>
      <c r="B96">
        <v>7503031950571</v>
      </c>
      <c r="C96" t="s">
        <v>484</v>
      </c>
      <c r="D96" t="s">
        <v>11</v>
      </c>
      <c r="E96" t="s">
        <v>33</v>
      </c>
      <c r="F96" t="s">
        <v>46</v>
      </c>
      <c r="G96" t="s">
        <v>75</v>
      </c>
      <c r="H96" t="s">
        <v>70</v>
      </c>
      <c r="I96" t="s">
        <v>109</v>
      </c>
      <c r="J96">
        <f>VLOOKUP(A96,Catálogo!A:B,2,0)</f>
        <v>341.37</v>
      </c>
      <c r="K96">
        <f>VLOOKUP(A96,Catálogo!A:C,3,0)</f>
        <v>5</v>
      </c>
      <c r="L96">
        <f>VLOOKUP(A96,Catálogo!A:D,4,0)</f>
        <v>0</v>
      </c>
      <c r="M96" t="e">
        <f>J96/L96</f>
        <v>#DIV/0!</v>
      </c>
      <c r="N96" s="10" t="str">
        <f>VLOOKUP(A96,[2]Hoja1!$B:$D,3,0)</f>
        <v>Devoluciones Heets</v>
      </c>
    </row>
    <row r="97" spans="1:14" ht="14.5" x14ac:dyDescent="0.35">
      <c r="A97">
        <v>100022138</v>
      </c>
      <c r="B97">
        <v>7503031950281</v>
      </c>
      <c r="C97" t="s">
        <v>415</v>
      </c>
      <c r="D97" t="s">
        <v>11</v>
      </c>
      <c r="E97" t="s">
        <v>33</v>
      </c>
      <c r="F97" t="s">
        <v>46</v>
      </c>
      <c r="G97" t="s">
        <v>14</v>
      </c>
      <c r="H97" t="s">
        <v>36</v>
      </c>
      <c r="I97" t="s">
        <v>109</v>
      </c>
      <c r="J97">
        <f>VLOOKUP(A97,Catálogo!A:B,2,0)</f>
        <v>727.27</v>
      </c>
      <c r="K97">
        <f>VLOOKUP(A97,Catálogo!A:C,3,0)</f>
        <v>10</v>
      </c>
      <c r="L97">
        <f>VLOOKUP(A97,Catálogo!A:D,4,0)</f>
        <v>0</v>
      </c>
      <c r="N97" s="10" t="str">
        <f>VLOOKUP(A97,[2]Hoja1!$B:$D,3,0)</f>
        <v>Descontinuado PMI</v>
      </c>
    </row>
    <row r="98" spans="1:14" ht="14.5" x14ac:dyDescent="0.35">
      <c r="A98" s="10">
        <v>100024726</v>
      </c>
      <c r="B98">
        <v>7702303108812</v>
      </c>
      <c r="C98" s="10" t="s">
        <v>258</v>
      </c>
      <c r="D98" t="s">
        <v>44</v>
      </c>
      <c r="E98" t="s">
        <v>33</v>
      </c>
      <c r="F98" t="s">
        <v>39</v>
      </c>
      <c r="G98" t="s">
        <v>139</v>
      </c>
      <c r="H98" t="s">
        <v>252</v>
      </c>
      <c r="I98" t="s">
        <v>247</v>
      </c>
      <c r="J98">
        <f>VLOOKUP(A98,Catálogo!A:B,2,0)</f>
        <v>1037.04</v>
      </c>
      <c r="K98">
        <f>VLOOKUP(A98,Catálogo!A:C,3,0)</f>
        <v>7</v>
      </c>
      <c r="L98">
        <f>VLOOKUP(A98,Catálogo!A:D,4,0)</f>
        <v>0</v>
      </c>
      <c r="N98" s="10" t="str">
        <f>VLOOKUP(A98,[2]Hoja1!$B:$D,3,0)</f>
        <v>Devoluciones Vuse (feb 2025)</v>
      </c>
    </row>
    <row r="99" spans="1:14" ht="14.5" x14ac:dyDescent="0.35">
      <c r="A99">
        <v>100010934</v>
      </c>
      <c r="B99">
        <v>75062675</v>
      </c>
      <c r="C99" t="s">
        <v>462</v>
      </c>
      <c r="D99" t="s">
        <v>44</v>
      </c>
      <c r="E99" t="s">
        <v>33</v>
      </c>
      <c r="F99" t="s">
        <v>39</v>
      </c>
      <c r="G99" t="s">
        <v>58</v>
      </c>
      <c r="H99" t="s">
        <v>36</v>
      </c>
      <c r="I99" t="s">
        <v>247</v>
      </c>
      <c r="J99">
        <f>VLOOKUP(A99,Catálogo!A:B,2,0)</f>
        <v>732.76</v>
      </c>
      <c r="K99">
        <f>VLOOKUP(A99,Catálogo!A:C,3,0)</f>
        <v>10</v>
      </c>
      <c r="L99">
        <f>VLOOKUP(A99,Catálogo!A:D,4,0)</f>
        <v>0</v>
      </c>
      <c r="N99" s="10" t="str">
        <f>VLOOKUP(A99,[2]Hoja1!$B:$D,3,0)</f>
        <v>Descontinuado BAT</v>
      </c>
    </row>
    <row r="100" spans="1:14" ht="14.5" x14ac:dyDescent="0.35">
      <c r="A100">
        <v>100023891</v>
      </c>
      <c r="B100">
        <v>7503031950939</v>
      </c>
      <c r="C100" t="s">
        <v>387</v>
      </c>
      <c r="D100" t="s">
        <v>11</v>
      </c>
      <c r="E100" t="s">
        <v>33</v>
      </c>
      <c r="F100" t="s">
        <v>46</v>
      </c>
      <c r="G100" t="s">
        <v>14</v>
      </c>
      <c r="H100" t="s">
        <v>36</v>
      </c>
      <c r="I100" t="s">
        <v>109</v>
      </c>
      <c r="J100">
        <f>VLOOKUP(A100,Catálogo!A:B,2,0)</f>
        <v>488.79999999999995</v>
      </c>
      <c r="K100">
        <f>VLOOKUP(A100,Catálogo!A:C,3,0)</f>
        <v>7</v>
      </c>
      <c r="L100">
        <f>VLOOKUP(A100,Catálogo!A:D,4,0)</f>
        <v>4.9260999999999999</v>
      </c>
      <c r="M100">
        <f>J100/L100</f>
        <v>99.226568685166754</v>
      </c>
      <c r="N100" s="10" t="str">
        <f>VLOOKUP(A100,[2]Hoja1!$B:$D,3,0)</f>
        <v>Descontinuado PMI</v>
      </c>
    </row>
    <row r="101" spans="1:14" ht="14.5" x14ac:dyDescent="0.35">
      <c r="A101">
        <v>100022134</v>
      </c>
      <c r="B101">
        <v>7503031950298</v>
      </c>
      <c r="C101" t="s">
        <v>436</v>
      </c>
      <c r="D101" t="s">
        <v>11</v>
      </c>
      <c r="E101" t="s">
        <v>33</v>
      </c>
      <c r="F101" t="s">
        <v>46</v>
      </c>
      <c r="G101" t="s">
        <v>54</v>
      </c>
      <c r="H101" t="s">
        <v>36</v>
      </c>
      <c r="I101" t="s">
        <v>109</v>
      </c>
      <c r="J101">
        <f>VLOOKUP(A101,Catálogo!A:B,2,0)</f>
        <v>670.37</v>
      </c>
      <c r="K101">
        <f>VLOOKUP(A101,Catálogo!A:C,3,0)</f>
        <v>9</v>
      </c>
      <c r="L101">
        <f>VLOOKUP(A101,Catálogo!A:D,4,0)</f>
        <v>0</v>
      </c>
      <c r="N101" s="10" t="str">
        <f>VLOOKUP(A101,[2]Hoja1!$B:$D,3,0)</f>
        <v>Descontinuado PMI</v>
      </c>
    </row>
    <row r="102" spans="1:14" ht="14.5" x14ac:dyDescent="0.35">
      <c r="A102">
        <v>100018203</v>
      </c>
      <c r="B102">
        <v>7501045300122</v>
      </c>
      <c r="C102" t="s">
        <v>507</v>
      </c>
      <c r="D102" t="s">
        <v>11</v>
      </c>
      <c r="E102" t="s">
        <v>33</v>
      </c>
      <c r="F102" t="s">
        <v>41</v>
      </c>
      <c r="G102" t="s">
        <v>54</v>
      </c>
      <c r="H102" t="s">
        <v>36</v>
      </c>
      <c r="I102" t="s">
        <v>109</v>
      </c>
      <c r="J102" t="e">
        <f>VLOOKUP(A102,Catálogo!A:B,2,0)</f>
        <v>#N/A</v>
      </c>
      <c r="K102" t="e">
        <f>VLOOKUP(A102,Catálogo!A:C,3,0)</f>
        <v>#N/A</v>
      </c>
      <c r="L102" t="e">
        <f>VLOOKUP(A102,Catálogo!A:D,4,0)</f>
        <v>#N/A</v>
      </c>
      <c r="N102" s="10" t="str">
        <f>VLOOKUP(A102,[2]Hoja1!$B:$D,3,0)</f>
        <v>Devolución 2024 PMI</v>
      </c>
    </row>
    <row r="103" spans="1:14" ht="14.5" x14ac:dyDescent="0.35">
      <c r="A103">
        <v>100080184</v>
      </c>
      <c r="B103">
        <v>8308315</v>
      </c>
      <c r="C103" t="s">
        <v>533</v>
      </c>
      <c r="D103" t="s">
        <v>32</v>
      </c>
      <c r="E103" t="s">
        <v>33</v>
      </c>
      <c r="F103" t="s">
        <v>46</v>
      </c>
      <c r="G103" t="s">
        <v>35</v>
      </c>
      <c r="H103" t="s">
        <v>36</v>
      </c>
      <c r="I103" t="s">
        <v>247</v>
      </c>
      <c r="J103">
        <f>VLOOKUP(A103,Catálogo!A:B,2,0)</f>
        <v>689.65000000000009</v>
      </c>
      <c r="K103">
        <f>VLOOKUP(A103,Catálogo!A:C,3,0)</f>
        <v>16</v>
      </c>
      <c r="L103">
        <f>VLOOKUP(A103,Catálogo!A:D,4,0)</f>
        <v>0</v>
      </c>
      <c r="N103" s="10" t="str">
        <f>VLOOKUP(A103,[2]Hoja1!$B:$D,3,0)</f>
        <v>Descontinuado JTI</v>
      </c>
    </row>
    <row r="104" spans="1:14" ht="14.5" x14ac:dyDescent="0.35">
      <c r="A104">
        <v>100017662</v>
      </c>
      <c r="B104">
        <v>75072506</v>
      </c>
      <c r="C104" t="s">
        <v>449</v>
      </c>
      <c r="D104" t="s">
        <v>44</v>
      </c>
      <c r="E104" t="s">
        <v>33</v>
      </c>
      <c r="F104" t="s">
        <v>46</v>
      </c>
      <c r="G104" t="s">
        <v>35</v>
      </c>
      <c r="H104" t="s">
        <v>36</v>
      </c>
      <c r="I104" t="s">
        <v>247</v>
      </c>
      <c r="J104">
        <f>VLOOKUP(A104,Catálogo!A:B,2,0)</f>
        <v>733.33</v>
      </c>
      <c r="K104">
        <f>VLOOKUP(A104,Catálogo!A:C,3,0)</f>
        <v>12</v>
      </c>
      <c r="L104">
        <f>VLOOKUP(A104,Catálogo!A:D,4,0)</f>
        <v>0</v>
      </c>
      <c r="N104" s="10" t="str">
        <f>VLOOKUP(A104,[2]Hoja1!$B:$D,3,0)</f>
        <v>Descontinuado BAT</v>
      </c>
    </row>
    <row r="105" spans="1:14" ht="14.5" x14ac:dyDescent="0.35">
      <c r="A105">
        <v>100022276</v>
      </c>
      <c r="B105">
        <v>75004415</v>
      </c>
      <c r="C105" t="s">
        <v>418</v>
      </c>
      <c r="D105" t="s">
        <v>11</v>
      </c>
      <c r="E105" t="s">
        <v>33</v>
      </c>
      <c r="F105" t="s">
        <v>46</v>
      </c>
      <c r="G105" t="s">
        <v>14</v>
      </c>
      <c r="H105" t="s">
        <v>36</v>
      </c>
      <c r="I105" t="s">
        <v>109</v>
      </c>
      <c r="J105">
        <f>VLOOKUP(A105,Catálogo!A:B,2,0)</f>
        <v>1228.6200000000001</v>
      </c>
      <c r="K105">
        <f>VLOOKUP(A105,Catálogo!A:C,3,0)</f>
        <v>17</v>
      </c>
      <c r="L105">
        <f>VLOOKUP(A105,Catálogo!A:D,4,0)</f>
        <v>0</v>
      </c>
      <c r="M105" t="e">
        <f>J105/L105</f>
        <v>#DIV/0!</v>
      </c>
      <c r="N105" s="10" t="str">
        <f>VLOOKUP(A105,[2]Hoja1!$B:$D,3,0)</f>
        <v>Devolución PMI 2025</v>
      </c>
    </row>
    <row r="106" spans="1:14" ht="14.5" x14ac:dyDescent="0.35">
      <c r="A106">
        <v>100023889</v>
      </c>
      <c r="B106">
        <v>7503031950953</v>
      </c>
      <c r="C106" t="s">
        <v>417</v>
      </c>
      <c r="D106" t="s">
        <v>11</v>
      </c>
      <c r="E106" t="s">
        <v>33</v>
      </c>
      <c r="F106" t="s">
        <v>46</v>
      </c>
      <c r="G106" t="s">
        <v>14</v>
      </c>
      <c r="H106" t="s">
        <v>36</v>
      </c>
      <c r="I106" t="s">
        <v>109</v>
      </c>
      <c r="J106">
        <f>VLOOKUP(A106,Catálogo!A:B,2,0)</f>
        <v>413.79999999999995</v>
      </c>
      <c r="K106">
        <f>VLOOKUP(A106,Catálogo!A:C,3,0)</f>
        <v>6</v>
      </c>
      <c r="L106">
        <f>VLOOKUP(A106,Catálogo!A:D,4,0)</f>
        <v>4.9260999999999999</v>
      </c>
      <c r="N106" s="10" t="str">
        <f>VLOOKUP(A106,[2]Hoja1!$B:$D,3,0)</f>
        <v>Descontinuado PMI</v>
      </c>
    </row>
    <row r="107" spans="1:14" ht="14.5" x14ac:dyDescent="0.35">
      <c r="A107">
        <v>100018638</v>
      </c>
      <c r="B107">
        <v>7501045357898</v>
      </c>
      <c r="C107" t="s">
        <v>479</v>
      </c>
      <c r="D107" t="s">
        <v>11</v>
      </c>
      <c r="E107" t="s">
        <v>33</v>
      </c>
      <c r="F107" t="s">
        <v>46</v>
      </c>
      <c r="G107" t="s">
        <v>75</v>
      </c>
      <c r="H107" t="s">
        <v>70</v>
      </c>
      <c r="I107" t="s">
        <v>109</v>
      </c>
      <c r="J107">
        <f>VLOOKUP(A107,Catálogo!A:B,2,0)</f>
        <v>3853.5899999999983</v>
      </c>
      <c r="K107">
        <f>VLOOKUP(A107,Catálogo!A:C,3,0)</f>
        <v>57</v>
      </c>
      <c r="L107">
        <f>VLOOKUP(A107,Catálogo!A:D,4,0)</f>
        <v>0</v>
      </c>
      <c r="M107" t="e">
        <f>J107/L107</f>
        <v>#DIV/0!</v>
      </c>
      <c r="N107" s="10" t="str">
        <f>VLOOKUP(A107,[2]Hoja1!$B:$D,3,0)</f>
        <v>Devoluciones Heets</v>
      </c>
    </row>
    <row r="108" spans="1:14" ht="14.5" x14ac:dyDescent="0.35">
      <c r="A108" s="10">
        <v>100024729</v>
      </c>
      <c r="B108">
        <v>7707200942736</v>
      </c>
      <c r="C108" s="10" t="s">
        <v>256</v>
      </c>
      <c r="D108" t="s">
        <v>44</v>
      </c>
      <c r="E108" t="s">
        <v>33</v>
      </c>
      <c r="F108" t="s">
        <v>39</v>
      </c>
      <c r="G108" t="s">
        <v>139</v>
      </c>
      <c r="H108" t="s">
        <v>252</v>
      </c>
      <c r="I108" t="s">
        <v>247</v>
      </c>
      <c r="J108">
        <f>VLOOKUP(A108,Catálogo!A:B,2,0)</f>
        <v>434.23</v>
      </c>
      <c r="K108">
        <f>VLOOKUP(A108,Catálogo!A:C,3,0)</f>
        <v>3</v>
      </c>
      <c r="L108">
        <f>VLOOKUP(A108,Catálogo!A:D,4,0)</f>
        <v>0</v>
      </c>
      <c r="N108" s="10" t="str">
        <f>VLOOKUP(A108,[2]Hoja1!$B:$D,3,0)</f>
        <v>Devoluciones Vuse (feb 2025)</v>
      </c>
    </row>
    <row r="109" spans="1:14" ht="14.5" x14ac:dyDescent="0.35">
      <c r="A109">
        <v>100022846</v>
      </c>
      <c r="B109">
        <v>7503031950489</v>
      </c>
      <c r="C109" t="s">
        <v>433</v>
      </c>
      <c r="D109" t="s">
        <v>11</v>
      </c>
      <c r="E109" t="s">
        <v>33</v>
      </c>
      <c r="F109" t="s">
        <v>46</v>
      </c>
      <c r="G109" t="s">
        <v>14</v>
      </c>
      <c r="H109" t="s">
        <v>36</v>
      </c>
      <c r="I109" t="s">
        <v>109</v>
      </c>
      <c r="J109">
        <f>VLOOKUP(A109,Catálogo!A:B,2,0)</f>
        <v>689.66</v>
      </c>
      <c r="K109">
        <f>VLOOKUP(A109,Catálogo!A:C,3,0)</f>
        <v>10</v>
      </c>
      <c r="L109">
        <f>VLOOKUP(A109,Catálogo!A:D,4,0)</f>
        <v>0</v>
      </c>
      <c r="M109" t="e">
        <f>J109/L109</f>
        <v>#DIV/0!</v>
      </c>
      <c r="N109" s="10" t="str">
        <f>VLOOKUP(A109,[2]Hoja1!$B:$D,3,0)</f>
        <v>Devolución PMI 2025</v>
      </c>
    </row>
    <row r="110" spans="1:14" ht="14.5" x14ac:dyDescent="0.35">
      <c r="A110">
        <v>100021797</v>
      </c>
      <c r="B110">
        <v>7503031950267</v>
      </c>
      <c r="C110" t="s">
        <v>520</v>
      </c>
      <c r="D110" t="s">
        <v>11</v>
      </c>
      <c r="E110" t="s">
        <v>33</v>
      </c>
      <c r="F110" t="s">
        <v>41</v>
      </c>
      <c r="G110" t="s">
        <v>35</v>
      </c>
      <c r="H110" t="s">
        <v>36</v>
      </c>
      <c r="I110" t="s">
        <v>109</v>
      </c>
      <c r="J110">
        <f>VLOOKUP(A110,Catálogo!A:B,2,0)</f>
        <v>287.04000000000002</v>
      </c>
      <c r="K110">
        <f>VLOOKUP(A110,Catálogo!A:C,3,0)</f>
        <v>5</v>
      </c>
      <c r="L110">
        <f>VLOOKUP(A110,Catálogo!A:D,4,0)</f>
        <v>0</v>
      </c>
      <c r="N110" s="10" t="str">
        <f>VLOOKUP(A110,[2]Hoja1!$B:$D,3,0)</f>
        <v>Devolución 2024 PMI</v>
      </c>
    </row>
    <row r="111" spans="1:14" ht="14.5" x14ac:dyDescent="0.35">
      <c r="A111" s="10">
        <v>100024724</v>
      </c>
      <c r="B111">
        <v>7707200944037</v>
      </c>
      <c r="C111" s="10" t="s">
        <v>274</v>
      </c>
      <c r="D111" t="s">
        <v>44</v>
      </c>
      <c r="E111" t="s">
        <v>33</v>
      </c>
      <c r="F111" t="s">
        <v>39</v>
      </c>
      <c r="G111" t="s">
        <v>139</v>
      </c>
      <c r="H111" t="s">
        <v>252</v>
      </c>
      <c r="I111" t="s">
        <v>247</v>
      </c>
      <c r="J111">
        <f>VLOOKUP(A111,Catálogo!A:B,2,0)</f>
        <v>296.3</v>
      </c>
      <c r="K111">
        <f>VLOOKUP(A111,Catálogo!A:C,3,0)</f>
        <v>1</v>
      </c>
      <c r="L111">
        <f>VLOOKUP(A111,Catálogo!A:D,4,0)</f>
        <v>0</v>
      </c>
      <c r="N111" s="10" t="str">
        <f>VLOOKUP(A111,[2]Hoja1!$B:$D,3,0)</f>
        <v>Devoluciones Vuse (feb 2025)</v>
      </c>
    </row>
    <row r="112" spans="1:14" ht="14.5" x14ac:dyDescent="0.35">
      <c r="A112">
        <v>100012202</v>
      </c>
      <c r="B112">
        <v>75064112</v>
      </c>
      <c r="C112" t="s">
        <v>510</v>
      </c>
      <c r="D112" t="s">
        <v>11</v>
      </c>
      <c r="E112" t="s">
        <v>33</v>
      </c>
      <c r="F112" t="s">
        <v>41</v>
      </c>
      <c r="G112" t="s">
        <v>35</v>
      </c>
      <c r="H112" t="s">
        <v>36</v>
      </c>
      <c r="I112" t="s">
        <v>109</v>
      </c>
      <c r="J112">
        <f>VLOOKUP(A112,Catálogo!A:B,2,0)</f>
        <v>562.74</v>
      </c>
      <c r="K112">
        <f>VLOOKUP(A112,Catálogo!A:C,3,0)</f>
        <v>13</v>
      </c>
      <c r="L112">
        <f>VLOOKUP(A112,Catálogo!A:D,4,0)</f>
        <v>0</v>
      </c>
      <c r="N112" s="10" t="str">
        <f>VLOOKUP(A112,[2]Hoja1!$B:$D,3,0)</f>
        <v>Devolución 2024 PMI</v>
      </c>
    </row>
    <row r="113" spans="1:14" x14ac:dyDescent="0.35">
      <c r="A113">
        <v>100008441</v>
      </c>
      <c r="B113">
        <v>75058470</v>
      </c>
      <c r="C113" t="s">
        <v>461</v>
      </c>
      <c r="D113" t="s">
        <v>44</v>
      </c>
      <c r="E113" t="s">
        <v>33</v>
      </c>
      <c r="F113" t="s">
        <v>46</v>
      </c>
      <c r="G113" t="s">
        <v>58</v>
      </c>
      <c r="H113" t="s">
        <v>36</v>
      </c>
      <c r="I113" t="s">
        <v>247</v>
      </c>
      <c r="J113">
        <f>VLOOKUP(A113,Catálogo!A:B,2,0)</f>
        <v>50.86</v>
      </c>
      <c r="K113">
        <f>VLOOKUP(A113,Catálogo!A:C,3,0)</f>
        <v>1</v>
      </c>
      <c r="L113">
        <f>VLOOKUP(A113,Catálogo!A:D,4,0)</f>
        <v>0</v>
      </c>
      <c r="N113" s="10" t="str">
        <f>VLOOKUP(A113,[2]Hoja1!$B:$D,3,0)</f>
        <v>Descontinuado BAT</v>
      </c>
    </row>
    <row r="114" spans="1:14" ht="14.5" x14ac:dyDescent="0.35">
      <c r="A114" s="10">
        <v>100024716</v>
      </c>
      <c r="B114">
        <v>7707200940220</v>
      </c>
      <c r="C114" s="10" t="s">
        <v>288</v>
      </c>
      <c r="D114" t="s">
        <v>44</v>
      </c>
      <c r="E114" t="s">
        <v>33</v>
      </c>
      <c r="F114" t="s">
        <v>39</v>
      </c>
      <c r="G114" t="s">
        <v>139</v>
      </c>
      <c r="H114" t="s">
        <v>252</v>
      </c>
      <c r="I114" t="s">
        <v>247</v>
      </c>
      <c r="J114">
        <f>VLOOKUP(A114,Catálogo!A:B,2,0)</f>
        <v>555.55999999999995</v>
      </c>
      <c r="K114">
        <f>VLOOKUP(A114,Catálogo!A:C,3,0)</f>
        <v>4</v>
      </c>
      <c r="L114">
        <f>VLOOKUP(A114,Catálogo!A:D,4,0)</f>
        <v>0</v>
      </c>
      <c r="N114" s="10" t="str">
        <f>VLOOKUP(A114,[2]Hoja1!$B:$D,3,0)</f>
        <v>Devoluciones Vuse (feb 2025)</v>
      </c>
    </row>
    <row r="115" spans="1:14" ht="14.5" x14ac:dyDescent="0.35">
      <c r="A115">
        <v>100023362</v>
      </c>
      <c r="B115">
        <v>7503031950533</v>
      </c>
      <c r="C115" t="s">
        <v>419</v>
      </c>
      <c r="D115" t="s">
        <v>11</v>
      </c>
      <c r="E115" t="s">
        <v>33</v>
      </c>
      <c r="F115" t="s">
        <v>41</v>
      </c>
      <c r="G115" t="s">
        <v>35</v>
      </c>
      <c r="H115" t="s">
        <v>36</v>
      </c>
      <c r="I115" t="s">
        <v>109</v>
      </c>
      <c r="J115">
        <f>VLOOKUP(A115,Catálogo!A:B,2,0)</f>
        <v>524.71</v>
      </c>
      <c r="K115">
        <f>VLOOKUP(A115,Catálogo!A:C,3,0)</f>
        <v>9</v>
      </c>
      <c r="L115">
        <f>VLOOKUP(A115,Catálogo!A:D,4,0)</f>
        <v>0</v>
      </c>
      <c r="N115" s="10" t="str">
        <f>VLOOKUP(A115,[2]Hoja1!$B:$D,3,0)</f>
        <v>Devolución PMI 2024</v>
      </c>
    </row>
    <row r="116" spans="1:14" ht="14.5" x14ac:dyDescent="0.35">
      <c r="A116">
        <v>100020137</v>
      </c>
      <c r="B116">
        <v>7503031950168</v>
      </c>
      <c r="C116" t="s">
        <v>420</v>
      </c>
      <c r="D116" t="s">
        <v>11</v>
      </c>
      <c r="E116" t="s">
        <v>33</v>
      </c>
      <c r="F116" t="s">
        <v>41</v>
      </c>
      <c r="G116" t="s">
        <v>35</v>
      </c>
      <c r="H116" t="s">
        <v>36</v>
      </c>
      <c r="I116" t="s">
        <v>109</v>
      </c>
      <c r="J116">
        <f>VLOOKUP(A116,Catálogo!A:B,2,0)</f>
        <v>40.520000000000003</v>
      </c>
      <c r="K116">
        <f>VLOOKUP(A116,Catálogo!A:C,3,0)</f>
        <v>1</v>
      </c>
      <c r="L116">
        <f>VLOOKUP(A116,Catálogo!A:D,4,0)</f>
        <v>0</v>
      </c>
      <c r="N116" s="10" t="str">
        <f>VLOOKUP(A116,[2]Hoja1!$B:$D,3,0)</f>
        <v>Descontinuado PMI</v>
      </c>
    </row>
    <row r="117" spans="1:14" ht="14.5" x14ac:dyDescent="0.35">
      <c r="A117">
        <v>100020888</v>
      </c>
      <c r="B117">
        <v>7501031701582</v>
      </c>
      <c r="C117" t="s">
        <v>302</v>
      </c>
      <c r="D117" t="s">
        <v>44</v>
      </c>
      <c r="E117" t="s">
        <v>33</v>
      </c>
      <c r="F117" t="s">
        <v>39</v>
      </c>
      <c r="G117" t="s">
        <v>139</v>
      </c>
      <c r="H117" t="s">
        <v>252</v>
      </c>
      <c r="I117" t="s">
        <v>247</v>
      </c>
      <c r="J117">
        <f>VLOOKUP(A117,Catálogo!A:B,2,0)</f>
        <v>518.52</v>
      </c>
      <c r="K117">
        <f>VLOOKUP(A117,Catálogo!A:C,3,0)</f>
        <v>4</v>
      </c>
      <c r="L117">
        <f>VLOOKUP(A117,Catálogo!A:D,4,0)</f>
        <v>0</v>
      </c>
      <c r="N117" s="10" t="str">
        <f>VLOOKUP(A117,[2]Hoja1!$B:$D,3,0)</f>
        <v>Devoluciones Vuse (feb 2025)</v>
      </c>
    </row>
    <row r="118" spans="1:14" ht="14.5" x14ac:dyDescent="0.35">
      <c r="A118">
        <v>100020877</v>
      </c>
      <c r="B118">
        <v>7501031701612</v>
      </c>
      <c r="C118" t="s">
        <v>309</v>
      </c>
      <c r="D118" t="s">
        <v>44</v>
      </c>
      <c r="E118" t="s">
        <v>33</v>
      </c>
      <c r="F118" t="s">
        <v>39</v>
      </c>
      <c r="G118" t="s">
        <v>139</v>
      </c>
      <c r="H118" t="s">
        <v>252</v>
      </c>
      <c r="I118" t="s">
        <v>247</v>
      </c>
      <c r="J118">
        <f>VLOOKUP(A118,Catálogo!A:B,2,0)</f>
        <v>259.26</v>
      </c>
      <c r="K118">
        <f>VLOOKUP(A118,Catálogo!A:C,3,0)</f>
        <v>2</v>
      </c>
      <c r="L118">
        <f>VLOOKUP(A118,Catálogo!A:D,4,0)</f>
        <v>0</v>
      </c>
      <c r="N118" s="10" t="str">
        <f>VLOOKUP(A118,[2]Hoja1!$B:$D,3,0)</f>
        <v>Devoluciones Vuse (feb 2025)</v>
      </c>
    </row>
    <row r="119" spans="1:14" ht="14.5" x14ac:dyDescent="0.35">
      <c r="A119">
        <v>100080865</v>
      </c>
      <c r="B119">
        <v>75039370</v>
      </c>
      <c r="C119" t="s">
        <v>534</v>
      </c>
      <c r="D119" t="s">
        <v>32</v>
      </c>
      <c r="E119" t="s">
        <v>33</v>
      </c>
      <c r="F119" t="s">
        <v>46</v>
      </c>
      <c r="G119" t="s">
        <v>14</v>
      </c>
      <c r="H119" t="s">
        <v>36</v>
      </c>
      <c r="I119" t="s">
        <v>247</v>
      </c>
      <c r="J119">
        <f>VLOOKUP(A119,Catálogo!A:B,2,0)</f>
        <v>431.03</v>
      </c>
      <c r="K119">
        <f>VLOOKUP(A119,Catálogo!A:C,3,0)</f>
        <v>10</v>
      </c>
      <c r="L119">
        <f>VLOOKUP(A119,Catálogo!A:D,4,0)</f>
        <v>0</v>
      </c>
      <c r="N119" s="10" t="str">
        <f>VLOOKUP(A119,[2]Hoja1!$B:$D,3,0)</f>
        <v>Descontinuado JTI</v>
      </c>
    </row>
    <row r="120" spans="1:14" ht="14.5" x14ac:dyDescent="0.35">
      <c r="A120">
        <v>100008185</v>
      </c>
      <c r="B120">
        <v>75057824</v>
      </c>
      <c r="C120" t="s">
        <v>518</v>
      </c>
      <c r="D120" t="s">
        <v>11</v>
      </c>
      <c r="E120" t="s">
        <v>33</v>
      </c>
      <c r="F120" t="s">
        <v>41</v>
      </c>
      <c r="G120" t="s">
        <v>54</v>
      </c>
      <c r="H120" t="s">
        <v>36</v>
      </c>
      <c r="I120" t="s">
        <v>109</v>
      </c>
      <c r="J120">
        <f>VLOOKUP(A120,Catálogo!A:B,2,0)</f>
        <v>444.44</v>
      </c>
      <c r="K120">
        <f>VLOOKUP(A120,Catálogo!A:C,3,0)</f>
        <v>16</v>
      </c>
      <c r="L120">
        <f>VLOOKUP(A120,Catálogo!A:D,4,0)</f>
        <v>0</v>
      </c>
      <c r="N120" s="10" t="str">
        <f>VLOOKUP(A120,[2]Hoja1!$B:$D,3,0)</f>
        <v>Devolución 2024 PMI</v>
      </c>
    </row>
    <row r="121" spans="1:14" ht="14.5" x14ac:dyDescent="0.35">
      <c r="A121">
        <v>100013983</v>
      </c>
      <c r="B121">
        <v>75067854</v>
      </c>
      <c r="C121" t="s">
        <v>515</v>
      </c>
      <c r="D121" t="s">
        <v>11</v>
      </c>
      <c r="E121" t="s">
        <v>33</v>
      </c>
      <c r="F121" t="s">
        <v>41</v>
      </c>
      <c r="G121" t="s">
        <v>35</v>
      </c>
      <c r="H121" t="s">
        <v>36</v>
      </c>
      <c r="I121" t="s">
        <v>109</v>
      </c>
      <c r="J121">
        <f>VLOOKUP(A121,Catálogo!A:B,2,0)</f>
        <v>593.48</v>
      </c>
      <c r="K121">
        <f>VLOOKUP(A121,Catálogo!A:C,3,0)</f>
        <v>9</v>
      </c>
      <c r="L121">
        <f>VLOOKUP(A121,Catálogo!A:D,4,0)</f>
        <v>0</v>
      </c>
      <c r="N121" s="10" t="str">
        <f>VLOOKUP(A121,[2]Hoja1!$B:$D,3,0)</f>
        <v>Devolución 2024 PMI</v>
      </c>
    </row>
    <row r="122" spans="1:14" ht="14.5" x14ac:dyDescent="0.35">
      <c r="A122">
        <v>100022784</v>
      </c>
      <c r="B122">
        <v>7501031701544</v>
      </c>
      <c r="C122" t="s">
        <v>316</v>
      </c>
      <c r="D122" t="s">
        <v>44</v>
      </c>
      <c r="E122" t="s">
        <v>33</v>
      </c>
      <c r="F122" t="s">
        <v>39</v>
      </c>
      <c r="G122" t="s">
        <v>578</v>
      </c>
      <c r="H122" t="s">
        <v>252</v>
      </c>
      <c r="I122" t="s">
        <v>247</v>
      </c>
      <c r="J122">
        <f>VLOOKUP(A122,Catálogo!A:B,2,0)</f>
        <v>458.33</v>
      </c>
      <c r="K122">
        <f>VLOOKUP(A122,Catálogo!A:C,3,0)</f>
        <v>5</v>
      </c>
      <c r="L122">
        <f>VLOOKUP(A122,Catálogo!A:D,4,0)</f>
        <v>0</v>
      </c>
      <c r="N122" s="10" t="str">
        <f>VLOOKUP(A122,[2]Hoja1!$B:$D,3,0)</f>
        <v>Devoluciones Vuse (feb 2025)</v>
      </c>
    </row>
    <row r="123" spans="1:14" ht="14.5" x14ac:dyDescent="0.35">
      <c r="A123">
        <v>100080937</v>
      </c>
      <c r="B123">
        <v>75046781</v>
      </c>
      <c r="C123" t="s">
        <v>421</v>
      </c>
      <c r="D123" t="s">
        <v>11</v>
      </c>
      <c r="E123" t="s">
        <v>33</v>
      </c>
      <c r="F123" t="s">
        <v>39</v>
      </c>
      <c r="G123" t="s">
        <v>35</v>
      </c>
      <c r="H123" t="s">
        <v>36</v>
      </c>
      <c r="I123" t="s">
        <v>109</v>
      </c>
      <c r="J123">
        <f>VLOOKUP(A123,Catálogo!A:B,2,0)</f>
        <v>453.7</v>
      </c>
      <c r="K123">
        <f>VLOOKUP(A123,Catálogo!A:C,3,0)</f>
        <v>10</v>
      </c>
      <c r="L123">
        <f>VLOOKUP(A123,Catálogo!A:D,4,0)</f>
        <v>0</v>
      </c>
      <c r="N123" s="10" t="str">
        <f>VLOOKUP(A123,[2]Hoja1!$B:$D,3,0)</f>
        <v>Descontinuado PMI</v>
      </c>
    </row>
    <row r="124" spans="1:14" ht="14.5" x14ac:dyDescent="0.35">
      <c r="A124">
        <v>100021415</v>
      </c>
      <c r="B124">
        <v>75022259</v>
      </c>
      <c r="C124" t="s">
        <v>399</v>
      </c>
      <c r="D124" t="s">
        <v>11</v>
      </c>
      <c r="E124" t="s">
        <v>33</v>
      </c>
      <c r="F124" t="s">
        <v>39</v>
      </c>
      <c r="G124" t="s">
        <v>54</v>
      </c>
      <c r="H124" t="s">
        <v>36</v>
      </c>
      <c r="I124" t="s">
        <v>109</v>
      </c>
      <c r="J124">
        <f>VLOOKUP(A124,Catálogo!A:B,2,0)</f>
        <v>225</v>
      </c>
      <c r="K124">
        <f>VLOOKUP(A124,Catálogo!A:C,3,0)</f>
        <v>3</v>
      </c>
      <c r="L124">
        <f>VLOOKUP(A124,Catálogo!A:D,4,0)</f>
        <v>0</v>
      </c>
      <c r="N124" s="10" t="str">
        <f>VLOOKUP(A124,[2]Hoja1!$B:$D,3,0)</f>
        <v>Devolución PMI 2024</v>
      </c>
    </row>
    <row r="125" spans="1:14" ht="14.5" x14ac:dyDescent="0.35">
      <c r="A125">
        <v>100024301</v>
      </c>
      <c r="B125">
        <v>7503031950960</v>
      </c>
      <c r="C125" t="s">
        <v>373</v>
      </c>
      <c r="D125" t="s">
        <v>11</v>
      </c>
      <c r="E125" t="s">
        <v>33</v>
      </c>
      <c r="F125" t="s">
        <v>46</v>
      </c>
      <c r="G125" t="s">
        <v>14</v>
      </c>
      <c r="H125" t="s">
        <v>36</v>
      </c>
      <c r="I125" t="s">
        <v>109</v>
      </c>
      <c r="J125" t="e">
        <f>VLOOKUP(A125,Catálogo!A:B,2,0)</f>
        <v>#N/A</v>
      </c>
      <c r="K125" t="e">
        <f>VLOOKUP(A125,Catálogo!A:C,3,0)</f>
        <v>#N/A</v>
      </c>
      <c r="L125" t="e">
        <f>VLOOKUP(A125,Catálogo!A:D,4,0)</f>
        <v>#N/A</v>
      </c>
      <c r="M125" t="e">
        <f>J125/L125</f>
        <v>#N/A</v>
      </c>
      <c r="N125" s="10" t="str">
        <f>VLOOKUP(A125,[2]Hoja1!$B:$D,3,0)</f>
        <v>Devolución PMI 2024</v>
      </c>
    </row>
    <row r="126" spans="1:14" ht="14.5" x14ac:dyDescent="0.35">
      <c r="A126">
        <v>100080991</v>
      </c>
      <c r="B126">
        <v>75050047</v>
      </c>
      <c r="C126" t="s">
        <v>331</v>
      </c>
      <c r="D126" t="s">
        <v>44</v>
      </c>
      <c r="E126" t="s">
        <v>33</v>
      </c>
      <c r="F126" t="s">
        <v>46</v>
      </c>
      <c r="G126" t="s">
        <v>52</v>
      </c>
      <c r="H126" t="s">
        <v>36</v>
      </c>
      <c r="I126" t="s">
        <v>247</v>
      </c>
      <c r="J126" t="e">
        <f>VLOOKUP(A126,Catálogo!A:B,2,0)</f>
        <v>#N/A</v>
      </c>
      <c r="K126" t="e">
        <f>VLOOKUP(A126,Catálogo!A:C,3,0)</f>
        <v>#N/A</v>
      </c>
      <c r="L126" t="e">
        <f>VLOOKUP(A126,Catálogo!A:D,4,0)</f>
        <v>#N/A</v>
      </c>
      <c r="N126" s="10" t="str">
        <f>VLOOKUP(A126,[2]Hoja1!$B:$D,3,0)</f>
        <v>Descontinuado BAT</v>
      </c>
    </row>
    <row r="127" spans="1:14" ht="14.5" x14ac:dyDescent="0.35">
      <c r="A127">
        <v>100080695</v>
      </c>
      <c r="B127">
        <v>8338918</v>
      </c>
      <c r="C127" t="s">
        <v>536</v>
      </c>
      <c r="D127" t="s">
        <v>32</v>
      </c>
      <c r="E127" t="s">
        <v>33</v>
      </c>
      <c r="F127" t="s">
        <v>46</v>
      </c>
      <c r="G127" t="s">
        <v>35</v>
      </c>
      <c r="H127" t="s">
        <v>36</v>
      </c>
      <c r="I127" t="s">
        <v>247</v>
      </c>
      <c r="J127">
        <f>VLOOKUP(A127,Catálogo!A:B,2,0)</f>
        <v>127.59</v>
      </c>
      <c r="K127">
        <f>VLOOKUP(A127,Catálogo!A:C,3,0)</f>
        <v>4</v>
      </c>
      <c r="L127">
        <f>VLOOKUP(A127,Catálogo!A:D,4,0)</f>
        <v>0</v>
      </c>
      <c r="N127" s="10" t="str">
        <f>VLOOKUP(A127,[2]Hoja1!$B:$D,3,0)</f>
        <v>Descontinuado JTI</v>
      </c>
    </row>
    <row r="128" spans="1:14" ht="14.5" x14ac:dyDescent="0.35">
      <c r="A128">
        <v>100008777</v>
      </c>
      <c r="B128">
        <v>75061135</v>
      </c>
      <c r="C128" t="s">
        <v>454</v>
      </c>
      <c r="D128" t="s">
        <v>44</v>
      </c>
      <c r="E128" t="s">
        <v>33</v>
      </c>
      <c r="F128" t="s">
        <v>46</v>
      </c>
      <c r="G128" t="s">
        <v>58</v>
      </c>
      <c r="H128" t="s">
        <v>36</v>
      </c>
      <c r="I128" t="s">
        <v>247</v>
      </c>
      <c r="J128">
        <f>VLOOKUP(A128,Catálogo!A:B,2,0)</f>
        <v>254.31</v>
      </c>
      <c r="K128">
        <f>VLOOKUP(A128,Catálogo!A:C,3,0)</f>
        <v>5</v>
      </c>
      <c r="L128">
        <f>VLOOKUP(A128,Catálogo!A:D,4,0)</f>
        <v>0</v>
      </c>
      <c r="N128" s="10" t="str">
        <f>VLOOKUP(A128,[2]Hoja1!$B:$D,3,0)</f>
        <v>Descontinuado BAT</v>
      </c>
    </row>
    <row r="129" spans="1:14" ht="14.5" x14ac:dyDescent="0.35">
      <c r="A129">
        <v>100020724</v>
      </c>
      <c r="B129">
        <v>7503031950182</v>
      </c>
      <c r="C129" t="s">
        <v>409</v>
      </c>
      <c r="D129" t="s">
        <v>11</v>
      </c>
      <c r="E129" t="s">
        <v>33</v>
      </c>
      <c r="F129" t="s">
        <v>46</v>
      </c>
      <c r="G129" t="s">
        <v>14</v>
      </c>
      <c r="H129" t="s">
        <v>36</v>
      </c>
      <c r="I129" t="s">
        <v>109</v>
      </c>
      <c r="J129" t="e">
        <f>VLOOKUP(A129,Catálogo!A:B,2,0)</f>
        <v>#N/A</v>
      </c>
      <c r="K129" t="e">
        <f>VLOOKUP(A129,Catálogo!A:C,3,0)</f>
        <v>#N/A</v>
      </c>
      <c r="L129" t="e">
        <f>VLOOKUP(A129,Catálogo!A:D,4,0)</f>
        <v>#N/A</v>
      </c>
      <c r="N129" s="10" t="str">
        <f>VLOOKUP(A129,[2]Hoja1!$B:$D,3,0)</f>
        <v>Devolución PMI 2024</v>
      </c>
    </row>
    <row r="130" spans="1:14" ht="14.5" x14ac:dyDescent="0.35">
      <c r="A130">
        <v>100020725</v>
      </c>
      <c r="B130">
        <v>7503031950199</v>
      </c>
      <c r="C130" t="s">
        <v>410</v>
      </c>
      <c r="D130" t="s">
        <v>11</v>
      </c>
      <c r="E130" t="s">
        <v>33</v>
      </c>
      <c r="F130" t="s">
        <v>46</v>
      </c>
      <c r="G130" t="s">
        <v>14</v>
      </c>
      <c r="H130" t="s">
        <v>36</v>
      </c>
      <c r="I130" t="s">
        <v>109</v>
      </c>
      <c r="J130" t="e">
        <f>VLOOKUP(A130,Catálogo!A:B,2,0)</f>
        <v>#N/A</v>
      </c>
      <c r="K130" t="e">
        <f>VLOOKUP(A130,Catálogo!A:C,3,0)</f>
        <v>#N/A</v>
      </c>
      <c r="L130" t="e">
        <f>VLOOKUP(A130,Catálogo!A:D,4,0)</f>
        <v>#N/A</v>
      </c>
      <c r="N130" s="10" t="str">
        <f>VLOOKUP(A130,[2]Hoja1!$B:$D,3,0)</f>
        <v>Devolución PMI 2024</v>
      </c>
    </row>
    <row r="131" spans="1:14" ht="14.5" x14ac:dyDescent="0.35">
      <c r="A131">
        <v>100080891</v>
      </c>
      <c r="B131">
        <v>75042936</v>
      </c>
      <c r="C131" t="s">
        <v>354</v>
      </c>
      <c r="D131" t="s">
        <v>44</v>
      </c>
      <c r="E131" t="s">
        <v>33</v>
      </c>
      <c r="F131" t="s">
        <v>46</v>
      </c>
      <c r="G131" t="s">
        <v>52</v>
      </c>
      <c r="H131" t="s">
        <v>36</v>
      </c>
      <c r="I131" t="s">
        <v>247</v>
      </c>
      <c r="J131">
        <f>VLOOKUP(A131,Catálogo!A:B,2,0)</f>
        <v>36.21</v>
      </c>
      <c r="K131">
        <f>VLOOKUP(A131,Catálogo!A:C,3,0)</f>
        <v>1</v>
      </c>
      <c r="L131">
        <f>VLOOKUP(A131,Catálogo!A:D,4,0)</f>
        <v>0</v>
      </c>
      <c r="N131" s="10" t="str">
        <f>VLOOKUP(A131,[2]Hoja1!$B:$D,3,0)</f>
        <v>Descontinuado BAT</v>
      </c>
    </row>
    <row r="132" spans="1:14" ht="14.5" x14ac:dyDescent="0.35">
      <c r="A132">
        <v>100011671</v>
      </c>
      <c r="B132">
        <v>75063771</v>
      </c>
      <c r="C132" t="s">
        <v>505</v>
      </c>
      <c r="D132" t="s">
        <v>11</v>
      </c>
      <c r="E132" t="s">
        <v>33</v>
      </c>
      <c r="F132" t="s">
        <v>41</v>
      </c>
      <c r="G132" t="s">
        <v>14</v>
      </c>
      <c r="H132" t="s">
        <v>36</v>
      </c>
      <c r="I132" t="s">
        <v>109</v>
      </c>
      <c r="J132">
        <f>VLOOKUP(A132,Catálogo!A:B,2,0)</f>
        <v>550.86</v>
      </c>
      <c r="K132">
        <f>VLOOKUP(A132,Catálogo!A:C,3,0)</f>
        <v>9</v>
      </c>
      <c r="L132">
        <f>VLOOKUP(A132,Catálogo!A:D,4,0)</f>
        <v>0</v>
      </c>
      <c r="M132" t="e">
        <f>J132/L132</f>
        <v>#DIV/0!</v>
      </c>
      <c r="N132" s="10" t="str">
        <f>VLOOKUP(A132,[2]Hoja1!$B:$D,3,0)</f>
        <v>Devolución 2024 PMI</v>
      </c>
    </row>
    <row r="133" spans="1:14" ht="14.5" x14ac:dyDescent="0.35">
      <c r="A133">
        <v>100015219</v>
      </c>
      <c r="B133">
        <v>75069933</v>
      </c>
      <c r="C133" t="s">
        <v>395</v>
      </c>
      <c r="D133" t="s">
        <v>11</v>
      </c>
      <c r="E133" t="s">
        <v>33</v>
      </c>
      <c r="F133" t="s">
        <v>39</v>
      </c>
      <c r="G133" t="s">
        <v>35</v>
      </c>
      <c r="H133" t="s">
        <v>36</v>
      </c>
      <c r="I133" t="s">
        <v>109</v>
      </c>
      <c r="J133">
        <f>VLOOKUP(A133,Catálogo!A:B,2,0)</f>
        <v>300</v>
      </c>
      <c r="K133">
        <f>VLOOKUP(A133,Catálogo!A:C,3,0)</f>
        <v>4</v>
      </c>
      <c r="L133">
        <f>VLOOKUP(A133,Catálogo!A:D,4,0)</f>
        <v>0</v>
      </c>
      <c r="N133" s="10" t="str">
        <f>VLOOKUP(A133,[2]Hoja1!$B:$D,3,0)</f>
        <v>Devolución PMI 2024</v>
      </c>
    </row>
    <row r="134" spans="1:14" ht="14.5" x14ac:dyDescent="0.35">
      <c r="A134">
        <v>100008184</v>
      </c>
      <c r="B134">
        <v>75057800</v>
      </c>
      <c r="C134" t="s">
        <v>528</v>
      </c>
      <c r="D134" t="s">
        <v>11</v>
      </c>
      <c r="E134" t="s">
        <v>33</v>
      </c>
      <c r="F134" t="s">
        <v>41</v>
      </c>
      <c r="G134" t="s">
        <v>71</v>
      </c>
      <c r="H134" t="s">
        <v>36</v>
      </c>
      <c r="I134" t="s">
        <v>109</v>
      </c>
      <c r="J134" t="e">
        <f>VLOOKUP(A134,Catálogo!A:B,2,0)</f>
        <v>#N/A</v>
      </c>
      <c r="K134" t="e">
        <f>VLOOKUP(A134,Catálogo!A:C,3,0)</f>
        <v>#N/A</v>
      </c>
      <c r="L134" t="e">
        <f>VLOOKUP(A134,Catálogo!A:D,4,0)</f>
        <v>#N/A</v>
      </c>
      <c r="N134" s="10" t="str">
        <f>VLOOKUP(A134,[2]Hoja1!$B:$D,3,0)</f>
        <v>Devolución 2024 PMI</v>
      </c>
    </row>
    <row r="135" spans="1:14" ht="14.5" x14ac:dyDescent="0.35">
      <c r="A135">
        <v>100010267</v>
      </c>
      <c r="B135">
        <v>75061463</v>
      </c>
      <c r="C135" t="s">
        <v>489</v>
      </c>
      <c r="D135" t="s">
        <v>11</v>
      </c>
      <c r="E135" t="s">
        <v>33</v>
      </c>
      <c r="F135" t="s">
        <v>41</v>
      </c>
      <c r="G135" t="s">
        <v>54</v>
      </c>
      <c r="H135" t="s">
        <v>36</v>
      </c>
      <c r="I135" t="s">
        <v>109</v>
      </c>
      <c r="J135" t="e">
        <f>VLOOKUP(A135,Catálogo!A:B,2,0)</f>
        <v>#N/A</v>
      </c>
      <c r="K135" t="e">
        <f>VLOOKUP(A135,Catálogo!A:C,3,0)</f>
        <v>#N/A</v>
      </c>
      <c r="L135" t="e">
        <f>VLOOKUP(A135,Catálogo!A:D,4,0)</f>
        <v>#N/A</v>
      </c>
      <c r="N135" s="10" t="str">
        <f>VLOOKUP(A135,[2]Hoja1!$B:$D,3,0)</f>
        <v>Descontinuados JTI</v>
      </c>
    </row>
    <row r="136" spans="1:14" ht="14.5" x14ac:dyDescent="0.35">
      <c r="A136">
        <v>100020135</v>
      </c>
      <c r="B136">
        <v>7503031950137</v>
      </c>
      <c r="C136" t="s">
        <v>405</v>
      </c>
      <c r="D136" t="s">
        <v>11</v>
      </c>
      <c r="E136" t="s">
        <v>33</v>
      </c>
      <c r="F136" t="s">
        <v>46</v>
      </c>
      <c r="G136" t="s">
        <v>14</v>
      </c>
      <c r="H136" t="s">
        <v>36</v>
      </c>
      <c r="I136" t="s">
        <v>109</v>
      </c>
      <c r="J136" t="e">
        <f>VLOOKUP(A136,Catálogo!A:B,2,0)</f>
        <v>#N/A</v>
      </c>
      <c r="K136" t="e">
        <f>VLOOKUP(A136,Catálogo!A:C,3,0)</f>
        <v>#N/A</v>
      </c>
      <c r="L136" t="e">
        <f>VLOOKUP(A136,Catálogo!A:D,4,0)</f>
        <v>#N/A</v>
      </c>
      <c r="N136" s="10" t="str">
        <f>VLOOKUP(A136,[2]Hoja1!$B:$D,3,0)</f>
        <v>Descontinuado PMI</v>
      </c>
    </row>
    <row r="137" spans="1:14" ht="14.5" x14ac:dyDescent="0.35">
      <c r="A137">
        <v>100080895</v>
      </c>
      <c r="B137">
        <v>75043230</v>
      </c>
      <c r="C137" t="s">
        <v>535</v>
      </c>
      <c r="D137" t="s">
        <v>32</v>
      </c>
      <c r="E137" t="s">
        <v>33</v>
      </c>
      <c r="F137" t="s">
        <v>46</v>
      </c>
      <c r="G137" t="s">
        <v>14</v>
      </c>
      <c r="H137" t="s">
        <v>36</v>
      </c>
      <c r="I137" t="s">
        <v>247</v>
      </c>
      <c r="J137">
        <f>VLOOKUP(A137,Catálogo!A:B,2,0)</f>
        <v>265</v>
      </c>
      <c r="K137">
        <f>VLOOKUP(A137,Catálogo!A:C,3,0)</f>
        <v>6</v>
      </c>
      <c r="L137">
        <f>VLOOKUP(A137,Catálogo!A:D,4,0)</f>
        <v>0</v>
      </c>
      <c r="N137" s="10" t="str">
        <f>VLOOKUP(A137,[2]Hoja1!$B:$D,3,0)</f>
        <v>Descontinuado JTI</v>
      </c>
    </row>
    <row r="138" spans="1:14" ht="14.5" x14ac:dyDescent="0.35">
      <c r="A138">
        <v>100020873</v>
      </c>
      <c r="B138">
        <v>7501031701605</v>
      </c>
      <c r="C138" t="s">
        <v>312</v>
      </c>
      <c r="D138" t="s">
        <v>44</v>
      </c>
      <c r="E138" t="s">
        <v>33</v>
      </c>
      <c r="F138" t="s">
        <v>39</v>
      </c>
      <c r="G138" t="s">
        <v>139</v>
      </c>
      <c r="H138" t="s">
        <v>252</v>
      </c>
      <c r="I138" t="s">
        <v>247</v>
      </c>
      <c r="J138">
        <f>VLOOKUP(A138,Catálogo!A:B,2,0)</f>
        <v>259.26</v>
      </c>
      <c r="K138">
        <f>VLOOKUP(A138,Catálogo!A:C,3,0)</f>
        <v>2</v>
      </c>
      <c r="L138">
        <f>VLOOKUP(A138,Catálogo!A:D,4,0)</f>
        <v>0</v>
      </c>
      <c r="N138" s="10" t="str">
        <f>VLOOKUP(A138,[2]Hoja1!$B:$D,3,0)</f>
        <v>Devoluciones Vuse (feb 2025)</v>
      </c>
    </row>
    <row r="139" spans="1:14" ht="14.5" x14ac:dyDescent="0.35">
      <c r="A139" s="10">
        <v>100024718</v>
      </c>
      <c r="B139">
        <v>7707200945430</v>
      </c>
      <c r="C139" s="10" t="s">
        <v>579</v>
      </c>
      <c r="D139" t="s">
        <v>44</v>
      </c>
      <c r="E139" t="s">
        <v>33</v>
      </c>
      <c r="F139" t="s">
        <v>39</v>
      </c>
      <c r="G139" t="s">
        <v>139</v>
      </c>
      <c r="H139" t="s">
        <v>252</v>
      </c>
      <c r="I139" t="s">
        <v>247</v>
      </c>
      <c r="J139">
        <f>VLOOKUP(A139,Catálogo!A:B,2,0)</f>
        <v>258.62</v>
      </c>
      <c r="K139">
        <f>VLOOKUP(A139,Catálogo!A:C,3,0)</f>
        <v>2</v>
      </c>
      <c r="L139">
        <f>VLOOKUP(A139,Catálogo!A:D,4,0)</f>
        <v>0</v>
      </c>
      <c r="N139" s="10" t="str">
        <f>VLOOKUP(A139,[2]Hoja1!$B:$D,3,0)</f>
        <v>Devoluciones Vuse (feb 2025)</v>
      </c>
    </row>
    <row r="140" spans="1:14" ht="14.5" x14ac:dyDescent="0.35">
      <c r="A140" s="10">
        <v>100024715</v>
      </c>
      <c r="B140">
        <v>7707200946987</v>
      </c>
      <c r="C140" s="10" t="s">
        <v>286</v>
      </c>
      <c r="D140" t="s">
        <v>44</v>
      </c>
      <c r="E140" t="s">
        <v>33</v>
      </c>
      <c r="F140" t="s">
        <v>39</v>
      </c>
      <c r="G140" t="s">
        <v>139</v>
      </c>
      <c r="H140" t="s">
        <v>252</v>
      </c>
      <c r="I140" t="s">
        <v>247</v>
      </c>
      <c r="J140">
        <f>VLOOKUP(A140,Catálogo!A:B,2,0)</f>
        <v>129.31</v>
      </c>
      <c r="K140">
        <f>VLOOKUP(A140,Catálogo!A:C,3,0)</f>
        <v>1</v>
      </c>
      <c r="L140">
        <f>VLOOKUP(A140,Catálogo!A:D,4,0)</f>
        <v>0</v>
      </c>
      <c r="N140" s="10" t="str">
        <f>VLOOKUP(A140,[2]Hoja1!$B:$D,3,0)</f>
        <v>Devoluciones Vuse (feb 2025)</v>
      </c>
    </row>
    <row r="141" spans="1:14" ht="14.5" x14ac:dyDescent="0.35">
      <c r="A141">
        <v>100080917</v>
      </c>
      <c r="B141">
        <v>75045135</v>
      </c>
      <c r="C141" t="s">
        <v>532</v>
      </c>
      <c r="D141" t="s">
        <v>32</v>
      </c>
      <c r="E141" t="s">
        <v>33</v>
      </c>
      <c r="F141" t="s">
        <v>46</v>
      </c>
      <c r="G141" t="s">
        <v>35</v>
      </c>
      <c r="H141" t="s">
        <v>36</v>
      </c>
      <c r="I141" t="s">
        <v>247</v>
      </c>
      <c r="J141">
        <f>VLOOKUP(A141,Catálogo!A:B,2,0)</f>
        <v>138.88999999999999</v>
      </c>
      <c r="K141">
        <f>VLOOKUP(A141,Catálogo!A:C,3,0)</f>
        <v>3</v>
      </c>
      <c r="L141">
        <f>VLOOKUP(A141,Catálogo!A:D,4,0)</f>
        <v>0</v>
      </c>
      <c r="N141" s="10" t="str">
        <f>VLOOKUP(A141,[2]Hoja1!$B:$D,3,0)</f>
        <v>Descontinuado JTI</v>
      </c>
    </row>
    <row r="142" spans="1:14" ht="14.5" x14ac:dyDescent="0.35">
      <c r="A142">
        <v>100013301</v>
      </c>
      <c r="B142">
        <v>75066611</v>
      </c>
      <c r="C142" t="s">
        <v>456</v>
      </c>
      <c r="D142" t="s">
        <v>44</v>
      </c>
      <c r="E142" t="s">
        <v>33</v>
      </c>
      <c r="F142" t="s">
        <v>39</v>
      </c>
      <c r="G142" t="s">
        <v>52</v>
      </c>
      <c r="H142" t="s">
        <v>36</v>
      </c>
      <c r="I142" t="s">
        <v>247</v>
      </c>
      <c r="J142">
        <f>VLOOKUP(A142,Catálogo!A:B,2,0)</f>
        <v>73.28</v>
      </c>
      <c r="K142">
        <f>VLOOKUP(A142,Catálogo!A:C,3,0)</f>
        <v>1</v>
      </c>
      <c r="L142">
        <f>VLOOKUP(A142,Catálogo!A:D,4,0)</f>
        <v>0</v>
      </c>
      <c r="N142" s="10" t="str">
        <f>VLOOKUP(A142,[2]Hoja1!$B:$D,3,0)</f>
        <v>Descontinuado BAT</v>
      </c>
    </row>
    <row r="143" spans="1:14" ht="14.5" x14ac:dyDescent="0.35">
      <c r="A143">
        <v>100021886</v>
      </c>
      <c r="B143">
        <v>75077389</v>
      </c>
      <c r="C143" t="s">
        <v>347</v>
      </c>
      <c r="D143" t="s">
        <v>44</v>
      </c>
      <c r="E143" t="s">
        <v>33</v>
      </c>
      <c r="F143" t="s">
        <v>46</v>
      </c>
      <c r="G143" t="s">
        <v>54</v>
      </c>
      <c r="H143" t="s">
        <v>36</v>
      </c>
      <c r="I143" t="s">
        <v>247</v>
      </c>
      <c r="J143">
        <f>VLOOKUP(A143,Catálogo!A:B,2,0)</f>
        <v>251.72</v>
      </c>
      <c r="K143">
        <f>VLOOKUP(A143,Catálogo!A:C,3,0)</f>
        <v>4</v>
      </c>
      <c r="L143">
        <f>VLOOKUP(A143,Catálogo!A:D,4,0)</f>
        <v>0</v>
      </c>
      <c r="N143" s="10" t="str">
        <f>VLOOKUP(A143,[2]Hoja1!$B:$D,3,0)</f>
        <v>Descontinuado BAT</v>
      </c>
    </row>
    <row r="144" spans="1:14" ht="14.5" x14ac:dyDescent="0.35">
      <c r="A144">
        <v>100021422</v>
      </c>
      <c r="B144">
        <v>75022242</v>
      </c>
      <c r="C144" t="s">
        <v>393</v>
      </c>
      <c r="D144" t="s">
        <v>11</v>
      </c>
      <c r="E144" t="s">
        <v>33</v>
      </c>
      <c r="F144" t="s">
        <v>39</v>
      </c>
      <c r="G144" t="s">
        <v>54</v>
      </c>
      <c r="H144" t="s">
        <v>36</v>
      </c>
      <c r="I144" t="s">
        <v>109</v>
      </c>
      <c r="J144" t="e">
        <f>VLOOKUP(A144,Catálogo!A:B,2,0)</f>
        <v>#N/A</v>
      </c>
      <c r="K144" t="e">
        <f>VLOOKUP(A144,Catálogo!A:C,3,0)</f>
        <v>#N/A</v>
      </c>
      <c r="L144" t="e">
        <f>VLOOKUP(A144,Catálogo!A:D,4,0)</f>
        <v>#N/A</v>
      </c>
      <c r="M144" t="e">
        <f>J144/L144</f>
        <v>#N/A</v>
      </c>
      <c r="N144" s="10" t="str">
        <f>VLOOKUP(A144,[2]Hoja1!$B:$D,3,0)</f>
        <v>Descontinuado PMI</v>
      </c>
    </row>
    <row r="145" spans="1:14" ht="14.5" x14ac:dyDescent="0.35">
      <c r="A145">
        <v>100080980</v>
      </c>
      <c r="B145">
        <v>75049577</v>
      </c>
      <c r="C145" t="s">
        <v>509</v>
      </c>
      <c r="D145" t="s">
        <v>11</v>
      </c>
      <c r="E145" t="s">
        <v>33</v>
      </c>
      <c r="F145" t="s">
        <v>41</v>
      </c>
      <c r="G145" t="s">
        <v>14</v>
      </c>
      <c r="H145" t="s">
        <v>36</v>
      </c>
      <c r="I145" t="s">
        <v>109</v>
      </c>
      <c r="J145" t="e">
        <f>VLOOKUP(A145,Catálogo!A:B,2,0)</f>
        <v>#N/A</v>
      </c>
      <c r="K145" t="e">
        <f>VLOOKUP(A145,Catálogo!A:C,3,0)</f>
        <v>#N/A</v>
      </c>
      <c r="L145" t="e">
        <f>VLOOKUP(A145,Catálogo!A:D,4,0)</f>
        <v>#N/A</v>
      </c>
      <c r="N145" s="10" t="str">
        <f>VLOOKUP(A145,[2]Hoja1!$B:$D,3,0)</f>
        <v>Devolución 2024 PMI</v>
      </c>
    </row>
    <row r="146" spans="1:14" ht="14.5" x14ac:dyDescent="0.35">
      <c r="A146">
        <v>100080877</v>
      </c>
      <c r="B146">
        <v>75039868</v>
      </c>
      <c r="C146" t="s">
        <v>355</v>
      </c>
      <c r="D146" t="s">
        <v>44</v>
      </c>
      <c r="E146" t="s">
        <v>33</v>
      </c>
      <c r="F146" t="s">
        <v>46</v>
      </c>
      <c r="G146" t="s">
        <v>52</v>
      </c>
      <c r="H146" t="s">
        <v>36</v>
      </c>
      <c r="I146" t="s">
        <v>247</v>
      </c>
      <c r="J146" t="e">
        <f>VLOOKUP(A146,Catálogo!A:B,2,0)</f>
        <v>#N/A</v>
      </c>
      <c r="K146" t="e">
        <f>VLOOKUP(A146,Catálogo!A:C,3,0)</f>
        <v>#N/A</v>
      </c>
      <c r="L146" t="e">
        <f>VLOOKUP(A146,Catálogo!A:D,4,0)</f>
        <v>#N/A</v>
      </c>
      <c r="N146" s="10" t="str">
        <f>VLOOKUP(A146,[2]Hoja1!$B:$D,3,0)</f>
        <v>Descontinuado BAT</v>
      </c>
    </row>
    <row r="147" spans="1:14" ht="14.5" x14ac:dyDescent="0.35">
      <c r="A147">
        <v>100080834</v>
      </c>
      <c r="B147">
        <v>75034665</v>
      </c>
      <c r="C147" t="s">
        <v>353</v>
      </c>
      <c r="D147" t="s">
        <v>44</v>
      </c>
      <c r="E147" t="s">
        <v>33</v>
      </c>
      <c r="F147" t="s">
        <v>46</v>
      </c>
      <c r="G147" t="s">
        <v>52</v>
      </c>
      <c r="H147" t="s">
        <v>36</v>
      </c>
      <c r="I147" t="s">
        <v>247</v>
      </c>
      <c r="J147">
        <f>VLOOKUP(A147,Catálogo!A:B,2,0)</f>
        <v>47.41</v>
      </c>
      <c r="K147">
        <f>VLOOKUP(A147,Catálogo!A:C,3,0)</f>
        <v>1</v>
      </c>
      <c r="L147">
        <f>VLOOKUP(A147,Catálogo!A:D,4,0)</f>
        <v>0</v>
      </c>
      <c r="N147" s="10" t="str">
        <f>VLOOKUP(A147,[2]Hoja1!$B:$D,3,0)</f>
        <v>Descontinuado BAT</v>
      </c>
    </row>
    <row r="148" spans="1:14" ht="14.5" x14ac:dyDescent="0.35">
      <c r="A148">
        <v>100020879</v>
      </c>
      <c r="B148">
        <v>7501031701742</v>
      </c>
      <c r="C148" t="s">
        <v>307</v>
      </c>
      <c r="D148" t="s">
        <v>44</v>
      </c>
      <c r="E148" t="s">
        <v>33</v>
      </c>
      <c r="F148" t="s">
        <v>39</v>
      </c>
      <c r="G148" t="s">
        <v>139</v>
      </c>
      <c r="H148" t="s">
        <v>252</v>
      </c>
      <c r="I148" t="s">
        <v>247</v>
      </c>
      <c r="J148">
        <f>VLOOKUP(A148,Catálogo!A:B,2,0)</f>
        <v>129.63</v>
      </c>
      <c r="K148">
        <f>VLOOKUP(A148,Catálogo!A:C,3,0)</f>
        <v>1</v>
      </c>
      <c r="L148">
        <f>VLOOKUP(A148,Catálogo!A:D,4,0)</f>
        <v>0</v>
      </c>
      <c r="N148" s="10" t="str">
        <f>VLOOKUP(A148,[2]Hoja1!$B:$D,3,0)</f>
        <v>Devoluciones Vuse (feb 2025)</v>
      </c>
    </row>
    <row r="149" spans="1:14" ht="14.5" x14ac:dyDescent="0.35">
      <c r="A149" s="10">
        <v>100024714</v>
      </c>
      <c r="B149">
        <v>7707200942019</v>
      </c>
      <c r="C149" s="10" t="s">
        <v>282</v>
      </c>
      <c r="D149" t="s">
        <v>44</v>
      </c>
      <c r="E149" t="s">
        <v>33</v>
      </c>
      <c r="F149" t="s">
        <v>39</v>
      </c>
      <c r="G149" t="s">
        <v>139</v>
      </c>
      <c r="H149" t="s">
        <v>252</v>
      </c>
      <c r="I149" t="s">
        <v>247</v>
      </c>
      <c r="J149" t="e">
        <f>VLOOKUP(A149,Catálogo!A:B,2,0)</f>
        <v>#N/A</v>
      </c>
      <c r="K149" t="e">
        <f>VLOOKUP(A149,Catálogo!A:C,3,0)</f>
        <v>#N/A</v>
      </c>
      <c r="L149" t="e">
        <f>VLOOKUP(A149,Catálogo!A:D,4,0)</f>
        <v>#N/A</v>
      </c>
      <c r="N149" s="10" t="str">
        <f>VLOOKUP(A149,[2]Hoja1!$B:$D,3,0)</f>
        <v>Devoluciones Vuse (feb 2025)</v>
      </c>
    </row>
    <row r="150" spans="1:14" ht="14.5" x14ac:dyDescent="0.35">
      <c r="A150">
        <v>100080976</v>
      </c>
      <c r="B150">
        <v>75049591</v>
      </c>
      <c r="C150" t="s">
        <v>497</v>
      </c>
      <c r="D150" t="s">
        <v>11</v>
      </c>
      <c r="E150" t="s">
        <v>33</v>
      </c>
      <c r="F150" t="s">
        <v>41</v>
      </c>
      <c r="G150" t="s">
        <v>71</v>
      </c>
      <c r="H150" t="s">
        <v>36</v>
      </c>
      <c r="I150" t="s">
        <v>109</v>
      </c>
      <c r="J150">
        <f>VLOOKUP(A150,Catálogo!A:B,2,0)</f>
        <v>124.25999999999999</v>
      </c>
      <c r="K150">
        <f>VLOOKUP(A150,Catálogo!A:C,3,0)</f>
        <v>5</v>
      </c>
      <c r="L150">
        <f>VLOOKUP(A150,Catálogo!A:D,4,0)</f>
        <v>0</v>
      </c>
      <c r="N150" s="10" t="str">
        <f>VLOOKUP(A150,[2]Hoja1!$B:$D,3,0)</f>
        <v>Descontinuados JTI</v>
      </c>
    </row>
    <row r="151" spans="1:14" ht="14.5" x14ac:dyDescent="0.35">
      <c r="A151">
        <v>100080769</v>
      </c>
      <c r="B151">
        <v>75027018</v>
      </c>
      <c r="C151" t="s">
        <v>427</v>
      </c>
      <c r="D151" t="s">
        <v>11</v>
      </c>
      <c r="E151" t="s">
        <v>33</v>
      </c>
      <c r="F151" t="s">
        <v>39</v>
      </c>
      <c r="G151" t="s">
        <v>71</v>
      </c>
      <c r="H151" t="s">
        <v>36</v>
      </c>
      <c r="I151" t="s">
        <v>109</v>
      </c>
      <c r="J151">
        <f>VLOOKUP(A151,Catálogo!A:B,2,0)</f>
        <v>40.520000000000003</v>
      </c>
      <c r="K151">
        <f>VLOOKUP(A151,Catálogo!A:C,3,0)</f>
        <v>1</v>
      </c>
      <c r="L151">
        <f>VLOOKUP(A151,Catálogo!A:D,4,0)</f>
        <v>0</v>
      </c>
      <c r="N151" s="10" t="str">
        <f>VLOOKUP(A151,[2]Hoja1!$B:$D,3,0)</f>
        <v>Descontinuado PMI</v>
      </c>
    </row>
    <row r="152" spans="1:14" ht="14.5" x14ac:dyDescent="0.35">
      <c r="A152">
        <v>100015421</v>
      </c>
      <c r="B152">
        <v>7501045357423</v>
      </c>
      <c r="C152" t="s">
        <v>476</v>
      </c>
      <c r="D152" t="s">
        <v>11</v>
      </c>
      <c r="E152" t="s">
        <v>33</v>
      </c>
      <c r="F152" t="s">
        <v>46</v>
      </c>
      <c r="G152" t="s">
        <v>75</v>
      </c>
      <c r="H152" t="s">
        <v>70</v>
      </c>
      <c r="I152" t="s">
        <v>109</v>
      </c>
      <c r="J152">
        <f>VLOOKUP(A152,Catálogo!A:B,2,0)</f>
        <v>1177.6100000000001</v>
      </c>
      <c r="K152">
        <f>VLOOKUP(A152,Catálogo!A:C,3,0)</f>
        <v>17</v>
      </c>
      <c r="L152">
        <f>VLOOKUP(A152,Catálogo!A:D,4,0)</f>
        <v>0</v>
      </c>
      <c r="M152" t="e">
        <f>J152/L152</f>
        <v>#DIV/0!</v>
      </c>
      <c r="N152" s="10" t="str">
        <f>VLOOKUP(A152,[2]Hoja1!$B:$D,3,0)</f>
        <v>Devoluciones Heets</v>
      </c>
    </row>
    <row r="153" spans="1:14" ht="14.5" x14ac:dyDescent="0.35">
      <c r="A153">
        <v>100006386</v>
      </c>
      <c r="B153">
        <v>75053673</v>
      </c>
      <c r="C153" t="s">
        <v>334</v>
      </c>
      <c r="D153" t="s">
        <v>44</v>
      </c>
      <c r="E153" t="s">
        <v>33</v>
      </c>
      <c r="F153" t="s">
        <v>46</v>
      </c>
      <c r="G153" t="s">
        <v>52</v>
      </c>
      <c r="H153" t="s">
        <v>36</v>
      </c>
      <c r="I153" t="s">
        <v>247</v>
      </c>
      <c r="J153">
        <f>VLOOKUP(A153,Catálogo!A:B,2,0)</f>
        <v>109.26</v>
      </c>
      <c r="K153">
        <f>VLOOKUP(A153,Catálogo!A:C,3,0)</f>
        <v>2</v>
      </c>
      <c r="L153">
        <f>VLOOKUP(A153,Catálogo!A:D,4,0)</f>
        <v>0</v>
      </c>
      <c r="N153" s="10" t="str">
        <f>VLOOKUP(A153,[2]Hoja1!$B:$D,3,0)</f>
        <v>Descontinuado BAT</v>
      </c>
    </row>
    <row r="154" spans="1:14" ht="14.5" x14ac:dyDescent="0.35">
      <c r="A154">
        <v>100020899</v>
      </c>
      <c r="B154">
        <v>7501031701537</v>
      </c>
      <c r="C154" t="s">
        <v>314</v>
      </c>
      <c r="D154" t="s">
        <v>44</v>
      </c>
      <c r="E154" t="s">
        <v>33</v>
      </c>
      <c r="F154" t="s">
        <v>39</v>
      </c>
      <c r="G154" t="s">
        <v>578</v>
      </c>
      <c r="H154" t="s">
        <v>252</v>
      </c>
      <c r="I154" t="s">
        <v>247</v>
      </c>
      <c r="J154">
        <f>VLOOKUP(A154,Catálogo!A:B,2,0)</f>
        <v>85.34</v>
      </c>
      <c r="K154">
        <f>VLOOKUP(A154,Catálogo!A:C,3,0)</f>
        <v>1</v>
      </c>
      <c r="L154">
        <f>VLOOKUP(A154,Catálogo!A:D,4,0)</f>
        <v>0</v>
      </c>
      <c r="N154" s="10" t="str">
        <f>VLOOKUP(A154,[2]Hoja1!$B:$D,3,0)</f>
        <v>Devoluciones Vuse (feb 2025)</v>
      </c>
    </row>
    <row r="155" spans="1:14" ht="14.5" x14ac:dyDescent="0.35">
      <c r="A155">
        <v>100011706</v>
      </c>
      <c r="B155">
        <v>75063832</v>
      </c>
      <c r="C155" t="s">
        <v>496</v>
      </c>
      <c r="D155" t="s">
        <v>11</v>
      </c>
      <c r="E155" t="s">
        <v>33</v>
      </c>
      <c r="F155" t="s">
        <v>41</v>
      </c>
      <c r="G155" t="s">
        <v>71</v>
      </c>
      <c r="H155" t="s">
        <v>36</v>
      </c>
      <c r="I155" t="s">
        <v>109</v>
      </c>
      <c r="J155">
        <f>VLOOKUP(A155,Catálogo!A:B,2,0)</f>
        <v>83.33</v>
      </c>
      <c r="K155">
        <f>VLOOKUP(A155,Catálogo!A:C,3,0)</f>
        <v>3</v>
      </c>
      <c r="L155">
        <f>VLOOKUP(A155,Catálogo!A:D,4,0)</f>
        <v>0</v>
      </c>
      <c r="N155" s="10" t="str">
        <f>VLOOKUP(A155,[2]Hoja1!$B:$D,3,0)</f>
        <v>Descontinuados JTI</v>
      </c>
    </row>
    <row r="156" spans="1:14" ht="14.5" x14ac:dyDescent="0.35">
      <c r="A156">
        <v>100080861</v>
      </c>
      <c r="B156">
        <v>75037994</v>
      </c>
      <c r="C156" t="s">
        <v>549</v>
      </c>
      <c r="D156" t="s">
        <v>11</v>
      </c>
      <c r="E156" t="s">
        <v>33</v>
      </c>
      <c r="F156" t="s">
        <v>39</v>
      </c>
      <c r="G156" t="s">
        <v>71</v>
      </c>
      <c r="H156" t="s">
        <v>36</v>
      </c>
      <c r="I156" t="s">
        <v>109</v>
      </c>
      <c r="J156">
        <f>VLOOKUP(A156,Catálogo!A:B,2,0)</f>
        <v>40.520000000000003</v>
      </c>
      <c r="K156">
        <f>VLOOKUP(A156,Catálogo!A:C,3,0)</f>
        <v>1</v>
      </c>
      <c r="L156">
        <f>VLOOKUP(A156,Catálogo!A:D,4,0)</f>
        <v>0</v>
      </c>
      <c r="N156" s="10" t="str">
        <f>VLOOKUP(A156,[2]Hoja1!$B:$D,3,0)</f>
        <v>Devolución 2024 PMI</v>
      </c>
    </row>
    <row r="157" spans="1:14" ht="14.5" x14ac:dyDescent="0.35">
      <c r="A157">
        <v>100021421</v>
      </c>
      <c r="B157">
        <v>75012717</v>
      </c>
      <c r="C157" t="s">
        <v>398</v>
      </c>
      <c r="D157" t="s">
        <v>11</v>
      </c>
      <c r="E157" t="s">
        <v>33</v>
      </c>
      <c r="F157" t="s">
        <v>39</v>
      </c>
      <c r="G157" t="s">
        <v>54</v>
      </c>
      <c r="H157" t="s">
        <v>36</v>
      </c>
      <c r="I157" t="s">
        <v>109</v>
      </c>
      <c r="J157">
        <f>VLOOKUP(A157,Catálogo!A:B,2,0)</f>
        <v>75</v>
      </c>
      <c r="K157">
        <f>VLOOKUP(A157,Catálogo!A:C,3,0)</f>
        <v>1</v>
      </c>
      <c r="L157">
        <f>VLOOKUP(A157,Catálogo!A:D,4,0)</f>
        <v>0</v>
      </c>
      <c r="M157" t="e">
        <f>J157/L157</f>
        <v>#DIV/0!</v>
      </c>
      <c r="N157" s="10" t="str">
        <f>VLOOKUP(A157,[2]Hoja1!$B:$D,3,0)</f>
        <v>Descontinuado PMI</v>
      </c>
    </row>
    <row r="158" spans="1:14" ht="14.5" x14ac:dyDescent="0.35">
      <c r="A158">
        <v>100019698</v>
      </c>
      <c r="B158">
        <v>75072605</v>
      </c>
      <c r="C158" t="s">
        <v>396</v>
      </c>
      <c r="D158" t="s">
        <v>11</v>
      </c>
      <c r="E158" t="s">
        <v>33</v>
      </c>
      <c r="F158" t="s">
        <v>39</v>
      </c>
      <c r="G158" t="s">
        <v>54</v>
      </c>
      <c r="H158" t="s">
        <v>36</v>
      </c>
      <c r="I158" t="s">
        <v>109</v>
      </c>
      <c r="J158">
        <f>VLOOKUP(A158,Catálogo!A:B,2,0)</f>
        <v>73.28</v>
      </c>
      <c r="K158">
        <f>VLOOKUP(A158,Catálogo!A:C,3,0)</f>
        <v>1</v>
      </c>
      <c r="L158">
        <f>VLOOKUP(A158,Catálogo!A:D,4,0)</f>
        <v>0</v>
      </c>
      <c r="N158" s="10" t="str">
        <f>VLOOKUP(A158,[2]Hoja1!$B:$D,3,0)</f>
        <v>Descontinuado PMI</v>
      </c>
    </row>
    <row r="159" spans="1:14" ht="14.5" x14ac:dyDescent="0.35">
      <c r="A159">
        <v>100020726</v>
      </c>
      <c r="B159">
        <v>7503031950205</v>
      </c>
      <c r="C159" t="s">
        <v>411</v>
      </c>
      <c r="D159" t="s">
        <v>11</v>
      </c>
      <c r="E159" t="s">
        <v>33</v>
      </c>
      <c r="F159" t="s">
        <v>46</v>
      </c>
      <c r="G159" t="s">
        <v>54</v>
      </c>
      <c r="H159" t="s">
        <v>36</v>
      </c>
      <c r="I159" t="s">
        <v>109</v>
      </c>
      <c r="J159" t="e">
        <f>VLOOKUP(A159,Catálogo!A:B,2,0)</f>
        <v>#N/A</v>
      </c>
      <c r="K159" t="e">
        <f>VLOOKUP(A159,Catálogo!A:C,3,0)</f>
        <v>#N/A</v>
      </c>
      <c r="L159" t="e">
        <f>VLOOKUP(A159,Catálogo!A:D,4,0)</f>
        <v>#N/A</v>
      </c>
      <c r="N159" s="10" t="str">
        <f>VLOOKUP(A159,[2]Hoja1!$B:$D,3,0)</f>
        <v>Descontinuado PMI</v>
      </c>
    </row>
    <row r="160" spans="1:14" x14ac:dyDescent="0.35">
      <c r="A160">
        <v>100021889</v>
      </c>
      <c r="B160">
        <v>75077426</v>
      </c>
      <c r="C160" t="s">
        <v>345</v>
      </c>
      <c r="D160" t="s">
        <v>44</v>
      </c>
      <c r="E160" t="s">
        <v>33</v>
      </c>
      <c r="F160" t="s">
        <v>46</v>
      </c>
      <c r="G160" t="s">
        <v>52</v>
      </c>
      <c r="H160" t="s">
        <v>36</v>
      </c>
      <c r="I160" t="s">
        <v>247</v>
      </c>
      <c r="J160">
        <f>VLOOKUP(A160,Catálogo!A:B,2,0)</f>
        <v>55.56</v>
      </c>
      <c r="K160">
        <f>VLOOKUP(A160,Catálogo!A:C,3,0)</f>
        <v>1</v>
      </c>
      <c r="L160">
        <f>VLOOKUP(A160,Catálogo!A:D,4,0)</f>
        <v>0</v>
      </c>
      <c r="N160" s="10" t="str">
        <f>VLOOKUP(A160,[2]Hoja1!$B:$D,3,0)</f>
        <v>Descontinuado BAT</v>
      </c>
    </row>
    <row r="161" spans="1:14" ht="14.5" x14ac:dyDescent="0.35">
      <c r="A161">
        <v>100011708</v>
      </c>
      <c r="B161">
        <v>75063870</v>
      </c>
      <c r="C161" t="s">
        <v>503</v>
      </c>
      <c r="D161" t="s">
        <v>11</v>
      </c>
      <c r="E161" t="s">
        <v>33</v>
      </c>
      <c r="F161" t="s">
        <v>41</v>
      </c>
      <c r="G161" t="s">
        <v>35</v>
      </c>
      <c r="H161" t="s">
        <v>36</v>
      </c>
      <c r="I161" t="s">
        <v>109</v>
      </c>
      <c r="J161">
        <f>VLOOKUP(A161,Catálogo!A:B,2,0)</f>
        <v>55.56</v>
      </c>
      <c r="K161">
        <f>VLOOKUP(A161,Catálogo!A:C,3,0)</f>
        <v>2</v>
      </c>
      <c r="L161">
        <f>VLOOKUP(A161,Catálogo!A:D,4,0)</f>
        <v>0</v>
      </c>
      <c r="N161" s="10" t="str">
        <f>VLOOKUP(A161,[2]Hoja1!$B:$D,3,0)</f>
        <v>Descontinuados JTI</v>
      </c>
    </row>
    <row r="162" spans="1:14" ht="14.5" x14ac:dyDescent="0.35">
      <c r="A162">
        <v>100080990</v>
      </c>
      <c r="B162">
        <v>75050450</v>
      </c>
      <c r="C162" t="s">
        <v>392</v>
      </c>
      <c r="D162" t="s">
        <v>11</v>
      </c>
      <c r="E162" t="s">
        <v>33</v>
      </c>
      <c r="F162" t="s">
        <v>39</v>
      </c>
      <c r="G162" t="s">
        <v>14</v>
      </c>
      <c r="H162" t="s">
        <v>36</v>
      </c>
      <c r="I162" t="s">
        <v>109</v>
      </c>
      <c r="J162">
        <f>VLOOKUP(A162,Catálogo!A:B,2,0)</f>
        <v>58.33</v>
      </c>
      <c r="K162">
        <f>VLOOKUP(A162,Catálogo!A:C,3,0)</f>
        <v>1</v>
      </c>
      <c r="L162">
        <f>VLOOKUP(A162,Catálogo!A:D,4,0)</f>
        <v>0</v>
      </c>
      <c r="N162" s="10" t="str">
        <f>VLOOKUP(A162,[2]Hoja1!$B:$D,3,0)</f>
        <v>Descontinuado PMI</v>
      </c>
    </row>
    <row r="163" spans="1:14" ht="14.5" x14ac:dyDescent="0.35">
      <c r="A163">
        <v>100011673</v>
      </c>
      <c r="B163">
        <v>75063825</v>
      </c>
      <c r="C163" t="s">
        <v>527</v>
      </c>
      <c r="D163" t="s">
        <v>11</v>
      </c>
      <c r="E163" t="s">
        <v>33</v>
      </c>
      <c r="F163" t="s">
        <v>41</v>
      </c>
      <c r="G163" t="s">
        <v>71</v>
      </c>
      <c r="H163" t="s">
        <v>36</v>
      </c>
      <c r="I163" t="s">
        <v>109</v>
      </c>
      <c r="J163">
        <f>VLOOKUP(A163,Catálogo!A:B,2,0)</f>
        <v>2109.39</v>
      </c>
      <c r="K163">
        <f>VLOOKUP(A163,Catálogo!A:C,3,0)</f>
        <v>37</v>
      </c>
      <c r="L163">
        <f>VLOOKUP(A163,Catálogo!A:D,4,0)</f>
        <v>0</v>
      </c>
      <c r="M163" t="e">
        <f>J163/L163</f>
        <v>#DIV/0!</v>
      </c>
      <c r="N163" s="10" t="str">
        <f>VLOOKUP(A163,[2]Hoja1!$B:$D,3,0)</f>
        <v>Devolución 2024 PMI</v>
      </c>
    </row>
    <row r="164" spans="1:14" ht="14.5" x14ac:dyDescent="0.35">
      <c r="A164" s="10">
        <v>100024658</v>
      </c>
      <c r="B164">
        <v>7707200942736</v>
      </c>
      <c r="C164" s="10" t="s">
        <v>256</v>
      </c>
      <c r="D164" t="s">
        <v>44</v>
      </c>
      <c r="E164" t="s">
        <v>33</v>
      </c>
      <c r="F164" t="s">
        <v>39</v>
      </c>
      <c r="G164" t="s">
        <v>139</v>
      </c>
      <c r="H164" t="s">
        <v>252</v>
      </c>
      <c r="I164" t="s">
        <v>247</v>
      </c>
      <c r="J164" t="e">
        <f>VLOOKUP(A164,Catálogo!A:B,2,0)</f>
        <v>#N/A</v>
      </c>
      <c r="K164" t="e">
        <f>VLOOKUP(A164,Catálogo!A:C,3,0)</f>
        <v>#N/A</v>
      </c>
      <c r="L164" t="e">
        <f>VLOOKUP(A164,Catálogo!A:D,4,0)</f>
        <v>#N/A</v>
      </c>
      <c r="N164" s="10" t="e">
        <f>VLOOKUP(A164,[2]Hoja1!$B:$D,3,0)</f>
        <v>#N/A</v>
      </c>
    </row>
    <row r="165" spans="1:14" ht="14.5" x14ac:dyDescent="0.35">
      <c r="A165" s="10">
        <v>100024656</v>
      </c>
      <c r="B165">
        <v>7702303265324</v>
      </c>
      <c r="C165" s="10" t="s">
        <v>257</v>
      </c>
      <c r="D165" t="s">
        <v>44</v>
      </c>
      <c r="E165" t="s">
        <v>33</v>
      </c>
      <c r="F165" t="s">
        <v>39</v>
      </c>
      <c r="G165" t="s">
        <v>139</v>
      </c>
      <c r="H165" t="s">
        <v>252</v>
      </c>
      <c r="I165" t="s">
        <v>247</v>
      </c>
      <c r="J165" t="e">
        <f>VLOOKUP(A165,Catálogo!A:B,2,0)</f>
        <v>#N/A</v>
      </c>
      <c r="K165" t="e">
        <f>VLOOKUP(A165,Catálogo!A:C,3,0)</f>
        <v>#N/A</v>
      </c>
      <c r="L165" t="e">
        <f>VLOOKUP(A165,Catálogo!A:D,4,0)</f>
        <v>#N/A</v>
      </c>
      <c r="N165" s="10" t="e">
        <f>VLOOKUP(A165,[2]Hoja1!$B:$D,3,0)</f>
        <v>#N/A</v>
      </c>
    </row>
    <row r="166" spans="1:14" ht="14.5" x14ac:dyDescent="0.35">
      <c r="A166" s="10">
        <v>100024655</v>
      </c>
      <c r="B166">
        <v>7702303108812</v>
      </c>
      <c r="C166" s="10" t="s">
        <v>258</v>
      </c>
      <c r="D166" t="s">
        <v>44</v>
      </c>
      <c r="E166" t="s">
        <v>33</v>
      </c>
      <c r="F166" t="s">
        <v>39</v>
      </c>
      <c r="G166" t="s">
        <v>139</v>
      </c>
      <c r="H166" t="s">
        <v>252</v>
      </c>
      <c r="I166" t="s">
        <v>247</v>
      </c>
      <c r="J166" t="e">
        <f>VLOOKUP(A166,Catálogo!A:B,2,0)</f>
        <v>#N/A</v>
      </c>
      <c r="K166" t="e">
        <f>VLOOKUP(A166,Catálogo!A:C,3,0)</f>
        <v>#N/A</v>
      </c>
      <c r="L166" t="e">
        <f>VLOOKUP(A166,Catálogo!A:D,4,0)</f>
        <v>#N/A</v>
      </c>
      <c r="N166" s="10" t="e">
        <f>VLOOKUP(A166,[2]Hoja1!$B:$D,3,0)</f>
        <v>#N/A</v>
      </c>
    </row>
    <row r="167" spans="1:14" ht="14.5" x14ac:dyDescent="0.35">
      <c r="A167" s="10">
        <v>100024657</v>
      </c>
      <c r="B167">
        <v>7702303657044</v>
      </c>
      <c r="C167" s="10" t="s">
        <v>259</v>
      </c>
      <c r="D167" t="s">
        <v>44</v>
      </c>
      <c r="E167" t="s">
        <v>33</v>
      </c>
      <c r="F167" t="s">
        <v>39</v>
      </c>
      <c r="G167" t="s">
        <v>139</v>
      </c>
      <c r="H167" t="s">
        <v>252</v>
      </c>
      <c r="I167" t="s">
        <v>247</v>
      </c>
      <c r="J167" t="e">
        <f>VLOOKUP(A167,Catálogo!A:B,2,0)</f>
        <v>#N/A</v>
      </c>
      <c r="K167" t="e">
        <f>VLOOKUP(A167,Catálogo!A:C,3,0)</f>
        <v>#N/A</v>
      </c>
      <c r="L167" t="e">
        <f>VLOOKUP(A167,Catálogo!A:D,4,0)</f>
        <v>#N/A</v>
      </c>
      <c r="N167" s="10" t="e">
        <f>VLOOKUP(A167,[2]Hoja1!$B:$D,3,0)</f>
        <v>#N/A</v>
      </c>
    </row>
    <row r="168" spans="1:14" ht="14.5" x14ac:dyDescent="0.35">
      <c r="A168" s="10">
        <v>100024648</v>
      </c>
      <c r="B168">
        <v>7707200944563</v>
      </c>
      <c r="C168" s="10" t="s">
        <v>261</v>
      </c>
      <c r="D168" t="s">
        <v>44</v>
      </c>
      <c r="E168" t="s">
        <v>33</v>
      </c>
      <c r="F168" t="s">
        <v>39</v>
      </c>
      <c r="G168" t="s">
        <v>139</v>
      </c>
      <c r="H168" t="s">
        <v>252</v>
      </c>
      <c r="I168" t="s">
        <v>247</v>
      </c>
      <c r="J168" t="e">
        <f>VLOOKUP(A168,Catálogo!A:B,2,0)</f>
        <v>#N/A</v>
      </c>
      <c r="K168" t="e">
        <f>VLOOKUP(A168,Catálogo!A:C,3,0)</f>
        <v>#N/A</v>
      </c>
      <c r="L168" t="e">
        <f>VLOOKUP(A168,Catálogo!A:D,4,0)</f>
        <v>#N/A</v>
      </c>
      <c r="N168" s="10" t="e">
        <f>VLOOKUP(A168,[2]Hoja1!$B:$D,3,0)</f>
        <v>#N/A</v>
      </c>
    </row>
    <row r="169" spans="1:14" ht="14.5" x14ac:dyDescent="0.35">
      <c r="A169" s="10">
        <v>100024653</v>
      </c>
      <c r="B169">
        <v>7707200947311</v>
      </c>
      <c r="C169" s="10" t="s">
        <v>266</v>
      </c>
      <c r="D169" t="s">
        <v>44</v>
      </c>
      <c r="E169" t="s">
        <v>33</v>
      </c>
      <c r="F169" t="s">
        <v>39</v>
      </c>
      <c r="G169" t="s">
        <v>139</v>
      </c>
      <c r="H169" t="s">
        <v>252</v>
      </c>
      <c r="I169" t="s">
        <v>247</v>
      </c>
      <c r="J169" t="e">
        <f>VLOOKUP(A169,Catálogo!A:B,2,0)</f>
        <v>#N/A</v>
      </c>
      <c r="K169" t="e">
        <f>VLOOKUP(A169,Catálogo!A:C,3,0)</f>
        <v>#N/A</v>
      </c>
      <c r="L169" t="e">
        <f>VLOOKUP(A169,Catálogo!A:D,4,0)</f>
        <v>#N/A</v>
      </c>
      <c r="N169" s="10" t="e">
        <f>VLOOKUP(A169,[2]Hoja1!$B:$D,3,0)</f>
        <v>#N/A</v>
      </c>
    </row>
    <row r="170" spans="1:14" ht="14.5" x14ac:dyDescent="0.35">
      <c r="A170" s="10">
        <v>100024649</v>
      </c>
      <c r="B170">
        <v>7707200945799</v>
      </c>
      <c r="C170" s="10" t="s">
        <v>267</v>
      </c>
      <c r="D170" t="s">
        <v>44</v>
      </c>
      <c r="E170" t="s">
        <v>33</v>
      </c>
      <c r="F170" t="s">
        <v>39</v>
      </c>
      <c r="G170" t="s">
        <v>139</v>
      </c>
      <c r="H170" t="s">
        <v>252</v>
      </c>
      <c r="I170" t="s">
        <v>247</v>
      </c>
      <c r="J170" t="e">
        <f>VLOOKUP(A170,Catálogo!A:B,2,0)</f>
        <v>#N/A</v>
      </c>
      <c r="K170" t="e">
        <f>VLOOKUP(A170,Catálogo!A:C,3,0)</f>
        <v>#N/A</v>
      </c>
      <c r="L170" t="e">
        <f>VLOOKUP(A170,Catálogo!A:D,4,0)</f>
        <v>#N/A</v>
      </c>
      <c r="N170" s="10" t="e">
        <f>VLOOKUP(A170,[2]Hoja1!$B:$D,3,0)</f>
        <v>#N/A</v>
      </c>
    </row>
    <row r="171" spans="1:14" ht="14.5" x14ac:dyDescent="0.35">
      <c r="A171" s="10">
        <v>100024652</v>
      </c>
      <c r="B171">
        <v>7707200945072</v>
      </c>
      <c r="C171" s="10" t="s">
        <v>269</v>
      </c>
      <c r="D171" t="s">
        <v>44</v>
      </c>
      <c r="E171" t="s">
        <v>33</v>
      </c>
      <c r="F171" t="s">
        <v>39</v>
      </c>
      <c r="G171" t="s">
        <v>139</v>
      </c>
      <c r="H171" t="s">
        <v>252</v>
      </c>
      <c r="I171" t="s">
        <v>247</v>
      </c>
      <c r="J171" t="e">
        <f>VLOOKUP(A171,Catálogo!A:B,2,0)</f>
        <v>#N/A</v>
      </c>
      <c r="K171" t="e">
        <f>VLOOKUP(A171,Catálogo!A:C,3,0)</f>
        <v>#N/A</v>
      </c>
      <c r="L171" t="e">
        <f>VLOOKUP(A171,Catálogo!A:D,4,0)</f>
        <v>#N/A</v>
      </c>
      <c r="N171" s="10" t="e">
        <f>VLOOKUP(A171,[2]Hoja1!$B:$D,3,0)</f>
        <v>#N/A</v>
      </c>
    </row>
    <row r="172" spans="1:14" ht="14.5" x14ac:dyDescent="0.35">
      <c r="A172" s="10">
        <v>100024650</v>
      </c>
      <c r="B172">
        <v>7707200949285</v>
      </c>
      <c r="C172" s="10" t="s">
        <v>271</v>
      </c>
      <c r="D172" t="s">
        <v>44</v>
      </c>
      <c r="E172" t="s">
        <v>33</v>
      </c>
      <c r="F172" t="s">
        <v>39</v>
      </c>
      <c r="G172" t="s">
        <v>139</v>
      </c>
      <c r="H172" t="s">
        <v>252</v>
      </c>
      <c r="I172" t="s">
        <v>247</v>
      </c>
      <c r="J172" t="e">
        <f>VLOOKUP(A172,Catálogo!A:B,2,0)</f>
        <v>#N/A</v>
      </c>
      <c r="K172" t="e">
        <f>VLOOKUP(A172,Catálogo!A:C,3,0)</f>
        <v>#N/A</v>
      </c>
      <c r="L172" t="e">
        <f>VLOOKUP(A172,Catálogo!A:D,4,0)</f>
        <v>#N/A</v>
      </c>
      <c r="N172" s="10" t="e">
        <f>VLOOKUP(A172,[2]Hoja1!$B:$D,3,0)</f>
        <v>#N/A</v>
      </c>
    </row>
    <row r="173" spans="1:14" ht="14.5" x14ac:dyDescent="0.35">
      <c r="A173" s="10">
        <v>100024651</v>
      </c>
      <c r="B173">
        <v>7707200949551</v>
      </c>
      <c r="C173" s="10" t="s">
        <v>273</v>
      </c>
      <c r="D173" t="s">
        <v>44</v>
      </c>
      <c r="E173" t="s">
        <v>33</v>
      </c>
      <c r="F173" t="s">
        <v>39</v>
      </c>
      <c r="G173" t="s">
        <v>139</v>
      </c>
      <c r="H173" t="s">
        <v>252</v>
      </c>
      <c r="I173" t="s">
        <v>247</v>
      </c>
      <c r="J173" t="e">
        <f>VLOOKUP(A173,Catálogo!A:B,2,0)</f>
        <v>#N/A</v>
      </c>
      <c r="K173" t="e">
        <f>VLOOKUP(A173,Catálogo!A:C,3,0)</f>
        <v>#N/A</v>
      </c>
      <c r="L173" t="e">
        <f>VLOOKUP(A173,Catálogo!A:D,4,0)</f>
        <v>#N/A</v>
      </c>
      <c r="N173" s="10" t="e">
        <f>VLOOKUP(A173,[2]Hoja1!$B:$D,3,0)</f>
        <v>#N/A</v>
      </c>
    </row>
    <row r="174" spans="1:14" ht="14.5" x14ac:dyDescent="0.35">
      <c r="A174" s="10">
        <v>100024654</v>
      </c>
      <c r="B174">
        <v>7707200944037</v>
      </c>
      <c r="C174" s="10" t="s">
        <v>275</v>
      </c>
      <c r="D174" t="s">
        <v>44</v>
      </c>
      <c r="E174" t="s">
        <v>33</v>
      </c>
      <c r="F174" t="s">
        <v>39</v>
      </c>
      <c r="G174" t="s">
        <v>139</v>
      </c>
      <c r="H174" t="s">
        <v>252</v>
      </c>
      <c r="I174" t="s">
        <v>247</v>
      </c>
      <c r="J174" t="e">
        <f>VLOOKUP(A174,Catálogo!A:B,2,0)</f>
        <v>#N/A</v>
      </c>
      <c r="K174" t="e">
        <f>VLOOKUP(A174,Catálogo!A:C,3,0)</f>
        <v>#N/A</v>
      </c>
      <c r="L174" t="e">
        <f>VLOOKUP(A174,Catálogo!A:D,4,0)</f>
        <v>#N/A</v>
      </c>
      <c r="N174" s="10" t="e">
        <f>VLOOKUP(A174,[2]Hoja1!$B:$D,3,0)</f>
        <v>#N/A</v>
      </c>
    </row>
    <row r="175" spans="1:14" ht="14.5" x14ac:dyDescent="0.35">
      <c r="A175" s="10">
        <v>100024414</v>
      </c>
      <c r="B175">
        <v>7702303906036</v>
      </c>
      <c r="C175" s="10" t="s">
        <v>277</v>
      </c>
      <c r="D175" t="s">
        <v>44</v>
      </c>
      <c r="E175" t="s">
        <v>33</v>
      </c>
      <c r="F175" t="s">
        <v>39</v>
      </c>
      <c r="G175" t="s">
        <v>139</v>
      </c>
      <c r="H175" t="s">
        <v>252</v>
      </c>
      <c r="I175" t="s">
        <v>247</v>
      </c>
      <c r="J175" t="e">
        <f>VLOOKUP(A175,Catálogo!A:B,2,0)</f>
        <v>#N/A</v>
      </c>
      <c r="K175" t="e">
        <f>VLOOKUP(A175,Catálogo!A:C,3,0)</f>
        <v>#N/A</v>
      </c>
      <c r="L175" t="e">
        <f>VLOOKUP(A175,Catálogo!A:D,4,0)</f>
        <v>#N/A</v>
      </c>
      <c r="N175" s="10" t="e">
        <f>VLOOKUP(A175,[2]Hoja1!$B:$D,3,0)</f>
        <v>#N/A</v>
      </c>
    </row>
    <row r="176" spans="1:14" ht="14.5" x14ac:dyDescent="0.35">
      <c r="A176" s="10">
        <v>100024620</v>
      </c>
      <c r="B176">
        <v>7707200942019</v>
      </c>
      <c r="C176" s="10" t="s">
        <v>580</v>
      </c>
      <c r="D176" t="s">
        <v>44</v>
      </c>
      <c r="E176" t="s">
        <v>33</v>
      </c>
      <c r="F176" t="s">
        <v>39</v>
      </c>
      <c r="G176" t="s">
        <v>139</v>
      </c>
      <c r="H176" t="s">
        <v>252</v>
      </c>
      <c r="I176" t="s">
        <v>247</v>
      </c>
      <c r="J176" t="e">
        <f>VLOOKUP(A176,Catálogo!A:B,2,0)</f>
        <v>#N/A</v>
      </c>
      <c r="K176" t="e">
        <f>VLOOKUP(A176,Catálogo!A:C,3,0)</f>
        <v>#N/A</v>
      </c>
      <c r="L176" t="e">
        <f>VLOOKUP(A176,Catálogo!A:D,4,0)</f>
        <v>#N/A</v>
      </c>
      <c r="N176" s="10" t="e">
        <f>VLOOKUP(A176,[2]Hoja1!$B:$D,3,0)</f>
        <v>#N/A</v>
      </c>
    </row>
    <row r="177" spans="1:14" ht="14.5" x14ac:dyDescent="0.35">
      <c r="A177" s="10">
        <v>100024627</v>
      </c>
      <c r="B177">
        <v>7707200945430</v>
      </c>
      <c r="C177" s="10" t="s">
        <v>283</v>
      </c>
      <c r="D177" t="s">
        <v>44</v>
      </c>
      <c r="E177" t="s">
        <v>33</v>
      </c>
      <c r="F177" t="s">
        <v>39</v>
      </c>
      <c r="G177" t="s">
        <v>139</v>
      </c>
      <c r="H177" t="s">
        <v>252</v>
      </c>
      <c r="I177" t="s">
        <v>247</v>
      </c>
      <c r="J177" t="e">
        <f>VLOOKUP(A177,Catálogo!A:B,2,0)</f>
        <v>#N/A</v>
      </c>
      <c r="K177" t="e">
        <f>VLOOKUP(A177,Catálogo!A:C,3,0)</f>
        <v>#N/A</v>
      </c>
      <c r="L177" t="e">
        <f>VLOOKUP(A177,Catálogo!A:D,4,0)</f>
        <v>#N/A</v>
      </c>
      <c r="N177" s="10" t="e">
        <f>VLOOKUP(A177,[2]Hoja1!$B:$D,3,0)</f>
        <v>#N/A</v>
      </c>
    </row>
    <row r="178" spans="1:14" ht="14.5" x14ac:dyDescent="0.35">
      <c r="A178" s="10">
        <v>100024625</v>
      </c>
      <c r="B178">
        <v>7707200947854</v>
      </c>
      <c r="C178" s="10" t="s">
        <v>284</v>
      </c>
      <c r="D178" t="s">
        <v>44</v>
      </c>
      <c r="E178" t="s">
        <v>33</v>
      </c>
      <c r="F178" t="s">
        <v>39</v>
      </c>
      <c r="G178" t="s">
        <v>139</v>
      </c>
      <c r="H178" t="s">
        <v>252</v>
      </c>
      <c r="I178" t="s">
        <v>247</v>
      </c>
      <c r="J178" t="e">
        <f>VLOOKUP(A178,Catálogo!A:B,2,0)</f>
        <v>#N/A</v>
      </c>
      <c r="K178" t="e">
        <f>VLOOKUP(A178,Catálogo!A:C,3,0)</f>
        <v>#N/A</v>
      </c>
      <c r="L178" t="e">
        <f>VLOOKUP(A178,Catálogo!A:D,4,0)</f>
        <v>#N/A</v>
      </c>
      <c r="N178" s="10" t="e">
        <f>VLOOKUP(A178,[2]Hoja1!$B:$D,3,0)</f>
        <v>#N/A</v>
      </c>
    </row>
    <row r="179" spans="1:14" ht="14.5" x14ac:dyDescent="0.35">
      <c r="A179" s="10">
        <v>100024623</v>
      </c>
      <c r="B179">
        <v>7707200946987</v>
      </c>
      <c r="C179" s="10" t="s">
        <v>287</v>
      </c>
      <c r="D179" t="s">
        <v>44</v>
      </c>
      <c r="E179" t="s">
        <v>33</v>
      </c>
      <c r="F179" t="s">
        <v>39</v>
      </c>
      <c r="G179" t="s">
        <v>139</v>
      </c>
      <c r="H179" t="s">
        <v>252</v>
      </c>
      <c r="I179" t="s">
        <v>247</v>
      </c>
      <c r="J179" t="e">
        <f>VLOOKUP(A179,Catálogo!A:B,2,0)</f>
        <v>#N/A</v>
      </c>
      <c r="K179" t="e">
        <f>VLOOKUP(A179,Catálogo!A:C,3,0)</f>
        <v>#N/A</v>
      </c>
      <c r="L179" t="e">
        <f>VLOOKUP(A179,Catálogo!A:D,4,0)</f>
        <v>#N/A</v>
      </c>
      <c r="N179" s="10" t="e">
        <f>VLOOKUP(A179,[2]Hoja1!$B:$D,3,0)</f>
        <v>#N/A</v>
      </c>
    </row>
    <row r="180" spans="1:14" ht="14.5" x14ac:dyDescent="0.35">
      <c r="A180" s="10">
        <v>100024624</v>
      </c>
      <c r="B180">
        <v>7707200940220</v>
      </c>
      <c r="C180" s="10" t="s">
        <v>289</v>
      </c>
      <c r="D180" t="s">
        <v>44</v>
      </c>
      <c r="E180" t="s">
        <v>33</v>
      </c>
      <c r="F180" t="s">
        <v>39</v>
      </c>
      <c r="G180" t="s">
        <v>139</v>
      </c>
      <c r="H180" t="s">
        <v>252</v>
      </c>
      <c r="I180" t="s">
        <v>247</v>
      </c>
      <c r="J180" t="e">
        <f>VLOOKUP(A180,Catálogo!A:B,2,0)</f>
        <v>#N/A</v>
      </c>
      <c r="K180" t="e">
        <f>VLOOKUP(A180,Catálogo!A:C,3,0)</f>
        <v>#N/A</v>
      </c>
      <c r="L180" t="e">
        <f>VLOOKUP(A180,Catálogo!A:D,4,0)</f>
        <v>#N/A</v>
      </c>
      <c r="N180" s="10" t="e">
        <f>VLOOKUP(A180,[2]Hoja1!$B:$D,3,0)</f>
        <v>#N/A</v>
      </c>
    </row>
    <row r="181" spans="1:14" ht="14.5" x14ac:dyDescent="0.35">
      <c r="A181">
        <v>100023339</v>
      </c>
      <c r="B181">
        <v>7501031701667</v>
      </c>
      <c r="C181" t="s">
        <v>290</v>
      </c>
      <c r="D181" t="s">
        <v>44</v>
      </c>
      <c r="E181" t="s">
        <v>33</v>
      </c>
      <c r="F181" t="s">
        <v>39</v>
      </c>
      <c r="G181" t="s">
        <v>139</v>
      </c>
      <c r="H181" t="s">
        <v>252</v>
      </c>
      <c r="I181" t="s">
        <v>247</v>
      </c>
      <c r="J181" t="e">
        <f>VLOOKUP(A181,Catálogo!A:B,2,0)</f>
        <v>#N/A</v>
      </c>
      <c r="K181" t="e">
        <f>VLOOKUP(A181,Catálogo!A:C,3,0)</f>
        <v>#N/A</v>
      </c>
      <c r="L181" t="e">
        <f>VLOOKUP(A181,Catálogo!A:D,4,0)</f>
        <v>#N/A</v>
      </c>
      <c r="N181" s="10" t="e">
        <f>VLOOKUP(A181,[2]Hoja1!$B:$D,3,0)</f>
        <v>#N/A</v>
      </c>
    </row>
    <row r="182" spans="1:14" ht="14.5" x14ac:dyDescent="0.35">
      <c r="A182">
        <v>100023339</v>
      </c>
      <c r="B182">
        <v>7501031701667</v>
      </c>
      <c r="C182" t="s">
        <v>290</v>
      </c>
      <c r="D182" t="s">
        <v>44</v>
      </c>
      <c r="E182" t="s">
        <v>33</v>
      </c>
      <c r="F182" t="s">
        <v>39</v>
      </c>
      <c r="G182" t="s">
        <v>139</v>
      </c>
      <c r="H182" t="s">
        <v>252</v>
      </c>
      <c r="I182" t="s">
        <v>247</v>
      </c>
      <c r="J182" t="e">
        <f>VLOOKUP(A182,Catálogo!A:B,2,0)</f>
        <v>#N/A</v>
      </c>
      <c r="K182" t="e">
        <f>VLOOKUP(A182,Catálogo!A:C,3,0)</f>
        <v>#N/A</v>
      </c>
      <c r="L182" t="e">
        <f>VLOOKUP(A182,Catálogo!A:D,4,0)</f>
        <v>#N/A</v>
      </c>
      <c r="N182" s="10" t="e">
        <f>VLOOKUP(A182,[2]Hoja1!$B:$D,3,0)</f>
        <v>#N/A</v>
      </c>
    </row>
    <row r="183" spans="1:14" ht="14.5" x14ac:dyDescent="0.35">
      <c r="A183">
        <v>100022786</v>
      </c>
      <c r="B183">
        <v>7501031701636</v>
      </c>
      <c r="C183" t="s">
        <v>291</v>
      </c>
      <c r="D183" t="s">
        <v>44</v>
      </c>
      <c r="E183" t="s">
        <v>33</v>
      </c>
      <c r="F183" t="s">
        <v>39</v>
      </c>
      <c r="G183" t="s">
        <v>139</v>
      </c>
      <c r="H183" t="s">
        <v>252</v>
      </c>
      <c r="I183" t="s">
        <v>247</v>
      </c>
      <c r="J183" t="e">
        <f>VLOOKUP(A183,Catálogo!A:B,2,0)</f>
        <v>#N/A</v>
      </c>
      <c r="K183" t="e">
        <f>VLOOKUP(A183,Catálogo!A:C,3,0)</f>
        <v>#N/A</v>
      </c>
      <c r="L183" t="e">
        <f>VLOOKUP(A183,Catálogo!A:D,4,0)</f>
        <v>#N/A</v>
      </c>
      <c r="N183" s="10" t="e">
        <f>VLOOKUP(A183,[2]Hoja1!$B:$D,3,0)</f>
        <v>#N/A</v>
      </c>
    </row>
    <row r="184" spans="1:14" ht="14.5" x14ac:dyDescent="0.35">
      <c r="A184">
        <v>100022786</v>
      </c>
      <c r="B184">
        <v>7501031701636</v>
      </c>
      <c r="C184" t="s">
        <v>291</v>
      </c>
      <c r="D184" t="s">
        <v>44</v>
      </c>
      <c r="E184" t="s">
        <v>33</v>
      </c>
      <c r="F184" t="s">
        <v>39</v>
      </c>
      <c r="G184" t="s">
        <v>139</v>
      </c>
      <c r="H184" t="s">
        <v>252</v>
      </c>
      <c r="I184" t="s">
        <v>247</v>
      </c>
      <c r="J184" t="e">
        <f>VLOOKUP(A184,Catálogo!A:B,2,0)</f>
        <v>#N/A</v>
      </c>
      <c r="K184" t="e">
        <f>VLOOKUP(A184,Catálogo!A:C,3,0)</f>
        <v>#N/A</v>
      </c>
      <c r="L184" t="e">
        <f>VLOOKUP(A184,Catálogo!A:D,4,0)</f>
        <v>#N/A</v>
      </c>
      <c r="N184" s="10" t="e">
        <f>VLOOKUP(A184,[2]Hoja1!$B:$D,3,0)</f>
        <v>#N/A</v>
      </c>
    </row>
    <row r="185" spans="1:14" ht="14.5" x14ac:dyDescent="0.35">
      <c r="A185">
        <v>100023338</v>
      </c>
      <c r="B185">
        <v>7501031701575</v>
      </c>
      <c r="C185" t="s">
        <v>293</v>
      </c>
      <c r="D185" t="s">
        <v>44</v>
      </c>
      <c r="E185" t="s">
        <v>33</v>
      </c>
      <c r="F185" t="s">
        <v>39</v>
      </c>
      <c r="G185" t="s">
        <v>139</v>
      </c>
      <c r="H185" t="s">
        <v>252</v>
      </c>
      <c r="I185" t="s">
        <v>247</v>
      </c>
      <c r="J185" t="e">
        <f>VLOOKUP(A185,Catálogo!A:B,2,0)</f>
        <v>#N/A</v>
      </c>
      <c r="K185" t="e">
        <f>VLOOKUP(A185,Catálogo!A:C,3,0)</f>
        <v>#N/A</v>
      </c>
      <c r="L185" t="e">
        <f>VLOOKUP(A185,Catálogo!A:D,4,0)</f>
        <v>#N/A</v>
      </c>
      <c r="N185" s="10" t="e">
        <f>VLOOKUP(A185,[2]Hoja1!$B:$D,3,0)</f>
        <v>#N/A</v>
      </c>
    </row>
    <row r="186" spans="1:14" ht="14.5" x14ac:dyDescent="0.35">
      <c r="A186">
        <v>100023338</v>
      </c>
      <c r="B186">
        <v>7501031701575</v>
      </c>
      <c r="C186" t="s">
        <v>293</v>
      </c>
      <c r="D186" t="s">
        <v>44</v>
      </c>
      <c r="E186" t="s">
        <v>33</v>
      </c>
      <c r="F186" t="s">
        <v>39</v>
      </c>
      <c r="G186" t="s">
        <v>139</v>
      </c>
      <c r="H186" t="s">
        <v>252</v>
      </c>
      <c r="I186" t="s">
        <v>247</v>
      </c>
      <c r="J186" t="e">
        <f>VLOOKUP(A186,Catálogo!A:B,2,0)</f>
        <v>#N/A</v>
      </c>
      <c r="K186" t="e">
        <f>VLOOKUP(A186,Catálogo!A:C,3,0)</f>
        <v>#N/A</v>
      </c>
      <c r="L186" t="e">
        <f>VLOOKUP(A186,Catálogo!A:D,4,0)</f>
        <v>#N/A</v>
      </c>
      <c r="N186" s="10" t="e">
        <f>VLOOKUP(A186,[2]Hoja1!$B:$D,3,0)</f>
        <v>#N/A</v>
      </c>
    </row>
    <row r="187" spans="1:14" ht="14.5" x14ac:dyDescent="0.35">
      <c r="A187">
        <v>100023094</v>
      </c>
      <c r="B187">
        <v>7501031701759</v>
      </c>
      <c r="C187" t="s">
        <v>294</v>
      </c>
      <c r="D187" t="s">
        <v>44</v>
      </c>
      <c r="E187" t="s">
        <v>33</v>
      </c>
      <c r="F187" t="s">
        <v>39</v>
      </c>
      <c r="G187" t="s">
        <v>139</v>
      </c>
      <c r="H187" t="s">
        <v>252</v>
      </c>
      <c r="I187" t="s">
        <v>247</v>
      </c>
      <c r="J187" t="e">
        <f>VLOOKUP(A187,Catálogo!A:B,2,0)</f>
        <v>#N/A</v>
      </c>
      <c r="K187" t="e">
        <f>VLOOKUP(A187,Catálogo!A:C,3,0)</f>
        <v>#N/A</v>
      </c>
      <c r="L187" t="e">
        <f>VLOOKUP(A187,Catálogo!A:D,4,0)</f>
        <v>#N/A</v>
      </c>
      <c r="N187" s="10" t="e">
        <f>VLOOKUP(A187,[2]Hoja1!$B:$D,3,0)</f>
        <v>#N/A</v>
      </c>
    </row>
    <row r="188" spans="1:14" ht="14.5" x14ac:dyDescent="0.35">
      <c r="A188">
        <v>100023094</v>
      </c>
      <c r="B188">
        <v>7501031701759</v>
      </c>
      <c r="C188" t="s">
        <v>294</v>
      </c>
      <c r="D188" t="s">
        <v>44</v>
      </c>
      <c r="E188" t="s">
        <v>33</v>
      </c>
      <c r="F188" t="s">
        <v>39</v>
      </c>
      <c r="G188" t="s">
        <v>139</v>
      </c>
      <c r="H188" t="s">
        <v>252</v>
      </c>
      <c r="I188" t="s">
        <v>247</v>
      </c>
      <c r="J188" t="e">
        <f>VLOOKUP(A188,Catálogo!A:B,2,0)</f>
        <v>#N/A</v>
      </c>
      <c r="K188" t="e">
        <f>VLOOKUP(A188,Catálogo!A:C,3,0)</f>
        <v>#N/A</v>
      </c>
      <c r="L188" t="e">
        <f>VLOOKUP(A188,Catálogo!A:D,4,0)</f>
        <v>#N/A</v>
      </c>
      <c r="N188" s="10" t="e">
        <f>VLOOKUP(A188,[2]Hoja1!$B:$D,3,0)</f>
        <v>#N/A</v>
      </c>
    </row>
    <row r="189" spans="1:14" ht="14.5" x14ac:dyDescent="0.35">
      <c r="A189">
        <v>100023336</v>
      </c>
      <c r="B189">
        <v>7501031701704</v>
      </c>
      <c r="C189" t="s">
        <v>295</v>
      </c>
      <c r="D189" t="s">
        <v>44</v>
      </c>
      <c r="E189" t="s">
        <v>33</v>
      </c>
      <c r="F189" t="s">
        <v>39</v>
      </c>
      <c r="G189" t="s">
        <v>139</v>
      </c>
      <c r="H189" t="s">
        <v>252</v>
      </c>
      <c r="I189" t="s">
        <v>247</v>
      </c>
      <c r="J189" t="e">
        <f>VLOOKUP(A189,Catálogo!A:B,2,0)</f>
        <v>#N/A</v>
      </c>
      <c r="K189" t="e">
        <f>VLOOKUP(A189,Catálogo!A:C,3,0)</f>
        <v>#N/A</v>
      </c>
      <c r="L189" t="e">
        <f>VLOOKUP(A189,Catálogo!A:D,4,0)</f>
        <v>#N/A</v>
      </c>
      <c r="N189" s="10" t="e">
        <f>VLOOKUP(A189,[2]Hoja1!$B:$D,3,0)</f>
        <v>#N/A</v>
      </c>
    </row>
    <row r="190" spans="1:14" ht="14.5" x14ac:dyDescent="0.35">
      <c r="A190">
        <v>100023337</v>
      </c>
      <c r="B190">
        <v>7501031701735</v>
      </c>
      <c r="C190" t="s">
        <v>296</v>
      </c>
      <c r="D190" t="s">
        <v>44</v>
      </c>
      <c r="E190" t="s">
        <v>33</v>
      </c>
      <c r="F190" t="s">
        <v>39</v>
      </c>
      <c r="G190" t="s">
        <v>139</v>
      </c>
      <c r="H190" t="s">
        <v>252</v>
      </c>
      <c r="I190" t="s">
        <v>247</v>
      </c>
      <c r="J190" t="e">
        <f>VLOOKUP(A190,Catálogo!A:B,2,0)</f>
        <v>#N/A</v>
      </c>
      <c r="K190" t="e">
        <f>VLOOKUP(A190,Catálogo!A:C,3,0)</f>
        <v>#N/A</v>
      </c>
      <c r="L190" t="e">
        <f>VLOOKUP(A190,Catálogo!A:D,4,0)</f>
        <v>#N/A</v>
      </c>
      <c r="N190" s="10" t="e">
        <f>VLOOKUP(A190,[2]Hoja1!$B:$D,3,0)</f>
        <v>#N/A</v>
      </c>
    </row>
    <row r="191" spans="1:14" ht="14.5" x14ac:dyDescent="0.35">
      <c r="A191" s="10">
        <v>100020897</v>
      </c>
      <c r="B191">
        <v>7501031701834</v>
      </c>
      <c r="C191" s="10" t="s">
        <v>297</v>
      </c>
      <c r="D191" t="s">
        <v>44</v>
      </c>
      <c r="E191" t="s">
        <v>33</v>
      </c>
      <c r="F191" t="s">
        <v>39</v>
      </c>
      <c r="G191" t="s">
        <v>139</v>
      </c>
      <c r="H191" t="s">
        <v>252</v>
      </c>
      <c r="I191" t="s">
        <v>247</v>
      </c>
      <c r="J191" t="e">
        <f>VLOOKUP(A191,Catálogo!A:B,2,0)</f>
        <v>#N/A</v>
      </c>
      <c r="K191" t="e">
        <f>VLOOKUP(A191,Catálogo!A:C,3,0)</f>
        <v>#N/A</v>
      </c>
      <c r="L191" t="e">
        <f>VLOOKUP(A191,Catálogo!A:D,4,0)</f>
        <v>#N/A</v>
      </c>
      <c r="N191" s="10" t="e">
        <f>VLOOKUP(A191,[2]Hoja1!$B:$D,3,0)</f>
        <v>#N/A</v>
      </c>
    </row>
    <row r="192" spans="1:14" ht="14.5" x14ac:dyDescent="0.35">
      <c r="A192">
        <v>100020894</v>
      </c>
      <c r="B192">
        <v>7501031701674</v>
      </c>
      <c r="C192" t="s">
        <v>298</v>
      </c>
      <c r="D192" t="s">
        <v>44</v>
      </c>
      <c r="E192" t="s">
        <v>33</v>
      </c>
      <c r="F192" t="s">
        <v>39</v>
      </c>
      <c r="G192" t="s">
        <v>139</v>
      </c>
      <c r="H192" t="s">
        <v>252</v>
      </c>
      <c r="I192" t="s">
        <v>247</v>
      </c>
      <c r="J192" t="e">
        <f>VLOOKUP(A192,Catálogo!A:B,2,0)</f>
        <v>#N/A</v>
      </c>
      <c r="K192" t="e">
        <f>VLOOKUP(A192,Catálogo!A:C,3,0)</f>
        <v>#N/A</v>
      </c>
      <c r="L192" t="e">
        <f>VLOOKUP(A192,Catálogo!A:D,4,0)</f>
        <v>#N/A</v>
      </c>
      <c r="N192" s="10" t="e">
        <f>VLOOKUP(A192,[2]Hoja1!$B:$D,3,0)</f>
        <v>#N/A</v>
      </c>
    </row>
    <row r="193" spans="1:14" ht="14.5" x14ac:dyDescent="0.35">
      <c r="A193">
        <v>100020893</v>
      </c>
      <c r="B193">
        <v>7501031701889</v>
      </c>
      <c r="C193" t="s">
        <v>299</v>
      </c>
      <c r="D193" t="s">
        <v>44</v>
      </c>
      <c r="E193" t="s">
        <v>33</v>
      </c>
      <c r="F193" t="s">
        <v>39</v>
      </c>
      <c r="G193" t="s">
        <v>139</v>
      </c>
      <c r="H193" t="s">
        <v>252</v>
      </c>
      <c r="I193" t="s">
        <v>247</v>
      </c>
      <c r="J193" t="e">
        <f>VLOOKUP(A193,Catálogo!A:B,2,0)</f>
        <v>#N/A</v>
      </c>
      <c r="K193" t="e">
        <f>VLOOKUP(A193,Catálogo!A:C,3,0)</f>
        <v>#N/A</v>
      </c>
      <c r="L193" t="e">
        <f>VLOOKUP(A193,Catálogo!A:D,4,0)</f>
        <v>#N/A</v>
      </c>
      <c r="N193" s="10" t="e">
        <f>VLOOKUP(A193,[2]Hoja1!$B:$D,3,0)</f>
        <v>#N/A</v>
      </c>
    </row>
    <row r="194" spans="1:14" ht="14.5" x14ac:dyDescent="0.35">
      <c r="A194">
        <v>100020892</v>
      </c>
      <c r="B194">
        <v>7501031701711</v>
      </c>
      <c r="C194" t="s">
        <v>300</v>
      </c>
      <c r="D194" t="s">
        <v>44</v>
      </c>
      <c r="E194" t="s">
        <v>33</v>
      </c>
      <c r="F194" t="s">
        <v>39</v>
      </c>
      <c r="G194" t="s">
        <v>139</v>
      </c>
      <c r="H194" t="s">
        <v>252</v>
      </c>
      <c r="I194" t="s">
        <v>247</v>
      </c>
      <c r="J194" t="e">
        <f>VLOOKUP(A194,Catálogo!A:B,2,0)</f>
        <v>#N/A</v>
      </c>
      <c r="K194" t="e">
        <f>VLOOKUP(A194,Catálogo!A:C,3,0)</f>
        <v>#N/A</v>
      </c>
      <c r="L194" t="e">
        <f>VLOOKUP(A194,Catálogo!A:D,4,0)</f>
        <v>#N/A</v>
      </c>
      <c r="N194" s="10" t="e">
        <f>VLOOKUP(A194,[2]Hoja1!$B:$D,3,0)</f>
        <v>#N/A</v>
      </c>
    </row>
    <row r="195" spans="1:14" ht="14.5" x14ac:dyDescent="0.35">
      <c r="A195" s="10">
        <v>100020890</v>
      </c>
      <c r="B195">
        <v>7501031701780</v>
      </c>
      <c r="C195" s="10" t="s">
        <v>301</v>
      </c>
      <c r="D195" t="s">
        <v>44</v>
      </c>
      <c r="E195" t="s">
        <v>33</v>
      </c>
      <c r="F195" t="s">
        <v>39</v>
      </c>
      <c r="G195" t="s">
        <v>139</v>
      </c>
      <c r="H195" t="s">
        <v>252</v>
      </c>
      <c r="I195" t="s">
        <v>247</v>
      </c>
      <c r="J195" t="e">
        <f>VLOOKUP(A195,Catálogo!A:B,2,0)</f>
        <v>#N/A</v>
      </c>
      <c r="K195" t="e">
        <f>VLOOKUP(A195,Catálogo!A:C,3,0)</f>
        <v>#N/A</v>
      </c>
      <c r="L195" t="e">
        <f>VLOOKUP(A195,Catálogo!A:D,4,0)</f>
        <v>#N/A</v>
      </c>
      <c r="N195" s="10" t="e">
        <f>VLOOKUP(A195,[2]Hoja1!$B:$D,3,0)</f>
        <v>#N/A</v>
      </c>
    </row>
    <row r="196" spans="1:14" ht="14.5" x14ac:dyDescent="0.35">
      <c r="A196">
        <v>100020886</v>
      </c>
      <c r="B196">
        <v>7501031701803</v>
      </c>
      <c r="C196" t="s">
        <v>303</v>
      </c>
      <c r="D196" t="s">
        <v>44</v>
      </c>
      <c r="E196" t="s">
        <v>33</v>
      </c>
      <c r="F196" t="s">
        <v>39</v>
      </c>
      <c r="G196" t="s">
        <v>139</v>
      </c>
      <c r="H196" t="s">
        <v>252</v>
      </c>
      <c r="I196" t="s">
        <v>247</v>
      </c>
      <c r="J196" t="e">
        <f>VLOOKUP(A196,Catálogo!A:B,2,0)</f>
        <v>#N/A</v>
      </c>
      <c r="K196" t="e">
        <f>VLOOKUP(A196,Catálogo!A:C,3,0)</f>
        <v>#N/A</v>
      </c>
      <c r="L196" t="e">
        <f>VLOOKUP(A196,Catálogo!A:D,4,0)</f>
        <v>#N/A</v>
      </c>
      <c r="N196" s="10" t="e">
        <f>VLOOKUP(A196,[2]Hoja1!$B:$D,3,0)</f>
        <v>#N/A</v>
      </c>
    </row>
    <row r="197" spans="1:14" ht="14.5" x14ac:dyDescent="0.35">
      <c r="A197">
        <v>100020885</v>
      </c>
      <c r="B197">
        <v>7501031701766</v>
      </c>
      <c r="C197" t="s">
        <v>304</v>
      </c>
      <c r="D197" t="s">
        <v>44</v>
      </c>
      <c r="E197" t="s">
        <v>33</v>
      </c>
      <c r="F197" t="s">
        <v>39</v>
      </c>
      <c r="G197" t="s">
        <v>139</v>
      </c>
      <c r="H197" t="s">
        <v>252</v>
      </c>
      <c r="I197" t="s">
        <v>247</v>
      </c>
      <c r="J197" t="e">
        <f>VLOOKUP(A197,Catálogo!A:B,2,0)</f>
        <v>#N/A</v>
      </c>
      <c r="K197" t="e">
        <f>VLOOKUP(A197,Catálogo!A:C,3,0)</f>
        <v>#N/A</v>
      </c>
      <c r="L197" t="e">
        <f>VLOOKUP(A197,Catálogo!A:D,4,0)</f>
        <v>#N/A</v>
      </c>
      <c r="N197" s="10" t="e">
        <f>VLOOKUP(A197,[2]Hoja1!$B:$D,3,0)</f>
        <v>#N/A</v>
      </c>
    </row>
    <row r="198" spans="1:14" ht="14.5" x14ac:dyDescent="0.35">
      <c r="A198">
        <v>100020883</v>
      </c>
      <c r="B198">
        <v>7501031701810</v>
      </c>
      <c r="C198" t="s">
        <v>305</v>
      </c>
      <c r="D198" t="s">
        <v>44</v>
      </c>
      <c r="E198" t="s">
        <v>33</v>
      </c>
      <c r="F198" t="s">
        <v>39</v>
      </c>
      <c r="G198" t="s">
        <v>139</v>
      </c>
      <c r="H198" t="s">
        <v>252</v>
      </c>
      <c r="I198" t="s">
        <v>247</v>
      </c>
      <c r="J198" t="e">
        <f>VLOOKUP(A198,Catálogo!A:B,2,0)</f>
        <v>#N/A</v>
      </c>
      <c r="K198" t="e">
        <f>VLOOKUP(A198,Catálogo!A:C,3,0)</f>
        <v>#N/A</v>
      </c>
      <c r="L198" t="e">
        <f>VLOOKUP(A198,Catálogo!A:D,4,0)</f>
        <v>#N/A</v>
      </c>
      <c r="N198" s="10" t="e">
        <f>VLOOKUP(A198,[2]Hoja1!$B:$D,3,0)</f>
        <v>#N/A</v>
      </c>
    </row>
    <row r="199" spans="1:14" ht="14.5" x14ac:dyDescent="0.35">
      <c r="A199">
        <v>100020882</v>
      </c>
      <c r="B199">
        <v>7501031701629</v>
      </c>
      <c r="C199" t="s">
        <v>306</v>
      </c>
      <c r="D199" t="s">
        <v>44</v>
      </c>
      <c r="E199" t="s">
        <v>33</v>
      </c>
      <c r="F199" t="s">
        <v>39</v>
      </c>
      <c r="G199" t="s">
        <v>139</v>
      </c>
      <c r="H199" t="s">
        <v>252</v>
      </c>
      <c r="I199" t="s">
        <v>247</v>
      </c>
      <c r="J199">
        <f>VLOOKUP(A199,Catálogo!A:B,2,0)</f>
        <v>129.63</v>
      </c>
      <c r="K199">
        <f>VLOOKUP(A199,Catálogo!A:C,3,0)</f>
        <v>1</v>
      </c>
      <c r="L199">
        <f>VLOOKUP(A199,Catálogo!A:D,4,0)</f>
        <v>0</v>
      </c>
      <c r="N199" s="10" t="e">
        <f>VLOOKUP(A199,[2]Hoja1!$B:$D,3,0)</f>
        <v>#N/A</v>
      </c>
    </row>
    <row r="200" spans="1:14" ht="14.5" x14ac:dyDescent="0.35">
      <c r="A200">
        <v>100020880</v>
      </c>
      <c r="B200">
        <v>7501031701728</v>
      </c>
      <c r="C200" t="s">
        <v>307</v>
      </c>
      <c r="D200" t="s">
        <v>44</v>
      </c>
      <c r="E200" t="s">
        <v>33</v>
      </c>
      <c r="F200" t="s">
        <v>39</v>
      </c>
      <c r="G200" t="s">
        <v>139</v>
      </c>
      <c r="H200" t="s">
        <v>252</v>
      </c>
      <c r="I200" t="s">
        <v>247</v>
      </c>
      <c r="J200" t="e">
        <f>VLOOKUP(A200,Catálogo!A:B,2,0)</f>
        <v>#N/A</v>
      </c>
      <c r="K200" t="e">
        <f>VLOOKUP(A200,Catálogo!A:C,3,0)</f>
        <v>#N/A</v>
      </c>
      <c r="L200" t="e">
        <f>VLOOKUP(A200,Catálogo!A:D,4,0)</f>
        <v>#N/A</v>
      </c>
      <c r="N200" s="10" t="e">
        <f>VLOOKUP(A200,[2]Hoja1!$B:$D,3,0)</f>
        <v>#N/A</v>
      </c>
    </row>
    <row r="201" spans="1:14" ht="14.5" x14ac:dyDescent="0.35">
      <c r="A201" s="10">
        <v>100020881</v>
      </c>
      <c r="B201">
        <v>7501031701896</v>
      </c>
      <c r="C201" s="10" t="s">
        <v>307</v>
      </c>
      <c r="D201" t="s">
        <v>44</v>
      </c>
      <c r="E201" t="s">
        <v>33</v>
      </c>
      <c r="F201" t="s">
        <v>39</v>
      </c>
      <c r="G201" t="s">
        <v>139</v>
      </c>
      <c r="H201" t="s">
        <v>252</v>
      </c>
      <c r="I201" t="s">
        <v>247</v>
      </c>
      <c r="J201" t="e">
        <f>VLOOKUP(A201,Catálogo!A:B,2,0)</f>
        <v>#N/A</v>
      </c>
      <c r="K201" t="e">
        <f>VLOOKUP(A201,Catálogo!A:C,3,0)</f>
        <v>#N/A</v>
      </c>
      <c r="L201" t="e">
        <f>VLOOKUP(A201,Catálogo!A:D,4,0)</f>
        <v>#N/A</v>
      </c>
      <c r="N201" s="10" t="e">
        <f>VLOOKUP(A201,[2]Hoja1!$B:$D,3,0)</f>
        <v>#N/A</v>
      </c>
    </row>
    <row r="202" spans="1:14" ht="14.5" x14ac:dyDescent="0.35">
      <c r="A202">
        <v>100020878</v>
      </c>
      <c r="B202">
        <v>7501031701773</v>
      </c>
      <c r="C202" t="s">
        <v>308</v>
      </c>
      <c r="D202" t="s">
        <v>44</v>
      </c>
      <c r="E202" t="s">
        <v>33</v>
      </c>
      <c r="F202" t="s">
        <v>39</v>
      </c>
      <c r="G202" t="s">
        <v>139</v>
      </c>
      <c r="H202" t="s">
        <v>252</v>
      </c>
      <c r="I202" t="s">
        <v>247</v>
      </c>
      <c r="J202" t="e">
        <f>VLOOKUP(A202,Catálogo!A:B,2,0)</f>
        <v>#N/A</v>
      </c>
      <c r="K202" t="e">
        <f>VLOOKUP(A202,Catálogo!A:C,3,0)</f>
        <v>#N/A</v>
      </c>
      <c r="L202" t="e">
        <f>VLOOKUP(A202,Catálogo!A:D,4,0)</f>
        <v>#N/A</v>
      </c>
      <c r="N202" s="10" t="e">
        <f>VLOOKUP(A202,[2]Hoja1!$B:$D,3,0)</f>
        <v>#N/A</v>
      </c>
    </row>
    <row r="203" spans="1:14" ht="14.5" x14ac:dyDescent="0.35">
      <c r="A203">
        <v>100020875</v>
      </c>
      <c r="B203">
        <v>7501031701681</v>
      </c>
      <c r="C203" t="s">
        <v>310</v>
      </c>
      <c r="D203" t="s">
        <v>44</v>
      </c>
      <c r="E203" t="s">
        <v>33</v>
      </c>
      <c r="F203" t="s">
        <v>39</v>
      </c>
      <c r="G203" t="s">
        <v>139</v>
      </c>
      <c r="H203" t="s">
        <v>252</v>
      </c>
      <c r="I203" t="s">
        <v>247</v>
      </c>
      <c r="J203" t="e">
        <f>VLOOKUP(A203,Catálogo!A:B,2,0)</f>
        <v>#N/A</v>
      </c>
      <c r="K203" t="e">
        <f>VLOOKUP(A203,Catálogo!A:C,3,0)</f>
        <v>#N/A</v>
      </c>
      <c r="L203" t="e">
        <f>VLOOKUP(A203,Catálogo!A:D,4,0)</f>
        <v>#N/A</v>
      </c>
      <c r="N203" s="10" t="e">
        <f>VLOOKUP(A203,[2]Hoja1!$B:$D,3,0)</f>
        <v>#N/A</v>
      </c>
    </row>
    <row r="204" spans="1:14" ht="14.5" x14ac:dyDescent="0.35">
      <c r="A204" s="10">
        <v>100020874</v>
      </c>
      <c r="B204">
        <v>7501031701797</v>
      </c>
      <c r="C204" s="10" t="s">
        <v>311</v>
      </c>
      <c r="D204" t="s">
        <v>44</v>
      </c>
      <c r="E204" t="s">
        <v>33</v>
      </c>
      <c r="F204" t="s">
        <v>39</v>
      </c>
      <c r="G204" t="s">
        <v>139</v>
      </c>
      <c r="H204" t="s">
        <v>252</v>
      </c>
      <c r="I204" t="s">
        <v>247</v>
      </c>
      <c r="J204" t="e">
        <f>VLOOKUP(A204,Catálogo!A:B,2,0)</f>
        <v>#N/A</v>
      </c>
      <c r="K204" t="e">
        <f>VLOOKUP(A204,Catálogo!A:C,3,0)</f>
        <v>#N/A</v>
      </c>
      <c r="L204" t="e">
        <f>VLOOKUP(A204,Catálogo!A:D,4,0)</f>
        <v>#N/A</v>
      </c>
      <c r="N204" s="10" t="e">
        <f>VLOOKUP(A204,[2]Hoja1!$B:$D,3,0)</f>
        <v>#N/A</v>
      </c>
    </row>
    <row r="205" spans="1:14" ht="14.5" x14ac:dyDescent="0.35">
      <c r="A205">
        <v>100020871</v>
      </c>
      <c r="B205">
        <v>7501031701599</v>
      </c>
      <c r="C205" t="s">
        <v>313</v>
      </c>
      <c r="D205" t="s">
        <v>44</v>
      </c>
      <c r="E205" t="s">
        <v>33</v>
      </c>
      <c r="F205" t="s">
        <v>39</v>
      </c>
      <c r="G205" t="s">
        <v>139</v>
      </c>
      <c r="H205" t="s">
        <v>252</v>
      </c>
      <c r="I205" t="s">
        <v>247</v>
      </c>
      <c r="J205" t="e">
        <f>VLOOKUP(A205,Catálogo!A:B,2,0)</f>
        <v>#N/A</v>
      </c>
      <c r="K205" t="e">
        <f>VLOOKUP(A205,Catálogo!A:C,3,0)</f>
        <v>#N/A</v>
      </c>
      <c r="L205" t="e">
        <f>VLOOKUP(A205,Catálogo!A:D,4,0)</f>
        <v>#N/A</v>
      </c>
      <c r="N205" s="10" t="e">
        <f>VLOOKUP(A205,[2]Hoja1!$B:$D,3,0)</f>
        <v>#N/A</v>
      </c>
    </row>
    <row r="206" spans="1:14" ht="14.5" x14ac:dyDescent="0.35">
      <c r="A206">
        <v>100020898</v>
      </c>
      <c r="B206">
        <v>7501031701551</v>
      </c>
      <c r="C206" t="s">
        <v>315</v>
      </c>
      <c r="D206" t="s">
        <v>44</v>
      </c>
      <c r="E206" t="s">
        <v>33</v>
      </c>
      <c r="F206" t="s">
        <v>39</v>
      </c>
      <c r="G206" t="s">
        <v>578</v>
      </c>
      <c r="H206" t="s">
        <v>252</v>
      </c>
      <c r="I206" t="s">
        <v>247</v>
      </c>
      <c r="J206" t="e">
        <f>VLOOKUP(A206,Catálogo!A:B,2,0)</f>
        <v>#N/A</v>
      </c>
      <c r="K206" t="e">
        <f>VLOOKUP(A206,Catálogo!A:C,3,0)</f>
        <v>#N/A</v>
      </c>
      <c r="L206" t="e">
        <f>VLOOKUP(A206,Catálogo!A:D,4,0)</f>
        <v>#N/A</v>
      </c>
      <c r="N206" s="10" t="e">
        <f>VLOOKUP(A206,[2]Hoja1!$B:$D,3,0)</f>
        <v>#N/A</v>
      </c>
    </row>
    <row r="207" spans="1:14" ht="14.5" x14ac:dyDescent="0.35">
      <c r="A207" s="10">
        <v>100080015</v>
      </c>
      <c r="B207" s="10">
        <v>8308713</v>
      </c>
      <c r="C207" s="10" t="s">
        <v>322</v>
      </c>
      <c r="D207" t="s">
        <v>32</v>
      </c>
      <c r="E207" t="s">
        <v>33</v>
      </c>
      <c r="F207" t="s">
        <v>34</v>
      </c>
      <c r="G207" t="s">
        <v>54</v>
      </c>
      <c r="H207" t="s">
        <v>36</v>
      </c>
      <c r="I207" t="s">
        <v>247</v>
      </c>
      <c r="J207" t="e">
        <f>VLOOKUP(A207,Catálogo!A:B,2,0)</f>
        <v>#N/A</v>
      </c>
      <c r="K207" t="e">
        <f>VLOOKUP(A207,Catálogo!A:C,3,0)</f>
        <v>#N/A</v>
      </c>
      <c r="L207" t="e">
        <f>VLOOKUP(A207,Catálogo!A:D,4,0)</f>
        <v>#N/A</v>
      </c>
      <c r="N207" s="10" t="e">
        <f>VLOOKUP(A207,[2]Hoja1!$B:$D,3,0)</f>
        <v>#N/A</v>
      </c>
    </row>
    <row r="208" spans="1:14" ht="14.5" x14ac:dyDescent="0.35">
      <c r="A208" s="10">
        <v>100019050</v>
      </c>
      <c r="B208">
        <v>75074029</v>
      </c>
      <c r="C208" s="10" t="s">
        <v>324</v>
      </c>
      <c r="D208" t="s">
        <v>44</v>
      </c>
      <c r="E208" t="s">
        <v>33</v>
      </c>
      <c r="F208" t="s">
        <v>46</v>
      </c>
      <c r="G208" t="s">
        <v>136</v>
      </c>
      <c r="H208" t="s">
        <v>36</v>
      </c>
      <c r="I208" t="s">
        <v>109</v>
      </c>
      <c r="J208" t="e">
        <f>VLOOKUP(A208,Catálogo!A:B,2,0)</f>
        <v>#N/A</v>
      </c>
      <c r="K208" t="e">
        <f>VLOOKUP(A208,Catálogo!A:C,3,0)</f>
        <v>#N/A</v>
      </c>
      <c r="L208" t="e">
        <f>VLOOKUP(A208,Catálogo!A:D,4,0)</f>
        <v>#N/A</v>
      </c>
      <c r="N208" s="10" t="e">
        <f>VLOOKUP(A208,[2]Hoja1!$B:$D,3,0)</f>
        <v>#N/A</v>
      </c>
    </row>
    <row r="209" spans="1:14" ht="14.5" x14ac:dyDescent="0.35">
      <c r="A209">
        <v>100020839</v>
      </c>
      <c r="B209">
        <v>75076450</v>
      </c>
      <c r="C209" t="s">
        <v>325</v>
      </c>
      <c r="D209" t="s">
        <v>44</v>
      </c>
      <c r="E209" t="s">
        <v>33</v>
      </c>
      <c r="F209" t="s">
        <v>46</v>
      </c>
      <c r="G209" t="s">
        <v>54</v>
      </c>
      <c r="H209" t="s">
        <v>36</v>
      </c>
      <c r="I209" t="s">
        <v>247</v>
      </c>
      <c r="J209" t="e">
        <f>VLOOKUP(A209,Catálogo!A:B,2,0)</f>
        <v>#N/A</v>
      </c>
      <c r="K209" t="e">
        <f>VLOOKUP(A209,Catálogo!A:C,3,0)</f>
        <v>#N/A</v>
      </c>
      <c r="L209" t="e">
        <f>VLOOKUP(A209,Catálogo!A:D,4,0)</f>
        <v>#N/A</v>
      </c>
      <c r="N209" s="10" t="e">
        <f>VLOOKUP(A209,[2]Hoja1!$B:$D,3,0)</f>
        <v>#N/A</v>
      </c>
    </row>
    <row r="210" spans="1:14" ht="14.5" x14ac:dyDescent="0.35">
      <c r="A210">
        <v>100019051</v>
      </c>
      <c r="B210">
        <v>75074012</v>
      </c>
      <c r="C210" t="s">
        <v>327</v>
      </c>
      <c r="D210" t="s">
        <v>44</v>
      </c>
      <c r="E210" t="s">
        <v>33</v>
      </c>
      <c r="F210" t="s">
        <v>46</v>
      </c>
      <c r="G210" t="s">
        <v>35</v>
      </c>
      <c r="H210" t="s">
        <v>36</v>
      </c>
      <c r="I210" t="s">
        <v>247</v>
      </c>
      <c r="J210" t="e">
        <f>VLOOKUP(A210,Catálogo!A:B,2,0)</f>
        <v>#N/A</v>
      </c>
      <c r="K210" t="e">
        <f>VLOOKUP(A210,Catálogo!A:C,3,0)</f>
        <v>#N/A</v>
      </c>
      <c r="L210" t="e">
        <f>VLOOKUP(A210,Catálogo!A:D,4,0)</f>
        <v>#N/A</v>
      </c>
      <c r="N210" s="10" t="e">
        <f>VLOOKUP(A210,[2]Hoja1!$B:$D,3,0)</f>
        <v>#N/A</v>
      </c>
    </row>
    <row r="211" spans="1:14" ht="14.5" x14ac:dyDescent="0.35">
      <c r="A211" s="10">
        <v>100014061</v>
      </c>
      <c r="B211" s="10">
        <v>75066888</v>
      </c>
      <c r="C211" s="10" t="s">
        <v>330</v>
      </c>
      <c r="D211" t="s">
        <v>44</v>
      </c>
      <c r="E211" t="s">
        <v>33</v>
      </c>
      <c r="F211" t="s">
        <v>46</v>
      </c>
      <c r="G211" t="s">
        <v>52</v>
      </c>
      <c r="H211" t="s">
        <v>36</v>
      </c>
      <c r="I211" t="s">
        <v>247</v>
      </c>
      <c r="J211" t="e">
        <f>VLOOKUP(A211,Catálogo!A:B,2,0)</f>
        <v>#N/A</v>
      </c>
      <c r="K211" t="e">
        <f>VLOOKUP(A211,Catálogo!A:C,3,0)</f>
        <v>#N/A</v>
      </c>
      <c r="L211" t="e">
        <f>VLOOKUP(A211,Catálogo!A:D,4,0)</f>
        <v>#N/A</v>
      </c>
      <c r="N211" s="10" t="e">
        <f>VLOOKUP(A211,[2]Hoja1!$B:$D,3,0)</f>
        <v>#N/A</v>
      </c>
    </row>
    <row r="212" spans="1:14" ht="14.5" x14ac:dyDescent="0.35">
      <c r="A212">
        <v>100010175</v>
      </c>
      <c r="B212">
        <v>75061654</v>
      </c>
      <c r="C212" t="s">
        <v>333</v>
      </c>
      <c r="D212" t="s">
        <v>44</v>
      </c>
      <c r="E212" t="s">
        <v>33</v>
      </c>
      <c r="F212" t="s">
        <v>46</v>
      </c>
      <c r="G212" t="s">
        <v>54</v>
      </c>
      <c r="H212" t="s">
        <v>36</v>
      </c>
      <c r="I212" t="s">
        <v>247</v>
      </c>
      <c r="J212" t="e">
        <f>VLOOKUP(A212,Catálogo!A:B,2,0)</f>
        <v>#N/A</v>
      </c>
      <c r="K212" t="e">
        <f>VLOOKUP(A212,Catálogo!A:C,3,0)</f>
        <v>#N/A</v>
      </c>
      <c r="L212" t="e">
        <f>VLOOKUP(A212,Catálogo!A:D,4,0)</f>
        <v>#N/A</v>
      </c>
      <c r="N212" s="10" t="e">
        <f>VLOOKUP(A212,[2]Hoja1!$B:$D,3,0)</f>
        <v>#N/A</v>
      </c>
    </row>
    <row r="213" spans="1:14" ht="14.5" x14ac:dyDescent="0.35">
      <c r="A213">
        <v>100023316</v>
      </c>
      <c r="B213">
        <v>75079642</v>
      </c>
      <c r="C213" t="s">
        <v>336</v>
      </c>
      <c r="D213" t="s">
        <v>44</v>
      </c>
      <c r="E213" t="s">
        <v>33</v>
      </c>
      <c r="F213" t="s">
        <v>46</v>
      </c>
      <c r="G213" t="s">
        <v>14</v>
      </c>
      <c r="H213" t="s">
        <v>36</v>
      </c>
      <c r="I213" t="s">
        <v>247</v>
      </c>
      <c r="J213" t="e">
        <f>VLOOKUP(A213,Catálogo!A:B,2,0)</f>
        <v>#N/A</v>
      </c>
      <c r="K213" t="e">
        <f>VLOOKUP(A213,Catálogo!A:C,3,0)</f>
        <v>#N/A</v>
      </c>
      <c r="L213" t="e">
        <f>VLOOKUP(A213,Catálogo!A:D,4,0)</f>
        <v>#N/A</v>
      </c>
      <c r="N213" s="10" t="e">
        <f>VLOOKUP(A213,[2]Hoja1!$B:$D,3,0)</f>
        <v>#N/A</v>
      </c>
    </row>
    <row r="214" spans="1:14" ht="14.5" x14ac:dyDescent="0.35">
      <c r="A214">
        <v>100023314</v>
      </c>
      <c r="B214">
        <v>75079659</v>
      </c>
      <c r="C214" t="s">
        <v>339</v>
      </c>
      <c r="D214" t="s">
        <v>44</v>
      </c>
      <c r="E214" t="s">
        <v>33</v>
      </c>
      <c r="F214" t="s">
        <v>46</v>
      </c>
      <c r="G214" t="s">
        <v>14</v>
      </c>
      <c r="H214" t="s">
        <v>36</v>
      </c>
      <c r="I214" t="s">
        <v>247</v>
      </c>
      <c r="J214" t="e">
        <f>VLOOKUP(A214,Catálogo!A:B,2,0)</f>
        <v>#N/A</v>
      </c>
      <c r="K214" t="e">
        <f>VLOOKUP(A214,Catálogo!A:C,3,0)</f>
        <v>#N/A</v>
      </c>
      <c r="L214" t="e">
        <f>VLOOKUP(A214,Catálogo!A:D,4,0)</f>
        <v>#N/A</v>
      </c>
      <c r="N214" s="10" t="e">
        <f>VLOOKUP(A214,[2]Hoja1!$B:$D,3,0)</f>
        <v>#N/A</v>
      </c>
    </row>
    <row r="215" spans="1:14" ht="14.5" x14ac:dyDescent="0.35">
      <c r="A215">
        <v>100013594</v>
      </c>
      <c r="B215">
        <v>75067960</v>
      </c>
      <c r="C215" t="s">
        <v>341</v>
      </c>
      <c r="D215" t="s">
        <v>44</v>
      </c>
      <c r="E215" t="s">
        <v>67</v>
      </c>
      <c r="F215" t="s">
        <v>46</v>
      </c>
      <c r="G215" t="s">
        <v>35</v>
      </c>
      <c r="H215" t="s">
        <v>36</v>
      </c>
      <c r="I215" t="s">
        <v>247</v>
      </c>
      <c r="J215" t="e">
        <f>VLOOKUP(A215,Catálogo!A:B,2,0)</f>
        <v>#N/A</v>
      </c>
      <c r="K215" t="e">
        <f>VLOOKUP(A215,Catálogo!A:C,3,0)</f>
        <v>#N/A</v>
      </c>
      <c r="L215" t="e">
        <f>VLOOKUP(A215,Catálogo!A:D,4,0)</f>
        <v>#N/A</v>
      </c>
      <c r="N215" s="10" t="e">
        <f>VLOOKUP(A215,[2]Hoja1!$B:$D,3,0)</f>
        <v>#N/A</v>
      </c>
    </row>
    <row r="216" spans="1:14" ht="14.5" x14ac:dyDescent="0.35">
      <c r="A216">
        <v>100010317</v>
      </c>
      <c r="B216">
        <v>75062620</v>
      </c>
      <c r="C216" t="s">
        <v>351</v>
      </c>
      <c r="D216" t="s">
        <v>44</v>
      </c>
      <c r="E216" t="s">
        <v>33</v>
      </c>
      <c r="F216" t="s">
        <v>46</v>
      </c>
      <c r="G216" t="s">
        <v>52</v>
      </c>
      <c r="H216" t="s">
        <v>36</v>
      </c>
      <c r="I216" t="s">
        <v>247</v>
      </c>
      <c r="J216" t="e">
        <f>VLOOKUP(A216,Catálogo!A:B,2,0)</f>
        <v>#N/A</v>
      </c>
      <c r="K216" t="e">
        <f>VLOOKUP(A216,Catálogo!A:C,3,0)</f>
        <v>#N/A</v>
      </c>
      <c r="L216" t="e">
        <f>VLOOKUP(A216,Catálogo!A:D,4,0)</f>
        <v>#N/A</v>
      </c>
      <c r="N216" s="10" t="e">
        <f>VLOOKUP(A216,[2]Hoja1!$B:$D,3,0)</f>
        <v>#N/A</v>
      </c>
    </row>
    <row r="217" spans="1:14" ht="14.5" x14ac:dyDescent="0.35">
      <c r="A217">
        <v>100080803</v>
      </c>
      <c r="B217">
        <v>75027667</v>
      </c>
      <c r="C217" t="s">
        <v>352</v>
      </c>
      <c r="D217" t="s">
        <v>44</v>
      </c>
      <c r="E217" t="s">
        <v>33</v>
      </c>
      <c r="F217" t="s">
        <v>46</v>
      </c>
      <c r="G217" t="s">
        <v>54</v>
      </c>
      <c r="H217" t="s">
        <v>36</v>
      </c>
      <c r="I217" t="s">
        <v>247</v>
      </c>
      <c r="J217" t="e">
        <f>VLOOKUP(A217,Catálogo!A:B,2,0)</f>
        <v>#N/A</v>
      </c>
      <c r="K217" t="e">
        <f>VLOOKUP(A217,Catálogo!A:C,3,0)</f>
        <v>#N/A</v>
      </c>
      <c r="L217" t="e">
        <f>VLOOKUP(A217,Catálogo!A:D,4,0)</f>
        <v>#N/A</v>
      </c>
      <c r="N217" s="10" t="e">
        <f>VLOOKUP(A217,[2]Hoja1!$B:$D,3,0)</f>
        <v>#N/A</v>
      </c>
    </row>
    <row r="218" spans="1:14" ht="14.5" x14ac:dyDescent="0.35">
      <c r="A218">
        <v>100080806</v>
      </c>
      <c r="B218">
        <v>75027803</v>
      </c>
      <c r="C218" t="s">
        <v>356</v>
      </c>
      <c r="D218" t="s">
        <v>44</v>
      </c>
      <c r="E218" t="s">
        <v>33</v>
      </c>
      <c r="F218" t="s">
        <v>41</v>
      </c>
      <c r="G218" t="s">
        <v>35</v>
      </c>
      <c r="H218" t="s">
        <v>36</v>
      </c>
      <c r="I218" t="s">
        <v>247</v>
      </c>
      <c r="J218" t="e">
        <f>VLOOKUP(A218,Catálogo!A:B,2,0)</f>
        <v>#N/A</v>
      </c>
      <c r="K218" t="e">
        <f>VLOOKUP(A218,Catálogo!A:C,3,0)</f>
        <v>#N/A</v>
      </c>
      <c r="L218" t="e">
        <f>VLOOKUP(A218,Catálogo!A:D,4,0)</f>
        <v>#N/A</v>
      </c>
      <c r="N218" s="10" t="e">
        <f>VLOOKUP(A218,[2]Hoja1!$B:$D,3,0)</f>
        <v>#N/A</v>
      </c>
    </row>
    <row r="219" spans="1:14" ht="14.5" x14ac:dyDescent="0.35">
      <c r="A219" s="10">
        <v>100080888</v>
      </c>
      <c r="B219" s="10">
        <v>8308014</v>
      </c>
      <c r="C219" s="10" t="s">
        <v>357</v>
      </c>
      <c r="D219" t="s">
        <v>44</v>
      </c>
      <c r="E219" t="s">
        <v>33</v>
      </c>
      <c r="F219" t="s">
        <v>41</v>
      </c>
      <c r="G219" t="s">
        <v>136</v>
      </c>
      <c r="H219" t="s">
        <v>36</v>
      </c>
      <c r="I219" t="s">
        <v>247</v>
      </c>
      <c r="J219" t="e">
        <f>VLOOKUP(A219,Catálogo!A:B,2,0)</f>
        <v>#N/A</v>
      </c>
      <c r="K219" t="e">
        <f>VLOOKUP(A219,Catálogo!A:C,3,0)</f>
        <v>#N/A</v>
      </c>
      <c r="L219" t="e">
        <f>VLOOKUP(A219,Catálogo!A:D,4,0)</f>
        <v>#N/A</v>
      </c>
      <c r="N219" s="10" t="e">
        <f>VLOOKUP(A219,[2]Hoja1!$B:$D,3,0)</f>
        <v>#N/A</v>
      </c>
    </row>
    <row r="220" spans="1:14" ht="14.5" x14ac:dyDescent="0.35">
      <c r="A220" s="10">
        <v>100011743</v>
      </c>
      <c r="B220" s="10">
        <v>75064587</v>
      </c>
      <c r="C220" s="10" t="s">
        <v>359</v>
      </c>
      <c r="D220" t="s">
        <v>44</v>
      </c>
      <c r="E220" t="s">
        <v>33</v>
      </c>
      <c r="F220" t="s">
        <v>46</v>
      </c>
      <c r="G220" t="s">
        <v>52</v>
      </c>
      <c r="H220" t="s">
        <v>36</v>
      </c>
      <c r="I220" t="s">
        <v>247</v>
      </c>
      <c r="J220" t="e">
        <f>VLOOKUP(A220,Catálogo!A:B,2,0)</f>
        <v>#N/A</v>
      </c>
      <c r="K220" t="e">
        <f>VLOOKUP(A220,Catálogo!A:C,3,0)</f>
        <v>#N/A</v>
      </c>
      <c r="L220" t="e">
        <f>VLOOKUP(A220,Catálogo!A:D,4,0)</f>
        <v>#N/A</v>
      </c>
      <c r="N220" s="10" t="e">
        <f>VLOOKUP(A220,[2]Hoja1!$B:$D,3,0)</f>
        <v>#N/A</v>
      </c>
    </row>
    <row r="221" spans="1:14" ht="14.5" x14ac:dyDescent="0.35">
      <c r="A221">
        <v>100023315</v>
      </c>
      <c r="B221">
        <v>75079697</v>
      </c>
      <c r="C221" t="s">
        <v>360</v>
      </c>
      <c r="D221" t="s">
        <v>44</v>
      </c>
      <c r="E221" t="s">
        <v>33</v>
      </c>
      <c r="F221" t="s">
        <v>46</v>
      </c>
      <c r="G221" t="s">
        <v>54</v>
      </c>
      <c r="H221" t="s">
        <v>36</v>
      </c>
      <c r="I221" t="s">
        <v>247</v>
      </c>
      <c r="J221" t="e">
        <f>VLOOKUP(A221,Catálogo!A:B,2,0)</f>
        <v>#N/A</v>
      </c>
      <c r="K221" t="e">
        <f>VLOOKUP(A221,Catálogo!A:C,3,0)</f>
        <v>#N/A</v>
      </c>
      <c r="L221" t="e">
        <f>VLOOKUP(A221,Catálogo!A:D,4,0)</f>
        <v>#N/A</v>
      </c>
      <c r="N221" s="10" t="e">
        <f>VLOOKUP(A221,[2]Hoja1!$B:$D,3,0)</f>
        <v>#N/A</v>
      </c>
    </row>
    <row r="222" spans="1:14" ht="14.5" x14ac:dyDescent="0.35">
      <c r="A222">
        <v>100019003</v>
      </c>
      <c r="B222">
        <v>75001445</v>
      </c>
      <c r="C222" t="s">
        <v>383</v>
      </c>
      <c r="D222" t="s">
        <v>11</v>
      </c>
      <c r="E222" t="s">
        <v>33</v>
      </c>
      <c r="F222" t="s">
        <v>46</v>
      </c>
      <c r="G222" t="s">
        <v>14</v>
      </c>
      <c r="H222" t="s">
        <v>36</v>
      </c>
      <c r="I222" t="s">
        <v>109</v>
      </c>
      <c r="J222" t="e">
        <f>VLOOKUP(A222,Catálogo!A:B,2,0)</f>
        <v>#N/A</v>
      </c>
      <c r="K222" t="e">
        <f>VLOOKUP(A222,Catálogo!A:C,3,0)</f>
        <v>#N/A</v>
      </c>
      <c r="L222" t="e">
        <f>VLOOKUP(A222,Catálogo!A:D,4,0)</f>
        <v>#N/A</v>
      </c>
      <c r="N222" s="10" t="e">
        <f>VLOOKUP(A222,[2]Hoja1!$B:$D,3,0)</f>
        <v>#N/A</v>
      </c>
    </row>
    <row r="223" spans="1:14" ht="14.5" x14ac:dyDescent="0.35">
      <c r="A223" s="10">
        <v>100019696</v>
      </c>
      <c r="B223">
        <v>75072612</v>
      </c>
      <c r="C223" s="10" t="s">
        <v>394</v>
      </c>
      <c r="D223" t="s">
        <v>11</v>
      </c>
      <c r="E223" t="s">
        <v>33</v>
      </c>
      <c r="F223" t="s">
        <v>39</v>
      </c>
      <c r="G223" t="s">
        <v>35</v>
      </c>
      <c r="H223" t="s">
        <v>36</v>
      </c>
      <c r="I223" t="s">
        <v>109</v>
      </c>
      <c r="J223" t="e">
        <f>VLOOKUP(A223,Catálogo!A:B,2,0)</f>
        <v>#N/A</v>
      </c>
      <c r="K223" t="e">
        <f>VLOOKUP(A223,Catálogo!A:C,3,0)</f>
        <v>#N/A</v>
      </c>
      <c r="L223" t="e">
        <f>VLOOKUP(A223,Catálogo!A:D,4,0)</f>
        <v>#N/A</v>
      </c>
      <c r="N223" s="10" t="e">
        <f>VLOOKUP(A223,[2]Hoja1!$B:$D,3,0)</f>
        <v>#N/A</v>
      </c>
    </row>
    <row r="224" spans="1:14" ht="14.5" x14ac:dyDescent="0.35">
      <c r="A224">
        <v>100021413</v>
      </c>
      <c r="B224">
        <v>7503031950229</v>
      </c>
      <c r="C224" t="s">
        <v>397</v>
      </c>
      <c r="D224" t="s">
        <v>11</v>
      </c>
      <c r="E224" t="s">
        <v>33</v>
      </c>
      <c r="F224" t="s">
        <v>46</v>
      </c>
      <c r="G224" t="s">
        <v>14</v>
      </c>
      <c r="H224" t="s">
        <v>36</v>
      </c>
      <c r="I224" t="s">
        <v>109</v>
      </c>
      <c r="J224" t="e">
        <f>VLOOKUP(A224,Catálogo!A:B,2,0)</f>
        <v>#N/A</v>
      </c>
      <c r="K224" t="e">
        <f>VLOOKUP(A224,Catálogo!A:C,3,0)</f>
        <v>#N/A</v>
      </c>
      <c r="L224" t="e">
        <f>VLOOKUP(A224,Catálogo!A:D,4,0)</f>
        <v>#N/A</v>
      </c>
      <c r="N224" s="10" t="e">
        <f>VLOOKUP(A224,[2]Hoja1!$B:$D,3,0)</f>
        <v>#N/A</v>
      </c>
    </row>
    <row r="225" spans="1:14" ht="14.5" x14ac:dyDescent="0.35">
      <c r="A225">
        <v>100021411</v>
      </c>
      <c r="B225">
        <v>7503031950236</v>
      </c>
      <c r="C225" t="s">
        <v>400</v>
      </c>
      <c r="D225" t="s">
        <v>11</v>
      </c>
      <c r="E225" t="s">
        <v>33</v>
      </c>
      <c r="F225" t="s">
        <v>46</v>
      </c>
      <c r="G225" t="s">
        <v>14</v>
      </c>
      <c r="H225" t="s">
        <v>36</v>
      </c>
      <c r="I225" t="s">
        <v>109</v>
      </c>
      <c r="J225" t="e">
        <f>VLOOKUP(A225,Catálogo!A:B,2,0)</f>
        <v>#N/A</v>
      </c>
      <c r="K225" t="e">
        <f>VLOOKUP(A225,Catálogo!A:C,3,0)</f>
        <v>#N/A</v>
      </c>
      <c r="L225" t="e">
        <f>VLOOKUP(A225,Catálogo!A:D,4,0)</f>
        <v>#N/A</v>
      </c>
      <c r="N225" s="10" t="e">
        <f>VLOOKUP(A225,[2]Hoja1!$B:$D,3,0)</f>
        <v>#N/A</v>
      </c>
    </row>
    <row r="226" spans="1:14" ht="14.5" x14ac:dyDescent="0.35">
      <c r="A226">
        <v>100021409</v>
      </c>
      <c r="B226">
        <v>7503031950250</v>
      </c>
      <c r="C226" t="s">
        <v>401</v>
      </c>
      <c r="D226" t="s">
        <v>11</v>
      </c>
      <c r="E226" t="s">
        <v>33</v>
      </c>
      <c r="F226" t="s">
        <v>46</v>
      </c>
      <c r="G226" t="s">
        <v>14</v>
      </c>
      <c r="H226" t="s">
        <v>36</v>
      </c>
      <c r="I226" t="s">
        <v>109</v>
      </c>
      <c r="J226" t="e">
        <f>VLOOKUP(A226,Catálogo!A:B,2,0)</f>
        <v>#N/A</v>
      </c>
      <c r="K226" t="e">
        <f>VLOOKUP(A226,Catálogo!A:C,3,0)</f>
        <v>#N/A</v>
      </c>
      <c r="L226" t="e">
        <f>VLOOKUP(A226,Catálogo!A:D,4,0)</f>
        <v>#N/A</v>
      </c>
      <c r="N226" s="10" t="e">
        <f>VLOOKUP(A226,[2]Hoja1!$B:$D,3,0)</f>
        <v>#N/A</v>
      </c>
    </row>
    <row r="227" spans="1:14" ht="14.5" x14ac:dyDescent="0.35">
      <c r="A227">
        <v>100021407</v>
      </c>
      <c r="B227">
        <v>7503031950243</v>
      </c>
      <c r="C227" t="s">
        <v>402</v>
      </c>
      <c r="D227" t="s">
        <v>11</v>
      </c>
      <c r="E227" t="s">
        <v>33</v>
      </c>
      <c r="F227" t="s">
        <v>46</v>
      </c>
      <c r="G227" t="s">
        <v>54</v>
      </c>
      <c r="H227" t="s">
        <v>36</v>
      </c>
      <c r="I227" t="s">
        <v>109</v>
      </c>
      <c r="J227" t="e">
        <f>VLOOKUP(A227,Catálogo!A:B,2,0)</f>
        <v>#N/A</v>
      </c>
      <c r="K227" t="e">
        <f>VLOOKUP(A227,Catálogo!A:C,3,0)</f>
        <v>#N/A</v>
      </c>
      <c r="L227" t="e">
        <f>VLOOKUP(A227,Catálogo!A:D,4,0)</f>
        <v>#N/A</v>
      </c>
      <c r="N227" s="10" t="e">
        <f>VLOOKUP(A227,[2]Hoja1!$B:$D,3,0)</f>
        <v>#N/A</v>
      </c>
    </row>
    <row r="228" spans="1:14" ht="14.5" x14ac:dyDescent="0.35">
      <c r="A228">
        <v>100021418</v>
      </c>
      <c r="B228">
        <v>75015718</v>
      </c>
      <c r="C228" t="s">
        <v>403</v>
      </c>
      <c r="D228" t="s">
        <v>11</v>
      </c>
      <c r="E228" t="s">
        <v>33</v>
      </c>
      <c r="F228" t="s">
        <v>39</v>
      </c>
      <c r="G228" t="s">
        <v>54</v>
      </c>
      <c r="H228" t="s">
        <v>36</v>
      </c>
      <c r="I228" t="s">
        <v>109</v>
      </c>
      <c r="J228" t="e">
        <f>VLOOKUP(A228,Catálogo!A:B,2,0)</f>
        <v>#N/A</v>
      </c>
      <c r="K228" t="e">
        <f>VLOOKUP(A228,Catálogo!A:C,3,0)</f>
        <v>#N/A</v>
      </c>
      <c r="L228" t="e">
        <f>VLOOKUP(A228,Catálogo!A:D,4,0)</f>
        <v>#N/A</v>
      </c>
      <c r="N228" s="10" t="e">
        <f>VLOOKUP(A228,[2]Hoja1!$B:$D,3,0)</f>
        <v>#N/A</v>
      </c>
    </row>
    <row r="229" spans="1:14" ht="14.5" x14ac:dyDescent="0.35">
      <c r="A229">
        <v>100022334</v>
      </c>
      <c r="B229">
        <v>7503031950441</v>
      </c>
      <c r="C229" t="s">
        <v>404</v>
      </c>
      <c r="D229" t="s">
        <v>11</v>
      </c>
      <c r="E229" t="s">
        <v>33</v>
      </c>
      <c r="F229" t="s">
        <v>46</v>
      </c>
      <c r="G229" t="s">
        <v>54</v>
      </c>
      <c r="H229" t="s">
        <v>36</v>
      </c>
      <c r="I229" t="s">
        <v>109</v>
      </c>
      <c r="J229" t="e">
        <f>VLOOKUP(A229,Catálogo!A:B,2,0)</f>
        <v>#N/A</v>
      </c>
      <c r="K229" t="e">
        <f>VLOOKUP(A229,Catálogo!A:C,3,0)</f>
        <v>#N/A</v>
      </c>
      <c r="L229" t="e">
        <f>VLOOKUP(A229,Catálogo!A:D,4,0)</f>
        <v>#N/A</v>
      </c>
      <c r="N229" s="10" t="e">
        <f>VLOOKUP(A229,[2]Hoja1!$B:$D,3,0)</f>
        <v>#N/A</v>
      </c>
    </row>
    <row r="230" spans="1:14" ht="14.5" x14ac:dyDescent="0.35">
      <c r="A230">
        <v>100020134</v>
      </c>
      <c r="B230">
        <v>7503031950144</v>
      </c>
      <c r="C230" t="s">
        <v>406</v>
      </c>
      <c r="D230" t="s">
        <v>11</v>
      </c>
      <c r="E230" t="s">
        <v>33</v>
      </c>
      <c r="F230" t="s">
        <v>46</v>
      </c>
      <c r="G230" t="s">
        <v>14</v>
      </c>
      <c r="H230" t="s">
        <v>36</v>
      </c>
      <c r="I230" t="s">
        <v>109</v>
      </c>
      <c r="J230" t="e">
        <f>VLOOKUP(A230,Catálogo!A:B,2,0)</f>
        <v>#N/A</v>
      </c>
      <c r="K230" t="e">
        <f>VLOOKUP(A230,Catálogo!A:C,3,0)</f>
        <v>#N/A</v>
      </c>
      <c r="L230" t="e">
        <f>VLOOKUP(A230,Catálogo!A:D,4,0)</f>
        <v>#N/A</v>
      </c>
      <c r="N230" s="10" t="e">
        <f>VLOOKUP(A230,[2]Hoja1!$B:$D,3,0)</f>
        <v>#N/A</v>
      </c>
    </row>
    <row r="231" spans="1:14" ht="14.5" x14ac:dyDescent="0.35">
      <c r="A231" s="10">
        <v>100020136</v>
      </c>
      <c r="B231">
        <v>7503031950151</v>
      </c>
      <c r="C231" s="10" t="s">
        <v>407</v>
      </c>
      <c r="D231" t="s">
        <v>11</v>
      </c>
      <c r="E231" t="s">
        <v>33</v>
      </c>
      <c r="F231" t="s">
        <v>46</v>
      </c>
      <c r="G231" t="s">
        <v>54</v>
      </c>
      <c r="H231" t="s">
        <v>36</v>
      </c>
      <c r="I231" t="s">
        <v>109</v>
      </c>
      <c r="J231" t="e">
        <f>VLOOKUP(A231,Catálogo!A:B,2,0)</f>
        <v>#N/A</v>
      </c>
      <c r="K231" t="e">
        <f>VLOOKUP(A231,Catálogo!A:C,3,0)</f>
        <v>#N/A</v>
      </c>
      <c r="L231" t="e">
        <f>VLOOKUP(A231,Catálogo!A:D,4,0)</f>
        <v>#N/A</v>
      </c>
      <c r="N231" s="10" t="e">
        <f>VLOOKUP(A231,[2]Hoja1!$B:$D,3,0)</f>
        <v>#N/A</v>
      </c>
    </row>
    <row r="232" spans="1:14" ht="14.5" x14ac:dyDescent="0.35">
      <c r="A232" s="10">
        <v>100019578</v>
      </c>
      <c r="B232">
        <v>7503031950052</v>
      </c>
      <c r="C232" s="10" t="s">
        <v>408</v>
      </c>
      <c r="D232" t="s">
        <v>11</v>
      </c>
      <c r="E232" t="s">
        <v>33</v>
      </c>
      <c r="F232" t="s">
        <v>46</v>
      </c>
      <c r="G232" t="s">
        <v>14</v>
      </c>
      <c r="H232" t="s">
        <v>36</v>
      </c>
      <c r="I232" t="s">
        <v>109</v>
      </c>
      <c r="J232" t="e">
        <f>VLOOKUP(A232,Catálogo!A:B,2,0)</f>
        <v>#N/A</v>
      </c>
      <c r="K232" t="e">
        <f>VLOOKUP(A232,Catálogo!A:C,3,0)</f>
        <v>#N/A</v>
      </c>
      <c r="L232" t="e">
        <f>VLOOKUP(A232,Catálogo!A:D,4,0)</f>
        <v>#N/A</v>
      </c>
      <c r="N232" s="10" t="e">
        <f>VLOOKUP(A232,[2]Hoja1!$B:$D,3,0)</f>
        <v>#N/A</v>
      </c>
    </row>
    <row r="233" spans="1:14" ht="14.5" x14ac:dyDescent="0.35">
      <c r="A233" s="10">
        <v>100019576</v>
      </c>
      <c r="B233">
        <v>7503031950069</v>
      </c>
      <c r="C233" s="10" t="s">
        <v>412</v>
      </c>
      <c r="D233" t="s">
        <v>11</v>
      </c>
      <c r="E233" t="s">
        <v>33</v>
      </c>
      <c r="F233" t="s">
        <v>46</v>
      </c>
      <c r="G233" t="s">
        <v>14</v>
      </c>
      <c r="H233" t="s">
        <v>36</v>
      </c>
      <c r="I233" t="s">
        <v>109</v>
      </c>
      <c r="J233" t="e">
        <f>VLOOKUP(A233,Catálogo!A:B,2,0)</f>
        <v>#N/A</v>
      </c>
      <c r="K233" t="e">
        <f>VLOOKUP(A233,Catálogo!A:C,3,0)</f>
        <v>#N/A</v>
      </c>
      <c r="L233" t="e">
        <f>VLOOKUP(A233,Catálogo!A:D,4,0)</f>
        <v>#N/A</v>
      </c>
      <c r="N233" s="10" t="e">
        <f>VLOOKUP(A233,[2]Hoja1!$B:$D,3,0)</f>
        <v>#N/A</v>
      </c>
    </row>
    <row r="234" spans="1:14" ht="14.5" x14ac:dyDescent="0.35">
      <c r="A234">
        <v>100020429</v>
      </c>
      <c r="B234">
        <v>7503031950175</v>
      </c>
      <c r="C234" t="s">
        <v>413</v>
      </c>
      <c r="D234" t="s">
        <v>11</v>
      </c>
      <c r="E234" t="s">
        <v>33</v>
      </c>
      <c r="F234" t="s">
        <v>46</v>
      </c>
      <c r="G234" t="s">
        <v>14</v>
      </c>
      <c r="H234" t="s">
        <v>36</v>
      </c>
      <c r="I234" t="s">
        <v>109</v>
      </c>
      <c r="J234" t="e">
        <f>VLOOKUP(A234,Catálogo!A:B,2,0)</f>
        <v>#N/A</v>
      </c>
      <c r="K234" t="e">
        <f>VLOOKUP(A234,Catálogo!A:C,3,0)</f>
        <v>#N/A</v>
      </c>
      <c r="L234" t="e">
        <f>VLOOKUP(A234,Catálogo!A:D,4,0)</f>
        <v>#N/A</v>
      </c>
      <c r="N234" s="10" t="e">
        <f>VLOOKUP(A234,[2]Hoja1!$B:$D,3,0)</f>
        <v>#N/A</v>
      </c>
    </row>
    <row r="235" spans="1:14" ht="14.5" x14ac:dyDescent="0.35">
      <c r="A235">
        <v>100007987</v>
      </c>
      <c r="B235">
        <v>9583</v>
      </c>
      <c r="C235" t="s">
        <v>423</v>
      </c>
      <c r="D235" t="s">
        <v>11</v>
      </c>
      <c r="E235" t="s">
        <v>33</v>
      </c>
      <c r="F235" t="s">
        <v>46</v>
      </c>
      <c r="G235" t="s">
        <v>35</v>
      </c>
      <c r="H235" t="s">
        <v>36</v>
      </c>
      <c r="I235" t="s">
        <v>247</v>
      </c>
      <c r="J235" t="e">
        <f>VLOOKUP(A235,Catálogo!A:B,2,0)</f>
        <v>#N/A</v>
      </c>
      <c r="K235" t="e">
        <f>VLOOKUP(A235,Catálogo!A:C,3,0)</f>
        <v>#N/A</v>
      </c>
      <c r="L235" t="e">
        <f>VLOOKUP(A235,Catálogo!A:D,4,0)</f>
        <v>#N/A</v>
      </c>
      <c r="N235" s="10" t="e">
        <f>VLOOKUP(A235,[2]Hoja1!$B:$D,3,0)</f>
        <v>#N/A</v>
      </c>
    </row>
    <row r="236" spans="1:14" ht="14.5" x14ac:dyDescent="0.35">
      <c r="A236">
        <v>100007989</v>
      </c>
      <c r="B236">
        <v>9584</v>
      </c>
      <c r="C236" t="s">
        <v>425</v>
      </c>
      <c r="D236" t="s">
        <v>11</v>
      </c>
      <c r="E236" t="s">
        <v>33</v>
      </c>
      <c r="F236" t="s">
        <v>46</v>
      </c>
      <c r="G236" t="s">
        <v>71</v>
      </c>
      <c r="H236" t="s">
        <v>36</v>
      </c>
      <c r="I236" t="s">
        <v>109</v>
      </c>
      <c r="J236" t="e">
        <f>VLOOKUP(A236,Catálogo!A:B,2,0)</f>
        <v>#N/A</v>
      </c>
      <c r="K236" t="e">
        <f>VLOOKUP(A236,Catálogo!A:C,3,0)</f>
        <v>#N/A</v>
      </c>
      <c r="L236" t="e">
        <f>VLOOKUP(A236,Catálogo!A:D,4,0)</f>
        <v>#N/A</v>
      </c>
      <c r="N236" s="10" t="e">
        <f>VLOOKUP(A236,[2]Hoja1!$B:$D,3,0)</f>
        <v>#N/A</v>
      </c>
    </row>
    <row r="237" spans="1:14" ht="14.5" x14ac:dyDescent="0.35">
      <c r="A237" s="10">
        <v>100007424</v>
      </c>
      <c r="B237">
        <v>75056001</v>
      </c>
      <c r="C237" s="10" t="s">
        <v>437</v>
      </c>
      <c r="D237" t="s">
        <v>11</v>
      </c>
      <c r="E237" t="s">
        <v>33</v>
      </c>
      <c r="F237" t="s">
        <v>39</v>
      </c>
      <c r="G237" t="s">
        <v>14</v>
      </c>
      <c r="H237" t="s">
        <v>36</v>
      </c>
      <c r="I237" t="s">
        <v>109</v>
      </c>
      <c r="J237" t="e">
        <f>VLOOKUP(A237,Catálogo!A:B,2,0)</f>
        <v>#N/A</v>
      </c>
      <c r="K237" t="e">
        <f>VLOOKUP(A237,Catálogo!A:C,3,0)</f>
        <v>#N/A</v>
      </c>
      <c r="L237" t="e">
        <f>VLOOKUP(A237,Catálogo!A:D,4,0)</f>
        <v>#N/A</v>
      </c>
      <c r="N237" s="10" t="e">
        <f>VLOOKUP(A237,[2]Hoja1!$B:$D,3,0)</f>
        <v>#N/A</v>
      </c>
    </row>
    <row r="238" spans="1:14" ht="14.5" x14ac:dyDescent="0.35">
      <c r="A238" s="10">
        <v>100080977</v>
      </c>
      <c r="B238">
        <v>75047078</v>
      </c>
      <c r="C238" s="10" t="s">
        <v>440</v>
      </c>
      <c r="D238" t="s">
        <v>11</v>
      </c>
      <c r="E238" t="s">
        <v>33</v>
      </c>
      <c r="F238" t="s">
        <v>39</v>
      </c>
      <c r="G238" t="s">
        <v>54</v>
      </c>
      <c r="H238" t="s">
        <v>36</v>
      </c>
      <c r="I238" t="s">
        <v>109</v>
      </c>
      <c r="J238" t="e">
        <f>VLOOKUP(A238,Catálogo!A:B,2,0)</f>
        <v>#N/A</v>
      </c>
      <c r="K238" t="e">
        <f>VLOOKUP(A238,Catálogo!A:C,3,0)</f>
        <v>#N/A</v>
      </c>
      <c r="L238" t="e">
        <f>VLOOKUP(A238,Catálogo!A:D,4,0)</f>
        <v>#N/A</v>
      </c>
      <c r="N238" s="10" t="e">
        <f>VLOOKUP(A238,[2]Hoja1!$B:$D,3,0)</f>
        <v>#N/A</v>
      </c>
    </row>
    <row r="239" spans="1:14" ht="14.5" x14ac:dyDescent="0.35">
      <c r="A239">
        <v>100007451</v>
      </c>
      <c r="B239">
        <v>75057732</v>
      </c>
      <c r="C239" t="s">
        <v>447</v>
      </c>
      <c r="D239" t="s">
        <v>44</v>
      </c>
      <c r="E239" t="s">
        <v>45</v>
      </c>
      <c r="F239" t="s">
        <v>46</v>
      </c>
      <c r="G239" t="s">
        <v>54</v>
      </c>
      <c r="H239" t="s">
        <v>36</v>
      </c>
      <c r="I239" t="s">
        <v>247</v>
      </c>
      <c r="J239" t="e">
        <f>VLOOKUP(A239,Catálogo!A:B,2,0)</f>
        <v>#N/A</v>
      </c>
      <c r="K239" t="e">
        <f>VLOOKUP(A239,Catálogo!A:C,3,0)</f>
        <v>#N/A</v>
      </c>
      <c r="L239" t="e">
        <f>VLOOKUP(A239,Catálogo!A:D,4,0)</f>
        <v>#N/A</v>
      </c>
      <c r="N239" s="10" t="e">
        <f>VLOOKUP(A239,[2]Hoja1!$B:$D,3,0)</f>
        <v>#N/A</v>
      </c>
    </row>
    <row r="240" spans="1:14" ht="14.5" x14ac:dyDescent="0.35">
      <c r="A240">
        <v>100011378</v>
      </c>
      <c r="B240">
        <v>75063351</v>
      </c>
      <c r="C240" t="s">
        <v>450</v>
      </c>
      <c r="D240" t="s">
        <v>44</v>
      </c>
      <c r="E240" t="s">
        <v>33</v>
      </c>
      <c r="F240" t="s">
        <v>39</v>
      </c>
      <c r="G240" t="s">
        <v>58</v>
      </c>
      <c r="H240" t="s">
        <v>36</v>
      </c>
      <c r="I240" t="s">
        <v>247</v>
      </c>
      <c r="J240" t="e">
        <f>VLOOKUP(A240,Catálogo!A:B,2,0)</f>
        <v>#N/A</v>
      </c>
      <c r="K240" t="e">
        <f>VLOOKUP(A240,Catálogo!A:C,3,0)</f>
        <v>#N/A</v>
      </c>
      <c r="L240" t="e">
        <f>VLOOKUP(A240,Catálogo!A:D,4,0)</f>
        <v>#N/A</v>
      </c>
      <c r="N240" s="10" t="e">
        <f>VLOOKUP(A240,[2]Hoja1!$B:$D,3,0)</f>
        <v>#N/A</v>
      </c>
    </row>
    <row r="241" spans="1:14" ht="14.5" x14ac:dyDescent="0.35">
      <c r="A241">
        <v>100011380</v>
      </c>
      <c r="B241">
        <v>75063344</v>
      </c>
      <c r="C241" t="s">
        <v>451</v>
      </c>
      <c r="D241" t="s">
        <v>44</v>
      </c>
      <c r="E241" t="s">
        <v>33</v>
      </c>
      <c r="F241" t="s">
        <v>39</v>
      </c>
      <c r="G241" t="s">
        <v>58</v>
      </c>
      <c r="H241" t="s">
        <v>36</v>
      </c>
      <c r="I241" t="s">
        <v>247</v>
      </c>
      <c r="J241">
        <f>VLOOKUP(A241,Catálogo!A:B,2,0)</f>
        <v>157.41</v>
      </c>
      <c r="K241">
        <f>VLOOKUP(A241,Catálogo!A:C,3,0)</f>
        <v>2</v>
      </c>
      <c r="L241">
        <f>VLOOKUP(A241,Catálogo!A:D,4,0)</f>
        <v>0</v>
      </c>
      <c r="N241" s="10" t="e">
        <f>VLOOKUP(A241,[2]Hoja1!$B:$D,3,0)</f>
        <v>#N/A</v>
      </c>
    </row>
    <row r="242" spans="1:14" ht="14.5" x14ac:dyDescent="0.35">
      <c r="A242">
        <v>100018747</v>
      </c>
      <c r="B242">
        <v>75074197</v>
      </c>
      <c r="C242" t="s">
        <v>452</v>
      </c>
      <c r="D242" t="s">
        <v>44</v>
      </c>
      <c r="E242" t="s">
        <v>33</v>
      </c>
      <c r="F242" t="s">
        <v>46</v>
      </c>
      <c r="G242" t="s">
        <v>35</v>
      </c>
      <c r="H242" t="s">
        <v>36</v>
      </c>
      <c r="I242" t="s">
        <v>247</v>
      </c>
      <c r="J242" t="e">
        <f>VLOOKUP(A242,Catálogo!A:B,2,0)</f>
        <v>#N/A</v>
      </c>
      <c r="K242" t="e">
        <f>VLOOKUP(A242,Catálogo!A:C,3,0)</f>
        <v>#N/A</v>
      </c>
      <c r="L242" t="e">
        <f>VLOOKUP(A242,Catálogo!A:D,4,0)</f>
        <v>#N/A</v>
      </c>
      <c r="N242" s="10" t="e">
        <f>VLOOKUP(A242,[2]Hoja1!$B:$D,3,0)</f>
        <v>#N/A</v>
      </c>
    </row>
    <row r="243" spans="1:14" ht="14.5" x14ac:dyDescent="0.35">
      <c r="A243">
        <v>100080954</v>
      </c>
      <c r="B243">
        <v>75047283</v>
      </c>
      <c r="C243" t="s">
        <v>455</v>
      </c>
      <c r="D243" t="s">
        <v>44</v>
      </c>
      <c r="E243" t="s">
        <v>33</v>
      </c>
      <c r="F243" t="s">
        <v>39</v>
      </c>
      <c r="G243" t="s">
        <v>58</v>
      </c>
      <c r="H243" t="s">
        <v>36</v>
      </c>
      <c r="I243" t="s">
        <v>247</v>
      </c>
      <c r="J243" t="e">
        <f>VLOOKUP(A243,Catálogo!A:B,2,0)</f>
        <v>#N/A</v>
      </c>
      <c r="K243" t="e">
        <f>VLOOKUP(A243,Catálogo!A:C,3,0)</f>
        <v>#N/A</v>
      </c>
      <c r="L243" t="e">
        <f>VLOOKUP(A243,Catálogo!A:D,4,0)</f>
        <v>#N/A</v>
      </c>
      <c r="N243" s="10" t="e">
        <f>VLOOKUP(A243,[2]Hoja1!$B:$D,3,0)</f>
        <v>#N/A</v>
      </c>
    </row>
    <row r="244" spans="1:14" ht="14.5" x14ac:dyDescent="0.35">
      <c r="A244">
        <v>900000012</v>
      </c>
      <c r="B244">
        <v>8356</v>
      </c>
      <c r="C244" t="s">
        <v>463</v>
      </c>
      <c r="D244" t="s">
        <v>11</v>
      </c>
      <c r="E244" t="s">
        <v>33</v>
      </c>
      <c r="F244" t="s">
        <v>100</v>
      </c>
      <c r="G244" t="s">
        <v>35</v>
      </c>
      <c r="H244" t="s">
        <v>36</v>
      </c>
      <c r="I244" t="s">
        <v>247</v>
      </c>
      <c r="J244" t="e">
        <f>VLOOKUP(A244,Catálogo!A:B,2,0)</f>
        <v>#N/A</v>
      </c>
      <c r="K244" t="e">
        <f>VLOOKUP(A244,Catálogo!A:C,3,0)</f>
        <v>#N/A</v>
      </c>
      <c r="L244" t="e">
        <f>VLOOKUP(A244,Catálogo!A:D,4,0)</f>
        <v>#N/A</v>
      </c>
      <c r="N244" s="10" t="e">
        <f>VLOOKUP(A244,[2]Hoja1!$B:$D,3,0)</f>
        <v>#N/A</v>
      </c>
    </row>
    <row r="245" spans="1:14" ht="14.5" x14ac:dyDescent="0.35">
      <c r="A245">
        <v>100017011</v>
      </c>
      <c r="B245">
        <v>5410706851496</v>
      </c>
      <c r="C245" t="s">
        <v>465</v>
      </c>
      <c r="D245" t="s">
        <v>11</v>
      </c>
      <c r="E245" t="s">
        <v>33</v>
      </c>
      <c r="F245" t="s">
        <v>239</v>
      </c>
      <c r="G245" t="s">
        <v>239</v>
      </c>
      <c r="H245" t="s">
        <v>70</v>
      </c>
      <c r="I245" t="s">
        <v>109</v>
      </c>
      <c r="J245" t="e">
        <f>VLOOKUP(A245,Catálogo!A:B,2,0)</f>
        <v>#N/A</v>
      </c>
      <c r="K245" t="e">
        <f>VLOOKUP(A245,Catálogo!A:C,3,0)</f>
        <v>#N/A</v>
      </c>
      <c r="L245" t="e">
        <f>VLOOKUP(A245,Catálogo!A:D,4,0)</f>
        <v>#N/A</v>
      </c>
      <c r="N245" s="10" t="e">
        <f>VLOOKUP(A245,[2]Hoja1!$B:$D,3,0)</f>
        <v>#N/A</v>
      </c>
    </row>
    <row r="246" spans="1:14" ht="14.5" x14ac:dyDescent="0.35">
      <c r="A246">
        <v>100018398</v>
      </c>
      <c r="B246">
        <v>7622100806332</v>
      </c>
      <c r="C246" t="s">
        <v>467</v>
      </c>
      <c r="D246" t="s">
        <v>11</v>
      </c>
      <c r="E246" t="s">
        <v>33</v>
      </c>
      <c r="F246" t="s">
        <v>239</v>
      </c>
      <c r="G246" t="s">
        <v>239</v>
      </c>
      <c r="H246" t="s">
        <v>70</v>
      </c>
      <c r="I246" t="s">
        <v>109</v>
      </c>
      <c r="J246" t="e">
        <f>VLOOKUP(A246,Catálogo!A:B,2,0)</f>
        <v>#N/A</v>
      </c>
      <c r="K246" t="e">
        <f>VLOOKUP(A246,Catálogo!A:C,3,0)</f>
        <v>#N/A</v>
      </c>
      <c r="L246" t="e">
        <f>VLOOKUP(A246,Catálogo!A:D,4,0)</f>
        <v>#N/A</v>
      </c>
      <c r="N246" s="10" t="e">
        <f>VLOOKUP(A246,[2]Hoja1!$B:$D,3,0)</f>
        <v>#N/A</v>
      </c>
    </row>
    <row r="247" spans="1:14" ht="14.5" x14ac:dyDescent="0.35">
      <c r="A247">
        <v>100018398</v>
      </c>
      <c r="B247">
        <v>7622100806332</v>
      </c>
      <c r="C247" t="s">
        <v>467</v>
      </c>
      <c r="D247" t="s">
        <v>11</v>
      </c>
      <c r="E247" t="s">
        <v>33</v>
      </c>
      <c r="F247" t="s">
        <v>239</v>
      </c>
      <c r="G247" t="s">
        <v>239</v>
      </c>
      <c r="H247" t="s">
        <v>70</v>
      </c>
      <c r="I247" t="s">
        <v>109</v>
      </c>
      <c r="J247" t="e">
        <f>VLOOKUP(A247,Catálogo!A:B,2,0)</f>
        <v>#N/A</v>
      </c>
      <c r="K247" t="e">
        <f>VLOOKUP(A247,Catálogo!A:C,3,0)</f>
        <v>#N/A</v>
      </c>
      <c r="L247" t="e">
        <f>VLOOKUP(A247,Catálogo!A:D,4,0)</f>
        <v>#N/A</v>
      </c>
      <c r="N247" s="10" t="e">
        <f>VLOOKUP(A247,[2]Hoja1!$B:$D,3,0)</f>
        <v>#N/A</v>
      </c>
    </row>
    <row r="248" spans="1:14" ht="14.5" x14ac:dyDescent="0.35">
      <c r="A248" s="10">
        <v>100020906</v>
      </c>
      <c r="B248">
        <v>5410706903317</v>
      </c>
      <c r="C248" s="10" t="s">
        <v>469</v>
      </c>
      <c r="D248" t="s">
        <v>11</v>
      </c>
      <c r="E248" t="s">
        <v>33</v>
      </c>
      <c r="F248" t="s">
        <v>39</v>
      </c>
      <c r="G248" t="s">
        <v>239</v>
      </c>
      <c r="H248" t="s">
        <v>70</v>
      </c>
      <c r="I248" t="s">
        <v>109</v>
      </c>
      <c r="J248" t="e">
        <f>VLOOKUP(A248,Catálogo!A:B,2,0)</f>
        <v>#N/A</v>
      </c>
      <c r="K248" t="e">
        <f>VLOOKUP(A248,Catálogo!A:C,3,0)</f>
        <v>#N/A</v>
      </c>
      <c r="L248" t="e">
        <f>VLOOKUP(A248,Catálogo!A:D,4,0)</f>
        <v>#N/A</v>
      </c>
      <c r="N248" s="10" t="e">
        <f>VLOOKUP(A248,[2]Hoja1!$B:$D,3,0)</f>
        <v>#N/A</v>
      </c>
    </row>
    <row r="249" spans="1:14" ht="14.5" x14ac:dyDescent="0.35">
      <c r="A249">
        <v>100020904</v>
      </c>
      <c r="B249">
        <v>5410706903294</v>
      </c>
      <c r="C249" t="s">
        <v>470</v>
      </c>
      <c r="D249" t="s">
        <v>11</v>
      </c>
      <c r="E249" t="s">
        <v>33</v>
      </c>
      <c r="F249" t="s">
        <v>239</v>
      </c>
      <c r="G249" t="s">
        <v>239</v>
      </c>
      <c r="H249" t="s">
        <v>70</v>
      </c>
      <c r="I249" t="s">
        <v>109</v>
      </c>
      <c r="J249" t="e">
        <f>VLOOKUP(A249,Catálogo!A:B,2,0)</f>
        <v>#N/A</v>
      </c>
      <c r="K249" t="e">
        <f>VLOOKUP(A249,Catálogo!A:C,3,0)</f>
        <v>#N/A</v>
      </c>
      <c r="L249" t="e">
        <f>VLOOKUP(A249,Catálogo!A:D,4,0)</f>
        <v>#N/A</v>
      </c>
      <c r="N249" s="10" t="e">
        <f>VLOOKUP(A249,[2]Hoja1!$B:$D,3,0)</f>
        <v>#N/A</v>
      </c>
    </row>
    <row r="250" spans="1:14" ht="14.5" x14ac:dyDescent="0.35">
      <c r="A250" s="10">
        <v>100020905</v>
      </c>
      <c r="B250">
        <v>5410706903355</v>
      </c>
      <c r="C250" s="10" t="s">
        <v>471</v>
      </c>
      <c r="D250" t="s">
        <v>11</v>
      </c>
      <c r="E250" t="s">
        <v>33</v>
      </c>
      <c r="F250" t="s">
        <v>39</v>
      </c>
      <c r="G250" t="s">
        <v>239</v>
      </c>
      <c r="H250" t="s">
        <v>70</v>
      </c>
      <c r="I250" t="s">
        <v>109</v>
      </c>
      <c r="J250" t="e">
        <f>VLOOKUP(A250,Catálogo!A:B,2,0)</f>
        <v>#N/A</v>
      </c>
      <c r="K250" t="e">
        <f>VLOOKUP(A250,Catálogo!A:C,3,0)</f>
        <v>#N/A</v>
      </c>
      <c r="L250" t="e">
        <f>VLOOKUP(A250,Catálogo!A:D,4,0)</f>
        <v>#N/A</v>
      </c>
      <c r="N250" s="10" t="e">
        <f>VLOOKUP(A250,[2]Hoja1!$B:$D,3,0)</f>
        <v>#N/A</v>
      </c>
    </row>
    <row r="251" spans="1:14" ht="14.5" x14ac:dyDescent="0.35">
      <c r="A251" s="10">
        <v>100020178</v>
      </c>
      <c r="B251">
        <v>5410706884715</v>
      </c>
      <c r="C251" s="10" t="s">
        <v>473</v>
      </c>
      <c r="D251" t="s">
        <v>11</v>
      </c>
      <c r="E251" t="s">
        <v>33</v>
      </c>
      <c r="F251" t="s">
        <v>39</v>
      </c>
      <c r="G251" t="s">
        <v>239</v>
      </c>
      <c r="H251" t="s">
        <v>70</v>
      </c>
      <c r="I251" t="s">
        <v>109</v>
      </c>
      <c r="J251" t="e">
        <f>VLOOKUP(A251,Catálogo!A:B,2,0)</f>
        <v>#N/A</v>
      </c>
      <c r="K251" t="e">
        <f>VLOOKUP(A251,Catálogo!A:C,3,0)</f>
        <v>#N/A</v>
      </c>
      <c r="L251" t="e">
        <f>VLOOKUP(A251,Catálogo!A:D,4,0)</f>
        <v>#N/A</v>
      </c>
      <c r="N251" s="10" t="e">
        <f>VLOOKUP(A251,[2]Hoja1!$B:$D,3,0)</f>
        <v>#N/A</v>
      </c>
    </row>
    <row r="252" spans="1:14" ht="14.5" x14ac:dyDescent="0.35">
      <c r="A252" s="10">
        <v>100020179</v>
      </c>
      <c r="B252">
        <v>5410706884654</v>
      </c>
      <c r="C252" s="10" t="s">
        <v>474</v>
      </c>
      <c r="D252" t="s">
        <v>11</v>
      </c>
      <c r="E252" t="s">
        <v>33</v>
      </c>
      <c r="F252" t="s">
        <v>39</v>
      </c>
      <c r="G252" t="s">
        <v>239</v>
      </c>
      <c r="H252" t="s">
        <v>70</v>
      </c>
      <c r="I252" t="s">
        <v>109</v>
      </c>
      <c r="J252" t="e">
        <f>VLOOKUP(A252,Catálogo!A:B,2,0)</f>
        <v>#N/A</v>
      </c>
      <c r="K252" t="e">
        <f>VLOOKUP(A252,Catálogo!A:C,3,0)</f>
        <v>#N/A</v>
      </c>
      <c r="L252" t="e">
        <f>VLOOKUP(A252,Catálogo!A:D,4,0)</f>
        <v>#N/A</v>
      </c>
      <c r="N252" s="10" t="e">
        <f>VLOOKUP(A252,[2]Hoja1!$B:$D,3,0)</f>
        <v>#N/A</v>
      </c>
    </row>
    <row r="253" spans="1:14" ht="14.5" x14ac:dyDescent="0.35">
      <c r="A253">
        <v>100020992</v>
      </c>
      <c r="B253">
        <v>5410710000000</v>
      </c>
      <c r="C253" t="s">
        <v>475</v>
      </c>
      <c r="D253" t="s">
        <v>11</v>
      </c>
      <c r="E253" t="s">
        <v>33</v>
      </c>
      <c r="F253" t="s">
        <v>239</v>
      </c>
      <c r="G253" t="s">
        <v>239</v>
      </c>
      <c r="H253" t="s">
        <v>70</v>
      </c>
      <c r="I253" t="s">
        <v>109</v>
      </c>
      <c r="J253" t="e">
        <f>VLOOKUP(A253,Catálogo!A:B,2,0)</f>
        <v>#N/A</v>
      </c>
      <c r="K253" t="e">
        <f>VLOOKUP(A253,Catálogo!A:C,3,0)</f>
        <v>#N/A</v>
      </c>
      <c r="L253" t="e">
        <f>VLOOKUP(A253,Catálogo!A:D,4,0)</f>
        <v>#N/A</v>
      </c>
      <c r="N253" s="10" t="e">
        <f>VLOOKUP(A253,[2]Hoja1!$B:$D,3,0)</f>
        <v>#N/A</v>
      </c>
    </row>
    <row r="254" spans="1:14" ht="14.5" x14ac:dyDescent="0.35">
      <c r="A254" s="10">
        <v>100012007</v>
      </c>
      <c r="B254">
        <v>75063900</v>
      </c>
      <c r="C254" s="10" t="s">
        <v>487</v>
      </c>
      <c r="D254" t="s">
        <v>11</v>
      </c>
      <c r="E254" t="s">
        <v>33</v>
      </c>
      <c r="F254" t="s">
        <v>41</v>
      </c>
      <c r="G254" t="s">
        <v>35</v>
      </c>
      <c r="H254" t="s">
        <v>36</v>
      </c>
      <c r="I254" t="s">
        <v>109</v>
      </c>
      <c r="J254" t="e">
        <f>VLOOKUP(A254,Catálogo!A:B,2,0)</f>
        <v>#N/A</v>
      </c>
      <c r="K254" t="e">
        <f>VLOOKUP(A254,Catálogo!A:C,3,0)</f>
        <v>#N/A</v>
      </c>
      <c r="L254" t="e">
        <f>VLOOKUP(A254,Catálogo!A:D,4,0)</f>
        <v>#N/A</v>
      </c>
      <c r="N254" s="10" t="e">
        <f>VLOOKUP(A254,[2]Hoja1!$B:$D,3,0)</f>
        <v>#N/A</v>
      </c>
    </row>
    <row r="255" spans="1:14" ht="14.5" x14ac:dyDescent="0.35">
      <c r="A255" s="10">
        <v>100011702</v>
      </c>
      <c r="B255">
        <v>75063894</v>
      </c>
      <c r="C255" s="10" t="s">
        <v>488</v>
      </c>
      <c r="D255" t="s">
        <v>11</v>
      </c>
      <c r="E255" t="s">
        <v>33</v>
      </c>
      <c r="F255" t="s">
        <v>41</v>
      </c>
      <c r="G255" t="s">
        <v>35</v>
      </c>
      <c r="H255" t="s">
        <v>36</v>
      </c>
      <c r="I255" t="s">
        <v>109</v>
      </c>
      <c r="J255" t="e">
        <f>VLOOKUP(A255,Catálogo!A:B,2,0)</f>
        <v>#N/A</v>
      </c>
      <c r="K255" t="e">
        <f>VLOOKUP(A255,Catálogo!A:C,3,0)</f>
        <v>#N/A</v>
      </c>
      <c r="L255" t="e">
        <f>VLOOKUP(A255,Catálogo!A:D,4,0)</f>
        <v>#N/A</v>
      </c>
      <c r="N255" s="10" t="e">
        <f>VLOOKUP(A255,[2]Hoja1!$B:$D,3,0)</f>
        <v>#N/A</v>
      </c>
    </row>
    <row r="256" spans="1:14" ht="14.5" x14ac:dyDescent="0.35">
      <c r="A256" s="10">
        <v>100012003</v>
      </c>
      <c r="B256">
        <v>75063863</v>
      </c>
      <c r="C256" s="10" t="s">
        <v>490</v>
      </c>
      <c r="D256" t="s">
        <v>11</v>
      </c>
      <c r="E256" t="s">
        <v>33</v>
      </c>
      <c r="F256" t="s">
        <v>41</v>
      </c>
      <c r="G256" t="s">
        <v>54</v>
      </c>
      <c r="H256" t="s">
        <v>36</v>
      </c>
      <c r="I256" t="s">
        <v>109</v>
      </c>
      <c r="J256" t="e">
        <f>VLOOKUP(A256,Catálogo!A:B,2,0)</f>
        <v>#N/A</v>
      </c>
      <c r="K256" t="e">
        <f>VLOOKUP(A256,Catálogo!A:C,3,0)</f>
        <v>#N/A</v>
      </c>
      <c r="L256" t="e">
        <f>VLOOKUP(A256,Catálogo!A:D,4,0)</f>
        <v>#N/A</v>
      </c>
      <c r="N256" s="10" t="e">
        <f>VLOOKUP(A256,[2]Hoja1!$B:$D,3,0)</f>
        <v>#N/A</v>
      </c>
    </row>
    <row r="257" spans="1:14" ht="14.5" x14ac:dyDescent="0.35">
      <c r="A257" s="10">
        <v>100009575</v>
      </c>
      <c r="B257">
        <v>75061449</v>
      </c>
      <c r="C257" s="10" t="s">
        <v>491</v>
      </c>
      <c r="D257" t="s">
        <v>11</v>
      </c>
      <c r="E257" t="s">
        <v>33</v>
      </c>
      <c r="F257" t="s">
        <v>41</v>
      </c>
      <c r="G257" t="s">
        <v>35</v>
      </c>
      <c r="H257" t="s">
        <v>36</v>
      </c>
      <c r="I257" t="s">
        <v>109</v>
      </c>
      <c r="J257" t="e">
        <f>VLOOKUP(A257,Catálogo!A:B,2,0)</f>
        <v>#N/A</v>
      </c>
      <c r="K257" t="e">
        <f>VLOOKUP(A257,Catálogo!A:C,3,0)</f>
        <v>#N/A</v>
      </c>
      <c r="L257" t="e">
        <f>VLOOKUP(A257,Catálogo!A:D,4,0)</f>
        <v>#N/A</v>
      </c>
      <c r="N257" s="10" t="e">
        <f>VLOOKUP(A257,[2]Hoja1!$B:$D,3,0)</f>
        <v>#N/A</v>
      </c>
    </row>
    <row r="258" spans="1:14" ht="14.5" x14ac:dyDescent="0.35">
      <c r="A258" s="10">
        <v>100012005</v>
      </c>
      <c r="B258">
        <v>75063948</v>
      </c>
      <c r="C258" s="10" t="s">
        <v>492</v>
      </c>
      <c r="D258" t="s">
        <v>11</v>
      </c>
      <c r="E258" t="s">
        <v>33</v>
      </c>
      <c r="F258" t="s">
        <v>41</v>
      </c>
      <c r="G258" t="s">
        <v>71</v>
      </c>
      <c r="H258" t="s">
        <v>36</v>
      </c>
      <c r="I258" t="s">
        <v>109</v>
      </c>
      <c r="J258" t="e">
        <f>VLOOKUP(A258,Catálogo!A:B,2,0)</f>
        <v>#N/A</v>
      </c>
      <c r="K258" t="e">
        <f>VLOOKUP(A258,Catálogo!A:C,3,0)</f>
        <v>#N/A</v>
      </c>
      <c r="L258" t="e">
        <f>VLOOKUP(A258,Catálogo!A:D,4,0)</f>
        <v>#N/A</v>
      </c>
      <c r="N258" s="10" t="e">
        <f>VLOOKUP(A258,[2]Hoja1!$B:$D,3,0)</f>
        <v>#N/A</v>
      </c>
    </row>
    <row r="259" spans="1:14" ht="14.5" x14ac:dyDescent="0.35">
      <c r="A259" s="10">
        <v>100011705</v>
      </c>
      <c r="B259">
        <v>75063931</v>
      </c>
      <c r="C259" s="10" t="s">
        <v>493</v>
      </c>
      <c r="D259" t="s">
        <v>11</v>
      </c>
      <c r="E259" t="s">
        <v>33</v>
      </c>
      <c r="F259" t="s">
        <v>41</v>
      </c>
      <c r="G259" t="s">
        <v>71</v>
      </c>
      <c r="H259" t="s">
        <v>36</v>
      </c>
      <c r="I259" t="s">
        <v>109</v>
      </c>
      <c r="J259" t="e">
        <f>VLOOKUP(A259,Catálogo!A:B,2,0)</f>
        <v>#N/A</v>
      </c>
      <c r="K259" t="e">
        <f>VLOOKUP(A259,Catálogo!A:C,3,0)</f>
        <v>#N/A</v>
      </c>
      <c r="L259" t="e">
        <f>VLOOKUP(A259,Catálogo!A:D,4,0)</f>
        <v>#N/A</v>
      </c>
      <c r="N259" s="10" t="e">
        <f>VLOOKUP(A259,[2]Hoja1!$B:$D,3,0)</f>
        <v>#N/A</v>
      </c>
    </row>
    <row r="260" spans="1:14" ht="14.5" x14ac:dyDescent="0.35">
      <c r="A260">
        <v>100080984</v>
      </c>
      <c r="B260">
        <v>75049607</v>
      </c>
      <c r="C260" t="s">
        <v>494</v>
      </c>
      <c r="D260" t="s">
        <v>11</v>
      </c>
      <c r="E260" t="s">
        <v>33</v>
      </c>
      <c r="F260" t="s">
        <v>41</v>
      </c>
      <c r="G260" t="s">
        <v>71</v>
      </c>
      <c r="H260" t="s">
        <v>36</v>
      </c>
      <c r="I260" t="s">
        <v>109</v>
      </c>
      <c r="J260" t="e">
        <f>VLOOKUP(A260,Catálogo!A:B,2,0)</f>
        <v>#N/A</v>
      </c>
      <c r="K260" t="e">
        <f>VLOOKUP(A260,Catálogo!A:C,3,0)</f>
        <v>#N/A</v>
      </c>
      <c r="L260" t="e">
        <f>VLOOKUP(A260,Catálogo!A:D,4,0)</f>
        <v>#N/A</v>
      </c>
      <c r="N260" s="10" t="e">
        <f>VLOOKUP(A260,[2]Hoja1!$B:$D,3,0)</f>
        <v>#N/A</v>
      </c>
    </row>
    <row r="261" spans="1:14" ht="14.5" x14ac:dyDescent="0.35">
      <c r="A261" s="10">
        <v>100012002</v>
      </c>
      <c r="B261">
        <v>75063849</v>
      </c>
      <c r="C261" s="10" t="s">
        <v>495</v>
      </c>
      <c r="D261" t="s">
        <v>11</v>
      </c>
      <c r="E261" t="s">
        <v>33</v>
      </c>
      <c r="F261" t="s">
        <v>41</v>
      </c>
      <c r="G261" t="s">
        <v>71</v>
      </c>
      <c r="H261" t="s">
        <v>36</v>
      </c>
      <c r="I261" t="s">
        <v>109</v>
      </c>
      <c r="J261" t="e">
        <f>VLOOKUP(A261,Catálogo!A:B,2,0)</f>
        <v>#N/A</v>
      </c>
      <c r="K261" t="e">
        <f>VLOOKUP(A261,Catálogo!A:C,3,0)</f>
        <v>#N/A</v>
      </c>
      <c r="L261" t="e">
        <f>VLOOKUP(A261,Catálogo!A:D,4,0)</f>
        <v>#N/A</v>
      </c>
      <c r="N261" s="10" t="e">
        <f>VLOOKUP(A261,[2]Hoja1!$B:$D,3,0)</f>
        <v>#N/A</v>
      </c>
    </row>
    <row r="262" spans="1:14" ht="14.5" x14ac:dyDescent="0.35">
      <c r="A262" s="10">
        <v>100080951</v>
      </c>
      <c r="B262">
        <v>75047092</v>
      </c>
      <c r="C262" s="10" t="s">
        <v>498</v>
      </c>
      <c r="D262" t="s">
        <v>11</v>
      </c>
      <c r="E262" t="s">
        <v>33</v>
      </c>
      <c r="F262" t="s">
        <v>41</v>
      </c>
      <c r="G262" t="s">
        <v>71</v>
      </c>
      <c r="H262" t="s">
        <v>36</v>
      </c>
      <c r="I262" t="s">
        <v>109</v>
      </c>
      <c r="J262" t="e">
        <f>VLOOKUP(A262,Catálogo!A:B,2,0)</f>
        <v>#N/A</v>
      </c>
      <c r="K262" t="e">
        <f>VLOOKUP(A262,Catálogo!A:C,3,0)</f>
        <v>#N/A</v>
      </c>
      <c r="L262" t="e">
        <f>VLOOKUP(A262,Catálogo!A:D,4,0)</f>
        <v>#N/A</v>
      </c>
      <c r="N262" s="10" t="e">
        <f>VLOOKUP(A262,[2]Hoja1!$B:$D,3,0)</f>
        <v>#N/A</v>
      </c>
    </row>
    <row r="263" spans="1:14" ht="14.5" x14ac:dyDescent="0.35">
      <c r="A263" s="10">
        <v>100080869</v>
      </c>
      <c r="B263">
        <v>75037048</v>
      </c>
      <c r="C263" s="10" t="s">
        <v>499</v>
      </c>
      <c r="D263" t="s">
        <v>11</v>
      </c>
      <c r="E263" t="s">
        <v>33</v>
      </c>
      <c r="F263" t="s">
        <v>41</v>
      </c>
      <c r="G263" t="s">
        <v>35</v>
      </c>
      <c r="H263" t="s">
        <v>36</v>
      </c>
      <c r="I263" t="s">
        <v>109</v>
      </c>
      <c r="J263" t="e">
        <f>VLOOKUP(A263,Catálogo!A:B,2,0)</f>
        <v>#N/A</v>
      </c>
      <c r="K263" t="e">
        <f>VLOOKUP(A263,Catálogo!A:C,3,0)</f>
        <v>#N/A</v>
      </c>
      <c r="L263" t="e">
        <f>VLOOKUP(A263,Catálogo!A:D,4,0)</f>
        <v>#N/A</v>
      </c>
      <c r="N263" s="10" t="e">
        <f>VLOOKUP(A263,[2]Hoja1!$B:$D,3,0)</f>
        <v>#N/A</v>
      </c>
    </row>
    <row r="264" spans="1:14" ht="14.5" x14ac:dyDescent="0.35">
      <c r="A264" s="10">
        <v>100005287</v>
      </c>
      <c r="B264">
        <v>75053048</v>
      </c>
      <c r="C264" s="10" t="s">
        <v>500</v>
      </c>
      <c r="D264" t="s">
        <v>11</v>
      </c>
      <c r="E264" t="s">
        <v>33</v>
      </c>
      <c r="F264" t="s">
        <v>41</v>
      </c>
      <c r="G264" t="s">
        <v>54</v>
      </c>
      <c r="H264" t="s">
        <v>36</v>
      </c>
      <c r="I264" t="s">
        <v>109</v>
      </c>
      <c r="J264" t="e">
        <f>VLOOKUP(A264,Catálogo!A:B,2,0)</f>
        <v>#N/A</v>
      </c>
      <c r="K264" t="e">
        <f>VLOOKUP(A264,Catálogo!A:C,3,0)</f>
        <v>#N/A</v>
      </c>
      <c r="L264" t="e">
        <f>VLOOKUP(A264,Catálogo!A:D,4,0)</f>
        <v>#N/A</v>
      </c>
      <c r="N264" s="10" t="e">
        <f>VLOOKUP(A264,[2]Hoja1!$B:$D,3,0)</f>
        <v>#N/A</v>
      </c>
    </row>
    <row r="265" spans="1:14" ht="14.5" x14ac:dyDescent="0.35">
      <c r="A265" s="10">
        <v>100012006</v>
      </c>
      <c r="B265">
        <v>75063924</v>
      </c>
      <c r="C265" s="10" t="s">
        <v>501</v>
      </c>
      <c r="D265" t="s">
        <v>11</v>
      </c>
      <c r="E265" t="s">
        <v>33</v>
      </c>
      <c r="F265" t="s">
        <v>41</v>
      </c>
      <c r="G265" t="s">
        <v>35</v>
      </c>
      <c r="H265" t="s">
        <v>36</v>
      </c>
      <c r="I265" t="s">
        <v>109</v>
      </c>
      <c r="J265" t="e">
        <f>VLOOKUP(A265,Catálogo!A:B,2,0)</f>
        <v>#N/A</v>
      </c>
      <c r="K265" t="e">
        <f>VLOOKUP(A265,Catálogo!A:C,3,0)</f>
        <v>#N/A</v>
      </c>
      <c r="L265" t="e">
        <f>VLOOKUP(A265,Catálogo!A:D,4,0)</f>
        <v>#N/A</v>
      </c>
      <c r="N265" s="10" t="e">
        <f>VLOOKUP(A265,[2]Hoja1!$B:$D,3,0)</f>
        <v>#N/A</v>
      </c>
    </row>
    <row r="266" spans="1:14" ht="14.5" x14ac:dyDescent="0.35">
      <c r="A266" s="10">
        <v>100011704</v>
      </c>
      <c r="B266">
        <v>75063917</v>
      </c>
      <c r="C266" s="10" t="s">
        <v>502</v>
      </c>
      <c r="D266" t="s">
        <v>11</v>
      </c>
      <c r="E266" t="s">
        <v>33</v>
      </c>
      <c r="F266" t="s">
        <v>41</v>
      </c>
      <c r="G266" t="s">
        <v>35</v>
      </c>
      <c r="H266" t="s">
        <v>36</v>
      </c>
      <c r="I266" t="s">
        <v>109</v>
      </c>
      <c r="J266" t="e">
        <f>VLOOKUP(A266,Catálogo!A:B,2,0)</f>
        <v>#N/A</v>
      </c>
      <c r="K266" t="e">
        <f>VLOOKUP(A266,Catálogo!A:C,3,0)</f>
        <v>#N/A</v>
      </c>
      <c r="L266" t="e">
        <f>VLOOKUP(A266,Catálogo!A:D,4,0)</f>
        <v>#N/A</v>
      </c>
      <c r="N266" s="10" t="e">
        <f>VLOOKUP(A266,[2]Hoja1!$B:$D,3,0)</f>
        <v>#N/A</v>
      </c>
    </row>
    <row r="267" spans="1:14" ht="14.5" x14ac:dyDescent="0.35">
      <c r="A267" s="10">
        <v>100008186</v>
      </c>
      <c r="B267">
        <v>75057817</v>
      </c>
      <c r="C267" s="10" t="s">
        <v>504</v>
      </c>
      <c r="D267" t="s">
        <v>11</v>
      </c>
      <c r="E267" t="s">
        <v>33</v>
      </c>
      <c r="F267" t="s">
        <v>41</v>
      </c>
      <c r="G267" t="s">
        <v>35</v>
      </c>
      <c r="H267" t="s">
        <v>36</v>
      </c>
      <c r="I267" t="s">
        <v>109</v>
      </c>
      <c r="J267" t="e">
        <f>VLOOKUP(A267,Catálogo!A:B,2,0)</f>
        <v>#N/A</v>
      </c>
      <c r="K267" t="e">
        <f>VLOOKUP(A267,Catálogo!A:C,3,0)</f>
        <v>#N/A</v>
      </c>
      <c r="L267" t="e">
        <f>VLOOKUP(A267,Catálogo!A:D,4,0)</f>
        <v>#N/A</v>
      </c>
      <c r="N267" s="10" t="e">
        <f>VLOOKUP(A267,[2]Hoja1!$B:$D,3,0)</f>
        <v>#N/A</v>
      </c>
    </row>
    <row r="268" spans="1:14" ht="14.5" x14ac:dyDescent="0.35">
      <c r="A268">
        <v>100018204</v>
      </c>
      <c r="B268">
        <v>7501045300139</v>
      </c>
      <c r="C268" t="s">
        <v>506</v>
      </c>
      <c r="D268" t="s">
        <v>11</v>
      </c>
      <c r="E268" t="s">
        <v>33</v>
      </c>
      <c r="F268" t="s">
        <v>41</v>
      </c>
      <c r="G268" t="s">
        <v>14</v>
      </c>
      <c r="H268" t="s">
        <v>36</v>
      </c>
      <c r="I268" t="s">
        <v>109</v>
      </c>
      <c r="J268" t="e">
        <f>VLOOKUP(A268,Catálogo!A:B,2,0)</f>
        <v>#N/A</v>
      </c>
      <c r="K268" t="e">
        <f>VLOOKUP(A268,Catálogo!A:C,3,0)</f>
        <v>#N/A</v>
      </c>
      <c r="L268" t="e">
        <f>VLOOKUP(A268,Catálogo!A:D,4,0)</f>
        <v>#N/A</v>
      </c>
      <c r="N268" s="10" t="e">
        <f>VLOOKUP(A268,[2]Hoja1!$B:$D,3,0)</f>
        <v>#N/A</v>
      </c>
    </row>
    <row r="269" spans="1:14" ht="14.5" x14ac:dyDescent="0.35">
      <c r="A269" s="10">
        <v>100004742</v>
      </c>
      <c r="B269">
        <v>75052867</v>
      </c>
      <c r="C269" s="10" t="s">
        <v>508</v>
      </c>
      <c r="D269" t="s">
        <v>11</v>
      </c>
      <c r="E269" t="s">
        <v>33</v>
      </c>
      <c r="F269" t="s">
        <v>41</v>
      </c>
      <c r="G269" t="s">
        <v>35</v>
      </c>
      <c r="H269" t="s">
        <v>36</v>
      </c>
      <c r="I269" t="s">
        <v>109</v>
      </c>
      <c r="J269" t="e">
        <f>VLOOKUP(A269,Catálogo!A:B,2,0)</f>
        <v>#N/A</v>
      </c>
      <c r="K269" t="e">
        <f>VLOOKUP(A269,Catálogo!A:C,3,0)</f>
        <v>#N/A</v>
      </c>
      <c r="L269" t="e">
        <f>VLOOKUP(A269,Catálogo!A:D,4,0)</f>
        <v>#N/A</v>
      </c>
      <c r="N269" s="10" t="e">
        <f>VLOOKUP(A269,[2]Hoja1!$B:$D,3,0)</f>
        <v>#N/A</v>
      </c>
    </row>
    <row r="270" spans="1:14" ht="14.5" x14ac:dyDescent="0.35">
      <c r="A270">
        <v>100011674</v>
      </c>
      <c r="B270">
        <v>75063726</v>
      </c>
      <c r="C270" t="s">
        <v>511</v>
      </c>
      <c r="D270" t="s">
        <v>11</v>
      </c>
      <c r="E270" t="s">
        <v>33</v>
      </c>
      <c r="F270" t="s">
        <v>41</v>
      </c>
      <c r="G270" t="s">
        <v>35</v>
      </c>
      <c r="H270" t="s">
        <v>36</v>
      </c>
      <c r="I270" t="s">
        <v>109</v>
      </c>
      <c r="J270" t="e">
        <f>VLOOKUP(A270,Catálogo!A:B,2,0)</f>
        <v>#N/A</v>
      </c>
      <c r="K270" t="e">
        <f>VLOOKUP(A270,Catálogo!A:C,3,0)</f>
        <v>#N/A</v>
      </c>
      <c r="L270" t="e">
        <f>VLOOKUP(A270,Catálogo!A:D,4,0)</f>
        <v>#N/A</v>
      </c>
      <c r="N270" s="10" t="e">
        <f>VLOOKUP(A270,[2]Hoja1!$B:$D,3,0)</f>
        <v>#N/A</v>
      </c>
    </row>
    <row r="271" spans="1:14" ht="14.5" x14ac:dyDescent="0.35">
      <c r="A271">
        <v>100011678</v>
      </c>
      <c r="B271">
        <v>75063757</v>
      </c>
      <c r="C271" t="s">
        <v>512</v>
      </c>
      <c r="D271" t="s">
        <v>11</v>
      </c>
      <c r="E271" t="s">
        <v>33</v>
      </c>
      <c r="F271" t="s">
        <v>41</v>
      </c>
      <c r="G271" t="s">
        <v>35</v>
      </c>
      <c r="H271" t="s">
        <v>36</v>
      </c>
      <c r="I271" t="s">
        <v>109</v>
      </c>
      <c r="J271" t="e">
        <f>VLOOKUP(A271,Catálogo!A:B,2,0)</f>
        <v>#N/A</v>
      </c>
      <c r="K271" t="e">
        <f>VLOOKUP(A271,Catálogo!A:C,3,0)</f>
        <v>#N/A</v>
      </c>
      <c r="L271" t="e">
        <f>VLOOKUP(A271,Catálogo!A:D,4,0)</f>
        <v>#N/A</v>
      </c>
      <c r="N271" s="10" t="e">
        <f>VLOOKUP(A271,[2]Hoja1!$B:$D,3,0)</f>
        <v>#N/A</v>
      </c>
    </row>
    <row r="272" spans="1:14" ht="14.5" x14ac:dyDescent="0.35">
      <c r="A272" s="10">
        <v>100018490</v>
      </c>
      <c r="B272">
        <v>7501045300146</v>
      </c>
      <c r="C272" s="10" t="s">
        <v>513</v>
      </c>
      <c r="D272" t="s">
        <v>11</v>
      </c>
      <c r="E272" t="s">
        <v>33</v>
      </c>
      <c r="F272" t="s">
        <v>41</v>
      </c>
      <c r="G272" t="s">
        <v>35</v>
      </c>
      <c r="H272" t="s">
        <v>36</v>
      </c>
      <c r="I272" t="s">
        <v>109</v>
      </c>
      <c r="J272" t="e">
        <f>VLOOKUP(A272,Catálogo!A:B,2,0)</f>
        <v>#N/A</v>
      </c>
      <c r="K272" t="e">
        <f>VLOOKUP(A272,Catálogo!A:C,3,0)</f>
        <v>#N/A</v>
      </c>
      <c r="L272" t="e">
        <f>VLOOKUP(A272,Catálogo!A:D,4,0)</f>
        <v>#N/A</v>
      </c>
      <c r="N272" s="10" t="e">
        <f>VLOOKUP(A272,[2]Hoja1!$B:$D,3,0)</f>
        <v>#N/A</v>
      </c>
    </row>
    <row r="273" spans="1:14" ht="14.5" x14ac:dyDescent="0.35">
      <c r="A273" s="10">
        <v>100013785</v>
      </c>
      <c r="B273">
        <v>75067892</v>
      </c>
      <c r="C273" s="10" t="s">
        <v>516</v>
      </c>
      <c r="D273" t="s">
        <v>11</v>
      </c>
      <c r="E273" t="s">
        <v>33</v>
      </c>
      <c r="F273" t="s">
        <v>41</v>
      </c>
      <c r="G273" t="s">
        <v>35</v>
      </c>
      <c r="H273" t="s">
        <v>36</v>
      </c>
      <c r="I273" t="s">
        <v>109</v>
      </c>
      <c r="J273" t="e">
        <f>VLOOKUP(A273,Catálogo!A:B,2,0)</f>
        <v>#N/A</v>
      </c>
      <c r="K273" t="e">
        <f>VLOOKUP(A273,Catálogo!A:C,3,0)</f>
        <v>#N/A</v>
      </c>
      <c r="L273" t="e">
        <f>VLOOKUP(A273,Catálogo!A:D,4,0)</f>
        <v>#N/A</v>
      </c>
      <c r="N273" s="10" t="e">
        <f>VLOOKUP(A273,[2]Hoja1!$B:$D,3,0)</f>
        <v>#N/A</v>
      </c>
    </row>
    <row r="274" spans="1:14" ht="14.5" x14ac:dyDescent="0.35">
      <c r="A274">
        <v>100013982</v>
      </c>
      <c r="B274">
        <v>75067823</v>
      </c>
      <c r="C274" t="s">
        <v>517</v>
      </c>
      <c r="D274" t="s">
        <v>11</v>
      </c>
      <c r="E274" t="s">
        <v>33</v>
      </c>
      <c r="F274" t="s">
        <v>41</v>
      </c>
      <c r="G274" t="s">
        <v>35</v>
      </c>
      <c r="H274" t="s">
        <v>36</v>
      </c>
      <c r="I274" t="s">
        <v>109</v>
      </c>
      <c r="J274" t="e">
        <f>VLOOKUP(A274,Catálogo!A:B,2,0)</f>
        <v>#N/A</v>
      </c>
      <c r="K274" t="e">
        <f>VLOOKUP(A274,Catálogo!A:C,3,0)</f>
        <v>#N/A</v>
      </c>
      <c r="L274" t="e">
        <f>VLOOKUP(A274,Catálogo!A:D,4,0)</f>
        <v>#N/A</v>
      </c>
      <c r="N274" s="10" t="e">
        <f>VLOOKUP(A274,[2]Hoja1!$B:$D,3,0)</f>
        <v>#N/A</v>
      </c>
    </row>
    <row r="275" spans="1:14" ht="14.5" x14ac:dyDescent="0.35">
      <c r="A275" s="10">
        <v>100080979</v>
      </c>
      <c r="B275">
        <v>75049584</v>
      </c>
      <c r="C275" s="10" t="s">
        <v>519</v>
      </c>
      <c r="D275" t="s">
        <v>11</v>
      </c>
      <c r="E275" t="s">
        <v>33</v>
      </c>
      <c r="F275" t="s">
        <v>41</v>
      </c>
      <c r="G275" t="s">
        <v>54</v>
      </c>
      <c r="H275" t="s">
        <v>36</v>
      </c>
      <c r="I275" t="s">
        <v>109</v>
      </c>
      <c r="J275" t="e">
        <f>VLOOKUP(A275,Catálogo!A:B,2,0)</f>
        <v>#N/A</v>
      </c>
      <c r="K275" t="e">
        <f>VLOOKUP(A275,Catálogo!A:C,3,0)</f>
        <v>#N/A</v>
      </c>
      <c r="L275" t="e">
        <f>VLOOKUP(A275,Catálogo!A:D,4,0)</f>
        <v>#N/A</v>
      </c>
      <c r="N275" s="10" t="e">
        <f>VLOOKUP(A275,[2]Hoja1!$B:$D,3,0)</f>
        <v>#N/A</v>
      </c>
    </row>
    <row r="276" spans="1:14" x14ac:dyDescent="0.35">
      <c r="A276">
        <v>100019960</v>
      </c>
      <c r="B276">
        <v>7503031950113</v>
      </c>
      <c r="C276" t="s">
        <v>521</v>
      </c>
      <c r="D276" t="s">
        <v>11</v>
      </c>
      <c r="E276" t="s">
        <v>33</v>
      </c>
      <c r="F276" t="s">
        <v>41</v>
      </c>
      <c r="G276" t="s">
        <v>14</v>
      </c>
      <c r="H276" t="s">
        <v>36</v>
      </c>
      <c r="I276" t="s">
        <v>109</v>
      </c>
      <c r="J276" t="e">
        <f>VLOOKUP(A276,Catálogo!A:B,2,0)</f>
        <v>#N/A</v>
      </c>
      <c r="K276" t="e">
        <f>VLOOKUP(A276,Catálogo!A:C,3,0)</f>
        <v>#N/A</v>
      </c>
      <c r="L276" t="e">
        <f>VLOOKUP(A276,Catálogo!A:D,4,0)</f>
        <v>#N/A</v>
      </c>
      <c r="N276" s="10" t="e">
        <f>VLOOKUP(A276,[2]Hoja1!$B:$D,3,0)</f>
        <v>#N/A</v>
      </c>
    </row>
    <row r="277" spans="1:14" x14ac:dyDescent="0.35">
      <c r="A277">
        <v>100019961</v>
      </c>
      <c r="B277">
        <v>7503031950106</v>
      </c>
      <c r="C277" t="s">
        <v>522</v>
      </c>
      <c r="D277" t="s">
        <v>11</v>
      </c>
      <c r="E277" t="s">
        <v>33</v>
      </c>
      <c r="F277" t="s">
        <v>41</v>
      </c>
      <c r="G277" t="s">
        <v>54</v>
      </c>
      <c r="H277" t="s">
        <v>36</v>
      </c>
      <c r="I277" t="s">
        <v>109</v>
      </c>
      <c r="J277" t="e">
        <f>VLOOKUP(A277,Catálogo!A:B,2,0)</f>
        <v>#N/A</v>
      </c>
      <c r="K277" t="e">
        <f>VLOOKUP(A277,Catálogo!A:C,3,0)</f>
        <v>#N/A</v>
      </c>
      <c r="L277" t="e">
        <f>VLOOKUP(A277,Catálogo!A:D,4,0)</f>
        <v>#N/A</v>
      </c>
      <c r="N277" s="10" t="e">
        <f>VLOOKUP(A277,[2]Hoja1!$B:$D,3,0)</f>
        <v>#N/A</v>
      </c>
    </row>
    <row r="278" spans="1:14" x14ac:dyDescent="0.35">
      <c r="A278">
        <v>100014579</v>
      </c>
      <c r="B278">
        <v>75069773</v>
      </c>
      <c r="C278" t="s">
        <v>523</v>
      </c>
      <c r="D278" t="s">
        <v>11</v>
      </c>
      <c r="E278" t="s">
        <v>33</v>
      </c>
      <c r="F278" t="s">
        <v>41</v>
      </c>
      <c r="G278" t="s">
        <v>14</v>
      </c>
      <c r="H278" t="s">
        <v>36</v>
      </c>
      <c r="I278" t="s">
        <v>109</v>
      </c>
      <c r="J278" t="e">
        <f>VLOOKUP(A278,Catálogo!A:B,2,0)</f>
        <v>#N/A</v>
      </c>
      <c r="K278" t="e">
        <f>VLOOKUP(A278,Catálogo!A:C,3,0)</f>
        <v>#N/A</v>
      </c>
      <c r="L278" t="e">
        <f>VLOOKUP(A278,Catálogo!A:D,4,0)</f>
        <v>#N/A</v>
      </c>
      <c r="N278" s="10" t="e">
        <f>VLOOKUP(A278,[2]Hoja1!$B:$D,3,0)</f>
        <v>#N/A</v>
      </c>
    </row>
    <row r="279" spans="1:14" x14ac:dyDescent="0.35">
      <c r="A279">
        <v>100080958</v>
      </c>
      <c r="B279">
        <v>75047498</v>
      </c>
      <c r="C279" t="s">
        <v>524</v>
      </c>
      <c r="D279" t="s">
        <v>11</v>
      </c>
      <c r="E279" t="s">
        <v>33</v>
      </c>
      <c r="F279" t="s">
        <v>41</v>
      </c>
      <c r="G279" t="s">
        <v>35</v>
      </c>
      <c r="H279" t="s">
        <v>36</v>
      </c>
      <c r="I279" t="s">
        <v>109</v>
      </c>
      <c r="J279" t="e">
        <f>VLOOKUP(A279,Catálogo!A:B,2,0)</f>
        <v>#N/A</v>
      </c>
      <c r="K279" t="e">
        <f>VLOOKUP(A279,Catálogo!A:C,3,0)</f>
        <v>#N/A</v>
      </c>
      <c r="L279" t="e">
        <f>VLOOKUP(A279,Catálogo!A:D,4,0)</f>
        <v>#N/A</v>
      </c>
      <c r="N279" s="10" t="e">
        <f>VLOOKUP(A279,[2]Hoja1!$B:$D,3,0)</f>
        <v>#N/A</v>
      </c>
    </row>
    <row r="280" spans="1:14" x14ac:dyDescent="0.35">
      <c r="A280">
        <v>100080961</v>
      </c>
      <c r="B280">
        <v>75047467</v>
      </c>
      <c r="C280" t="s">
        <v>525</v>
      </c>
      <c r="D280" t="s">
        <v>11</v>
      </c>
      <c r="E280" t="s">
        <v>33</v>
      </c>
      <c r="F280" t="s">
        <v>41</v>
      </c>
      <c r="G280" t="s">
        <v>14</v>
      </c>
      <c r="H280" t="s">
        <v>36</v>
      </c>
      <c r="I280" t="s">
        <v>109</v>
      </c>
      <c r="J280" t="e">
        <f>VLOOKUP(A280,Catálogo!A:B,2,0)</f>
        <v>#N/A</v>
      </c>
      <c r="K280" t="e">
        <f>VLOOKUP(A280,Catálogo!A:C,3,0)</f>
        <v>#N/A</v>
      </c>
      <c r="L280" t="e">
        <f>VLOOKUP(A280,Catálogo!A:D,4,0)</f>
        <v>#N/A</v>
      </c>
      <c r="N280" s="10" t="e">
        <f>VLOOKUP(A280,[2]Hoja1!$B:$D,3,0)</f>
        <v>#N/A</v>
      </c>
    </row>
    <row r="281" spans="1:14" x14ac:dyDescent="0.35">
      <c r="A281">
        <v>100012203</v>
      </c>
      <c r="B281">
        <v>75061715</v>
      </c>
      <c r="C281" t="s">
        <v>526</v>
      </c>
      <c r="D281" t="s">
        <v>11</v>
      </c>
      <c r="E281" t="s">
        <v>33</v>
      </c>
      <c r="F281" t="s">
        <v>41</v>
      </c>
      <c r="G281" t="s">
        <v>71</v>
      </c>
      <c r="H281" t="s">
        <v>36</v>
      </c>
      <c r="I281" t="s">
        <v>109</v>
      </c>
      <c r="J281" t="e">
        <f>VLOOKUP(A281,Catálogo!A:B,2,0)</f>
        <v>#N/A</v>
      </c>
      <c r="K281" t="e">
        <f>VLOOKUP(A281,Catálogo!A:C,3,0)</f>
        <v>#N/A</v>
      </c>
      <c r="L281" t="e">
        <f>VLOOKUP(A281,Catálogo!A:D,4,0)</f>
        <v>#N/A</v>
      </c>
      <c r="N281" s="10" t="e">
        <f>VLOOKUP(A281,[2]Hoja1!$B:$D,3,0)</f>
        <v>#N/A</v>
      </c>
    </row>
    <row r="282" spans="1:14" x14ac:dyDescent="0.35">
      <c r="A282">
        <v>100014243</v>
      </c>
      <c r="B282">
        <v>7503023959131</v>
      </c>
      <c r="C282" t="s">
        <v>539</v>
      </c>
      <c r="D282" t="s">
        <v>32</v>
      </c>
      <c r="E282" t="s">
        <v>33</v>
      </c>
      <c r="F282" t="s">
        <v>46</v>
      </c>
      <c r="G282" t="s">
        <v>35</v>
      </c>
      <c r="H282" t="s">
        <v>36</v>
      </c>
      <c r="I282" t="s">
        <v>247</v>
      </c>
      <c r="J282" t="e">
        <f>VLOOKUP(A282,Catálogo!A:B,2,0)</f>
        <v>#N/A</v>
      </c>
      <c r="K282" t="e">
        <f>VLOOKUP(A282,Catálogo!A:C,3,0)</f>
        <v>#N/A</v>
      </c>
      <c r="L282" t="e">
        <f>VLOOKUP(A282,Catálogo!A:D,4,0)</f>
        <v>#N/A</v>
      </c>
      <c r="N282" s="10" t="e">
        <f>VLOOKUP(A282,[2]Hoja1!$B:$D,3,0)</f>
        <v>#N/A</v>
      </c>
    </row>
    <row r="283" spans="1:14" x14ac:dyDescent="0.35">
      <c r="A283">
        <v>100015187</v>
      </c>
      <c r="B283">
        <v>75068752</v>
      </c>
      <c r="C283" t="s">
        <v>544</v>
      </c>
      <c r="D283" t="s">
        <v>11</v>
      </c>
      <c r="E283" t="s">
        <v>33</v>
      </c>
      <c r="F283" t="s">
        <v>39</v>
      </c>
      <c r="G283" t="s">
        <v>71</v>
      </c>
      <c r="H283" t="s">
        <v>36</v>
      </c>
      <c r="I283" t="s">
        <v>109</v>
      </c>
      <c r="J283" t="e">
        <f>VLOOKUP(A283,Catálogo!A:B,2,0)</f>
        <v>#N/A</v>
      </c>
      <c r="K283" t="e">
        <f>VLOOKUP(A283,Catálogo!A:C,3,0)</f>
        <v>#N/A</v>
      </c>
      <c r="L283" t="e">
        <f>VLOOKUP(A283,Catálogo!A:D,4,0)</f>
        <v>#N/A</v>
      </c>
      <c r="N283" s="10" t="e">
        <f>VLOOKUP(A283,[2]Hoja1!$B:$D,3,0)</f>
        <v>#N/A</v>
      </c>
    </row>
    <row r="284" spans="1:14" x14ac:dyDescent="0.35">
      <c r="A284">
        <v>100080033</v>
      </c>
      <c r="B284">
        <v>75001247</v>
      </c>
      <c r="C284" t="s">
        <v>546</v>
      </c>
      <c r="D284" t="s">
        <v>11</v>
      </c>
      <c r="E284" t="s">
        <v>33</v>
      </c>
      <c r="F284" t="s">
        <v>39</v>
      </c>
      <c r="G284" t="s">
        <v>54</v>
      </c>
      <c r="H284" t="s">
        <v>36</v>
      </c>
      <c r="I284" t="s">
        <v>109</v>
      </c>
      <c r="J284" t="e">
        <f>VLOOKUP(A284,Catálogo!A:B,2,0)</f>
        <v>#N/A</v>
      </c>
      <c r="K284" t="e">
        <f>VLOOKUP(A284,Catálogo!A:C,3,0)</f>
        <v>#N/A</v>
      </c>
      <c r="L284" t="e">
        <f>VLOOKUP(A284,Catálogo!A:D,4,0)</f>
        <v>#N/A</v>
      </c>
      <c r="N284" s="10" t="e">
        <f>VLOOKUP(A284,[2]Hoja1!$B:$D,3,0)</f>
        <v>#N/A</v>
      </c>
    </row>
    <row r="285" spans="1:14" x14ac:dyDescent="0.35">
      <c r="A285" s="10">
        <v>100080439</v>
      </c>
      <c r="B285">
        <v>75016760</v>
      </c>
      <c r="C285" s="10" t="s">
        <v>548</v>
      </c>
      <c r="D285" t="s">
        <v>11</v>
      </c>
      <c r="E285" t="s">
        <v>33</v>
      </c>
      <c r="F285" t="s">
        <v>39</v>
      </c>
      <c r="G285" t="s">
        <v>71</v>
      </c>
      <c r="H285" t="s">
        <v>36</v>
      </c>
      <c r="I285" t="s">
        <v>109</v>
      </c>
      <c r="J285" t="e">
        <f>VLOOKUP(A285,Catálogo!A:B,2,0)</f>
        <v>#N/A</v>
      </c>
      <c r="K285" t="e">
        <f>VLOOKUP(A285,Catálogo!A:C,3,0)</f>
        <v>#N/A</v>
      </c>
      <c r="L285" t="e">
        <f>VLOOKUP(A285,Catálogo!A:D,4,0)</f>
        <v>#N/A</v>
      </c>
      <c r="N285" s="10" t="e">
        <f>VLOOKUP(A285,[2]Hoja1!$B:$D,3,0)</f>
        <v>#N/A</v>
      </c>
    </row>
    <row r="286" spans="1:14" x14ac:dyDescent="0.35">
      <c r="A286">
        <v>100080926</v>
      </c>
      <c r="B286">
        <v>75045692</v>
      </c>
      <c r="C286" t="s">
        <v>551</v>
      </c>
      <c r="D286" t="s">
        <v>11</v>
      </c>
      <c r="E286" t="s">
        <v>33</v>
      </c>
      <c r="F286" t="s">
        <v>39</v>
      </c>
      <c r="G286" t="s">
        <v>54</v>
      </c>
      <c r="H286" t="s">
        <v>36</v>
      </c>
      <c r="I286" t="s">
        <v>109</v>
      </c>
      <c r="J286" t="e">
        <f>VLOOKUP(A286,Catálogo!A:B,2,0)</f>
        <v>#N/A</v>
      </c>
      <c r="K286" t="e">
        <f>VLOOKUP(A286,Catálogo!A:C,3,0)</f>
        <v>#N/A</v>
      </c>
      <c r="L286" t="e">
        <f>VLOOKUP(A286,Catálogo!A:D,4,0)</f>
        <v>#N/A</v>
      </c>
      <c r="N286" s="10" t="e">
        <f>VLOOKUP(A286,[2]Hoja1!$B:$D,3,0)</f>
        <v>#N/A</v>
      </c>
    </row>
    <row r="287" spans="1:14" x14ac:dyDescent="0.35">
      <c r="A287">
        <v>100021888</v>
      </c>
      <c r="B287">
        <v>75077433</v>
      </c>
      <c r="C287" t="s">
        <v>344</v>
      </c>
      <c r="J287" t="e">
        <f>VLOOKUP(A287,Catálogo!A:B,2,0)</f>
        <v>#N/A</v>
      </c>
      <c r="K287" t="e">
        <f>VLOOKUP(A287,Catálogo!A:C,3,0)</f>
        <v>#N/A</v>
      </c>
      <c r="L287" t="e">
        <f>VLOOKUP(A287,Catálogo!A:D,4,0)</f>
        <v>#N/A</v>
      </c>
      <c r="N287" s="10" t="e">
        <f>VLOOKUP(A287,[2]Hoja1!$B:$D,3,0)</f>
        <v>#N/A</v>
      </c>
    </row>
    <row r="288" spans="1:14" x14ac:dyDescent="0.35">
      <c r="A288">
        <v>100080808</v>
      </c>
      <c r="B288">
        <v>75030728</v>
      </c>
      <c r="C288" t="s">
        <v>371</v>
      </c>
      <c r="J288" t="e">
        <f>VLOOKUP(A288,Catálogo!A:B,2,0)</f>
        <v>#N/A</v>
      </c>
      <c r="K288" t="e">
        <f>VLOOKUP(A288,Catálogo!A:C,3,0)</f>
        <v>#N/A</v>
      </c>
      <c r="L288" t="e">
        <f>VLOOKUP(A288,Catálogo!A:D,4,0)</f>
        <v>#N/A</v>
      </c>
      <c r="N288" s="10" t="e">
        <f>VLOOKUP(A288,[2]Hoja1!$B:$D,3,0)</f>
        <v>#N/A</v>
      </c>
    </row>
  </sheetData>
  <autoFilter ref="A1:N288" xr:uid="{D736AF80-5996-40B5-B34C-C68FBBC9B500}"/>
  <conditionalFormatting sqref="I2:I286">
    <cfRule type="containsText" dxfId="4" priority="1" operator="containsText" text="Descontinuado (Con Stock)">
      <formula>NOT(ISERROR(SEARCH("Descontinuado (Con Stock)",I2)))</formula>
    </cfRule>
    <cfRule type="containsText" dxfId="3" priority="2" operator="containsText" text="Inactivo">
      <formula>NOT(ISERROR(SEARCH("Inactivo",I2)))</formula>
    </cfRule>
    <cfRule type="containsText" dxfId="2" priority="3" operator="containsText" text="Activo">
      <formula>NOT(ISERROR(SEARCH("Activo",I2)))</formula>
    </cfRule>
  </conditionalFormatting>
  <dataValidations count="1">
    <dataValidation type="list" allowBlank="1" showInputMessage="1" showErrorMessage="1" sqref="I2:I286" xr:uid="{FD5D210E-A7E3-4081-83E7-45B5412DA15C}">
      <formula1>#REF!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564BD-1714-4A2F-BE6D-7165E658DE1B}">
  <dimension ref="A1:K384"/>
  <sheetViews>
    <sheetView topLeftCell="A20" workbookViewId="0">
      <selection activeCell="D32" sqref="D32"/>
    </sheetView>
  </sheetViews>
  <sheetFormatPr baseColWidth="10" defaultColWidth="11.453125" defaultRowHeight="16.5" x14ac:dyDescent="0.35"/>
  <cols>
    <col min="1" max="1" width="18.54296875" style="10" bestFit="1" customWidth="1"/>
    <col min="2" max="2" width="25.54296875" style="10" bestFit="1" customWidth="1"/>
    <col min="3" max="3" width="23.453125" style="10" customWidth="1"/>
    <col min="4" max="4" width="11.1796875" style="10" bestFit="1" customWidth="1"/>
    <col min="8" max="8" width="18.1796875" style="10" customWidth="1"/>
    <col min="9" max="9" width="19.54296875" style="10" customWidth="1"/>
    <col min="10" max="10" width="18.453125" style="10" customWidth="1"/>
    <col min="11" max="11" width="22.7265625" style="10" customWidth="1"/>
  </cols>
  <sheetData>
    <row r="1" spans="1:4" ht="47.15" customHeight="1" x14ac:dyDescent="0.35">
      <c r="A1" t="s">
        <v>572</v>
      </c>
      <c r="B1" t="s">
        <v>581</v>
      </c>
      <c r="C1" t="s">
        <v>582</v>
      </c>
      <c r="D1" t="s">
        <v>576</v>
      </c>
    </row>
    <row r="2" spans="1:4" ht="17.149999999999999" customHeight="1" x14ac:dyDescent="0.35">
      <c r="A2" s="10">
        <v>100004048</v>
      </c>
      <c r="B2" s="10">
        <v>4089408.1500000055</v>
      </c>
      <c r="C2" s="10">
        <v>51741</v>
      </c>
      <c r="D2" s="10">
        <v>75290.03839999983</v>
      </c>
    </row>
    <row r="3" spans="1:4" ht="14.5" x14ac:dyDescent="0.35">
      <c r="A3" s="10">
        <v>100004788</v>
      </c>
      <c r="B3" s="10">
        <v>2675164.8499999996</v>
      </c>
      <c r="C3" s="10">
        <v>34869</v>
      </c>
      <c r="D3" s="10">
        <v>30288.765699999909</v>
      </c>
    </row>
    <row r="4" spans="1:4" ht="14.5" x14ac:dyDescent="0.35">
      <c r="A4" s="10">
        <v>100005585</v>
      </c>
      <c r="B4" s="10">
        <v>7571725.9300000016</v>
      </c>
      <c r="C4" s="10">
        <v>107010</v>
      </c>
      <c r="D4" s="10">
        <v>371792.18620000128</v>
      </c>
    </row>
    <row r="5" spans="1:4" x14ac:dyDescent="0.35">
      <c r="A5" s="10">
        <v>100006294</v>
      </c>
      <c r="B5" s="10">
        <v>1028.3599999999999</v>
      </c>
      <c r="C5" s="10">
        <v>18</v>
      </c>
      <c r="D5" s="10">
        <v>4.0641999999999996</v>
      </c>
    </row>
    <row r="6" spans="1:4" x14ac:dyDescent="0.35">
      <c r="A6" s="10">
        <v>100006296</v>
      </c>
      <c r="B6" s="10">
        <v>4660.04</v>
      </c>
      <c r="C6" s="10">
        <v>77</v>
      </c>
      <c r="D6" s="10">
        <v>0</v>
      </c>
    </row>
    <row r="7" spans="1:4" x14ac:dyDescent="0.35">
      <c r="A7" s="10">
        <v>100006386</v>
      </c>
      <c r="B7" s="10">
        <v>109.26</v>
      </c>
      <c r="C7" s="10">
        <v>2</v>
      </c>
      <c r="D7" s="10">
        <v>0</v>
      </c>
    </row>
    <row r="8" spans="1:4" x14ac:dyDescent="0.35">
      <c r="A8" s="10">
        <v>100007108</v>
      </c>
      <c r="B8" s="10">
        <v>4514100.5200000023</v>
      </c>
      <c r="C8" s="10">
        <v>62657</v>
      </c>
      <c r="D8" s="10">
        <v>213386.81640000045</v>
      </c>
    </row>
    <row r="9" spans="1:4" x14ac:dyDescent="0.35">
      <c r="A9" s="10">
        <v>100008185</v>
      </c>
      <c r="B9" s="10">
        <v>444.44</v>
      </c>
      <c r="C9" s="10">
        <v>16</v>
      </c>
      <c r="D9" s="10">
        <v>0</v>
      </c>
    </row>
    <row r="10" spans="1:4" x14ac:dyDescent="0.35">
      <c r="A10" s="10">
        <v>100008441</v>
      </c>
      <c r="B10" s="10">
        <v>50.86</v>
      </c>
      <c r="C10" s="10">
        <v>1</v>
      </c>
      <c r="D10" s="10">
        <v>0</v>
      </c>
    </row>
    <row r="11" spans="1:4" x14ac:dyDescent="0.35">
      <c r="A11" s="10">
        <v>100008777</v>
      </c>
      <c r="B11" s="10">
        <v>254.31</v>
      </c>
      <c r="C11" s="10">
        <v>5</v>
      </c>
      <c r="D11" s="10">
        <v>0</v>
      </c>
    </row>
    <row r="12" spans="1:4" x14ac:dyDescent="0.35">
      <c r="A12" s="10">
        <v>100009230</v>
      </c>
      <c r="B12" s="10">
        <v>3398574.3900000216</v>
      </c>
      <c r="C12" s="10">
        <v>47178</v>
      </c>
      <c r="D12" s="10">
        <v>68105.148000000278</v>
      </c>
    </row>
    <row r="13" spans="1:4" x14ac:dyDescent="0.35">
      <c r="A13" s="10">
        <v>100009359</v>
      </c>
      <c r="B13" s="10">
        <v>709.6</v>
      </c>
      <c r="C13" s="10">
        <v>23</v>
      </c>
      <c r="D13" s="10">
        <v>0</v>
      </c>
    </row>
    <row r="14" spans="1:4" x14ac:dyDescent="0.35">
      <c r="A14" s="10">
        <v>100009364</v>
      </c>
      <c r="B14" s="10">
        <v>1854.4099999999999</v>
      </c>
      <c r="C14" s="10">
        <v>38</v>
      </c>
      <c r="D14" s="10">
        <v>0</v>
      </c>
    </row>
    <row r="15" spans="1:4" x14ac:dyDescent="0.35">
      <c r="A15" s="10">
        <v>100009916</v>
      </c>
      <c r="B15" s="10">
        <v>6206.9</v>
      </c>
      <c r="C15" s="10">
        <v>20</v>
      </c>
      <c r="D15" s="10">
        <v>0</v>
      </c>
    </row>
    <row r="16" spans="1:4" x14ac:dyDescent="0.35">
      <c r="A16" s="10">
        <v>100010332</v>
      </c>
      <c r="B16" s="10">
        <v>749.6099999999999</v>
      </c>
      <c r="C16" s="10">
        <v>11</v>
      </c>
      <c r="D16" s="10">
        <v>0</v>
      </c>
    </row>
    <row r="17" spans="1:4" x14ac:dyDescent="0.35">
      <c r="A17" s="10">
        <v>100010934</v>
      </c>
      <c r="B17" s="10">
        <v>732.76</v>
      </c>
      <c r="C17" s="10">
        <v>10</v>
      </c>
      <c r="D17" s="10">
        <v>0</v>
      </c>
    </row>
    <row r="18" spans="1:4" x14ac:dyDescent="0.35">
      <c r="A18" s="10">
        <v>100011380</v>
      </c>
      <c r="B18" s="10">
        <v>157.41</v>
      </c>
      <c r="C18" s="10">
        <v>2</v>
      </c>
      <c r="D18" s="10">
        <v>0</v>
      </c>
    </row>
    <row r="19" spans="1:4" x14ac:dyDescent="0.35">
      <c r="A19" s="10">
        <v>100011590</v>
      </c>
      <c r="B19" s="10">
        <v>1480.17</v>
      </c>
      <c r="C19" s="10">
        <v>18</v>
      </c>
      <c r="D19" s="10">
        <v>0</v>
      </c>
    </row>
    <row r="20" spans="1:4" x14ac:dyDescent="0.35">
      <c r="A20" s="10">
        <v>100011671</v>
      </c>
      <c r="B20" s="10">
        <v>550.86</v>
      </c>
      <c r="C20" s="10">
        <v>9</v>
      </c>
      <c r="D20" s="10">
        <v>0</v>
      </c>
    </row>
    <row r="21" spans="1:4" x14ac:dyDescent="0.35">
      <c r="A21" s="10">
        <v>100011672</v>
      </c>
      <c r="B21" s="10">
        <v>28959.699999999997</v>
      </c>
      <c r="C21" s="10">
        <v>568</v>
      </c>
      <c r="D21" s="10">
        <v>0</v>
      </c>
    </row>
    <row r="22" spans="1:4" x14ac:dyDescent="0.35">
      <c r="A22" s="10">
        <v>100011673</v>
      </c>
      <c r="B22" s="10">
        <v>2109.39</v>
      </c>
      <c r="C22" s="10">
        <v>37</v>
      </c>
      <c r="D22" s="10">
        <v>0</v>
      </c>
    </row>
    <row r="23" spans="1:4" x14ac:dyDescent="0.35">
      <c r="A23" s="10">
        <v>100011677</v>
      </c>
      <c r="B23" s="10">
        <v>3593.69</v>
      </c>
      <c r="C23" s="10">
        <v>112</v>
      </c>
      <c r="D23" s="10">
        <v>0</v>
      </c>
    </row>
    <row r="24" spans="1:4" x14ac:dyDescent="0.35">
      <c r="A24" s="10">
        <v>100011706</v>
      </c>
      <c r="B24" s="10">
        <v>83.33</v>
      </c>
      <c r="C24" s="10">
        <v>3</v>
      </c>
      <c r="D24" s="10">
        <v>0</v>
      </c>
    </row>
    <row r="25" spans="1:4" x14ac:dyDescent="0.35">
      <c r="A25" s="10">
        <v>100011708</v>
      </c>
      <c r="B25" s="10">
        <v>55.56</v>
      </c>
      <c r="C25" s="10">
        <v>2</v>
      </c>
      <c r="D25" s="10">
        <v>0</v>
      </c>
    </row>
    <row r="26" spans="1:4" x14ac:dyDescent="0.35">
      <c r="A26" s="10">
        <v>100012153</v>
      </c>
      <c r="B26" s="10">
        <v>2323550.9199999971</v>
      </c>
      <c r="C26" s="10">
        <v>30922</v>
      </c>
      <c r="D26" s="10">
        <v>52117.048199999881</v>
      </c>
    </row>
    <row r="27" spans="1:4" x14ac:dyDescent="0.35">
      <c r="A27" s="10">
        <v>100012202</v>
      </c>
      <c r="B27" s="10">
        <v>562.74</v>
      </c>
      <c r="C27" s="10">
        <v>13</v>
      </c>
      <c r="D27" s="10">
        <v>0</v>
      </c>
    </row>
    <row r="28" spans="1:4" x14ac:dyDescent="0.35">
      <c r="A28" s="10">
        <v>100012746</v>
      </c>
      <c r="B28" s="10">
        <v>4410777.7699999884</v>
      </c>
      <c r="C28" s="10">
        <v>62580</v>
      </c>
      <c r="D28" s="10">
        <v>166036.01080000051</v>
      </c>
    </row>
    <row r="29" spans="1:4" x14ac:dyDescent="0.35">
      <c r="A29" s="10">
        <v>100012957</v>
      </c>
      <c r="B29" s="10">
        <v>2485325.5199999991</v>
      </c>
      <c r="C29" s="10">
        <v>32665</v>
      </c>
      <c r="D29" s="10">
        <v>68352.192199999947</v>
      </c>
    </row>
    <row r="30" spans="1:4" x14ac:dyDescent="0.35">
      <c r="A30" s="10">
        <v>100012997</v>
      </c>
      <c r="B30" s="10">
        <v>3467849.9200000013</v>
      </c>
      <c r="C30" s="10">
        <v>49450</v>
      </c>
      <c r="D30" s="10">
        <v>120086.7035999998</v>
      </c>
    </row>
    <row r="31" spans="1:4" x14ac:dyDescent="0.35">
      <c r="A31" s="10">
        <v>100013075</v>
      </c>
      <c r="B31" s="10">
        <v>1097573.7799999996</v>
      </c>
      <c r="C31" s="10">
        <v>22895</v>
      </c>
      <c r="D31" s="10">
        <v>25422.972400000031</v>
      </c>
    </row>
    <row r="32" spans="1:4" x14ac:dyDescent="0.35">
      <c r="A32" s="10">
        <v>100013078</v>
      </c>
      <c r="B32" s="10">
        <v>651.72</v>
      </c>
      <c r="C32" s="10">
        <v>14</v>
      </c>
      <c r="D32" s="10">
        <v>0</v>
      </c>
    </row>
    <row r="33" spans="1:4" x14ac:dyDescent="0.35">
      <c r="A33" s="10">
        <v>100013110</v>
      </c>
      <c r="B33" s="10">
        <v>2160299.0399999926</v>
      </c>
      <c r="C33" s="10">
        <v>37705</v>
      </c>
      <c r="D33" s="10">
        <v>29057.843099999867</v>
      </c>
    </row>
    <row r="34" spans="1:4" x14ac:dyDescent="0.35">
      <c r="A34" s="10">
        <v>100013136</v>
      </c>
      <c r="B34" s="10">
        <v>4527073.5299999993</v>
      </c>
      <c r="C34" s="10">
        <v>64430</v>
      </c>
      <c r="D34" s="10">
        <v>244172.82250000068</v>
      </c>
    </row>
    <row r="35" spans="1:4" x14ac:dyDescent="0.35">
      <c r="A35" s="10">
        <v>100013301</v>
      </c>
      <c r="B35" s="10">
        <v>73.28</v>
      </c>
      <c r="C35" s="10">
        <v>1</v>
      </c>
      <c r="D35" s="10">
        <v>0</v>
      </c>
    </row>
    <row r="36" spans="1:4" x14ac:dyDescent="0.35">
      <c r="A36" s="10">
        <v>100013782</v>
      </c>
      <c r="B36" s="10">
        <v>129.31</v>
      </c>
      <c r="C36" s="10">
        <v>3</v>
      </c>
      <c r="D36" s="10">
        <v>0</v>
      </c>
    </row>
    <row r="37" spans="1:4" x14ac:dyDescent="0.35">
      <c r="A37" s="10">
        <v>100013891</v>
      </c>
      <c r="B37" s="10">
        <v>2596685.1200000038</v>
      </c>
      <c r="C37" s="10">
        <v>37832</v>
      </c>
      <c r="D37" s="10">
        <v>15108.862600000124</v>
      </c>
    </row>
    <row r="38" spans="1:4" x14ac:dyDescent="0.35">
      <c r="A38" s="10">
        <v>100013892</v>
      </c>
      <c r="B38" s="10">
        <v>948017.51000000024</v>
      </c>
      <c r="C38" s="10">
        <v>14000</v>
      </c>
      <c r="D38" s="10">
        <v>40570.44829999996</v>
      </c>
    </row>
    <row r="39" spans="1:4" x14ac:dyDescent="0.35">
      <c r="A39" s="10">
        <v>100013983</v>
      </c>
      <c r="B39" s="10">
        <v>593.48</v>
      </c>
      <c r="C39" s="10">
        <v>9</v>
      </c>
      <c r="D39" s="10">
        <v>0</v>
      </c>
    </row>
    <row r="40" spans="1:4" x14ac:dyDescent="0.35">
      <c r="A40" s="10">
        <v>100014187</v>
      </c>
      <c r="B40" s="10">
        <v>2534718.1700000037</v>
      </c>
      <c r="C40" s="10">
        <v>35934</v>
      </c>
      <c r="D40" s="10">
        <v>27779.945199999856</v>
      </c>
    </row>
    <row r="41" spans="1:4" x14ac:dyDescent="0.35">
      <c r="A41" s="10">
        <v>100014240</v>
      </c>
      <c r="B41" s="10">
        <v>53085.859999999979</v>
      </c>
      <c r="C41" s="10">
        <v>746</v>
      </c>
      <c r="D41" s="10">
        <v>45.182599999999994</v>
      </c>
    </row>
    <row r="42" spans="1:4" x14ac:dyDescent="0.35">
      <c r="A42" s="10">
        <v>100014242</v>
      </c>
      <c r="B42" s="10">
        <v>697.31999999999994</v>
      </c>
      <c r="C42" s="10">
        <v>10</v>
      </c>
      <c r="D42" s="10">
        <v>0</v>
      </c>
    </row>
    <row r="43" spans="1:4" x14ac:dyDescent="0.35">
      <c r="A43" s="10">
        <v>100014569</v>
      </c>
      <c r="B43" s="10">
        <v>3423857.7800000128</v>
      </c>
      <c r="C43" s="10">
        <v>59790</v>
      </c>
      <c r="D43" s="10">
        <v>117097.40069999987</v>
      </c>
    </row>
    <row r="44" spans="1:4" x14ac:dyDescent="0.35">
      <c r="A44" s="10">
        <v>100014570</v>
      </c>
      <c r="B44" s="10">
        <v>13233673.469999993</v>
      </c>
      <c r="C44" s="10">
        <v>173062</v>
      </c>
      <c r="D44" s="10">
        <v>815199.13080000004</v>
      </c>
    </row>
    <row r="45" spans="1:4" x14ac:dyDescent="0.35">
      <c r="A45" s="10">
        <v>100014571</v>
      </c>
      <c r="B45" s="10">
        <v>923.94</v>
      </c>
      <c r="C45" s="10">
        <v>13</v>
      </c>
      <c r="D45" s="10">
        <v>0</v>
      </c>
    </row>
    <row r="46" spans="1:4" x14ac:dyDescent="0.35">
      <c r="A46" s="10">
        <v>100014678</v>
      </c>
      <c r="B46" s="10">
        <v>543686.98999999941</v>
      </c>
      <c r="C46" s="10">
        <v>8702</v>
      </c>
      <c r="D46" s="10">
        <v>2076.3427999999899</v>
      </c>
    </row>
    <row r="47" spans="1:4" x14ac:dyDescent="0.35">
      <c r="A47" s="10">
        <v>100014711</v>
      </c>
      <c r="B47" s="10">
        <v>3712503.4199999971</v>
      </c>
      <c r="C47" s="10">
        <v>48488</v>
      </c>
      <c r="D47" s="10">
        <v>122791.0615999999</v>
      </c>
    </row>
    <row r="48" spans="1:4" x14ac:dyDescent="0.35">
      <c r="A48" s="10">
        <v>100014714</v>
      </c>
      <c r="B48" s="10">
        <v>4921768.3900000053</v>
      </c>
      <c r="C48" s="10">
        <v>62653</v>
      </c>
      <c r="D48" s="10">
        <v>232404.19309999936</v>
      </c>
    </row>
    <row r="49" spans="1:4" x14ac:dyDescent="0.35">
      <c r="A49" s="10">
        <v>100014718</v>
      </c>
      <c r="B49" s="10">
        <v>1569.8500000000001</v>
      </c>
      <c r="C49" s="10">
        <v>32</v>
      </c>
      <c r="D49" s="10">
        <v>0</v>
      </c>
    </row>
    <row r="50" spans="1:4" x14ac:dyDescent="0.35">
      <c r="A50" s="10">
        <v>100014772</v>
      </c>
      <c r="B50" s="10">
        <v>30749.089999999989</v>
      </c>
      <c r="C50" s="10">
        <v>360</v>
      </c>
      <c r="D50" s="10">
        <v>168.50480000000007</v>
      </c>
    </row>
    <row r="51" spans="1:4" x14ac:dyDescent="0.35">
      <c r="A51" s="10">
        <v>100014774</v>
      </c>
      <c r="B51" s="10">
        <v>54847.290000000008</v>
      </c>
      <c r="C51" s="10">
        <v>698</v>
      </c>
      <c r="D51" s="10">
        <v>357.20300000000015</v>
      </c>
    </row>
    <row r="52" spans="1:4" x14ac:dyDescent="0.35">
      <c r="A52" s="10">
        <v>100014775</v>
      </c>
      <c r="B52" s="10">
        <v>43584.429999999986</v>
      </c>
      <c r="C52" s="10">
        <v>407</v>
      </c>
      <c r="D52" s="10">
        <v>226.23210000000006</v>
      </c>
    </row>
    <row r="53" spans="1:4" x14ac:dyDescent="0.35">
      <c r="A53" s="10">
        <v>100014777</v>
      </c>
      <c r="B53" s="10">
        <v>48817.279999999984</v>
      </c>
      <c r="C53" s="10">
        <v>509</v>
      </c>
      <c r="D53" s="10">
        <v>292.20909999999986</v>
      </c>
    </row>
    <row r="54" spans="1:4" x14ac:dyDescent="0.35">
      <c r="A54" s="10">
        <v>100014778</v>
      </c>
      <c r="B54" s="10">
        <v>46569.700000000012</v>
      </c>
      <c r="C54" s="10">
        <v>435</v>
      </c>
      <c r="D54" s="10">
        <v>249.02630000000011</v>
      </c>
    </row>
    <row r="55" spans="1:4" x14ac:dyDescent="0.35">
      <c r="A55" s="10">
        <v>100014779</v>
      </c>
      <c r="B55" s="10">
        <v>56347.429999999978</v>
      </c>
      <c r="C55" s="10">
        <v>660</v>
      </c>
      <c r="D55" s="10">
        <v>348.27780000000007</v>
      </c>
    </row>
    <row r="56" spans="1:4" x14ac:dyDescent="0.35">
      <c r="A56" s="10">
        <v>100014850</v>
      </c>
      <c r="B56" s="10">
        <v>329501.45999999961</v>
      </c>
      <c r="C56" s="10">
        <v>4687</v>
      </c>
      <c r="D56" s="10">
        <v>4573.4296999999997</v>
      </c>
    </row>
    <row r="57" spans="1:4" x14ac:dyDescent="0.35">
      <c r="A57" s="10">
        <v>100014868</v>
      </c>
      <c r="B57" s="10">
        <v>2884068.1299999952</v>
      </c>
      <c r="C57" s="10">
        <v>37625</v>
      </c>
      <c r="D57" s="10">
        <v>37029.816800000001</v>
      </c>
    </row>
    <row r="58" spans="1:4" x14ac:dyDescent="0.35">
      <c r="A58" s="10">
        <v>100015037</v>
      </c>
      <c r="B58" s="10">
        <v>4128130.3800000022</v>
      </c>
      <c r="C58" s="10">
        <v>54130</v>
      </c>
      <c r="D58" s="10">
        <v>107828.61409999989</v>
      </c>
    </row>
    <row r="59" spans="1:4" x14ac:dyDescent="0.35">
      <c r="A59" s="10">
        <v>100015174</v>
      </c>
      <c r="B59" s="10">
        <v>16123.659999999998</v>
      </c>
      <c r="C59" s="10">
        <v>215</v>
      </c>
      <c r="D59" s="10">
        <v>0</v>
      </c>
    </row>
    <row r="60" spans="1:4" x14ac:dyDescent="0.35">
      <c r="A60" s="10">
        <v>100015186</v>
      </c>
      <c r="B60" s="10">
        <v>3997552.850000002</v>
      </c>
      <c r="C60" s="10">
        <v>69950</v>
      </c>
      <c r="D60" s="10">
        <v>190122.30260000026</v>
      </c>
    </row>
    <row r="61" spans="1:4" x14ac:dyDescent="0.35">
      <c r="A61" s="10">
        <v>100015215</v>
      </c>
      <c r="B61" s="10">
        <v>8150.73</v>
      </c>
      <c r="C61" s="10">
        <v>123</v>
      </c>
      <c r="D61" s="10">
        <v>0</v>
      </c>
    </row>
    <row r="62" spans="1:4" x14ac:dyDescent="0.35">
      <c r="A62" s="10">
        <v>100015219</v>
      </c>
      <c r="B62" s="10">
        <v>300</v>
      </c>
      <c r="C62" s="10">
        <v>4</v>
      </c>
      <c r="D62" s="10">
        <v>0</v>
      </c>
    </row>
    <row r="63" spans="1:4" x14ac:dyDescent="0.35">
      <c r="A63" s="10">
        <v>100015222</v>
      </c>
      <c r="B63" s="10">
        <v>301.72000000000003</v>
      </c>
      <c r="C63" s="10">
        <v>5</v>
      </c>
      <c r="D63" s="10">
        <v>0</v>
      </c>
    </row>
    <row r="64" spans="1:4" x14ac:dyDescent="0.35">
      <c r="A64" s="10">
        <v>100015341</v>
      </c>
      <c r="B64" s="10">
        <v>1295823.8699999962</v>
      </c>
      <c r="C64" s="10">
        <v>18819</v>
      </c>
      <c r="D64" s="10">
        <v>2622.9755000000005</v>
      </c>
    </row>
    <row r="65" spans="1:4" x14ac:dyDescent="0.35">
      <c r="A65" s="10">
        <v>100015416</v>
      </c>
      <c r="B65" s="10">
        <v>12857.049999999996</v>
      </c>
      <c r="C65" s="10">
        <v>187</v>
      </c>
      <c r="D65" s="10">
        <v>0</v>
      </c>
    </row>
    <row r="66" spans="1:4" x14ac:dyDescent="0.35">
      <c r="A66" s="10">
        <v>100015417</v>
      </c>
      <c r="B66" s="10">
        <v>8465.6799999999967</v>
      </c>
      <c r="C66" s="10">
        <v>124</v>
      </c>
      <c r="D66" s="10">
        <v>0</v>
      </c>
    </row>
    <row r="67" spans="1:4" x14ac:dyDescent="0.35">
      <c r="A67" s="10">
        <v>100015418</v>
      </c>
      <c r="B67" s="10">
        <v>9633.7299999999941</v>
      </c>
      <c r="C67" s="10">
        <v>139</v>
      </c>
      <c r="D67" s="10">
        <v>0</v>
      </c>
    </row>
    <row r="68" spans="1:4" x14ac:dyDescent="0.35">
      <c r="A68" s="10">
        <v>100015419</v>
      </c>
      <c r="B68" s="10">
        <v>3160.35</v>
      </c>
      <c r="C68" s="10">
        <v>47</v>
      </c>
      <c r="D68" s="10">
        <v>0</v>
      </c>
    </row>
    <row r="69" spans="1:4" x14ac:dyDescent="0.35">
      <c r="A69" s="10">
        <v>100015420</v>
      </c>
      <c r="B69" s="10">
        <v>1832.1799999999998</v>
      </c>
      <c r="C69" s="10">
        <v>27</v>
      </c>
      <c r="D69" s="10">
        <v>0</v>
      </c>
    </row>
    <row r="70" spans="1:4" x14ac:dyDescent="0.35">
      <c r="A70" s="10">
        <v>100015421</v>
      </c>
      <c r="B70" s="10">
        <v>1177.6100000000001</v>
      </c>
      <c r="C70" s="10">
        <v>17</v>
      </c>
      <c r="D70" s="10">
        <v>0</v>
      </c>
    </row>
    <row r="71" spans="1:4" x14ac:dyDescent="0.35">
      <c r="A71" s="10">
        <v>100015645</v>
      </c>
      <c r="B71" s="10">
        <v>4122.45</v>
      </c>
      <c r="C71" s="10">
        <v>55</v>
      </c>
      <c r="D71" s="10">
        <v>2.6171000000000002</v>
      </c>
    </row>
    <row r="72" spans="1:4" x14ac:dyDescent="0.35">
      <c r="A72" s="10">
        <v>100015648</v>
      </c>
      <c r="B72" s="10">
        <v>11470.859999999995</v>
      </c>
      <c r="C72" s="10">
        <v>170</v>
      </c>
      <c r="D72" s="10">
        <v>16.810400000000001</v>
      </c>
    </row>
    <row r="73" spans="1:4" x14ac:dyDescent="0.35">
      <c r="A73" s="10">
        <v>100016042</v>
      </c>
      <c r="B73" s="10">
        <v>10137.93</v>
      </c>
      <c r="C73" s="10">
        <v>160</v>
      </c>
      <c r="D73" s="10">
        <v>20.366500000000002</v>
      </c>
    </row>
    <row r="74" spans="1:4" x14ac:dyDescent="0.35">
      <c r="A74" s="10">
        <v>100016043</v>
      </c>
      <c r="B74" s="10">
        <v>6462.9199999999992</v>
      </c>
      <c r="C74" s="10">
        <v>102</v>
      </c>
      <c r="D74" s="10">
        <v>0</v>
      </c>
    </row>
    <row r="75" spans="1:4" x14ac:dyDescent="0.35">
      <c r="A75" s="10">
        <v>100016044</v>
      </c>
      <c r="B75" s="10">
        <v>10708.189999999999</v>
      </c>
      <c r="C75" s="10">
        <v>169</v>
      </c>
      <c r="D75" s="10">
        <v>4.5256999999999996</v>
      </c>
    </row>
    <row r="76" spans="1:4" x14ac:dyDescent="0.35">
      <c r="A76" s="10">
        <v>100016045</v>
      </c>
      <c r="B76" s="10">
        <v>11088.37</v>
      </c>
      <c r="C76" s="10">
        <v>175</v>
      </c>
      <c r="D76" s="10">
        <v>2.2629000000000001</v>
      </c>
    </row>
    <row r="77" spans="1:4" x14ac:dyDescent="0.35">
      <c r="A77" s="10">
        <v>100016254</v>
      </c>
      <c r="B77" s="10">
        <v>6354.7400000000007</v>
      </c>
      <c r="C77" s="10">
        <v>120</v>
      </c>
      <c r="D77" s="10">
        <v>0</v>
      </c>
    </row>
    <row r="78" spans="1:4" x14ac:dyDescent="0.35">
      <c r="A78" s="10">
        <v>100016411</v>
      </c>
      <c r="B78" s="10">
        <v>2730</v>
      </c>
      <c r="C78" s="10">
        <v>55</v>
      </c>
      <c r="D78" s="10">
        <v>0</v>
      </c>
    </row>
    <row r="79" spans="1:4" x14ac:dyDescent="0.35">
      <c r="A79" s="10">
        <v>100016412</v>
      </c>
      <c r="B79" s="10">
        <v>3900038.2999999984</v>
      </c>
      <c r="C79" s="10">
        <v>62606</v>
      </c>
      <c r="D79" s="10">
        <v>142490.18249999979</v>
      </c>
    </row>
    <row r="80" spans="1:4" x14ac:dyDescent="0.35">
      <c r="A80" s="10">
        <v>100016413</v>
      </c>
      <c r="B80" s="10">
        <v>2560846.5699999966</v>
      </c>
      <c r="C80" s="10">
        <v>40990</v>
      </c>
      <c r="D80" s="10">
        <v>43885.931700000147</v>
      </c>
    </row>
    <row r="81" spans="1:4" x14ac:dyDescent="0.35">
      <c r="A81" s="10">
        <v>100016443</v>
      </c>
      <c r="B81" s="10">
        <v>10657945.219999991</v>
      </c>
      <c r="C81" s="10">
        <v>151488</v>
      </c>
      <c r="D81" s="10">
        <v>716964.98930000025</v>
      </c>
    </row>
    <row r="82" spans="1:4" x14ac:dyDescent="0.35">
      <c r="A82" s="10">
        <v>100017182</v>
      </c>
      <c r="B82" s="10">
        <v>392222.21000000014</v>
      </c>
      <c r="C82" s="10">
        <v>11313</v>
      </c>
      <c r="D82" s="10">
        <v>1721.5673000000002</v>
      </c>
    </row>
    <row r="83" spans="1:4" x14ac:dyDescent="0.35">
      <c r="A83" s="10">
        <v>100017393</v>
      </c>
      <c r="B83" s="10">
        <v>52477.260000000009</v>
      </c>
      <c r="C83" s="10">
        <v>672</v>
      </c>
      <c r="D83" s="10">
        <v>33.341699999999996</v>
      </c>
    </row>
    <row r="84" spans="1:4" x14ac:dyDescent="0.35">
      <c r="A84" s="10">
        <v>100017624</v>
      </c>
      <c r="B84" s="10">
        <v>730.53</v>
      </c>
      <c r="C84" s="10">
        <v>10</v>
      </c>
      <c r="D84" s="10">
        <v>0</v>
      </c>
    </row>
    <row r="85" spans="1:4" x14ac:dyDescent="0.35">
      <c r="A85" s="10">
        <v>100017662</v>
      </c>
      <c r="B85" s="10">
        <v>733.33</v>
      </c>
      <c r="C85" s="10">
        <v>12</v>
      </c>
      <c r="D85" s="10">
        <v>0</v>
      </c>
    </row>
    <row r="86" spans="1:4" x14ac:dyDescent="0.35">
      <c r="A86" s="10">
        <v>100017980</v>
      </c>
      <c r="B86" s="10">
        <v>14366.799999999994</v>
      </c>
      <c r="C86" s="10">
        <v>211</v>
      </c>
      <c r="D86" s="10">
        <v>0</v>
      </c>
    </row>
    <row r="87" spans="1:4" x14ac:dyDescent="0.35">
      <c r="A87" s="10">
        <v>100017982</v>
      </c>
      <c r="B87" s="10">
        <v>2539767.290000008</v>
      </c>
      <c r="C87" s="10">
        <v>48902</v>
      </c>
      <c r="D87" s="10">
        <v>60118.93879999988</v>
      </c>
    </row>
    <row r="88" spans="1:4" x14ac:dyDescent="0.35">
      <c r="A88" s="10">
        <v>100018038</v>
      </c>
      <c r="B88" s="10">
        <v>1889262.6500000032</v>
      </c>
      <c r="C88" s="10">
        <v>36295</v>
      </c>
      <c r="D88" s="10">
        <v>22154.048000000083</v>
      </c>
    </row>
    <row r="89" spans="1:4" x14ac:dyDescent="0.35">
      <c r="A89" s="10">
        <v>100018586</v>
      </c>
      <c r="B89" s="10">
        <v>1617.81</v>
      </c>
      <c r="C89" s="10">
        <v>40</v>
      </c>
      <c r="D89" s="10">
        <v>0</v>
      </c>
    </row>
    <row r="90" spans="1:4" x14ac:dyDescent="0.35">
      <c r="A90" s="10">
        <v>100018638</v>
      </c>
      <c r="B90" s="10">
        <v>3853.5899999999983</v>
      </c>
      <c r="C90" s="10">
        <v>57</v>
      </c>
      <c r="D90" s="10">
        <v>0</v>
      </c>
    </row>
    <row r="91" spans="1:4" x14ac:dyDescent="0.35">
      <c r="A91" s="10">
        <v>100018639</v>
      </c>
      <c r="B91" s="10">
        <v>2547.69</v>
      </c>
      <c r="C91" s="10">
        <v>37</v>
      </c>
      <c r="D91" s="10">
        <v>0</v>
      </c>
    </row>
    <row r="92" spans="1:4" x14ac:dyDescent="0.35">
      <c r="A92" s="10">
        <v>100018656</v>
      </c>
      <c r="B92" s="10">
        <v>2559767.7400000002</v>
      </c>
      <c r="C92" s="10">
        <v>36321</v>
      </c>
      <c r="D92" s="10">
        <v>53848.404399999854</v>
      </c>
    </row>
    <row r="93" spans="1:4" x14ac:dyDescent="0.35">
      <c r="A93" s="10">
        <v>100018745</v>
      </c>
      <c r="B93" s="10">
        <v>1997063.4300000041</v>
      </c>
      <c r="C93" s="10">
        <v>41942</v>
      </c>
      <c r="D93" s="10">
        <v>35325.450499999853</v>
      </c>
    </row>
    <row r="94" spans="1:4" x14ac:dyDescent="0.35">
      <c r="A94" s="10">
        <v>100018746</v>
      </c>
      <c r="B94" s="10">
        <v>2042704.7300000021</v>
      </c>
      <c r="C94" s="10">
        <v>42969</v>
      </c>
      <c r="D94" s="10">
        <v>11229.353200000151</v>
      </c>
    </row>
    <row r="95" spans="1:4" x14ac:dyDescent="0.35">
      <c r="A95" s="10">
        <v>100018748</v>
      </c>
      <c r="B95" s="10">
        <v>437.03999999999996</v>
      </c>
      <c r="C95" s="10">
        <v>8</v>
      </c>
      <c r="D95" s="10">
        <v>0</v>
      </c>
    </row>
    <row r="96" spans="1:4" x14ac:dyDescent="0.35">
      <c r="A96" s="10">
        <v>100018872</v>
      </c>
      <c r="B96" s="10">
        <v>2857235.4299999978</v>
      </c>
      <c r="C96" s="10">
        <v>40554</v>
      </c>
      <c r="D96" s="10">
        <v>56515.163399999881</v>
      </c>
    </row>
    <row r="97" spans="1:4" x14ac:dyDescent="0.35">
      <c r="A97" s="10">
        <v>100018931</v>
      </c>
      <c r="B97" s="10">
        <v>7216.31</v>
      </c>
      <c r="C97" s="10">
        <v>93</v>
      </c>
      <c r="D97" s="10">
        <v>0</v>
      </c>
    </row>
    <row r="98" spans="1:4" x14ac:dyDescent="0.35">
      <c r="A98" s="10">
        <v>100019052</v>
      </c>
      <c r="B98" s="10">
        <v>6411.619999999999</v>
      </c>
      <c r="C98" s="10">
        <v>100</v>
      </c>
      <c r="D98" s="10">
        <v>0</v>
      </c>
    </row>
    <row r="99" spans="1:4" x14ac:dyDescent="0.35">
      <c r="A99" s="10">
        <v>100019228</v>
      </c>
      <c r="B99" s="10">
        <v>198424.39999999979</v>
      </c>
      <c r="C99" s="10">
        <v>3744</v>
      </c>
      <c r="D99" s="10">
        <v>174.72350000000003</v>
      </c>
    </row>
    <row r="100" spans="1:4" x14ac:dyDescent="0.35">
      <c r="A100" s="10">
        <v>100019230</v>
      </c>
      <c r="B100" s="10">
        <v>3474910.3699999982</v>
      </c>
      <c r="C100" s="10">
        <v>64444</v>
      </c>
      <c r="D100" s="10">
        <v>146345.27890000053</v>
      </c>
    </row>
    <row r="101" spans="1:4" x14ac:dyDescent="0.35">
      <c r="A101" s="10">
        <v>100019232</v>
      </c>
      <c r="B101" s="10">
        <v>602180.94000000053</v>
      </c>
      <c r="C101" s="10">
        <v>11295</v>
      </c>
      <c r="D101" s="10">
        <v>189.21499999999997</v>
      </c>
    </row>
    <row r="102" spans="1:4" x14ac:dyDescent="0.35">
      <c r="A102" s="10">
        <v>100019233</v>
      </c>
      <c r="B102" s="10">
        <v>2666707.9299999969</v>
      </c>
      <c r="C102" s="10">
        <v>49524</v>
      </c>
      <c r="D102" s="10">
        <v>55532.499899999886</v>
      </c>
    </row>
    <row r="103" spans="1:4" x14ac:dyDescent="0.35">
      <c r="A103" s="10">
        <v>100019234</v>
      </c>
      <c r="B103" s="10">
        <v>3673864.3399999947</v>
      </c>
      <c r="C103" s="10">
        <v>68329</v>
      </c>
      <c r="D103" s="10">
        <v>190979.40749999988</v>
      </c>
    </row>
    <row r="104" spans="1:4" x14ac:dyDescent="0.35">
      <c r="A104" s="10">
        <v>100019548</v>
      </c>
      <c r="B104" s="10">
        <v>9707.67</v>
      </c>
      <c r="C104" s="10">
        <v>140</v>
      </c>
      <c r="D104" s="10">
        <v>0</v>
      </c>
    </row>
    <row r="105" spans="1:4" x14ac:dyDescent="0.35">
      <c r="A105" s="10">
        <v>100019549</v>
      </c>
      <c r="B105" s="10">
        <v>3562.22</v>
      </c>
      <c r="C105" s="10">
        <v>51</v>
      </c>
      <c r="D105" s="10">
        <v>5.1725000000000003</v>
      </c>
    </row>
    <row r="106" spans="1:4" x14ac:dyDescent="0.35">
      <c r="A106" s="10">
        <v>100019550</v>
      </c>
      <c r="B106" s="10">
        <v>2907123.6100000059</v>
      </c>
      <c r="C106" s="10">
        <v>41314</v>
      </c>
      <c r="D106" s="10">
        <v>75220.587099999902</v>
      </c>
    </row>
    <row r="107" spans="1:4" x14ac:dyDescent="0.35">
      <c r="A107" s="10">
        <v>100019698</v>
      </c>
      <c r="B107" s="10">
        <v>73.28</v>
      </c>
      <c r="C107" s="10">
        <v>1</v>
      </c>
      <c r="D107" s="10">
        <v>0</v>
      </c>
    </row>
    <row r="108" spans="1:4" x14ac:dyDescent="0.35">
      <c r="A108" s="10">
        <v>100019959</v>
      </c>
      <c r="B108" s="10">
        <v>634.70000000000005</v>
      </c>
      <c r="C108" s="10">
        <v>9</v>
      </c>
      <c r="D108" s="10">
        <v>0</v>
      </c>
    </row>
    <row r="109" spans="1:4" x14ac:dyDescent="0.35">
      <c r="A109" s="10">
        <v>100019981</v>
      </c>
      <c r="B109" s="10">
        <v>2547219.2999999938</v>
      </c>
      <c r="C109" s="10">
        <v>36162</v>
      </c>
      <c r="D109" s="10">
        <v>54149.800099999906</v>
      </c>
    </row>
    <row r="110" spans="1:4" x14ac:dyDescent="0.35">
      <c r="A110" s="10">
        <v>100020133</v>
      </c>
      <c r="B110" s="10">
        <v>2401160.4000000055</v>
      </c>
      <c r="C110" s="10">
        <v>45316</v>
      </c>
      <c r="D110" s="10">
        <v>66371.922399999909</v>
      </c>
    </row>
    <row r="111" spans="1:4" x14ac:dyDescent="0.35">
      <c r="A111" s="10">
        <v>100020137</v>
      </c>
      <c r="B111" s="10">
        <v>40.520000000000003</v>
      </c>
      <c r="C111" s="10">
        <v>1</v>
      </c>
      <c r="D111" s="10">
        <v>0</v>
      </c>
    </row>
    <row r="112" spans="1:4" x14ac:dyDescent="0.35">
      <c r="A112" s="10">
        <v>100020528</v>
      </c>
      <c r="B112" s="10">
        <v>6689.73</v>
      </c>
      <c r="C112" s="10">
        <v>95</v>
      </c>
      <c r="D112" s="10">
        <v>2.6124999999999998</v>
      </c>
    </row>
    <row r="113" spans="1:4" x14ac:dyDescent="0.35">
      <c r="A113" s="10">
        <v>100020727</v>
      </c>
      <c r="B113" s="10">
        <v>2238.1799999999998</v>
      </c>
      <c r="C113" s="10">
        <v>32</v>
      </c>
      <c r="D113" s="10">
        <v>0</v>
      </c>
    </row>
    <row r="114" spans="1:4" x14ac:dyDescent="0.35">
      <c r="A114" s="10">
        <v>100020728</v>
      </c>
      <c r="B114" s="10">
        <v>4351.1899999999987</v>
      </c>
      <c r="C114" s="10">
        <v>63</v>
      </c>
      <c r="D114" s="10">
        <v>0</v>
      </c>
    </row>
    <row r="115" spans="1:4" x14ac:dyDescent="0.35">
      <c r="A115" s="10">
        <v>100020729</v>
      </c>
      <c r="B115" s="10">
        <v>1648.65</v>
      </c>
      <c r="C115" s="10">
        <v>24</v>
      </c>
      <c r="D115" s="10">
        <v>0</v>
      </c>
    </row>
    <row r="116" spans="1:4" x14ac:dyDescent="0.35">
      <c r="A116" s="10">
        <v>100020770</v>
      </c>
      <c r="B116" s="10">
        <v>1175.8700000000001</v>
      </c>
      <c r="C116" s="10">
        <v>16</v>
      </c>
      <c r="D116" s="10">
        <v>0</v>
      </c>
    </row>
    <row r="117" spans="1:4" x14ac:dyDescent="0.35">
      <c r="A117" s="10">
        <v>100020837</v>
      </c>
      <c r="B117" s="10">
        <v>1966732.2399999974</v>
      </c>
      <c r="C117" s="10">
        <v>53058</v>
      </c>
      <c r="D117" s="10">
        <v>67150.523600000219</v>
      </c>
    </row>
    <row r="118" spans="1:4" x14ac:dyDescent="0.35">
      <c r="A118" s="10">
        <v>100020838</v>
      </c>
      <c r="B118" s="10">
        <v>2628961.1200000038</v>
      </c>
      <c r="C118" s="10">
        <v>37305</v>
      </c>
      <c r="D118" s="10">
        <v>20483.065899999969</v>
      </c>
    </row>
    <row r="119" spans="1:4" x14ac:dyDescent="0.35">
      <c r="A119" s="10">
        <v>100020873</v>
      </c>
      <c r="B119" s="10">
        <v>259.26</v>
      </c>
      <c r="C119" s="10">
        <v>2</v>
      </c>
      <c r="D119" s="10">
        <v>0</v>
      </c>
    </row>
    <row r="120" spans="1:4" x14ac:dyDescent="0.35">
      <c r="A120" s="10">
        <v>100020877</v>
      </c>
      <c r="B120" s="10">
        <v>259.26</v>
      </c>
      <c r="C120" s="10">
        <v>2</v>
      </c>
      <c r="D120" s="10">
        <v>0</v>
      </c>
    </row>
    <row r="121" spans="1:4" x14ac:dyDescent="0.35">
      <c r="A121" s="10">
        <v>100020879</v>
      </c>
      <c r="B121" s="10">
        <v>129.63</v>
      </c>
      <c r="C121" s="10">
        <v>1</v>
      </c>
      <c r="D121" s="10">
        <v>0</v>
      </c>
    </row>
    <row r="122" spans="1:4" x14ac:dyDescent="0.35">
      <c r="A122" s="10">
        <v>100020882</v>
      </c>
      <c r="B122" s="10">
        <v>129.63</v>
      </c>
      <c r="C122" s="10">
        <v>1</v>
      </c>
      <c r="D122" s="10">
        <v>0</v>
      </c>
    </row>
    <row r="123" spans="1:4" x14ac:dyDescent="0.35">
      <c r="A123" s="10">
        <v>100020888</v>
      </c>
      <c r="B123" s="10">
        <v>518.52</v>
      </c>
      <c r="C123" s="10">
        <v>4</v>
      </c>
      <c r="D123" s="10">
        <v>0</v>
      </c>
    </row>
    <row r="124" spans="1:4" x14ac:dyDescent="0.35">
      <c r="A124" s="10">
        <v>100020899</v>
      </c>
      <c r="B124" s="10">
        <v>85.34</v>
      </c>
      <c r="C124" s="10">
        <v>1</v>
      </c>
      <c r="D124" s="10">
        <v>0</v>
      </c>
    </row>
    <row r="125" spans="1:4" x14ac:dyDescent="0.35">
      <c r="A125" s="10">
        <v>100020945</v>
      </c>
      <c r="B125" s="10">
        <v>1331821.1799999997</v>
      </c>
      <c r="C125" s="10">
        <v>35890</v>
      </c>
      <c r="D125" s="10">
        <v>22913.246300000166</v>
      </c>
    </row>
    <row r="126" spans="1:4" x14ac:dyDescent="0.35">
      <c r="A126" s="10">
        <v>100020969</v>
      </c>
      <c r="B126" s="10">
        <v>439258.4099999998</v>
      </c>
      <c r="C126" s="10">
        <v>9432</v>
      </c>
      <c r="D126" s="10">
        <v>26318.52740000001</v>
      </c>
    </row>
    <row r="127" spans="1:4" x14ac:dyDescent="0.35">
      <c r="A127" s="10">
        <v>100020970</v>
      </c>
      <c r="B127" s="10">
        <v>803003.93999999959</v>
      </c>
      <c r="C127" s="10">
        <v>23809</v>
      </c>
      <c r="D127" s="10">
        <v>49874.847900000044</v>
      </c>
    </row>
    <row r="128" spans="1:4" x14ac:dyDescent="0.35">
      <c r="A128" s="10">
        <v>100021048</v>
      </c>
      <c r="B128" s="10">
        <v>2376492.7600000058</v>
      </c>
      <c r="C128" s="10">
        <v>40880</v>
      </c>
      <c r="D128" s="10">
        <v>66227.740700000097</v>
      </c>
    </row>
    <row r="129" spans="1:4" x14ac:dyDescent="0.35">
      <c r="A129" s="10">
        <v>100021091</v>
      </c>
      <c r="B129" s="10">
        <v>965.52</v>
      </c>
      <c r="C129" s="10">
        <v>14</v>
      </c>
      <c r="D129" s="10">
        <v>4.9260999999999999</v>
      </c>
    </row>
    <row r="130" spans="1:4" x14ac:dyDescent="0.35">
      <c r="A130" s="10">
        <v>100021272</v>
      </c>
      <c r="B130" s="10">
        <v>9305.7100000000009</v>
      </c>
      <c r="C130" s="10">
        <v>298</v>
      </c>
      <c r="D130" s="10">
        <v>0</v>
      </c>
    </row>
    <row r="131" spans="1:4" x14ac:dyDescent="0.35">
      <c r="A131" s="10">
        <v>100021415</v>
      </c>
      <c r="B131" s="10">
        <v>225</v>
      </c>
      <c r="C131" s="10">
        <v>3</v>
      </c>
      <c r="D131" s="10">
        <v>0</v>
      </c>
    </row>
    <row r="132" spans="1:4" x14ac:dyDescent="0.35">
      <c r="A132" s="10">
        <v>100021421</v>
      </c>
      <c r="B132" s="10">
        <v>75</v>
      </c>
      <c r="C132" s="10">
        <v>1</v>
      </c>
      <c r="D132" s="10">
        <v>0</v>
      </c>
    </row>
    <row r="133" spans="1:4" x14ac:dyDescent="0.35">
      <c r="A133" s="10">
        <v>100021658</v>
      </c>
      <c r="B133" s="10">
        <v>1293294.7500000009</v>
      </c>
      <c r="C133" s="10">
        <v>34840</v>
      </c>
      <c r="D133" s="10">
        <v>33125.674000000072</v>
      </c>
    </row>
    <row r="134" spans="1:4" x14ac:dyDescent="0.35">
      <c r="A134" s="10">
        <v>100021790</v>
      </c>
      <c r="B134" s="10">
        <v>2607119.7399999974</v>
      </c>
      <c r="C134" s="10">
        <v>36982</v>
      </c>
      <c r="D134" s="10">
        <v>32369.318299999813</v>
      </c>
    </row>
    <row r="135" spans="1:4" x14ac:dyDescent="0.35">
      <c r="A135" s="10">
        <v>100021797</v>
      </c>
      <c r="B135" s="10">
        <v>287.04000000000002</v>
      </c>
      <c r="C135" s="10">
        <v>5</v>
      </c>
      <c r="D135" s="10">
        <v>0</v>
      </c>
    </row>
    <row r="136" spans="1:4" x14ac:dyDescent="0.35">
      <c r="A136" s="10">
        <v>100021813</v>
      </c>
      <c r="B136" s="10">
        <v>1372497.9099999985</v>
      </c>
      <c r="C136" s="10">
        <v>19415</v>
      </c>
      <c r="D136" s="10">
        <v>24975.018499999966</v>
      </c>
    </row>
    <row r="137" spans="1:4" x14ac:dyDescent="0.35">
      <c r="A137" s="10">
        <v>100021814</v>
      </c>
      <c r="B137" s="10">
        <v>8914.41</v>
      </c>
      <c r="C137" s="10">
        <v>122</v>
      </c>
      <c r="D137" s="10">
        <v>26.2728</v>
      </c>
    </row>
    <row r="138" spans="1:4" x14ac:dyDescent="0.35">
      <c r="A138" s="10">
        <v>100021886</v>
      </c>
      <c r="B138" s="10">
        <v>251.72</v>
      </c>
      <c r="C138" s="10">
        <v>4</v>
      </c>
      <c r="D138" s="10">
        <v>0</v>
      </c>
    </row>
    <row r="139" spans="1:4" x14ac:dyDescent="0.35">
      <c r="A139" s="10">
        <v>100021889</v>
      </c>
      <c r="B139" s="10">
        <v>55.56</v>
      </c>
      <c r="C139" s="10">
        <v>1</v>
      </c>
      <c r="D139" s="10">
        <v>0</v>
      </c>
    </row>
    <row r="140" spans="1:4" x14ac:dyDescent="0.35">
      <c r="A140" s="10">
        <v>100021950</v>
      </c>
      <c r="B140" s="10">
        <v>681755.40000000247</v>
      </c>
      <c r="C140" s="10">
        <v>14503</v>
      </c>
      <c r="D140" s="10">
        <v>23610.832100000007</v>
      </c>
    </row>
    <row r="141" spans="1:4" x14ac:dyDescent="0.35">
      <c r="A141" s="10">
        <v>100021977</v>
      </c>
      <c r="B141" s="10">
        <v>1206391.1499999987</v>
      </c>
      <c r="C141" s="10">
        <v>35274</v>
      </c>
      <c r="D141" s="10">
        <v>51420.226600000016</v>
      </c>
    </row>
    <row r="142" spans="1:4" x14ac:dyDescent="0.35">
      <c r="A142" s="10">
        <v>100021978</v>
      </c>
      <c r="B142" s="10">
        <v>1533206.1600000013</v>
      </c>
      <c r="C142" s="10">
        <v>29366</v>
      </c>
      <c r="D142" s="10">
        <v>34206.218900000153</v>
      </c>
    </row>
    <row r="143" spans="1:4" x14ac:dyDescent="0.35">
      <c r="A143" s="10">
        <v>100022054</v>
      </c>
      <c r="B143" s="10">
        <v>2434.4799999999996</v>
      </c>
      <c r="C143" s="10">
        <v>49</v>
      </c>
      <c r="D143" s="10">
        <v>4.0639000000000003</v>
      </c>
    </row>
    <row r="144" spans="1:4" x14ac:dyDescent="0.35">
      <c r="A144" s="10">
        <v>100022118</v>
      </c>
      <c r="B144" s="10">
        <v>3232814.08</v>
      </c>
      <c r="C144" s="10">
        <v>45966</v>
      </c>
      <c r="D144" s="10">
        <v>107243.95879999973</v>
      </c>
    </row>
    <row r="145" spans="1:4" x14ac:dyDescent="0.35">
      <c r="A145" s="10">
        <v>100022134</v>
      </c>
      <c r="B145" s="10">
        <v>670.37</v>
      </c>
      <c r="C145" s="10">
        <v>9</v>
      </c>
      <c r="D145" s="10">
        <v>0</v>
      </c>
    </row>
    <row r="146" spans="1:4" x14ac:dyDescent="0.35">
      <c r="A146" s="10">
        <v>100022136</v>
      </c>
      <c r="B146" s="10">
        <v>789.27</v>
      </c>
      <c r="C146" s="10">
        <v>11</v>
      </c>
      <c r="D146" s="10">
        <v>0</v>
      </c>
    </row>
    <row r="147" spans="1:4" x14ac:dyDescent="0.35">
      <c r="A147" s="10">
        <v>100022137</v>
      </c>
      <c r="B147" s="10">
        <v>4100.7699999999995</v>
      </c>
      <c r="C147" s="10">
        <v>56</v>
      </c>
      <c r="D147" s="10">
        <v>2.4632000000000001</v>
      </c>
    </row>
    <row r="148" spans="1:4" x14ac:dyDescent="0.35">
      <c r="A148" s="10">
        <v>100022138</v>
      </c>
      <c r="B148" s="10">
        <v>727.27</v>
      </c>
      <c r="C148" s="10">
        <v>10</v>
      </c>
      <c r="D148" s="10">
        <v>0</v>
      </c>
    </row>
    <row r="149" spans="1:4" x14ac:dyDescent="0.35">
      <c r="A149" s="10">
        <v>100022139</v>
      </c>
      <c r="B149" s="10">
        <v>1135.03</v>
      </c>
      <c r="C149" s="10">
        <v>16</v>
      </c>
      <c r="D149" s="10">
        <v>0</v>
      </c>
    </row>
    <row r="150" spans="1:4" x14ac:dyDescent="0.35">
      <c r="A150" s="10">
        <v>100022210</v>
      </c>
      <c r="B150" s="10">
        <v>1395.2</v>
      </c>
      <c r="C150" s="10">
        <v>20</v>
      </c>
      <c r="D150" s="10">
        <v>0</v>
      </c>
    </row>
    <row r="151" spans="1:4" x14ac:dyDescent="0.35">
      <c r="A151" s="10">
        <v>100022233</v>
      </c>
      <c r="B151" s="10">
        <v>2720110.1400000006</v>
      </c>
      <c r="C151" s="10">
        <v>38597</v>
      </c>
      <c r="D151" s="10">
        <v>54038.850199999724</v>
      </c>
    </row>
    <row r="152" spans="1:4" x14ac:dyDescent="0.35">
      <c r="A152" s="10">
        <v>100022276</v>
      </c>
      <c r="B152" s="10">
        <v>1228.6200000000001</v>
      </c>
      <c r="C152" s="10">
        <v>17</v>
      </c>
      <c r="D152" s="10">
        <v>0</v>
      </c>
    </row>
    <row r="153" spans="1:4" x14ac:dyDescent="0.35">
      <c r="A153" s="10">
        <v>100022331</v>
      </c>
      <c r="B153" s="10">
        <v>898.56000000000006</v>
      </c>
      <c r="C153" s="10">
        <v>17</v>
      </c>
      <c r="D153" s="10">
        <v>0</v>
      </c>
    </row>
    <row r="154" spans="1:4" x14ac:dyDescent="0.35">
      <c r="A154" s="10">
        <v>100022332</v>
      </c>
      <c r="B154" s="10">
        <v>2024.91</v>
      </c>
      <c r="C154" s="10">
        <v>38</v>
      </c>
      <c r="D154" s="10">
        <v>0</v>
      </c>
    </row>
    <row r="155" spans="1:4" x14ac:dyDescent="0.35">
      <c r="A155" s="10">
        <v>100022335</v>
      </c>
      <c r="B155" s="10">
        <v>2159749.6500000008</v>
      </c>
      <c r="C155" s="10">
        <v>45586</v>
      </c>
      <c r="D155" s="10">
        <v>73987.676199999871</v>
      </c>
    </row>
    <row r="156" spans="1:4" x14ac:dyDescent="0.35">
      <c r="A156" s="10">
        <v>100022336</v>
      </c>
      <c r="B156" s="10">
        <v>4786949.7300000107</v>
      </c>
      <c r="C156" s="10">
        <v>70280</v>
      </c>
      <c r="D156" s="10">
        <v>299846.07309999951</v>
      </c>
    </row>
    <row r="157" spans="1:4" x14ac:dyDescent="0.35">
      <c r="A157" s="10">
        <v>100022523</v>
      </c>
      <c r="B157" s="10">
        <v>2774747.2900000024</v>
      </c>
      <c r="C157" s="10">
        <v>44513</v>
      </c>
      <c r="D157" s="10">
        <v>60858.879200000149</v>
      </c>
    </row>
    <row r="158" spans="1:4" x14ac:dyDescent="0.35">
      <c r="A158" s="10">
        <v>100022784</v>
      </c>
      <c r="B158" s="10">
        <v>458.33</v>
      </c>
      <c r="C158" s="10">
        <v>5</v>
      </c>
      <c r="D158" s="10">
        <v>0</v>
      </c>
    </row>
    <row r="159" spans="1:4" x14ac:dyDescent="0.35">
      <c r="A159" s="10">
        <v>100022785</v>
      </c>
      <c r="B159" s="10">
        <v>648.15</v>
      </c>
      <c r="C159" s="10">
        <v>5</v>
      </c>
      <c r="D159" s="10">
        <v>0</v>
      </c>
    </row>
    <row r="160" spans="1:4" x14ac:dyDescent="0.35">
      <c r="A160" s="10">
        <v>100022845</v>
      </c>
      <c r="B160" s="10">
        <v>2120.06</v>
      </c>
      <c r="C160" s="10">
        <v>30</v>
      </c>
      <c r="D160" s="10">
        <v>0</v>
      </c>
    </row>
    <row r="161" spans="1:4" x14ac:dyDescent="0.35">
      <c r="A161" s="10">
        <v>100022846</v>
      </c>
      <c r="B161" s="10">
        <v>689.66</v>
      </c>
      <c r="C161" s="10">
        <v>10</v>
      </c>
      <c r="D161" s="10">
        <v>0</v>
      </c>
    </row>
    <row r="162" spans="1:4" x14ac:dyDescent="0.35">
      <c r="A162" s="10">
        <v>100022847</v>
      </c>
      <c r="B162" s="10">
        <v>1953.54</v>
      </c>
      <c r="C162" s="10">
        <v>27</v>
      </c>
      <c r="D162" s="10">
        <v>0</v>
      </c>
    </row>
    <row r="163" spans="1:4" x14ac:dyDescent="0.35">
      <c r="A163" s="10">
        <v>100022848</v>
      </c>
      <c r="B163" s="10">
        <v>2701.7</v>
      </c>
      <c r="C163" s="10">
        <v>37</v>
      </c>
      <c r="D163" s="10">
        <v>2.4632000000000001</v>
      </c>
    </row>
    <row r="164" spans="1:4" x14ac:dyDescent="0.35">
      <c r="A164" s="10">
        <v>100022849</v>
      </c>
      <c r="B164" s="10">
        <v>1628.67</v>
      </c>
      <c r="C164" s="10">
        <v>22</v>
      </c>
      <c r="D164" s="10">
        <v>0</v>
      </c>
    </row>
    <row r="165" spans="1:4" x14ac:dyDescent="0.35">
      <c r="A165" s="10">
        <v>100022965</v>
      </c>
      <c r="B165" s="10">
        <v>2613250.3399999966</v>
      </c>
      <c r="C165" s="10">
        <v>41872</v>
      </c>
      <c r="D165" s="10">
        <v>81319.805900000007</v>
      </c>
    </row>
    <row r="166" spans="1:4" x14ac:dyDescent="0.35">
      <c r="A166" s="10">
        <v>100022968</v>
      </c>
      <c r="B166" s="10">
        <v>3851.7299999999991</v>
      </c>
      <c r="C166" s="10">
        <v>55</v>
      </c>
      <c r="D166" s="10">
        <v>0</v>
      </c>
    </row>
    <row r="167" spans="1:4" x14ac:dyDescent="0.35">
      <c r="A167" s="10">
        <v>100022970</v>
      </c>
      <c r="B167" s="10">
        <v>341.37</v>
      </c>
      <c r="C167" s="10">
        <v>5</v>
      </c>
      <c r="D167" s="10">
        <v>0</v>
      </c>
    </row>
    <row r="168" spans="1:4" x14ac:dyDescent="0.35">
      <c r="A168" s="10">
        <v>100022971</v>
      </c>
      <c r="B168" s="10">
        <v>2073154.7199999888</v>
      </c>
      <c r="C168" s="10">
        <v>30359</v>
      </c>
      <c r="D168" s="10">
        <v>100505.10260000032</v>
      </c>
    </row>
    <row r="169" spans="1:4" x14ac:dyDescent="0.35">
      <c r="A169" s="10">
        <v>100022995</v>
      </c>
      <c r="B169" s="10">
        <v>772133.73999999627</v>
      </c>
      <c r="C169" s="10">
        <v>14522</v>
      </c>
      <c r="D169" s="10">
        <v>20684.378499999944</v>
      </c>
    </row>
    <row r="170" spans="1:4" x14ac:dyDescent="0.35">
      <c r="A170" s="10">
        <v>100022996</v>
      </c>
      <c r="B170" s="10">
        <v>322377.78999999934</v>
      </c>
      <c r="C170" s="10">
        <v>6830</v>
      </c>
      <c r="D170" s="10">
        <v>7206.2285000000093</v>
      </c>
    </row>
    <row r="171" spans="1:4" x14ac:dyDescent="0.35">
      <c r="A171" s="10">
        <v>100023126</v>
      </c>
      <c r="B171" s="10">
        <v>3483.33</v>
      </c>
      <c r="C171" s="10">
        <v>38</v>
      </c>
      <c r="D171" s="10">
        <v>0</v>
      </c>
    </row>
    <row r="172" spans="1:4" x14ac:dyDescent="0.35">
      <c r="A172" s="10">
        <v>100023311</v>
      </c>
      <c r="B172" s="10">
        <v>2705220.9100000006</v>
      </c>
      <c r="C172" s="10">
        <v>38421</v>
      </c>
      <c r="D172" s="10">
        <v>33512.664499999824</v>
      </c>
    </row>
    <row r="173" spans="1:4" x14ac:dyDescent="0.35">
      <c r="A173" s="10">
        <v>100023312</v>
      </c>
      <c r="B173" s="10">
        <v>2642142.2099999981</v>
      </c>
      <c r="C173" s="10">
        <v>37589</v>
      </c>
      <c r="D173" s="10">
        <v>41359.698499999773</v>
      </c>
    </row>
    <row r="174" spans="1:4" x14ac:dyDescent="0.35">
      <c r="A174" s="10">
        <v>100023317</v>
      </c>
      <c r="B174" s="10">
        <v>756094.70999999973</v>
      </c>
      <c r="C174" s="10">
        <v>14375</v>
      </c>
      <c r="D174" s="10">
        <v>46678.162399999957</v>
      </c>
    </row>
    <row r="175" spans="1:4" x14ac:dyDescent="0.35">
      <c r="A175" s="10">
        <v>100023361</v>
      </c>
      <c r="B175" s="10">
        <v>916.67000000000007</v>
      </c>
      <c r="C175" s="10">
        <v>15</v>
      </c>
      <c r="D175" s="10">
        <v>0</v>
      </c>
    </row>
    <row r="176" spans="1:4" x14ac:dyDescent="0.35">
      <c r="A176" s="10">
        <v>100023362</v>
      </c>
      <c r="B176" s="10">
        <v>524.71</v>
      </c>
      <c r="C176" s="10">
        <v>9</v>
      </c>
      <c r="D176" s="10">
        <v>0</v>
      </c>
    </row>
    <row r="177" spans="1:4" x14ac:dyDescent="0.35">
      <c r="A177" s="10">
        <v>100023422</v>
      </c>
      <c r="B177" s="10">
        <v>-222469.03000000003</v>
      </c>
      <c r="C177" s="10">
        <v>-2823</v>
      </c>
      <c r="D177" s="10">
        <v>14.2971</v>
      </c>
    </row>
    <row r="178" spans="1:4" x14ac:dyDescent="0.35">
      <c r="A178" s="10">
        <v>100023423</v>
      </c>
      <c r="B178" s="10">
        <v>13128.560000000003</v>
      </c>
      <c r="C178" s="10">
        <v>170</v>
      </c>
      <c r="D178" s="10">
        <v>14.277899999999999</v>
      </c>
    </row>
    <row r="179" spans="1:4" x14ac:dyDescent="0.35">
      <c r="A179" s="10">
        <v>100023424</v>
      </c>
      <c r="B179" s="10">
        <v>10811.630000000003</v>
      </c>
      <c r="C179" s="10">
        <v>141</v>
      </c>
      <c r="D179" s="10">
        <v>5.6879</v>
      </c>
    </row>
    <row r="180" spans="1:4" x14ac:dyDescent="0.35">
      <c r="A180" s="10">
        <v>100023425</v>
      </c>
      <c r="B180" s="10">
        <v>2197597.5699999994</v>
      </c>
      <c r="C180" s="10">
        <v>37815</v>
      </c>
      <c r="D180" s="10">
        <v>42952.100200000146</v>
      </c>
    </row>
    <row r="181" spans="1:4" x14ac:dyDescent="0.35">
      <c r="A181" s="10">
        <v>100023426</v>
      </c>
      <c r="B181" s="10">
        <v>67215.28</v>
      </c>
      <c r="C181" s="10">
        <v>1066</v>
      </c>
      <c r="D181" s="10">
        <v>49.448200000000014</v>
      </c>
    </row>
    <row r="182" spans="1:4" x14ac:dyDescent="0.35">
      <c r="A182" s="10">
        <v>100023679</v>
      </c>
      <c r="B182" s="10">
        <v>2240172.189999979</v>
      </c>
      <c r="C182" s="10">
        <v>32725</v>
      </c>
      <c r="D182" s="10">
        <v>61426.887700000072</v>
      </c>
    </row>
    <row r="183" spans="1:4" x14ac:dyDescent="0.35">
      <c r="A183" s="10">
        <v>100023680</v>
      </c>
      <c r="B183" s="10">
        <v>35041.860000000015</v>
      </c>
      <c r="C183" s="10">
        <v>504</v>
      </c>
      <c r="D183" s="10">
        <v>84.323799999999991</v>
      </c>
    </row>
    <row r="184" spans="1:4" x14ac:dyDescent="0.35">
      <c r="A184" s="10">
        <v>100023681</v>
      </c>
      <c r="B184" s="10">
        <v>2178300.8399999812</v>
      </c>
      <c r="C184" s="10">
        <v>31839</v>
      </c>
      <c r="D184" s="10">
        <v>51323.83020000004</v>
      </c>
    </row>
    <row r="185" spans="1:4" x14ac:dyDescent="0.35">
      <c r="A185" s="10">
        <v>100023682</v>
      </c>
      <c r="B185" s="10">
        <v>2241597.7699999865</v>
      </c>
      <c r="C185" s="10">
        <v>32719</v>
      </c>
      <c r="D185" s="10">
        <v>35701.936399999882</v>
      </c>
    </row>
    <row r="186" spans="1:4" x14ac:dyDescent="0.35">
      <c r="A186" s="10">
        <v>100023683</v>
      </c>
      <c r="B186" s="10">
        <v>21145.559999999987</v>
      </c>
      <c r="C186" s="10">
        <v>302</v>
      </c>
      <c r="D186" s="10">
        <v>24.137800000000002</v>
      </c>
    </row>
    <row r="187" spans="1:4" x14ac:dyDescent="0.35">
      <c r="A187" s="10">
        <v>100023684</v>
      </c>
      <c r="B187" s="10">
        <v>45466.620000000017</v>
      </c>
      <c r="C187" s="10">
        <v>664</v>
      </c>
      <c r="D187" s="10">
        <v>73.097999999999999</v>
      </c>
    </row>
    <row r="188" spans="1:4" x14ac:dyDescent="0.35">
      <c r="A188" s="10">
        <v>100023685</v>
      </c>
      <c r="B188" s="10">
        <v>2223477.1299999813</v>
      </c>
      <c r="C188" s="10">
        <v>32506</v>
      </c>
      <c r="D188" s="10">
        <v>51257.874800000085</v>
      </c>
    </row>
    <row r="189" spans="1:4" x14ac:dyDescent="0.35">
      <c r="A189" s="10">
        <v>100023686</v>
      </c>
      <c r="B189" s="10">
        <v>2247869.0799999763</v>
      </c>
      <c r="C189" s="10">
        <v>32863</v>
      </c>
      <c r="D189" s="10">
        <v>57134.646699999845</v>
      </c>
    </row>
    <row r="190" spans="1:4" x14ac:dyDescent="0.35">
      <c r="A190" s="10">
        <v>100023714</v>
      </c>
      <c r="B190" s="10">
        <v>1285.3600000000001</v>
      </c>
      <c r="C190" s="10">
        <v>21</v>
      </c>
      <c r="D190" s="10">
        <v>0</v>
      </c>
    </row>
    <row r="191" spans="1:4" x14ac:dyDescent="0.35">
      <c r="A191" s="10">
        <v>100023889</v>
      </c>
      <c r="B191" s="10">
        <v>413.79999999999995</v>
      </c>
      <c r="C191" s="10">
        <v>6</v>
      </c>
      <c r="D191" s="10">
        <v>4.9260999999999999</v>
      </c>
    </row>
    <row r="192" spans="1:4" x14ac:dyDescent="0.35">
      <c r="A192" s="10">
        <v>100023891</v>
      </c>
      <c r="B192" s="10">
        <v>488.79999999999995</v>
      </c>
      <c r="C192" s="10">
        <v>7</v>
      </c>
      <c r="D192" s="10">
        <v>4.9260999999999999</v>
      </c>
    </row>
    <row r="193" spans="1:4" x14ac:dyDescent="0.35">
      <c r="A193" s="10">
        <v>100023892</v>
      </c>
      <c r="B193" s="10">
        <v>4942.5499999999993</v>
      </c>
      <c r="C193" s="10">
        <v>71</v>
      </c>
      <c r="D193" s="10">
        <v>10.3996</v>
      </c>
    </row>
    <row r="194" spans="1:4" x14ac:dyDescent="0.35">
      <c r="A194" s="10">
        <v>100024134</v>
      </c>
      <c r="B194" s="10">
        <v>48812.000000000022</v>
      </c>
      <c r="C194" s="10">
        <v>677</v>
      </c>
      <c r="D194" s="10">
        <v>33.552300000000002</v>
      </c>
    </row>
    <row r="195" spans="1:4" x14ac:dyDescent="0.35">
      <c r="A195" s="10">
        <v>100024244</v>
      </c>
      <c r="B195" s="10">
        <v>2031286.9399999762</v>
      </c>
      <c r="C195" s="10">
        <v>29667</v>
      </c>
      <c r="D195" s="10">
        <v>37236.091499999937</v>
      </c>
    </row>
    <row r="196" spans="1:4" x14ac:dyDescent="0.35">
      <c r="A196" s="10">
        <v>100024246</v>
      </c>
      <c r="B196" s="10">
        <v>2018929.7999999805</v>
      </c>
      <c r="C196" s="10">
        <v>29502</v>
      </c>
      <c r="D196" s="10">
        <v>32296.749099999786</v>
      </c>
    </row>
    <row r="197" spans="1:4" x14ac:dyDescent="0.35">
      <c r="A197" s="10">
        <v>100024282</v>
      </c>
      <c r="B197" s="10">
        <v>491077.18000000191</v>
      </c>
      <c r="C197" s="10">
        <v>951</v>
      </c>
      <c r="D197" s="10">
        <v>3504.0030000000074</v>
      </c>
    </row>
    <row r="198" spans="1:4" x14ac:dyDescent="0.35">
      <c r="A198" s="10">
        <v>100024286</v>
      </c>
      <c r="B198" s="10">
        <v>889722.33000000403</v>
      </c>
      <c r="C198" s="10">
        <v>1723</v>
      </c>
      <c r="D198" s="10">
        <v>10346.035700000004</v>
      </c>
    </row>
    <row r="199" spans="1:4" x14ac:dyDescent="0.35">
      <c r="A199" s="10">
        <v>100024288</v>
      </c>
      <c r="B199" s="10">
        <v>346205.18000000005</v>
      </c>
      <c r="C199" s="10">
        <v>402</v>
      </c>
      <c r="D199" s="10">
        <v>1691.6576999999993</v>
      </c>
    </row>
    <row r="200" spans="1:4" x14ac:dyDescent="0.35">
      <c r="A200" s="10">
        <v>100024289</v>
      </c>
      <c r="B200" s="10">
        <v>1391872.7200000021</v>
      </c>
      <c r="C200" s="10">
        <v>24337</v>
      </c>
      <c r="D200" s="10">
        <v>5521.9734000000126</v>
      </c>
    </row>
    <row r="201" spans="1:4" x14ac:dyDescent="0.35">
      <c r="A201" s="10">
        <v>100024293</v>
      </c>
      <c r="B201" s="10">
        <v>1427090.5900000045</v>
      </c>
      <c r="C201" s="10">
        <v>24951</v>
      </c>
      <c r="D201" s="10">
        <v>3424.3335999999931</v>
      </c>
    </row>
    <row r="202" spans="1:4" x14ac:dyDescent="0.35">
      <c r="A202" s="10">
        <v>100024294</v>
      </c>
      <c r="B202" s="10">
        <v>1332924.600000001</v>
      </c>
      <c r="C202" s="10">
        <v>23301</v>
      </c>
      <c r="D202" s="10">
        <v>6122.6910000000062</v>
      </c>
    </row>
    <row r="203" spans="1:4" x14ac:dyDescent="0.35">
      <c r="A203" s="10">
        <v>100024295</v>
      </c>
      <c r="B203" s="10">
        <v>1474164.7700000056</v>
      </c>
      <c r="C203" s="10">
        <v>25796</v>
      </c>
      <c r="D203" s="10">
        <v>3702.0024999999964</v>
      </c>
    </row>
    <row r="204" spans="1:4" x14ac:dyDescent="0.35">
      <c r="A204" s="10">
        <v>100024303</v>
      </c>
      <c r="B204" s="10">
        <v>638.79999999999995</v>
      </c>
      <c r="C204" s="10">
        <v>9</v>
      </c>
      <c r="D204" s="10">
        <v>2.6785999999999999</v>
      </c>
    </row>
    <row r="205" spans="1:4" x14ac:dyDescent="0.35">
      <c r="A205" s="10">
        <v>100024304</v>
      </c>
      <c r="B205" s="10">
        <v>444.44</v>
      </c>
      <c r="C205" s="10">
        <v>6</v>
      </c>
      <c r="D205" s="10">
        <v>5.2907999999999999</v>
      </c>
    </row>
    <row r="206" spans="1:4" x14ac:dyDescent="0.35">
      <c r="A206" s="10">
        <v>100024305</v>
      </c>
      <c r="B206" s="10">
        <v>689.66</v>
      </c>
      <c r="C206" s="10">
        <v>10</v>
      </c>
      <c r="D206" s="10">
        <v>0</v>
      </c>
    </row>
    <row r="207" spans="1:4" x14ac:dyDescent="0.35">
      <c r="A207" s="10">
        <v>100024306</v>
      </c>
      <c r="B207" s="10">
        <v>2081.2800000000002</v>
      </c>
      <c r="C207" s="10">
        <v>29</v>
      </c>
      <c r="D207" s="10">
        <v>2.4632000000000001</v>
      </c>
    </row>
    <row r="208" spans="1:4" x14ac:dyDescent="0.35">
      <c r="A208" s="10">
        <v>100024320</v>
      </c>
      <c r="B208" s="10">
        <v>931626.78999999491</v>
      </c>
      <c r="C208" s="10">
        <v>17513</v>
      </c>
      <c r="D208" s="10">
        <v>43686.792999999954</v>
      </c>
    </row>
    <row r="209" spans="1:4" x14ac:dyDescent="0.35">
      <c r="A209" s="10">
        <v>100024321</v>
      </c>
      <c r="B209" s="10">
        <v>2305456.5399999903</v>
      </c>
      <c r="C209" s="10">
        <v>33589</v>
      </c>
      <c r="D209" s="10">
        <v>15203.026100000136</v>
      </c>
    </row>
    <row r="210" spans="1:4" x14ac:dyDescent="0.35">
      <c r="A210" s="10">
        <v>100024397</v>
      </c>
      <c r="B210" s="10">
        <v>1283283.4700000032</v>
      </c>
      <c r="C210" s="10">
        <v>22444</v>
      </c>
      <c r="D210" s="10">
        <v>8807.4686000000056</v>
      </c>
    </row>
    <row r="211" spans="1:4" x14ac:dyDescent="0.35">
      <c r="A211" s="10">
        <v>100024398</v>
      </c>
      <c r="B211" s="10">
        <v>1311180.7800000021</v>
      </c>
      <c r="C211" s="10">
        <v>22893</v>
      </c>
      <c r="D211" s="10">
        <v>6376.8366000000133</v>
      </c>
    </row>
    <row r="212" spans="1:4" x14ac:dyDescent="0.35">
      <c r="A212" s="10">
        <v>100024399</v>
      </c>
      <c r="B212" s="10">
        <v>1246342.8100000005</v>
      </c>
      <c r="C212" s="10">
        <v>21771</v>
      </c>
      <c r="D212" s="10">
        <v>10367.808999999983</v>
      </c>
    </row>
    <row r="213" spans="1:4" x14ac:dyDescent="0.35">
      <c r="A213" s="10">
        <v>100024400</v>
      </c>
      <c r="B213" s="10">
        <v>1360113.7300000037</v>
      </c>
      <c r="C213" s="10">
        <v>23782</v>
      </c>
      <c r="D213" s="10">
        <v>6055.8764000000147</v>
      </c>
    </row>
    <row r="214" spans="1:4" x14ac:dyDescent="0.35">
      <c r="A214" s="10">
        <v>100024415</v>
      </c>
      <c r="B214" s="10">
        <v>627276.87999999896</v>
      </c>
      <c r="C214" s="10">
        <v>10878</v>
      </c>
      <c r="D214" s="10">
        <v>1315.655499999996</v>
      </c>
    </row>
    <row r="215" spans="1:4" x14ac:dyDescent="0.35">
      <c r="A215" s="10">
        <v>100024416</v>
      </c>
      <c r="B215" s="10">
        <v>600647.349999998</v>
      </c>
      <c r="C215" s="10">
        <v>10446</v>
      </c>
      <c r="D215" s="10">
        <v>2508.8053999999952</v>
      </c>
    </row>
    <row r="216" spans="1:4" x14ac:dyDescent="0.35">
      <c r="A216" s="10">
        <v>100024417</v>
      </c>
      <c r="B216" s="10">
        <v>646052.8399999995</v>
      </c>
      <c r="C216" s="10">
        <v>11233</v>
      </c>
      <c r="D216" s="10">
        <v>1181.8832999999956</v>
      </c>
    </row>
    <row r="217" spans="1:4" x14ac:dyDescent="0.35">
      <c r="A217" s="10">
        <v>100024418</v>
      </c>
      <c r="B217" s="10">
        <v>614774.06999999762</v>
      </c>
      <c r="C217" s="10">
        <v>10689</v>
      </c>
      <c r="D217" s="10">
        <v>2977.9461999999944</v>
      </c>
    </row>
    <row r="218" spans="1:4" x14ac:dyDescent="0.35">
      <c r="A218" s="10">
        <v>100024419</v>
      </c>
      <c r="B218" s="10">
        <v>593400.71000000031</v>
      </c>
      <c r="C218" s="10">
        <v>10308</v>
      </c>
      <c r="D218" s="10">
        <v>1562.1390999999956</v>
      </c>
    </row>
    <row r="219" spans="1:4" x14ac:dyDescent="0.35">
      <c r="A219" s="10">
        <v>100024420</v>
      </c>
      <c r="B219" s="10">
        <v>623820.1199999986</v>
      </c>
      <c r="C219" s="10">
        <v>10874</v>
      </c>
      <c r="D219" s="10">
        <v>3284.6830999999966</v>
      </c>
    </row>
    <row r="220" spans="1:4" x14ac:dyDescent="0.35">
      <c r="A220" s="10">
        <v>100024462</v>
      </c>
      <c r="B220" s="10">
        <v>666624.60000000079</v>
      </c>
      <c r="C220" s="10">
        <v>11583</v>
      </c>
      <c r="D220" s="10">
        <v>1727.6310999999964</v>
      </c>
    </row>
    <row r="221" spans="1:4" x14ac:dyDescent="0.35">
      <c r="A221" s="10">
        <v>100024465</v>
      </c>
      <c r="B221" s="10">
        <v>638283.48999999918</v>
      </c>
      <c r="C221" s="10">
        <v>11110</v>
      </c>
      <c r="D221" s="10">
        <v>4645.8551000000052</v>
      </c>
    </row>
    <row r="222" spans="1:4" x14ac:dyDescent="0.35">
      <c r="A222" s="10">
        <v>100024596</v>
      </c>
      <c r="B222" s="10">
        <v>2597681.3000000031</v>
      </c>
      <c r="C222" s="10">
        <v>36889</v>
      </c>
      <c r="D222" s="10">
        <v>30607.274599999892</v>
      </c>
    </row>
    <row r="223" spans="1:4" x14ac:dyDescent="0.35">
      <c r="A223" s="10">
        <v>100024599</v>
      </c>
      <c r="B223" s="10">
        <v>521431.37999999983</v>
      </c>
      <c r="C223" s="10">
        <v>7116</v>
      </c>
      <c r="D223" s="10">
        <v>3166.5752999999995</v>
      </c>
    </row>
    <row r="224" spans="1:4" x14ac:dyDescent="0.35">
      <c r="A224" s="10">
        <v>100024712</v>
      </c>
      <c r="B224" s="10">
        <v>2361.12</v>
      </c>
      <c r="C224" s="10">
        <v>17</v>
      </c>
      <c r="D224" s="10">
        <v>0</v>
      </c>
    </row>
    <row r="225" spans="1:4" x14ac:dyDescent="0.35">
      <c r="A225" s="10">
        <v>100024715</v>
      </c>
      <c r="B225" s="10">
        <v>129.31</v>
      </c>
      <c r="C225" s="10">
        <v>1</v>
      </c>
      <c r="D225" s="10">
        <v>0</v>
      </c>
    </row>
    <row r="226" spans="1:4" x14ac:dyDescent="0.35">
      <c r="A226" s="10">
        <v>100024716</v>
      </c>
      <c r="B226" s="10">
        <v>555.55999999999995</v>
      </c>
      <c r="C226" s="10">
        <v>4</v>
      </c>
      <c r="D226" s="10">
        <v>0</v>
      </c>
    </row>
    <row r="227" spans="1:4" x14ac:dyDescent="0.35">
      <c r="A227" s="10">
        <v>100024718</v>
      </c>
      <c r="B227" s="10">
        <v>258.62</v>
      </c>
      <c r="C227" s="10">
        <v>2</v>
      </c>
      <c r="D227" s="10">
        <v>0</v>
      </c>
    </row>
    <row r="228" spans="1:4" x14ac:dyDescent="0.35">
      <c r="A228" s="10">
        <v>100024720</v>
      </c>
      <c r="B228" s="10">
        <v>6518.5200000000013</v>
      </c>
      <c r="C228" s="10">
        <v>22</v>
      </c>
      <c r="D228" s="10">
        <v>0</v>
      </c>
    </row>
    <row r="229" spans="1:4" x14ac:dyDescent="0.35">
      <c r="A229" s="10">
        <v>100024721</v>
      </c>
      <c r="B229" s="10">
        <v>7407.41</v>
      </c>
      <c r="C229" s="10">
        <v>25</v>
      </c>
      <c r="D229" s="10">
        <v>0</v>
      </c>
    </row>
    <row r="230" spans="1:4" x14ac:dyDescent="0.35">
      <c r="A230" s="10">
        <v>100024722</v>
      </c>
      <c r="B230" s="10">
        <v>11259.26</v>
      </c>
      <c r="C230" s="10">
        <v>38</v>
      </c>
      <c r="D230" s="10">
        <v>0</v>
      </c>
    </row>
    <row r="231" spans="1:4" x14ac:dyDescent="0.35">
      <c r="A231" s="10">
        <v>100024724</v>
      </c>
      <c r="B231" s="10">
        <v>296.3</v>
      </c>
      <c r="C231" s="10">
        <v>1</v>
      </c>
      <c r="D231" s="10">
        <v>0</v>
      </c>
    </row>
    <row r="232" spans="1:4" x14ac:dyDescent="0.35">
      <c r="A232" s="10">
        <v>100024725</v>
      </c>
      <c r="B232" s="10">
        <v>3812.2599999999998</v>
      </c>
      <c r="C232" s="10">
        <v>28</v>
      </c>
      <c r="D232" s="10">
        <v>0</v>
      </c>
    </row>
    <row r="233" spans="1:4" x14ac:dyDescent="0.35">
      <c r="A233" s="10">
        <v>100024726</v>
      </c>
      <c r="B233" s="10">
        <v>1037.04</v>
      </c>
      <c r="C233" s="10">
        <v>7</v>
      </c>
      <c r="D233" s="10">
        <v>0</v>
      </c>
    </row>
    <row r="234" spans="1:4" x14ac:dyDescent="0.35">
      <c r="A234" s="10">
        <v>100024727</v>
      </c>
      <c r="B234" s="10">
        <v>1185.18</v>
      </c>
      <c r="C234" s="10">
        <v>8</v>
      </c>
      <c r="D234" s="10">
        <v>0</v>
      </c>
    </row>
    <row r="235" spans="1:4" x14ac:dyDescent="0.35">
      <c r="A235" s="10">
        <v>100024728</v>
      </c>
      <c r="B235" s="10">
        <v>878.67000000000007</v>
      </c>
      <c r="C235" s="10">
        <v>6</v>
      </c>
      <c r="D235" s="10">
        <v>0</v>
      </c>
    </row>
    <row r="236" spans="1:4" x14ac:dyDescent="0.35">
      <c r="A236" s="10">
        <v>100024729</v>
      </c>
      <c r="B236" s="10">
        <v>434.23</v>
      </c>
      <c r="C236" s="10">
        <v>3</v>
      </c>
      <c r="D236" s="10">
        <v>0</v>
      </c>
    </row>
    <row r="237" spans="1:4" x14ac:dyDescent="0.35">
      <c r="A237" s="10">
        <v>100024859</v>
      </c>
      <c r="B237" s="10">
        <v>9811.2199999999993</v>
      </c>
      <c r="C237" s="10">
        <v>19</v>
      </c>
      <c r="D237" s="10">
        <v>129.09479999999999</v>
      </c>
    </row>
    <row r="238" spans="1:4" x14ac:dyDescent="0.35">
      <c r="A238" s="10">
        <v>100024861</v>
      </c>
      <c r="B238" s="10">
        <v>18085.349999999999</v>
      </c>
      <c r="C238" s="10">
        <v>21</v>
      </c>
      <c r="D238" s="10">
        <v>369.08889999999997</v>
      </c>
    </row>
    <row r="239" spans="1:4" x14ac:dyDescent="0.35">
      <c r="A239" s="10">
        <v>100024862</v>
      </c>
      <c r="B239" s="10">
        <v>540838.18000000075</v>
      </c>
      <c r="C239" s="10">
        <v>628</v>
      </c>
      <c r="D239" s="10">
        <v>4398.3086000000021</v>
      </c>
    </row>
    <row r="240" spans="1:4" x14ac:dyDescent="0.35">
      <c r="A240" s="10">
        <v>100024881</v>
      </c>
      <c r="B240" s="10">
        <v>2374079.3200000008</v>
      </c>
      <c r="C240" s="10">
        <v>33769</v>
      </c>
      <c r="D240" s="10">
        <v>25947.322399999946</v>
      </c>
    </row>
    <row r="241" spans="1:4" x14ac:dyDescent="0.35">
      <c r="A241" s="10">
        <v>100024882</v>
      </c>
      <c r="B241" s="10">
        <v>57580.810000000034</v>
      </c>
      <c r="C241" s="10">
        <v>813</v>
      </c>
      <c r="D241" s="10">
        <v>510.48619999999994</v>
      </c>
    </row>
    <row r="242" spans="1:4" x14ac:dyDescent="0.35">
      <c r="A242" s="10">
        <v>100024883</v>
      </c>
      <c r="B242" s="10">
        <v>5706.44</v>
      </c>
      <c r="C242" s="10">
        <v>81</v>
      </c>
      <c r="D242" s="10">
        <v>21.014699999999998</v>
      </c>
    </row>
    <row r="243" spans="1:4" x14ac:dyDescent="0.35">
      <c r="A243" s="10">
        <v>100024884</v>
      </c>
      <c r="B243" s="10">
        <v>8044.29</v>
      </c>
      <c r="C243" s="10">
        <v>115</v>
      </c>
      <c r="D243" s="10">
        <v>37.8078</v>
      </c>
    </row>
    <row r="244" spans="1:4" x14ac:dyDescent="0.35">
      <c r="A244" s="10">
        <v>100024885</v>
      </c>
      <c r="B244" s="10">
        <v>6026.53</v>
      </c>
      <c r="C244" s="10">
        <v>87</v>
      </c>
      <c r="D244" s="10">
        <v>12.746400000000001</v>
      </c>
    </row>
    <row r="245" spans="1:4" x14ac:dyDescent="0.35">
      <c r="A245" s="10">
        <v>100024886</v>
      </c>
      <c r="B245" s="10">
        <v>5278.4400000000005</v>
      </c>
      <c r="C245" s="10">
        <v>74</v>
      </c>
      <c r="D245" s="10">
        <v>23.891599999999997</v>
      </c>
    </row>
    <row r="246" spans="1:4" x14ac:dyDescent="0.35">
      <c r="A246" s="10">
        <v>100024887</v>
      </c>
      <c r="B246" s="10">
        <v>2827.5800000000004</v>
      </c>
      <c r="C246" s="10">
        <v>41</v>
      </c>
      <c r="D246" s="10">
        <v>2.6785999999999999</v>
      </c>
    </row>
    <row r="247" spans="1:4" x14ac:dyDescent="0.35">
      <c r="A247" s="10">
        <v>100024888</v>
      </c>
      <c r="B247" s="10">
        <v>9995.5499999999993</v>
      </c>
      <c r="C247" s="10">
        <v>142</v>
      </c>
      <c r="D247" s="10">
        <v>33.396099999999997</v>
      </c>
    </row>
    <row r="248" spans="1:4" x14ac:dyDescent="0.35">
      <c r="A248" s="10">
        <v>100024932</v>
      </c>
      <c r="B248" s="10">
        <v>1999329.5199999758</v>
      </c>
      <c r="C248" s="10">
        <v>29204</v>
      </c>
      <c r="D248" s="10">
        <v>14031.147000000081</v>
      </c>
    </row>
    <row r="249" spans="1:4" x14ac:dyDescent="0.35">
      <c r="A249" s="10">
        <v>100024997</v>
      </c>
      <c r="B249" s="10">
        <v>1356483.5600000045</v>
      </c>
      <c r="C249" s="10">
        <v>23674</v>
      </c>
      <c r="D249" s="10">
        <v>4515.3167000000021</v>
      </c>
    </row>
    <row r="250" spans="1:4" x14ac:dyDescent="0.35">
      <c r="A250" s="10">
        <v>100024998</v>
      </c>
      <c r="B250" s="10">
        <v>1321357.1800000032</v>
      </c>
      <c r="C250" s="10">
        <v>23033</v>
      </c>
      <c r="D250" s="10">
        <v>7416.8106000000207</v>
      </c>
    </row>
    <row r="251" spans="1:4" x14ac:dyDescent="0.35">
      <c r="A251" s="10">
        <v>100024999</v>
      </c>
      <c r="B251" s="10">
        <v>1965833.6199999761</v>
      </c>
      <c r="C251" s="10">
        <v>28692</v>
      </c>
      <c r="D251" s="10">
        <v>27570.359599999854</v>
      </c>
    </row>
    <row r="252" spans="1:4" x14ac:dyDescent="0.35">
      <c r="A252" s="10">
        <v>100025053</v>
      </c>
      <c r="B252" s="10">
        <v>2066636.5799999968</v>
      </c>
      <c r="C252" s="10">
        <v>33116</v>
      </c>
      <c r="D252" s="10">
        <v>9032.7207000000071</v>
      </c>
    </row>
    <row r="253" spans="1:4" x14ac:dyDescent="0.35">
      <c r="A253" s="10">
        <v>100025152</v>
      </c>
      <c r="B253" s="10">
        <v>1699326.2799999982</v>
      </c>
      <c r="C253" s="10">
        <v>24229</v>
      </c>
      <c r="D253" s="10">
        <v>16842.22570000009</v>
      </c>
    </row>
    <row r="254" spans="1:4" x14ac:dyDescent="0.35">
      <c r="A254" s="10">
        <v>100025162</v>
      </c>
      <c r="B254" s="10">
        <v>312757.39999999898</v>
      </c>
      <c r="C254" s="10">
        <v>4610</v>
      </c>
      <c r="D254" s="10">
        <v>3796.6764000000039</v>
      </c>
    </row>
    <row r="255" spans="1:4" x14ac:dyDescent="0.35">
      <c r="A255" s="10">
        <v>100025282</v>
      </c>
      <c r="B255" s="10">
        <v>2059094.8800000057</v>
      </c>
      <c r="C255" s="10">
        <v>38306</v>
      </c>
      <c r="D255" s="10">
        <v>34123.247999999963</v>
      </c>
    </row>
    <row r="256" spans="1:4" x14ac:dyDescent="0.35">
      <c r="A256" s="10">
        <v>100025283</v>
      </c>
      <c r="B256" s="10">
        <v>17123.980000000003</v>
      </c>
      <c r="C256" s="10">
        <v>317</v>
      </c>
      <c r="D256" s="10">
        <v>77.641500000000008</v>
      </c>
    </row>
    <row r="257" spans="1:4" x14ac:dyDescent="0.35">
      <c r="A257" s="10">
        <v>100025284</v>
      </c>
      <c r="B257" s="10">
        <v>5897.9199999999983</v>
      </c>
      <c r="C257" s="10">
        <v>82</v>
      </c>
      <c r="D257" s="10">
        <v>24.813200000000002</v>
      </c>
    </row>
    <row r="258" spans="1:4" x14ac:dyDescent="0.35">
      <c r="A258" s="10">
        <v>100025292</v>
      </c>
      <c r="B258" s="10">
        <v>721740.4600000002</v>
      </c>
      <c r="C258" s="10">
        <v>9762</v>
      </c>
      <c r="D258" s="10">
        <v>10930.850299999984</v>
      </c>
    </row>
    <row r="259" spans="1:4" x14ac:dyDescent="0.35">
      <c r="A259" s="10">
        <v>100025296</v>
      </c>
      <c r="B259" s="10">
        <v>685431.98000000091</v>
      </c>
      <c r="C259" s="10">
        <v>9269</v>
      </c>
      <c r="D259" s="10">
        <v>11461.637399999956</v>
      </c>
    </row>
    <row r="260" spans="1:4" x14ac:dyDescent="0.35">
      <c r="A260" s="10">
        <v>100025297</v>
      </c>
      <c r="B260" s="10">
        <v>728683.89000000269</v>
      </c>
      <c r="C260" s="10">
        <v>9858</v>
      </c>
      <c r="D260" s="10">
        <v>12983.798699999956</v>
      </c>
    </row>
    <row r="261" spans="1:4" x14ac:dyDescent="0.35">
      <c r="A261" s="10">
        <v>100025298</v>
      </c>
      <c r="B261" s="10">
        <v>728935.09000000008</v>
      </c>
      <c r="C261" s="10">
        <v>9867</v>
      </c>
      <c r="D261" s="10">
        <v>12231.386499999953</v>
      </c>
    </row>
    <row r="262" spans="1:4" x14ac:dyDescent="0.35">
      <c r="A262" s="10">
        <v>100025304</v>
      </c>
      <c r="B262" s="10">
        <v>1421800.0700000077</v>
      </c>
      <c r="C262" s="10">
        <v>24821</v>
      </c>
      <c r="D262" s="10">
        <v>3412.9471999999932</v>
      </c>
    </row>
    <row r="263" spans="1:4" x14ac:dyDescent="0.35">
      <c r="A263" s="10">
        <v>100025310</v>
      </c>
      <c r="B263" s="10">
        <v>1894906.8299999756</v>
      </c>
      <c r="C263" s="10">
        <v>27832</v>
      </c>
      <c r="D263" s="10">
        <v>46444.243899999979</v>
      </c>
    </row>
    <row r="264" spans="1:4" x14ac:dyDescent="0.35">
      <c r="A264" s="10">
        <v>100025311</v>
      </c>
      <c r="B264" s="10">
        <v>1921813.0099999791</v>
      </c>
      <c r="C264" s="10">
        <v>28192</v>
      </c>
      <c r="D264" s="10">
        <v>28961.072899999843</v>
      </c>
    </row>
    <row r="265" spans="1:4" x14ac:dyDescent="0.35">
      <c r="A265" s="10">
        <v>100025332</v>
      </c>
      <c r="B265" s="10">
        <v>2031294.3599999778</v>
      </c>
      <c r="C265" s="10">
        <v>29621</v>
      </c>
      <c r="D265" s="10">
        <v>19732.556099999983</v>
      </c>
    </row>
    <row r="266" spans="1:4" x14ac:dyDescent="0.35">
      <c r="A266" s="10">
        <v>100025442</v>
      </c>
      <c r="B266" s="10">
        <v>4380.5999999999995</v>
      </c>
      <c r="C266" s="10">
        <v>61</v>
      </c>
      <c r="D266" s="10">
        <v>120.9632</v>
      </c>
    </row>
    <row r="267" spans="1:4" x14ac:dyDescent="0.35">
      <c r="A267" s="10">
        <v>100025443</v>
      </c>
      <c r="B267" s="10">
        <v>4385.7700000000004</v>
      </c>
      <c r="C267" s="10">
        <v>62</v>
      </c>
      <c r="D267" s="10">
        <v>17.3032</v>
      </c>
    </row>
    <row r="268" spans="1:4" x14ac:dyDescent="0.35">
      <c r="A268" s="10">
        <v>100025444</v>
      </c>
      <c r="B268" s="10">
        <v>14434.56</v>
      </c>
      <c r="C268" s="10">
        <v>206</v>
      </c>
      <c r="D268" s="10">
        <v>70.005800000000008</v>
      </c>
    </row>
    <row r="269" spans="1:4" x14ac:dyDescent="0.35">
      <c r="A269" s="10">
        <v>100025445</v>
      </c>
      <c r="B269" s="10">
        <v>72600.84</v>
      </c>
      <c r="C269" s="10">
        <v>997</v>
      </c>
      <c r="D269" s="10">
        <v>301.28979999999996</v>
      </c>
    </row>
    <row r="270" spans="1:4" x14ac:dyDescent="0.35">
      <c r="A270" s="10">
        <v>100025446</v>
      </c>
      <c r="B270" s="10">
        <v>42716.160000000003</v>
      </c>
      <c r="C270" s="10">
        <v>583</v>
      </c>
      <c r="D270" s="10">
        <v>183.36059999999998</v>
      </c>
    </row>
    <row r="271" spans="1:4" x14ac:dyDescent="0.35">
      <c r="A271" s="10">
        <v>100025448</v>
      </c>
      <c r="B271" s="10">
        <v>1558.7800000000002</v>
      </c>
      <c r="C271" s="10">
        <v>29</v>
      </c>
      <c r="D271" s="10">
        <v>2.0629</v>
      </c>
    </row>
    <row r="272" spans="1:4" x14ac:dyDescent="0.35">
      <c r="A272" s="10">
        <v>100025449</v>
      </c>
      <c r="B272" s="10">
        <v>120548.74000000009</v>
      </c>
      <c r="C272" s="10">
        <v>1726</v>
      </c>
      <c r="D272" s="10">
        <v>569.89719999999977</v>
      </c>
    </row>
    <row r="273" spans="1:4" x14ac:dyDescent="0.35">
      <c r="A273" s="10">
        <v>100025450</v>
      </c>
      <c r="B273" s="10">
        <v>264425.63999999955</v>
      </c>
      <c r="C273" s="10">
        <v>3788</v>
      </c>
      <c r="D273" s="10">
        <v>536.49109999999882</v>
      </c>
    </row>
    <row r="274" spans="1:4" x14ac:dyDescent="0.35">
      <c r="A274" s="10">
        <v>100025451</v>
      </c>
      <c r="B274" s="10">
        <v>189093.57999999993</v>
      </c>
      <c r="C274" s="10">
        <v>2700</v>
      </c>
      <c r="D274" s="10">
        <v>791.31140000000062</v>
      </c>
    </row>
    <row r="275" spans="1:4" x14ac:dyDescent="0.35">
      <c r="A275" s="10">
        <v>100025452</v>
      </c>
      <c r="B275" s="10">
        <v>206041.56999999975</v>
      </c>
      <c r="C275" s="10">
        <v>2945</v>
      </c>
      <c r="D275" s="10">
        <v>992.37060000000122</v>
      </c>
    </row>
    <row r="276" spans="1:4" x14ac:dyDescent="0.35">
      <c r="A276" s="10">
        <v>100025670</v>
      </c>
      <c r="B276" s="10">
        <v>703486.14999999967</v>
      </c>
      <c r="C276" s="10">
        <v>20463</v>
      </c>
      <c r="D276" s="10">
        <v>12711.904900000001</v>
      </c>
    </row>
    <row r="277" spans="1:4" x14ac:dyDescent="0.35">
      <c r="A277" s="10">
        <v>100025672</v>
      </c>
      <c r="B277" s="10">
        <v>756625.53999999957</v>
      </c>
      <c r="C277" s="10">
        <v>21979</v>
      </c>
      <c r="D277" s="10">
        <v>14883.204100000001</v>
      </c>
    </row>
    <row r="278" spans="1:4" x14ac:dyDescent="0.35">
      <c r="A278" s="10">
        <v>100025673</v>
      </c>
      <c r="B278" s="10">
        <v>863479.23000000266</v>
      </c>
      <c r="C278" s="10">
        <v>18156</v>
      </c>
      <c r="D278" s="10">
        <v>10862.322100000039</v>
      </c>
    </row>
    <row r="279" spans="1:4" x14ac:dyDescent="0.35">
      <c r="A279" s="10">
        <v>100025675</v>
      </c>
      <c r="B279" s="10">
        <v>806074.44000000146</v>
      </c>
      <c r="C279" s="10">
        <v>16896</v>
      </c>
      <c r="D279" s="10">
        <v>8312.6244000000133</v>
      </c>
    </row>
    <row r="280" spans="1:4" x14ac:dyDescent="0.35">
      <c r="A280" s="10">
        <v>100025677</v>
      </c>
      <c r="B280" s="10">
        <v>740204.41999999853</v>
      </c>
      <c r="C280" s="10">
        <v>13761</v>
      </c>
      <c r="D280" s="10">
        <v>8962.5181999999859</v>
      </c>
    </row>
    <row r="281" spans="1:4" x14ac:dyDescent="0.35">
      <c r="A281" s="10">
        <v>100025842</v>
      </c>
      <c r="B281" s="10">
        <v>51553.100000000028</v>
      </c>
      <c r="C281" s="10">
        <v>729</v>
      </c>
      <c r="D281" s="10">
        <v>2617.467900000001</v>
      </c>
    </row>
    <row r="282" spans="1:4" x14ac:dyDescent="0.35">
      <c r="A282" s="10">
        <v>100025843</v>
      </c>
      <c r="B282" s="10">
        <v>48168.700000000055</v>
      </c>
      <c r="C282" s="10">
        <v>690</v>
      </c>
      <c r="D282" s="10">
        <v>1784.1647999999991</v>
      </c>
    </row>
    <row r="283" spans="1:4" x14ac:dyDescent="0.35">
      <c r="A283" s="10">
        <v>100025844</v>
      </c>
      <c r="B283" s="10">
        <v>33491.750000000022</v>
      </c>
      <c r="C283" s="10">
        <v>480</v>
      </c>
      <c r="D283" s="10">
        <v>1268.6559000000004</v>
      </c>
    </row>
    <row r="284" spans="1:4" x14ac:dyDescent="0.35">
      <c r="A284" s="10">
        <v>100025845</v>
      </c>
      <c r="B284" s="10">
        <v>103009.02</v>
      </c>
      <c r="C284" s="10">
        <v>1476</v>
      </c>
      <c r="D284" s="10">
        <v>2172.5061000000001</v>
      </c>
    </row>
    <row r="285" spans="1:4" x14ac:dyDescent="0.35">
      <c r="A285" s="10">
        <v>100025846</v>
      </c>
      <c r="B285" s="10">
        <v>151568.38999999981</v>
      </c>
      <c r="C285" s="10">
        <v>2165</v>
      </c>
      <c r="D285" s="10">
        <v>2717.3054999999981</v>
      </c>
    </row>
    <row r="286" spans="1:4" x14ac:dyDescent="0.35">
      <c r="A286" s="10">
        <v>100025847</v>
      </c>
      <c r="B286" s="10">
        <v>34406.150000000023</v>
      </c>
      <c r="C286" s="10">
        <v>484</v>
      </c>
      <c r="D286" s="10">
        <v>673.87470000000042</v>
      </c>
    </row>
    <row r="287" spans="1:4" x14ac:dyDescent="0.35">
      <c r="A287" s="10">
        <v>100025848</v>
      </c>
      <c r="B287" s="10">
        <v>62651.380000000063</v>
      </c>
      <c r="C287" s="10">
        <v>894</v>
      </c>
      <c r="D287" s="10">
        <v>1510.9518000000005</v>
      </c>
    </row>
    <row r="288" spans="1:4" x14ac:dyDescent="0.35">
      <c r="A288" s="10">
        <v>100025850</v>
      </c>
      <c r="B288" s="10">
        <v>4090985.7999999891</v>
      </c>
      <c r="C288" s="10">
        <v>58431</v>
      </c>
      <c r="D288" s="10">
        <v>76667.14179999975</v>
      </c>
    </row>
    <row r="289" spans="1:4" x14ac:dyDescent="0.35">
      <c r="A289" s="10">
        <v>100025893</v>
      </c>
      <c r="B289" s="10">
        <v>467210.40999999846</v>
      </c>
      <c r="C289" s="10">
        <v>8288</v>
      </c>
      <c r="D289" s="10">
        <v>1978.7069999999944</v>
      </c>
    </row>
    <row r="290" spans="1:4" x14ac:dyDescent="0.35">
      <c r="A290" s="10">
        <v>100025894</v>
      </c>
      <c r="B290" s="10">
        <v>438890.40000000107</v>
      </c>
      <c r="C290" s="10">
        <v>7782</v>
      </c>
      <c r="D290" s="10">
        <v>3064.8559999999989</v>
      </c>
    </row>
    <row r="291" spans="1:4" x14ac:dyDescent="0.35">
      <c r="A291" s="10">
        <v>100025895</v>
      </c>
      <c r="B291" s="10">
        <v>440371.03000000282</v>
      </c>
      <c r="C291" s="10">
        <v>7803</v>
      </c>
      <c r="D291" s="10">
        <v>2233.6688999999956</v>
      </c>
    </row>
    <row r="292" spans="1:4" x14ac:dyDescent="0.35">
      <c r="A292" s="10">
        <v>100026062</v>
      </c>
      <c r="B292" s="10">
        <v>1449686.610000002</v>
      </c>
      <c r="C292" s="10">
        <v>25575</v>
      </c>
      <c r="D292" s="10">
        <v>2443.0305999999964</v>
      </c>
    </row>
    <row r="293" spans="1:4" x14ac:dyDescent="0.35">
      <c r="A293" s="10">
        <v>100026064</v>
      </c>
      <c r="B293" s="10">
        <v>1458975.8000000056</v>
      </c>
      <c r="C293" s="10">
        <v>25745</v>
      </c>
      <c r="D293" s="10">
        <v>2591.4917999999948</v>
      </c>
    </row>
    <row r="294" spans="1:4" x14ac:dyDescent="0.35">
      <c r="A294" s="10">
        <v>100026065</v>
      </c>
      <c r="B294" s="10">
        <v>1461240.2900000038</v>
      </c>
      <c r="C294" s="10">
        <v>25822</v>
      </c>
      <c r="D294" s="10">
        <v>4194.5548000000035</v>
      </c>
    </row>
    <row r="295" spans="1:4" x14ac:dyDescent="0.35">
      <c r="A295" s="10">
        <v>100026067</v>
      </c>
      <c r="B295" s="10">
        <v>1424763.9100000018</v>
      </c>
      <c r="C295" s="10">
        <v>25196</v>
      </c>
      <c r="D295" s="10">
        <v>6321.2753000000221</v>
      </c>
    </row>
    <row r="296" spans="1:4" x14ac:dyDescent="0.35">
      <c r="A296" s="10">
        <v>100026068</v>
      </c>
      <c r="B296" s="10">
        <v>381563.27999999886</v>
      </c>
      <c r="C296" s="10">
        <v>6180</v>
      </c>
      <c r="D296" s="10">
        <v>1416.7562999999941</v>
      </c>
    </row>
    <row r="297" spans="1:4" x14ac:dyDescent="0.35">
      <c r="A297" s="10">
        <v>100026069</v>
      </c>
      <c r="B297" s="10">
        <v>115222.39000000025</v>
      </c>
      <c r="C297" s="10">
        <v>1556</v>
      </c>
      <c r="D297" s="10">
        <v>1680.4335999999973</v>
      </c>
    </row>
    <row r="298" spans="1:4" x14ac:dyDescent="0.35">
      <c r="A298" s="10">
        <v>100026070</v>
      </c>
      <c r="B298" s="10">
        <v>57750.609999999819</v>
      </c>
      <c r="C298" s="10">
        <v>1023</v>
      </c>
      <c r="D298" s="10">
        <v>476.8784000000004</v>
      </c>
    </row>
    <row r="299" spans="1:4" x14ac:dyDescent="0.35">
      <c r="A299" s="10">
        <v>100026071</v>
      </c>
      <c r="B299" s="10">
        <v>75544.619999999952</v>
      </c>
      <c r="C299" s="10">
        <v>1339</v>
      </c>
      <c r="D299" s="10">
        <v>519.56690000000049</v>
      </c>
    </row>
    <row r="300" spans="1:4" x14ac:dyDescent="0.35">
      <c r="A300" s="10">
        <v>100026072</v>
      </c>
      <c r="B300" s="10">
        <v>57063.519999999808</v>
      </c>
      <c r="C300" s="10">
        <v>1010</v>
      </c>
      <c r="D300" s="10">
        <v>468.65020000000032</v>
      </c>
    </row>
    <row r="301" spans="1:4" x14ac:dyDescent="0.35">
      <c r="A301" s="10">
        <v>100026074</v>
      </c>
      <c r="B301" s="10">
        <v>62031.959999999781</v>
      </c>
      <c r="C301" s="10">
        <v>1098</v>
      </c>
      <c r="D301" s="10">
        <v>509.7100000000006</v>
      </c>
    </row>
    <row r="302" spans="1:4" x14ac:dyDescent="0.35">
      <c r="A302" s="10">
        <v>100026143</v>
      </c>
      <c r="B302" s="10">
        <v>2611503.9100000127</v>
      </c>
      <c r="C302" s="10">
        <v>38381</v>
      </c>
      <c r="D302" s="10">
        <v>23051.100699999894</v>
      </c>
    </row>
    <row r="303" spans="1:4" x14ac:dyDescent="0.35">
      <c r="A303" s="10">
        <v>100026304</v>
      </c>
      <c r="B303" s="10">
        <v>168.1</v>
      </c>
      <c r="C303" s="10">
        <v>3</v>
      </c>
      <c r="D303" s="10">
        <v>0</v>
      </c>
    </row>
    <row r="304" spans="1:4" x14ac:dyDescent="0.35">
      <c r="A304" s="10">
        <v>100026382</v>
      </c>
      <c r="B304" s="10">
        <v>16500</v>
      </c>
      <c r="C304" s="10">
        <v>330</v>
      </c>
      <c r="D304" s="10">
        <v>0</v>
      </c>
    </row>
    <row r="305" spans="1:4" x14ac:dyDescent="0.35">
      <c r="A305" s="10">
        <v>100026383</v>
      </c>
      <c r="B305" s="10">
        <v>2666809.1300000162</v>
      </c>
      <c r="C305" s="10">
        <v>39212</v>
      </c>
      <c r="D305" s="10">
        <v>3254.427900000011</v>
      </c>
    </row>
    <row r="306" spans="1:4" x14ac:dyDescent="0.35">
      <c r="A306" s="10">
        <v>100026385</v>
      </c>
      <c r="B306" s="10">
        <v>370253.82999999973</v>
      </c>
      <c r="C306" s="10">
        <v>7325</v>
      </c>
      <c r="D306" s="10">
        <v>617.91350000000045</v>
      </c>
    </row>
    <row r="307" spans="1:4" x14ac:dyDescent="0.35">
      <c r="A307" s="10">
        <v>100026386</v>
      </c>
      <c r="B307" s="10">
        <v>372694.47999999969</v>
      </c>
      <c r="C307" s="10">
        <v>7351</v>
      </c>
      <c r="D307" s="10">
        <v>2341.7239999999961</v>
      </c>
    </row>
    <row r="308" spans="1:4" x14ac:dyDescent="0.35">
      <c r="A308" s="10">
        <v>100026387</v>
      </c>
      <c r="B308" s="10">
        <v>351211.22999999986</v>
      </c>
      <c r="C308" s="10">
        <v>6944</v>
      </c>
      <c r="D308" s="10">
        <v>620.33520000000033</v>
      </c>
    </row>
    <row r="309" spans="1:4" x14ac:dyDescent="0.35">
      <c r="A309" s="10">
        <v>100026388</v>
      </c>
      <c r="B309" s="10">
        <v>386411.24999999959</v>
      </c>
      <c r="C309" s="10">
        <v>7654</v>
      </c>
      <c r="D309" s="10">
        <v>978.38440000000185</v>
      </c>
    </row>
    <row r="310" spans="1:4" x14ac:dyDescent="0.35">
      <c r="A310" s="10">
        <v>100080027</v>
      </c>
      <c r="B310" s="10">
        <v>17762057.659999982</v>
      </c>
      <c r="C310" s="10">
        <v>233144</v>
      </c>
      <c r="D310" s="10">
        <v>1247943.8771999986</v>
      </c>
    </row>
    <row r="311" spans="1:4" x14ac:dyDescent="0.35">
      <c r="A311" s="10">
        <v>100080028</v>
      </c>
      <c r="B311" s="10">
        <v>4322954.6400000062</v>
      </c>
      <c r="C311" s="10">
        <v>56654</v>
      </c>
      <c r="D311" s="10">
        <v>115411.04519999996</v>
      </c>
    </row>
    <row r="312" spans="1:4" x14ac:dyDescent="0.35">
      <c r="A312" s="10">
        <v>100080029</v>
      </c>
      <c r="B312" s="10">
        <v>1166.9899999999998</v>
      </c>
      <c r="C312" s="10">
        <v>60</v>
      </c>
      <c r="D312" s="10">
        <v>0</v>
      </c>
    </row>
    <row r="313" spans="1:4" x14ac:dyDescent="0.35">
      <c r="A313" s="10">
        <v>100080031</v>
      </c>
      <c r="B313" s="10">
        <v>108.62</v>
      </c>
      <c r="C313" s="10">
        <v>2</v>
      </c>
      <c r="D313" s="10">
        <v>0</v>
      </c>
    </row>
    <row r="314" spans="1:4" x14ac:dyDescent="0.35">
      <c r="A314" s="10">
        <v>100080034</v>
      </c>
      <c r="B314" s="10">
        <v>1997523.5099999995</v>
      </c>
      <c r="C314" s="10">
        <v>32482</v>
      </c>
      <c r="D314" s="10">
        <v>16444.635100000069</v>
      </c>
    </row>
    <row r="315" spans="1:4" x14ac:dyDescent="0.35">
      <c r="A315" s="10">
        <v>100080184</v>
      </c>
      <c r="B315" s="10">
        <v>689.65000000000009</v>
      </c>
      <c r="C315" s="10">
        <v>16</v>
      </c>
      <c r="D315" s="10">
        <v>0</v>
      </c>
    </row>
    <row r="316" spans="1:4" x14ac:dyDescent="0.35">
      <c r="A316" s="10">
        <v>100080257</v>
      </c>
      <c r="B316" s="10">
        <v>4474488.4400000069</v>
      </c>
      <c r="C316" s="10">
        <v>78208</v>
      </c>
      <c r="D316" s="10">
        <v>220959.72610000009</v>
      </c>
    </row>
    <row r="317" spans="1:4" x14ac:dyDescent="0.35">
      <c r="A317" s="10">
        <v>100080351</v>
      </c>
      <c r="B317" s="10">
        <v>605704.56999999983</v>
      </c>
      <c r="C317" s="10">
        <v>8891</v>
      </c>
      <c r="D317" s="10">
        <v>4240.6128000000181</v>
      </c>
    </row>
    <row r="318" spans="1:4" x14ac:dyDescent="0.35">
      <c r="A318" s="10">
        <v>100080372</v>
      </c>
      <c r="B318" s="10">
        <v>1120376.1399999994</v>
      </c>
      <c r="C318" s="10">
        <v>11533</v>
      </c>
      <c r="D318" s="10">
        <v>6133.7050000000218</v>
      </c>
    </row>
    <row r="319" spans="1:4" x14ac:dyDescent="0.35">
      <c r="A319" s="10">
        <v>100080381</v>
      </c>
      <c r="B319" s="10">
        <v>6379.329999999999</v>
      </c>
      <c r="C319" s="10">
        <v>135</v>
      </c>
      <c r="D319" s="10">
        <v>15.240000000000002</v>
      </c>
    </row>
    <row r="320" spans="1:4" x14ac:dyDescent="0.35">
      <c r="A320" s="10">
        <v>100080382</v>
      </c>
      <c r="B320" s="10">
        <v>-51.72</v>
      </c>
      <c r="C320" s="10">
        <v>-3</v>
      </c>
      <c r="D320" s="10">
        <v>1.2314000000000001</v>
      </c>
    </row>
    <row r="321" spans="1:4" x14ac:dyDescent="0.35">
      <c r="A321" s="10">
        <v>100080420</v>
      </c>
      <c r="B321" s="10">
        <v>54.31</v>
      </c>
      <c r="C321" s="10">
        <v>1</v>
      </c>
      <c r="D321" s="10">
        <v>0</v>
      </c>
    </row>
    <row r="322" spans="1:4" x14ac:dyDescent="0.35">
      <c r="A322" s="10">
        <v>100080440</v>
      </c>
      <c r="B322" s="10">
        <v>4051397.8500000108</v>
      </c>
      <c r="C322" s="10">
        <v>51306</v>
      </c>
      <c r="D322" s="10">
        <v>138209.26010000025</v>
      </c>
    </row>
    <row r="323" spans="1:4" x14ac:dyDescent="0.35">
      <c r="A323" s="10">
        <v>100080644</v>
      </c>
      <c r="B323" s="10">
        <v>3360856.029999997</v>
      </c>
      <c r="C323" s="10">
        <v>47752</v>
      </c>
      <c r="D323" s="10">
        <v>55047.480399999731</v>
      </c>
    </row>
    <row r="324" spans="1:4" x14ac:dyDescent="0.35">
      <c r="A324" s="10">
        <v>100080687</v>
      </c>
      <c r="B324" s="10">
        <v>10472583.269999998</v>
      </c>
      <c r="C324" s="10">
        <v>136596</v>
      </c>
      <c r="D324" s="10">
        <v>607327.16449999926</v>
      </c>
    </row>
    <row r="325" spans="1:4" x14ac:dyDescent="0.35">
      <c r="A325" s="10">
        <v>100080695</v>
      </c>
      <c r="B325" s="10">
        <v>127.59</v>
      </c>
      <c r="C325" s="10">
        <v>4</v>
      </c>
      <c r="D325" s="10">
        <v>0</v>
      </c>
    </row>
    <row r="326" spans="1:4" x14ac:dyDescent="0.35">
      <c r="A326" s="10">
        <v>100080762</v>
      </c>
      <c r="B326" s="10">
        <v>758.19999999999993</v>
      </c>
      <c r="C326" s="10">
        <v>20</v>
      </c>
      <c r="D326" s="10">
        <v>0</v>
      </c>
    </row>
    <row r="327" spans="1:4" x14ac:dyDescent="0.35">
      <c r="A327" s="10">
        <v>100080763</v>
      </c>
      <c r="B327" s="10">
        <v>849309.47999999928</v>
      </c>
      <c r="C327" s="10">
        <v>10160</v>
      </c>
      <c r="D327" s="10">
        <v>6653.1745999999921</v>
      </c>
    </row>
    <row r="328" spans="1:4" x14ac:dyDescent="0.35">
      <c r="A328" s="10">
        <v>100080769</v>
      </c>
      <c r="B328" s="10">
        <v>40.520000000000003</v>
      </c>
      <c r="C328" s="10">
        <v>1</v>
      </c>
      <c r="D328" s="10">
        <v>0</v>
      </c>
    </row>
    <row r="329" spans="1:4" x14ac:dyDescent="0.35">
      <c r="A329" s="10">
        <v>100080797</v>
      </c>
      <c r="B329" s="10">
        <v>422.41</v>
      </c>
      <c r="C329" s="10">
        <v>10</v>
      </c>
      <c r="D329" s="10">
        <v>0</v>
      </c>
    </row>
    <row r="330" spans="1:4" x14ac:dyDescent="0.35">
      <c r="A330" s="10">
        <v>100080802</v>
      </c>
      <c r="B330" s="10">
        <v>2710558.620000001</v>
      </c>
      <c r="C330" s="10">
        <v>38433</v>
      </c>
      <c r="D330" s="10">
        <v>26255.377799999875</v>
      </c>
    </row>
    <row r="331" spans="1:4" x14ac:dyDescent="0.35">
      <c r="A331" s="10">
        <v>100080820</v>
      </c>
      <c r="B331" s="10">
        <v>3892861.6500000041</v>
      </c>
      <c r="C331" s="10">
        <v>50935</v>
      </c>
      <c r="D331" s="10">
        <v>136793.69400000034</v>
      </c>
    </row>
    <row r="332" spans="1:4" x14ac:dyDescent="0.35">
      <c r="A332" s="10">
        <v>100080829</v>
      </c>
      <c r="B332" s="10">
        <v>1064.81</v>
      </c>
      <c r="C332" s="10">
        <v>23</v>
      </c>
      <c r="D332" s="10">
        <v>0</v>
      </c>
    </row>
    <row r="333" spans="1:4" x14ac:dyDescent="0.35">
      <c r="A333" s="10">
        <v>100080834</v>
      </c>
      <c r="B333" s="10">
        <v>47.41</v>
      </c>
      <c r="C333" s="10">
        <v>1</v>
      </c>
      <c r="D333" s="10">
        <v>0</v>
      </c>
    </row>
    <row r="334" spans="1:4" x14ac:dyDescent="0.35">
      <c r="A334" s="10">
        <v>100080850</v>
      </c>
      <c r="B334" s="10">
        <v>8591890.0699999947</v>
      </c>
      <c r="C334" s="10">
        <v>111685</v>
      </c>
      <c r="D334" s="10">
        <v>420832.41559999948</v>
      </c>
    </row>
    <row r="335" spans="1:4" x14ac:dyDescent="0.35">
      <c r="A335" s="10">
        <v>100080861</v>
      </c>
      <c r="B335" s="10">
        <v>40.520000000000003</v>
      </c>
      <c r="C335" s="10">
        <v>1</v>
      </c>
      <c r="D335" s="10">
        <v>0</v>
      </c>
    </row>
    <row r="336" spans="1:4" x14ac:dyDescent="0.35">
      <c r="A336" s="10">
        <v>100080862</v>
      </c>
      <c r="B336" s="10">
        <v>1939.12</v>
      </c>
      <c r="C336" s="10">
        <v>40</v>
      </c>
      <c r="D336" s="10">
        <v>0</v>
      </c>
    </row>
    <row r="337" spans="1:4" x14ac:dyDescent="0.35">
      <c r="A337" s="10">
        <v>100080865</v>
      </c>
      <c r="B337" s="10">
        <v>431.03</v>
      </c>
      <c r="C337" s="10">
        <v>10</v>
      </c>
      <c r="D337" s="10">
        <v>0</v>
      </c>
    </row>
    <row r="338" spans="1:4" x14ac:dyDescent="0.35">
      <c r="A338" s="10">
        <v>100080878</v>
      </c>
      <c r="B338" s="10">
        <v>54862.430000000008</v>
      </c>
      <c r="C338" s="10">
        <v>1013</v>
      </c>
      <c r="D338" s="10">
        <v>0</v>
      </c>
    </row>
    <row r="339" spans="1:4" x14ac:dyDescent="0.35">
      <c r="A339" s="10">
        <v>100080891</v>
      </c>
      <c r="B339" s="10">
        <v>36.21</v>
      </c>
      <c r="C339" s="10">
        <v>1</v>
      </c>
      <c r="D339" s="10">
        <v>0</v>
      </c>
    </row>
    <row r="340" spans="1:4" x14ac:dyDescent="0.35">
      <c r="A340" s="10">
        <v>100080892</v>
      </c>
      <c r="B340" s="10">
        <v>90207.029999999955</v>
      </c>
      <c r="C340" s="10">
        <v>1657</v>
      </c>
      <c r="D340" s="10">
        <v>2.0171000000000001</v>
      </c>
    </row>
    <row r="341" spans="1:4" x14ac:dyDescent="0.35">
      <c r="A341" s="10">
        <v>100080895</v>
      </c>
      <c r="B341" s="10">
        <v>265</v>
      </c>
      <c r="C341" s="10">
        <v>6</v>
      </c>
      <c r="D341" s="10">
        <v>0</v>
      </c>
    </row>
    <row r="342" spans="1:4" x14ac:dyDescent="0.35">
      <c r="A342" s="10">
        <v>100080896</v>
      </c>
      <c r="B342" s="10">
        <v>150923.90000000008</v>
      </c>
      <c r="C342" s="10">
        <v>3153</v>
      </c>
      <c r="D342" s="10">
        <v>271.72369999999967</v>
      </c>
    </row>
    <row r="343" spans="1:4" x14ac:dyDescent="0.35">
      <c r="A343" s="10">
        <v>100080897</v>
      </c>
      <c r="B343" s="10">
        <v>261031.08000000042</v>
      </c>
      <c r="C343" s="10">
        <v>4496</v>
      </c>
      <c r="D343" s="10">
        <v>1129.4644000000001</v>
      </c>
    </row>
    <row r="344" spans="1:4" x14ac:dyDescent="0.35">
      <c r="A344" s="10">
        <v>100080898</v>
      </c>
      <c r="B344" s="10">
        <v>1875633.739999996</v>
      </c>
      <c r="C344" s="10">
        <v>30132</v>
      </c>
      <c r="D344" s="10">
        <v>40039.466800000111</v>
      </c>
    </row>
    <row r="345" spans="1:4" x14ac:dyDescent="0.35">
      <c r="A345" s="10">
        <v>100080899</v>
      </c>
      <c r="B345" s="10">
        <v>1047.6100000000001</v>
      </c>
      <c r="C345" s="10">
        <v>27</v>
      </c>
      <c r="D345" s="10">
        <v>0</v>
      </c>
    </row>
    <row r="346" spans="1:4" x14ac:dyDescent="0.35">
      <c r="A346" s="10">
        <v>100080903</v>
      </c>
      <c r="B346" s="10">
        <v>3501955.8800000031</v>
      </c>
      <c r="C346" s="10">
        <v>61026</v>
      </c>
      <c r="D346" s="10">
        <v>95167.480499999787</v>
      </c>
    </row>
    <row r="347" spans="1:4" x14ac:dyDescent="0.35">
      <c r="A347" s="10">
        <v>100080904</v>
      </c>
      <c r="B347" s="10">
        <v>2192954.5999999973</v>
      </c>
      <c r="C347" s="10">
        <v>38251</v>
      </c>
      <c r="D347" s="10">
        <v>35992.992199999848</v>
      </c>
    </row>
    <row r="348" spans="1:4" x14ac:dyDescent="0.35">
      <c r="A348" s="10">
        <v>100080917</v>
      </c>
      <c r="B348" s="10">
        <v>138.88999999999999</v>
      </c>
      <c r="C348" s="10">
        <v>3</v>
      </c>
      <c r="D348" s="10">
        <v>0</v>
      </c>
    </row>
    <row r="349" spans="1:4" x14ac:dyDescent="0.35">
      <c r="A349" s="10">
        <v>100080928</v>
      </c>
      <c r="B349" s="10">
        <v>4419859.7800000012</v>
      </c>
      <c r="C349" s="10">
        <v>55974</v>
      </c>
      <c r="D349" s="10">
        <v>245946.26689999978</v>
      </c>
    </row>
    <row r="350" spans="1:4" x14ac:dyDescent="0.35">
      <c r="A350" s="10">
        <v>100080937</v>
      </c>
      <c r="B350" s="10">
        <v>453.7</v>
      </c>
      <c r="C350" s="10">
        <v>10</v>
      </c>
      <c r="D350" s="10">
        <v>0</v>
      </c>
    </row>
    <row r="351" spans="1:4" x14ac:dyDescent="0.35">
      <c r="A351" s="10">
        <v>100080938</v>
      </c>
      <c r="B351" s="10">
        <v>47505.08</v>
      </c>
      <c r="C351" s="10">
        <v>448</v>
      </c>
      <c r="D351" s="10">
        <v>118.0741</v>
      </c>
    </row>
    <row r="352" spans="1:4" x14ac:dyDescent="0.35">
      <c r="A352" s="10">
        <v>100080939</v>
      </c>
      <c r="B352" s="10">
        <v>44606.020000000011</v>
      </c>
      <c r="C352" s="10">
        <v>421</v>
      </c>
      <c r="D352" s="10">
        <v>138.14739999999998</v>
      </c>
    </row>
    <row r="353" spans="1:4" x14ac:dyDescent="0.35">
      <c r="A353" s="10">
        <v>100080940</v>
      </c>
      <c r="B353" s="10">
        <v>38751.71</v>
      </c>
      <c r="C353" s="10">
        <v>365</v>
      </c>
      <c r="D353" s="10">
        <v>202.15690000000001</v>
      </c>
    </row>
    <row r="354" spans="1:4" x14ac:dyDescent="0.35">
      <c r="A354" s="10">
        <v>100080941</v>
      </c>
      <c r="B354" s="10">
        <v>36581.810000000012</v>
      </c>
      <c r="C354" s="10">
        <v>345</v>
      </c>
      <c r="D354" s="10">
        <v>199.44759999999999</v>
      </c>
    </row>
    <row r="355" spans="1:4" x14ac:dyDescent="0.35">
      <c r="A355" s="10">
        <v>100080942</v>
      </c>
      <c r="B355" s="10">
        <v>52549.1</v>
      </c>
      <c r="C355" s="10">
        <v>495</v>
      </c>
      <c r="D355" s="10">
        <v>121.36759999999998</v>
      </c>
    </row>
    <row r="356" spans="1:4" x14ac:dyDescent="0.35">
      <c r="A356" s="10">
        <v>100080943</v>
      </c>
      <c r="B356" s="10">
        <v>50581.830000000016</v>
      </c>
      <c r="C356" s="10">
        <v>478</v>
      </c>
      <c r="D356" s="10">
        <v>111.36199999999999</v>
      </c>
    </row>
    <row r="357" spans="1:4" x14ac:dyDescent="0.35">
      <c r="A357" s="10">
        <v>100080944</v>
      </c>
      <c r="B357" s="10">
        <v>61944.769999999982</v>
      </c>
      <c r="C357" s="10">
        <v>406</v>
      </c>
      <c r="D357" s="10">
        <v>261.63890000000004</v>
      </c>
    </row>
    <row r="358" spans="1:4" x14ac:dyDescent="0.35">
      <c r="A358" s="10">
        <v>100080945</v>
      </c>
      <c r="B358" s="10">
        <v>60854.280000000006</v>
      </c>
      <c r="C358" s="10">
        <v>400</v>
      </c>
      <c r="D358" s="10">
        <v>246.05939999999995</v>
      </c>
    </row>
    <row r="359" spans="1:4" x14ac:dyDescent="0.35">
      <c r="A359" s="10">
        <v>100080946</v>
      </c>
      <c r="B359" s="10">
        <v>62558.589999999975</v>
      </c>
      <c r="C359" s="10">
        <v>410</v>
      </c>
      <c r="D359" s="10">
        <v>267.33549999999997</v>
      </c>
    </row>
    <row r="360" spans="1:4" x14ac:dyDescent="0.35">
      <c r="A360" s="10">
        <v>100080947</v>
      </c>
      <c r="B360" s="10">
        <v>44217.269999999975</v>
      </c>
      <c r="C360" s="10">
        <v>462</v>
      </c>
      <c r="D360" s="10">
        <v>238.85219999999995</v>
      </c>
    </row>
    <row r="361" spans="1:4" x14ac:dyDescent="0.35">
      <c r="A361" s="10">
        <v>100080948</v>
      </c>
      <c r="B361" s="10">
        <v>44439.569999999992</v>
      </c>
      <c r="C361" s="10">
        <v>416</v>
      </c>
      <c r="D361" s="10">
        <v>316.84759999999989</v>
      </c>
    </row>
    <row r="362" spans="1:4" x14ac:dyDescent="0.35">
      <c r="A362" s="10">
        <v>100080952</v>
      </c>
      <c r="B362" s="10">
        <v>3047807.0099999937</v>
      </c>
      <c r="C362" s="10">
        <v>38994</v>
      </c>
      <c r="D362" s="10">
        <v>95842.308300000223</v>
      </c>
    </row>
    <row r="363" spans="1:4" x14ac:dyDescent="0.35">
      <c r="A363" s="10">
        <v>100080955</v>
      </c>
      <c r="B363" s="10">
        <v>2686463.1800000081</v>
      </c>
      <c r="C363" s="10">
        <v>37183</v>
      </c>
      <c r="D363" s="10">
        <v>52194.993200000092</v>
      </c>
    </row>
    <row r="364" spans="1:4" x14ac:dyDescent="0.35">
      <c r="A364" s="10">
        <v>100080957</v>
      </c>
      <c r="B364" s="10">
        <v>3901175.3800000092</v>
      </c>
      <c r="C364" s="10">
        <v>49365</v>
      </c>
      <c r="D364" s="10">
        <v>98201.55730000019</v>
      </c>
    </row>
    <row r="365" spans="1:4" x14ac:dyDescent="0.35">
      <c r="A365" s="10">
        <v>100080975</v>
      </c>
      <c r="B365" s="10">
        <v>2858728.3500000052</v>
      </c>
      <c r="C365" s="10">
        <v>40651</v>
      </c>
      <c r="D365" s="10">
        <v>49341.155399999734</v>
      </c>
    </row>
    <row r="366" spans="1:4" x14ac:dyDescent="0.35">
      <c r="A366" s="10">
        <v>100080976</v>
      </c>
      <c r="B366" s="10">
        <v>124.25999999999999</v>
      </c>
      <c r="C366" s="10">
        <v>5</v>
      </c>
      <c r="D366" s="10">
        <v>0</v>
      </c>
    </row>
    <row r="367" spans="1:4" x14ac:dyDescent="0.35">
      <c r="A367" s="10">
        <v>100080990</v>
      </c>
      <c r="B367" s="10">
        <v>58.33</v>
      </c>
      <c r="C367" s="10">
        <v>1</v>
      </c>
      <c r="D367" s="10">
        <v>0</v>
      </c>
    </row>
    <row r="368" spans="1:4" x14ac:dyDescent="0.35">
      <c r="A368" s="10">
        <v>101000061</v>
      </c>
      <c r="B368" s="10">
        <v>3759.4700000000003</v>
      </c>
      <c r="C368" s="10">
        <v>73</v>
      </c>
      <c r="D368" s="10">
        <v>0</v>
      </c>
    </row>
    <row r="369" spans="1:4" x14ac:dyDescent="0.35">
      <c r="A369" s="10">
        <v>101000062</v>
      </c>
      <c r="B369" s="10">
        <v>2433477.5400000019</v>
      </c>
      <c r="C369" s="10">
        <v>34541</v>
      </c>
      <c r="D369" s="10">
        <v>18843.88080000005</v>
      </c>
    </row>
    <row r="370" spans="1:4" x14ac:dyDescent="0.35">
      <c r="A370" s="10">
        <v>101000079</v>
      </c>
      <c r="B370" s="10">
        <v>2764473.7699999982</v>
      </c>
      <c r="C370" s="10">
        <v>39388</v>
      </c>
      <c r="D370" s="10">
        <v>57307.958099999873</v>
      </c>
    </row>
    <row r="371" spans="1:4" x14ac:dyDescent="0.35">
      <c r="A371" s="10">
        <v>101000080</v>
      </c>
      <c r="B371" s="10">
        <v>8472.2199999999993</v>
      </c>
      <c r="C371" s="10">
        <v>61</v>
      </c>
      <c r="D371" s="10">
        <v>0</v>
      </c>
    </row>
    <row r="372" spans="1:4" x14ac:dyDescent="0.35">
      <c r="A372" s="10">
        <v>101000081</v>
      </c>
      <c r="B372" s="10">
        <v>7064.17</v>
      </c>
      <c r="C372" s="10">
        <v>51</v>
      </c>
      <c r="D372" s="10">
        <v>0</v>
      </c>
    </row>
    <row r="373" spans="1:4" x14ac:dyDescent="0.35">
      <c r="A373" s="10">
        <v>101000082</v>
      </c>
      <c r="B373" s="10">
        <v>6944.45</v>
      </c>
      <c r="C373" s="10">
        <v>50</v>
      </c>
      <c r="D373" s="10">
        <v>0</v>
      </c>
    </row>
    <row r="374" spans="1:4" x14ac:dyDescent="0.35">
      <c r="A374" s="10">
        <v>101000083</v>
      </c>
      <c r="B374" s="10">
        <v>5675.28</v>
      </c>
      <c r="C374" s="10">
        <v>41</v>
      </c>
      <c r="D374" s="10">
        <v>0</v>
      </c>
    </row>
    <row r="375" spans="1:4" x14ac:dyDescent="0.35">
      <c r="A375" s="10">
        <v>101000084</v>
      </c>
      <c r="B375" s="10">
        <v>11388.890000000001</v>
      </c>
      <c r="C375" s="10">
        <v>82</v>
      </c>
      <c r="D375" s="10">
        <v>0</v>
      </c>
    </row>
    <row r="376" spans="1:4" x14ac:dyDescent="0.35">
      <c r="A376" s="10">
        <v>101000085</v>
      </c>
      <c r="B376" s="10">
        <v>7777.7799999999988</v>
      </c>
      <c r="C376" s="10">
        <v>56</v>
      </c>
      <c r="D376" s="10">
        <v>0</v>
      </c>
    </row>
    <row r="377" spans="1:4" x14ac:dyDescent="0.35">
      <c r="A377" s="10">
        <v>101000086</v>
      </c>
      <c r="B377" s="10">
        <v>7083.32</v>
      </c>
      <c r="C377" s="10">
        <v>51</v>
      </c>
      <c r="D377" s="10">
        <v>0</v>
      </c>
    </row>
    <row r="378" spans="1:4" x14ac:dyDescent="0.35">
      <c r="A378" s="10">
        <v>101000087</v>
      </c>
      <c r="B378" s="10">
        <v>10555.560000000001</v>
      </c>
      <c r="C378" s="10">
        <v>76</v>
      </c>
      <c r="D378" s="10">
        <v>0</v>
      </c>
    </row>
    <row r="379" spans="1:4" x14ac:dyDescent="0.35">
      <c r="A379" s="10">
        <v>101000088</v>
      </c>
      <c r="B379" s="10">
        <v>9722.23</v>
      </c>
      <c r="C379" s="10">
        <v>70</v>
      </c>
      <c r="D379" s="10">
        <v>0</v>
      </c>
    </row>
    <row r="380" spans="1:4" x14ac:dyDescent="0.35">
      <c r="A380" s="10">
        <v>101000089</v>
      </c>
      <c r="B380" s="10">
        <v>13869.730000000001</v>
      </c>
      <c r="C380" s="10">
        <v>50</v>
      </c>
      <c r="D380" s="10">
        <v>0</v>
      </c>
    </row>
    <row r="381" spans="1:4" x14ac:dyDescent="0.35">
      <c r="A381" s="10">
        <v>101000090</v>
      </c>
      <c r="B381" s="10">
        <v>12500.009999999998</v>
      </c>
      <c r="C381" s="10">
        <v>45</v>
      </c>
      <c r="D381" s="10">
        <v>0</v>
      </c>
    </row>
    <row r="382" spans="1:4" x14ac:dyDescent="0.35">
      <c r="A382" s="10">
        <v>101000091</v>
      </c>
      <c r="B382" s="10">
        <v>8611.1099999999988</v>
      </c>
      <c r="C382" s="10">
        <v>31</v>
      </c>
      <c r="D382" s="10">
        <v>0</v>
      </c>
    </row>
    <row r="383" spans="1:4" x14ac:dyDescent="0.35">
      <c r="A383" s="10">
        <v>101000092</v>
      </c>
      <c r="B383" s="10">
        <v>7758.619999999999</v>
      </c>
      <c r="C383" s="10">
        <v>28</v>
      </c>
      <c r="D383" s="10">
        <v>0</v>
      </c>
    </row>
    <row r="384" spans="1:4" x14ac:dyDescent="0.35">
      <c r="A384" s="10">
        <v>101000093</v>
      </c>
      <c r="B384" s="10">
        <v>11091.95</v>
      </c>
      <c r="C384" s="10">
        <v>40</v>
      </c>
      <c r="D384" s="10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5F596-834C-4030-94E8-3C6FF11D0792}">
  <dimension ref="A1:H8"/>
  <sheetViews>
    <sheetView workbookViewId="0">
      <selection activeCell="D2" sqref="D1:D2"/>
    </sheetView>
  </sheetViews>
  <sheetFormatPr baseColWidth="10" defaultColWidth="11.453125"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100017182</v>
      </c>
      <c r="B2">
        <v>8414780000000</v>
      </c>
      <c r="C2" t="s">
        <v>89</v>
      </c>
      <c r="D2" t="s">
        <v>583</v>
      </c>
      <c r="E2" t="s">
        <v>583</v>
      </c>
      <c r="F2" t="s">
        <v>583</v>
      </c>
      <c r="G2" t="s">
        <v>583</v>
      </c>
      <c r="H2" t="s">
        <v>36</v>
      </c>
    </row>
    <row r="3" spans="1:8" x14ac:dyDescent="0.35">
      <c r="A3" s="10">
        <v>100016041</v>
      </c>
      <c r="B3" s="10">
        <v>25900213053</v>
      </c>
      <c r="C3" s="10" t="s">
        <v>584</v>
      </c>
      <c r="D3" t="s">
        <v>585</v>
      </c>
      <c r="E3" t="s">
        <v>585</v>
      </c>
    </row>
    <row r="4" spans="1:8" x14ac:dyDescent="0.35">
      <c r="A4" s="10">
        <v>100016248</v>
      </c>
      <c r="B4" s="10">
        <v>25900000400</v>
      </c>
      <c r="C4" s="10" t="s">
        <v>151</v>
      </c>
      <c r="D4" t="s">
        <v>585</v>
      </c>
      <c r="E4" t="s">
        <v>585</v>
      </c>
    </row>
    <row r="5" spans="1:8" x14ac:dyDescent="0.35">
      <c r="A5">
        <v>100017182</v>
      </c>
      <c r="B5">
        <v>8414775013578</v>
      </c>
      <c r="C5" t="s">
        <v>89</v>
      </c>
    </row>
    <row r="6" spans="1:8" x14ac:dyDescent="0.35">
      <c r="A6">
        <v>100009359</v>
      </c>
      <c r="B6">
        <v>7503023648042</v>
      </c>
      <c r="C6" t="s">
        <v>153</v>
      </c>
    </row>
    <row r="7" spans="1:8" x14ac:dyDescent="0.35">
      <c r="A7">
        <v>100017183</v>
      </c>
      <c r="B7">
        <v>42230748</v>
      </c>
      <c r="C7" t="s">
        <v>586</v>
      </c>
    </row>
    <row r="8" spans="1:8" ht="16.399999999999999" customHeight="1" x14ac:dyDescent="0.35">
      <c r="A8">
        <v>100009916</v>
      </c>
      <c r="B8">
        <v>33300200573</v>
      </c>
      <c r="C8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MASTER</vt:lpstr>
      <vt:lpstr>COSTO Y PRECIO</vt:lpstr>
      <vt:lpstr>Hoja8</vt:lpstr>
      <vt:lpstr>Hoja4</vt:lpstr>
      <vt:lpstr>INNOVACIÓN</vt:lpstr>
      <vt:lpstr>Hoja2</vt:lpstr>
      <vt:lpstr>Hoja1</vt:lpstr>
      <vt:lpstr>MERMA</vt:lpstr>
      <vt:lpstr>Hoja5</vt:lpstr>
      <vt:lpstr>Inactivos</vt:lpstr>
      <vt:lpstr>Catálogo</vt:lpstr>
      <vt:lpstr>Papeles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Edwing Alejandro Cardenas Gomez</dc:creator>
  <cp:keywords/>
  <dc:description/>
  <cp:lastModifiedBy>Emilio Javier Rodarte Gomez</cp:lastModifiedBy>
  <cp:revision/>
  <dcterms:created xsi:type="dcterms:W3CDTF">2024-08-07T03:36:06Z</dcterms:created>
  <dcterms:modified xsi:type="dcterms:W3CDTF">2026-10-23T20:59:11Z</dcterms:modified>
  <cp:category/>
  <cp:contentStatus/>
</cp:coreProperties>
</file>