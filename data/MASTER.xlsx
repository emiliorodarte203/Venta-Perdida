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845" documentId="13_ncr:1_{8952FF5F-C77A-4B5B-B655-62227BFE6363}" xr6:coauthVersionLast="47" xr6:coauthVersionMax="47" xr10:uidLastSave="{69C748C6-A4B6-4ECF-9F27-BFB1338F1BBB}"/>
  <bookViews>
    <workbookView xWindow="-110" yWindow="-110" windowWidth="19420" windowHeight="10300" xr2:uid="{6F075128-D8C5-4571-938A-D8C5FF991224}"/>
  </bookViews>
  <sheets>
    <sheet name="MASTER" sheetId="12" r:id="rId1"/>
    <sheet name="Hoja6" sheetId="30" r:id="rId2"/>
    <sheet name="Hoja4" sheetId="29" r:id="rId3"/>
    <sheet name="Hoja3" sheetId="28" r:id="rId4"/>
    <sheet name="INNOVACIÓN" sheetId="15" r:id="rId5"/>
    <sheet name="Hoja2" sheetId="27" r:id="rId6"/>
    <sheet name="Hoja1" sheetId="26" r:id="rId7"/>
    <sheet name="MERMA" sheetId="25" r:id="rId8"/>
    <sheet name="Hoja5" sheetId="22" r:id="rId9"/>
    <sheet name="Inactivos" sheetId="13" r:id="rId10"/>
    <sheet name="Catálogo" sheetId="14" r:id="rId11"/>
    <sheet name="Papeles" sheetId="5" state="hidden" r:id="rId12"/>
  </sheets>
  <externalReferences>
    <externalReference r:id="rId13"/>
    <externalReference r:id="rId14"/>
  </externalReferences>
  <definedNames>
    <definedName name="_xlnm._FilterDatabase" localSheetId="10" hidden="1">Catálogo!$A$1:$D$380</definedName>
    <definedName name="_xlnm._FilterDatabase" localSheetId="6" hidden="1">Hoja1!$A$1:$M$585</definedName>
    <definedName name="_xlnm._FilterDatabase" localSheetId="5" hidden="1">Hoja2!$E$1:$G$47</definedName>
    <definedName name="_xlnm._FilterDatabase" localSheetId="2" hidden="1">Hoja4!$A$1:$E$370</definedName>
    <definedName name="_xlnm._FilterDatabase" localSheetId="8" hidden="1">Hoja5!$N$1:$S$41</definedName>
    <definedName name="_xlnm._FilterDatabase" localSheetId="9" hidden="1">Inactivos!$A$1:$N$288</definedName>
    <definedName name="_xlnm._FilterDatabase" localSheetId="4" hidden="1">INNOVACIÓN!$A$1:$D$44</definedName>
    <definedName name="_xlnm._FilterDatabase" localSheetId="0" hidden="1">MASTER!$A$1:$L$590</definedName>
    <definedName name="_xlnm._FilterDatabase" localSheetId="7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9" i="12" l="1"/>
  <c r="B370" i="29" l="1"/>
  <c r="A370" i="29"/>
  <c r="B369" i="29"/>
  <c r="A369" i="29"/>
  <c r="B368" i="29"/>
  <c r="A368" i="29"/>
  <c r="B367" i="29"/>
  <c r="A367" i="29"/>
  <c r="B366" i="29"/>
  <c r="A366" i="29"/>
  <c r="B365" i="29"/>
  <c r="A365" i="29"/>
  <c r="B364" i="29"/>
  <c r="A364" i="29"/>
  <c r="B363" i="29"/>
  <c r="A363" i="29"/>
  <c r="B362" i="29"/>
  <c r="A362" i="29"/>
  <c r="B361" i="29"/>
  <c r="A361" i="29"/>
  <c r="B360" i="29"/>
  <c r="A360" i="29"/>
  <c r="B359" i="29"/>
  <c r="A359" i="29"/>
  <c r="B358" i="29"/>
  <c r="A358" i="29"/>
  <c r="B357" i="29"/>
  <c r="A357" i="29"/>
  <c r="B356" i="29"/>
  <c r="A356" i="29"/>
  <c r="B355" i="29"/>
  <c r="A355" i="29"/>
  <c r="B354" i="29"/>
  <c r="A354" i="29"/>
  <c r="B353" i="29"/>
  <c r="A353" i="29"/>
  <c r="B352" i="29"/>
  <c r="A352" i="29"/>
  <c r="B351" i="29"/>
  <c r="A351" i="29"/>
  <c r="B350" i="29"/>
  <c r="A350" i="29"/>
  <c r="B349" i="29"/>
  <c r="A349" i="29"/>
  <c r="B348" i="29"/>
  <c r="A348" i="29"/>
  <c r="B347" i="29"/>
  <c r="A347" i="29"/>
  <c r="B346" i="29"/>
  <c r="A346" i="29"/>
  <c r="B345" i="29"/>
  <c r="A345" i="29"/>
  <c r="B344" i="29"/>
  <c r="A344" i="29"/>
  <c r="B343" i="29"/>
  <c r="A343" i="29"/>
  <c r="B342" i="29"/>
  <c r="A342" i="29"/>
  <c r="B341" i="29"/>
  <c r="A341" i="29"/>
  <c r="B340" i="29"/>
  <c r="A340" i="29"/>
  <c r="B339" i="29"/>
  <c r="A339" i="29"/>
  <c r="B338" i="29"/>
  <c r="A338" i="29"/>
  <c r="B337" i="29"/>
  <c r="A337" i="29"/>
  <c r="B336" i="29"/>
  <c r="A336" i="29"/>
  <c r="B335" i="29"/>
  <c r="A335" i="29"/>
  <c r="B334" i="29"/>
  <c r="A334" i="29"/>
  <c r="B333" i="29"/>
  <c r="A333" i="29"/>
  <c r="B332" i="29"/>
  <c r="A332" i="29"/>
  <c r="B331" i="29"/>
  <c r="A331" i="29"/>
  <c r="B330" i="29"/>
  <c r="A330" i="29"/>
  <c r="B329" i="29"/>
  <c r="A329" i="29"/>
  <c r="B328" i="29"/>
  <c r="A328" i="29"/>
  <c r="B327" i="29"/>
  <c r="A327" i="29"/>
  <c r="B326" i="29"/>
  <c r="A326" i="29"/>
  <c r="B325" i="29"/>
  <c r="A325" i="29"/>
  <c r="B324" i="29"/>
  <c r="A324" i="29"/>
  <c r="B323" i="29"/>
  <c r="A323" i="29"/>
  <c r="B322" i="29"/>
  <c r="A322" i="29"/>
  <c r="B321" i="29"/>
  <c r="A321" i="29"/>
  <c r="B320" i="29"/>
  <c r="A320" i="29"/>
  <c r="B319" i="29"/>
  <c r="A319" i="29"/>
  <c r="B318" i="29"/>
  <c r="A318" i="29"/>
  <c r="B317" i="29"/>
  <c r="A317" i="29"/>
  <c r="B316" i="29"/>
  <c r="A316" i="29"/>
  <c r="B315" i="29"/>
  <c r="A315" i="29"/>
  <c r="B314" i="29"/>
  <c r="A314" i="29"/>
  <c r="B313" i="29"/>
  <c r="A313" i="29"/>
  <c r="B312" i="29"/>
  <c r="A312" i="29"/>
  <c r="B311" i="29"/>
  <c r="A311" i="29"/>
  <c r="B310" i="29"/>
  <c r="A310" i="29"/>
  <c r="B309" i="29"/>
  <c r="A309" i="29"/>
  <c r="B308" i="29"/>
  <c r="A308" i="29"/>
  <c r="B307" i="29"/>
  <c r="A307" i="29"/>
  <c r="B306" i="29"/>
  <c r="A306" i="29"/>
  <c r="B305" i="29"/>
  <c r="A305" i="29"/>
  <c r="B304" i="29"/>
  <c r="A304" i="29"/>
  <c r="B303" i="29"/>
  <c r="A303" i="29"/>
  <c r="B302" i="29"/>
  <c r="A302" i="29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2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2" i="15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/>
  <c r="G2" i="27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E38" i="27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N63" i="13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/>
  <c r="J26" i="13"/>
  <c r="M26" i="13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/>
  <c r="J6" i="13"/>
  <c r="M6" i="13"/>
  <c r="J5" i="13"/>
  <c r="M5" i="13"/>
  <c r="J89" i="13"/>
  <c r="M89" i="13"/>
  <c r="J27" i="13"/>
  <c r="M27" i="13"/>
  <c r="J126" i="13"/>
  <c r="J65" i="13"/>
  <c r="M65" i="13"/>
  <c r="J153" i="13"/>
  <c r="J160" i="13"/>
  <c r="J143" i="13"/>
  <c r="J147" i="13"/>
  <c r="J131" i="13"/>
  <c r="J146" i="13"/>
  <c r="J19" i="13"/>
  <c r="M19" i="13"/>
  <c r="J21" i="13"/>
  <c r="M21" i="13"/>
  <c r="J87" i="13"/>
  <c r="M87" i="13"/>
  <c r="J125" i="13"/>
  <c r="M125" i="13"/>
  <c r="J58" i="13"/>
  <c r="M58" i="13"/>
  <c r="J49" i="13"/>
  <c r="M49" i="13"/>
  <c r="J79" i="13"/>
  <c r="M79" i="13"/>
  <c r="J92" i="13"/>
  <c r="M92" i="13"/>
  <c r="J94" i="13"/>
  <c r="M94" i="13"/>
  <c r="J77" i="13"/>
  <c r="M77" i="13"/>
  <c r="J32" i="13"/>
  <c r="M32" i="13"/>
  <c r="J80" i="13"/>
  <c r="M80" i="13"/>
  <c r="J59" i="13"/>
  <c r="M59" i="13"/>
  <c r="J100" i="13"/>
  <c r="M100" i="13"/>
  <c r="J39" i="13"/>
  <c r="M39" i="13"/>
  <c r="J86" i="13"/>
  <c r="J72" i="13"/>
  <c r="M72" i="13"/>
  <c r="J76" i="13"/>
  <c r="M76" i="13"/>
  <c r="J162" i="13"/>
  <c r="J144" i="13"/>
  <c r="M144" i="13"/>
  <c r="J133" i="13"/>
  <c r="J158" i="13"/>
  <c r="J157" i="13"/>
  <c r="M157" i="13"/>
  <c r="J124" i="13"/>
  <c r="J136" i="13"/>
  <c r="J129" i="13"/>
  <c r="J130" i="13"/>
  <c r="J159" i="13"/>
  <c r="J74" i="13"/>
  <c r="J97" i="13"/>
  <c r="J60" i="13"/>
  <c r="M60" i="13"/>
  <c r="J106" i="13"/>
  <c r="J105" i="13"/>
  <c r="M105" i="13"/>
  <c r="J63" i="13"/>
  <c r="M63" i="13"/>
  <c r="J115" i="13"/>
  <c r="J116" i="13"/>
  <c r="J123" i="13"/>
  <c r="J70" i="13"/>
  <c r="J82" i="13"/>
  <c r="J151" i="13"/>
  <c r="J78" i="13"/>
  <c r="J48" i="13"/>
  <c r="J54" i="13"/>
  <c r="M54" i="13"/>
  <c r="J51" i="13"/>
  <c r="J52" i="13"/>
  <c r="J109" i="13"/>
  <c r="M109" i="13"/>
  <c r="J84" i="13"/>
  <c r="J56" i="13"/>
  <c r="M56" i="13"/>
  <c r="J101" i="13"/>
  <c r="J67" i="13"/>
  <c r="M67" i="13"/>
  <c r="J88" i="13"/>
  <c r="J10" i="13"/>
  <c r="M10" i="13"/>
  <c r="J7" i="13"/>
  <c r="M7" i="13"/>
  <c r="J12" i="13"/>
  <c r="M12" i="13"/>
  <c r="J2" i="13"/>
  <c r="M2" i="13"/>
  <c r="J13" i="13"/>
  <c r="J34" i="13"/>
  <c r="M34" i="13"/>
  <c r="J47" i="13"/>
  <c r="J104" i="13"/>
  <c r="J57" i="13"/>
  <c r="J128" i="13"/>
  <c r="J142" i="13"/>
  <c r="J38" i="13"/>
  <c r="J8" i="13"/>
  <c r="J11" i="13"/>
  <c r="M11" i="13"/>
  <c r="J73" i="13"/>
  <c r="M73" i="13"/>
  <c r="J113" i="13"/>
  <c r="J99" i="13"/>
  <c r="J9" i="13"/>
  <c r="M9" i="13"/>
  <c r="J152" i="13"/>
  <c r="M152" i="13"/>
  <c r="J71" i="13"/>
  <c r="J91" i="13"/>
  <c r="M91" i="13"/>
  <c r="J107" i="13"/>
  <c r="M107" i="13"/>
  <c r="J46" i="13"/>
  <c r="M46" i="13"/>
  <c r="J83" i="13"/>
  <c r="M83" i="13"/>
  <c r="J23" i="13"/>
  <c r="M23" i="13"/>
  <c r="J31" i="13"/>
  <c r="M31" i="13"/>
  <c r="J96" i="13"/>
  <c r="M96" i="13"/>
  <c r="J18" i="13"/>
  <c r="M18" i="13"/>
  <c r="J135" i="13"/>
  <c r="J155" i="13"/>
  <c r="J150" i="13"/>
  <c r="J161" i="13"/>
  <c r="J132" i="13"/>
  <c r="M132" i="13"/>
  <c r="J102" i="13"/>
  <c r="J145" i="13"/>
  <c r="J112" i="13"/>
  <c r="J81" i="13"/>
  <c r="M81" i="13"/>
  <c r="J121" i="13"/>
  <c r="J120" i="13"/>
  <c r="J110" i="13"/>
  <c r="J163" i="13"/>
  <c r="M163" i="13"/>
  <c r="J134" i="13"/>
  <c r="J44" i="13"/>
  <c r="M44" i="13"/>
  <c r="J37" i="13"/>
  <c r="J141" i="13"/>
  <c r="J103" i="13"/>
  <c r="J119" i="13"/>
  <c r="J137" i="13"/>
  <c r="J127" i="13"/>
  <c r="J85" i="13"/>
  <c r="M85" i="13"/>
  <c r="J35" i="13"/>
  <c r="M35" i="13"/>
  <c r="J55" i="13"/>
  <c r="J24" i="13"/>
  <c r="M24" i="13"/>
  <c r="J64" i="13"/>
  <c r="J69" i="13"/>
  <c r="M69" i="13"/>
  <c r="J68" i="13"/>
  <c r="M68" i="13"/>
  <c r="J156" i="13"/>
  <c r="J93" i="13"/>
  <c r="J43" i="13"/>
  <c r="M43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<sst xmlns="http://schemas.openxmlformats.org/spreadsheetml/2006/main" count="11839" uniqueCount="701">
  <si>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</si>
  <si>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</si>
  <si>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</si>
  <si>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</si>
  <si>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</si>
  <si>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</si>
  <si>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</si>
  <si>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</si>
  <si>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</si>
  <si>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</si>
  <si>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</si>
  <si>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</si>
  <si>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</si>
  <si>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</si>
  <si>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</si>
  <si>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</si>
  <si>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</si>
  <si>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</si>
  <si>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</si>
  <si>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</si>
  <si>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</si>
  <si>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</si>
  <si>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</si>
  <si>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</si>
  <si>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</si>
  <si>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</si>
  <si>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</si>
  <si>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</si>
  <si>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</si>
  <si>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</si>
  <si>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</si>
  <si>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</si>
  <si>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</si>
  <si>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</si>
  <si>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</si>
  <si>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</si>
  <si>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</si>
  <si>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</si>
  <si>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</si>
  <si>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</si>
  <si>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</si>
  <si>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</si>
  <si>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</si>
  <si>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</si>
  <si>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</si>
  <si>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</si>
  <si>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</si>
  <si>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</si>
  <si>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</si>
  <si>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</si>
  <si>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</si>
  <si>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</si>
  <si>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</si>
  <si>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</si>
  <si>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</si>
  <si>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</si>
  <si>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</si>
  <si>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</si>
  <si>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</si>
  <si>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</si>
  <si>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</si>
  <si>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</si>
  <si>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</si>
  <si>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</si>
  <si>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</si>
  <si>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</si>
  <si>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</si>
  <si>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</si>
  <si>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</si>
  <si>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</si>
  <si>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</si>
  <si>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</si>
  <si>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</si>
  <si>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</si>
  <si>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</si>
  <si>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</si>
  <si>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</si>
  <si>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</si>
  <si>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</si>
  <si>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</si>
  <si>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</si>
  <si>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</si>
  <si>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</si>
  <si>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</si>
  <si>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</si>
  <si>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</si>
  <si>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</si>
  <si>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</si>
  <si>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</si>
  <si>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</si>
  <si>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</si>
  <si>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</si>
  <si>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</si>
  <si>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</si>
  <si>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</si>
  <si>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</si>
  <si>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</si>
  <si>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</si>
  <si>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</si>
  <si>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</si>
  <si>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</si>
  <si>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</si>
  <si>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</si>
  <si>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</si>
  <si>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</si>
  <si>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</si>
  <si>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</si>
  <si>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</si>
  <si>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</si>
  <si>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</si>
  <si>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</si>
  <si>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</si>
  <si>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</si>
  <si>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</si>
  <si>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</si>
  <si>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</si>
  <si>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</si>
  <si>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</si>
  <si>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</si>
  <si>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</si>
  <si>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</si>
  <si>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</si>
  <si>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</si>
  <si>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</si>
  <si>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</si>
  <si>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</si>
  <si>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</si>
  <si>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</si>
  <si>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</si>
  <si>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</si>
  <si>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</si>
  <si>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</si>
  <si>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</si>
  <si>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</si>
  <si>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</si>
  <si>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</si>
  <si>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</si>
  <si>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</si>
  <si>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</si>
  <si>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</si>
  <si>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</si>
  <si>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</si>
  <si>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</si>
  <si>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</si>
  <si>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</si>
  <si>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</si>
  <si>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</si>
  <si>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</si>
  <si>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</si>
  <si>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</si>
  <si>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</si>
  <si>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</si>
  <si>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</si>
  <si>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</si>
  <si>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</si>
  <si>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</si>
  <si>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</si>
  <si>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</si>
  <si>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</si>
  <si>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</si>
  <si>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</si>
  <si>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</si>
  <si>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</si>
  <si>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</si>
  <si>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</si>
  <si>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</si>
  <si>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</si>
  <si>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</si>
  <si>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</si>
  <si>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</si>
  <si>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</si>
  <si>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</si>
  <si>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</si>
  <si>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</si>
  <si>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</si>
  <si>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</si>
  <si>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</si>
  <si>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</si>
  <si>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</si>
  <si>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</si>
  <si>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</si>
  <si>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</si>
  <si>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</si>
  <si>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</si>
  <si>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</si>
  <si>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</si>
  <si>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</si>
  <si>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</si>
  <si>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</si>
  <si>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</si>
  <si>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</si>
  <si>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</si>
  <si>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</si>
  <si>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</si>
  <si>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</si>
  <si>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</si>
  <si>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</si>
  <si>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</si>
  <si>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</si>
  <si>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</si>
  <si>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</si>
  <si>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</si>
  <si>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</si>
  <si>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</si>
  <si>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</si>
  <si>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</si>
  <si>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</si>
  <si>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</si>
  <si>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</si>
  <si>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</si>
  <si>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</si>
  <si>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</si>
  <si>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</si>
  <si>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</si>
  <si>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</si>
  <si>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</si>
  <si>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</si>
  <si>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</si>
  <si>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</si>
  <si>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</si>
  <si>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</si>
  <si>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</si>
  <si>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</si>
  <si>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</si>
  <si>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</si>
  <si>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</si>
  <si>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</si>
  <si>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</si>
  <si>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</si>
  <si>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</si>
  <si>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</si>
  <si>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</si>
  <si>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</si>
  <si>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</si>
  <si>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</si>
  <si>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</si>
  <si>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</si>
  <si>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</si>
  <si>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</si>
  <si>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</si>
  <si>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</si>
  <si>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</si>
  <si>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</si>
  <si>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</si>
  <si>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</si>
  <si>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</si>
  <si>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</si>
  <si>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</si>
  <si>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</si>
  <si>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</si>
  <si>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</si>
  <si>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</si>
  <si>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</si>
  <si>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</si>
  <si>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</si>
  <si>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</si>
  <si>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</si>
  <si>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</si>
  <si>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</si>
  <si>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</si>
  <si>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</si>
  <si>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</si>
  <si>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</si>
  <si>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</si>
  <si>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</si>
  <si>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</si>
  <si>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</si>
  <si>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</si>
  <si>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</si>
  <si>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</si>
  <si>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</si>
  <si>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</si>
  <si>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</si>
  <si>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</si>
  <si>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</si>
  <si>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</si>
  <si>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</si>
  <si>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</si>
  <si>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</si>
  <si>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</si>
  <si>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</si>
  <si>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</si>
  <si>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</si>
  <si>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</si>
  <si>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</si>
  <si>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</si>
  <si>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</si>
  <si>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</si>
  <si>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</si>
  <si>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</si>
  <si>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</si>
  <si>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</si>
  <si>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</si>
  <si>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</si>
  <si>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</si>
  <si>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</si>
  <si>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</si>
  <si>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</si>
  <si>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</si>
  <si>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</si>
  <si>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</si>
  <si>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</si>
  <si>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</si>
  <si>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</si>
  <si>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</si>
  <si>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</si>
  <si>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</si>
  <si>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</si>
  <si>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</si>
  <si>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</si>
  <si>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</si>
  <si>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</si>
  <si>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</si>
  <si>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</si>
  <si>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</si>
  <si>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</si>
  <si>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</si>
  <si>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</si>
  <si>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</si>
  <si>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</si>
  <si>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</si>
  <si>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</si>
  <si>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</si>
  <si>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</si>
  <si>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</si>
  <si>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</si>
  <si>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</si>
  <si>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</si>
  <si>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</si>
  <si>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</si>
  <si>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</si>
  <si>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</si>
  <si>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</si>
  <si>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</si>
  <si>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</si>
  <si>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</si>
  <si>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</si>
  <si>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</si>
  <si>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</si>
  <si>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</si>
  <si>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</si>
  <si>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</si>
  <si>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</si>
  <si>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</si>
  <si>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</si>
  <si>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</si>
  <si>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</si>
  <si>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</si>
  <si>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</si>
  <si>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</si>
  <si>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</si>
  <si>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</si>
  <si>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</si>
  <si>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</si>
  <si>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</si>
  <si>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</si>
  <si>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</si>
  <si>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</si>
  <si>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</si>
  <si>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</si>
  <si>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</si>
  <si>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</si>
  <si>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</si>
  <si>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</si>
  <si>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</si>
  <si>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</si>
  <si>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</si>
  <si>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</si>
  <si>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</si>
  <si>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</si>
  <si>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</si>
  <si>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</si>
  <si>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</si>
  <si>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</si>
  <si>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</si>
  <si>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</si>
  <si>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</si>
  <si>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</si>
  <si>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</si>
  <si>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</si>
  <si>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</si>
  <si>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</si>
  <si>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</si>
  <si>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</si>
  <si>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</si>
  <si>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</si>
  <si>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</si>
  <si>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</si>
  <si>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</si>
  <si>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</si>
  <si>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</si>
  <si>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</si>
  <si>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</si>
  <si>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</si>
  <si>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</si>
  <si>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</si>
  <si>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</si>
  <si>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</si>
  <si>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</si>
  <si>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</si>
  <si>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</si>
  <si>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</si>
  <si>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</si>
  <si>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</si>
  <si>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</si>
  <si>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</si>
  <si>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</si>
  <si>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</si>
  <si>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</si>
  <si>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</si>
  <si>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</si>
  <si>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</si>
  <si>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</si>
  <si>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</si>
  <si>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</si>
  <si>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</si>
  <si>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</si>
  <si>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</si>
  <si>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</si>
  <si>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</si>
  <si>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</si>
  <si>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</si>
  <si>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</si>
  <si>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</si>
  <si>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</si>
  <si>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</si>
  <si>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</si>
  <si>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</si>
  <si>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</si>
  <si>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</si>
  <si>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</si>
  <si>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</si>
  <si>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</si>
  <si>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</si>
  <si>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</si>
  <si>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</si>
  <si>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</si>
  <si>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</si>
  <si>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</si>
  <si>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</si>
  <si>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</si>
  <si>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</si>
  <si>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</si>
  <si>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</si>
  <si>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</si>
  <si>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</si>
  <si>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</si>
  <si>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</si>
  <si>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</si>
  <si>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</si>
  <si>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</si>
  <si>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</si>
  <si>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</si>
  <si>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</si>
  <si>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</si>
  <si>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</si>
  <si>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</si>
  <si>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</si>
  <si>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</si>
  <si>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</si>
  <si>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</si>
  <si>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</si>
  <si>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</si>
  <si>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</si>
  <si>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</si>
  <si>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</si>
  <si>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</si>
  <si>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</si>
  <si>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</si>
  <si>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</si>
  <si>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</si>
  <si>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</si>
  <si>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</si>
  <si>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</si>
  <si>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</si>
  <si>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</si>
  <si>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</si>
  <si>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</si>
  <si>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</si>
  <si>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</si>
  <si>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</si>
  <si>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</si>
  <si>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</si>
  <si>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</si>
  <si>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</si>
  <si>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</si>
  <si>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</si>
  <si>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</si>
  <si>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</si>
  <si>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</si>
  <si>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</si>
  <si>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</si>
  <si>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</si>
  <si>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</si>
  <si>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</si>
  <si>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</si>
  <si>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</si>
  <si>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</si>
  <si>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</si>
  <si>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</si>
  <si>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</si>
  <si>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</si>
  <si>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</si>
  <si>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</si>
  <si>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</si>
  <si>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</si>
  <si>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</si>
  <si>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</si>
  <si>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</si>
  <si>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</si>
  <si>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</si>
  <si>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</si>
  <si>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</si>
  <si>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</si>
  <si>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</si>
  <si>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</si>
  <si>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</si>
  <si>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</si>
  <si>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</si>
  <si>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</si>
  <si>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</si>
  <si>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</si>
  <si>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</si>
  <si>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</si>
  <si>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</si>
  <si>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</si>
  <si>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</si>
  <si>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</si>
  <si>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</si>
  <si>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</si>
  <si>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</si>
  <si>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</si>
  <si>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</si>
  <si>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</si>
  <si>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</si>
  <si>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</si>
  <si>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</si>
  <si>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</si>
  <si>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</si>
  <si>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</si>
  <si>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</si>
  <si>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</si>
  <si>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</si>
  <si>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</si>
  <si>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</si>
  <si>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</si>
  <si>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</si>
  <si>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</si>
  <si>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</si>
  <si>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</si>
  <si>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</si>
  <si>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</si>
  <si>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</si>
  <si>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</si>
  <si>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</si>
  <si>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</si>
  <si>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</si>
  <si>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</si>
  <si>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</si>
  <si>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</si>
  <si>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</si>
  <si>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</si>
  <si>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</si>
  <si>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</si>
  <si>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</si>
  <si>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</si>
  <si>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</si>
  <si>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</si>
  <si>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</si>
  <si>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</si>
  <si>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</si>
  <si>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</si>
  <si>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</si>
  <si>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</si>
  <si>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</si>
  <si>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</si>
  <si>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</si>
  <si>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</si>
  <si>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</si>
  <si>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</si>
  <si>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</si>
  <si>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</si>
  <si>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</si>
  <si>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</si>
  <si>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</si>
  <si>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</si>
  <si>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</si>
  <si>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</si>
  <si>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</si>
  <si>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</si>
  <si>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</si>
  <si>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</si>
  <si>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</si>
  <si>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</si>
  <si>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</si>
  <si>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</si>
  <si>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</si>
  <si>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</si>
  <si>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</si>
  <si>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</si>
  <si>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</si>
  <si>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</si>
  <si>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</si>
  <si>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</si>
  <si>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</si>
  <si>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</si>
  <si>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</si>
  <si>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</si>
  <si>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</si>
  <si>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</si>
  <si>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</si>
  <si>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</si>
  <si>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</si>
  <si>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</si>
  <si>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</si>
  <si>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</si>
  <si>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</si>
  <si>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</si>
  <si>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</si>
  <si>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</si>
  <si>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</si>
  <si>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</si>
  <si>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</si>
  <si>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</si>
  <si>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</si>
  <si>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</si>
  <si>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</si>
  <si>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</si>
  <si>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</si>
  <si>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</si>
  <si>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</si>
  <si>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</si>
  <si>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</si>
  <si>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</si>
  <si>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</si>
  <si>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</si>
  <si>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</si>
  <si>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</si>
  <si>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</si>
  <si>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</si>
  <si>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</si>
  <si>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</si>
  <si>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</si>
  <si>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</si>
  <si>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</si>
  <si>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</si>
  <si>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</si>
  <si>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</si>
  <si>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</si>
  <si>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</si>
  <si>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</si>
  <si>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</si>
  <si>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</si>
  <si>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</si>
  <si>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</si>
  <si>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</si>
  <si>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</si>
  <si>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</si>
  <si>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</si>
  <si>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</si>
  <si>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</si>
  <si>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</si>
  <si>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</si>
  <si>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</si>
  <si>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</si>
  <si>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</si>
  <si>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</si>
  <si>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</si>
  <si>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</si>
  <si>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</si>
  <si>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</si>
  <si>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</si>
  <si>
    <t>CAMEL NATURAL FLAVOR 20</t>
  </si>
  <si>
    <t>Contenido</t>
  </si>
  <si>
    <t>Extra bajo</t>
  </si>
  <si>
    <t>Bajo</t>
  </si>
  <si>
    <t>Medio</t>
  </si>
  <si>
    <t>Alto</t>
  </si>
  <si>
    <t>Nivel  Nic</t>
  </si>
  <si>
    <t>WINSTON OASIS FRES 27.4 G</t>
  </si>
  <si>
    <t>VELO SPICY PAPAYA 8MG 15 PZ</t>
  </si>
  <si>
    <t>PALL MALL OSAKA 14 PZ</t>
  </si>
  <si>
    <t>MARLBORO RED 18'S CAJETILLA PZ</t>
  </si>
  <si>
    <t>MARLBORO GOLD 18'S CAJETILLA PZ</t>
  </si>
  <si>
    <t>PALL MALL CHICAGO 20 PZ</t>
  </si>
  <si>
    <t>PALL MALL CHICAGO 14 PZ</t>
  </si>
  <si>
    <t>Plazas o Tiendas que Aplica</t>
  </si>
  <si>
    <t>Reynosa</t>
  </si>
  <si>
    <t>Matamoros</t>
  </si>
  <si>
    <t>Jalisco</t>
  </si>
  <si>
    <t>Saltillo</t>
  </si>
  <si>
    <t>Torreón</t>
  </si>
  <si>
    <t>Nuevo León</t>
  </si>
  <si>
    <t>Tijuana</t>
  </si>
  <si>
    <t>Ensenada</t>
  </si>
  <si>
    <t>Mexicali</t>
  </si>
  <si>
    <t>Hermosillo</t>
  </si>
  <si>
    <t>Puebla</t>
  </si>
  <si>
    <t>Morelos</t>
  </si>
  <si>
    <t>Quintana Roo</t>
  </si>
  <si>
    <t>TOKIO MIDNIGHT PALL MALL 20PZ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</si>
</sst>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53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" fillId="6" borderId="0" xfId="0" applyFont="1" applyFill="1"/>
    <xf numFmtId="0" fontId="2" fillId="5" borderId="1" xfId="1" applyFont="1" applyFill="1" applyBorder="1"/>
    <xf numFmtId="0" fontId="0" fillId="0" borderId="1" xfId="0" applyBorder="1"/>
    <xf numFmtId="1" fontId="5" fillId="0" borderId="1" xfId="0" applyNumberFormat="1" applyFont="1" applyBorder="1"/>
    <xf numFmtId="0" fontId="5" fillId="0" borderId="1" xfId="0" applyFont="1" applyBorder="1"/>
    <xf numFmtId="1" fontId="1" fillId="4" borderId="0" xfId="1" applyNumberFormat="1" applyFill="1"/>
    <xf numFmtId="0" fontId="5" fillId="6" borderId="0" xfId="0" applyFont="1" applyFill="1" applyAlignment="1">
      <alignment vertical="center"/>
    </xf>
    <xf numFmtId="1" fontId="5" fillId="6" borderId="0" xfId="0" applyNumberFormat="1" applyFont="1" applyFill="1" applyAlignment="1">
      <alignment vertical="center"/>
    </xf>
    <xf numFmtId="0" fontId="42" fillId="38" borderId="11" xfId="0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0" fontId="9" fillId="0" borderId="0" xfId="0" applyFont="1"/>
    <xf numFmtId="1" fontId="0" fillId="4" borderId="0" xfId="2" applyNumberFormat="1" applyFont="1" applyFill="1"/>
    <xf numFmtId="1" fontId="5" fillId="4" borderId="0" xfId="0" applyNumberFormat="1" applyFont="1" applyFill="1" applyAlignment="1">
      <alignment horizontal="right"/>
    </xf>
    <xf numFmtId="1" fontId="0" fillId="4" borderId="0" xfId="0" applyNumberFormat="1" applyFill="1"/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14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3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7eleven-my.sharepoint.com/personal/emilio_rodarte_7-eleven_com_mx/Documents/Cigarros%202026/Inv/Articulos%20descontinuados%20(2).xlsx" TargetMode="External"/><Relationship Id="rId1" Type="http://schemas.openxmlformats.org/officeDocument/2006/relationships/externalLinkPath" Target="Articulos%20descontinuados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os y plazas"/>
      <sheetName val="PLAZA"/>
      <sheetName val="master"/>
    </sheetNames>
    <sheetDataSet>
      <sheetData sheetId="0" refreshError="1"/>
      <sheetData sheetId="1" refreshError="1"/>
      <sheetData sheetId="2">
        <row r="1">
          <cell r="A1" t="str">
            <v>ARTICULO</v>
          </cell>
          <cell r="B1" t="str">
            <v>UPC</v>
          </cell>
          <cell r="C1" t="str">
            <v>DESCRIPCIÓN</v>
          </cell>
        </row>
        <row r="2">
          <cell r="A2">
            <v>100024998</v>
          </cell>
          <cell r="B2">
            <v>7311250046988</v>
          </cell>
          <cell r="C2" t="str">
            <v>ZYN SPEARMINT 6MG STRONG CAJETILLA PZ</v>
          </cell>
        </row>
        <row r="3">
          <cell r="A3">
            <v>100024997</v>
          </cell>
          <cell r="B3">
            <v>7311250046971</v>
          </cell>
          <cell r="C3" t="str">
            <v>ZYN SPEARMINT 3MG MEDIUM CAJETILLA PZ</v>
          </cell>
        </row>
        <row r="4">
          <cell r="A4">
            <v>100025304</v>
          </cell>
          <cell r="B4">
            <v>7311250048388</v>
          </cell>
          <cell r="C4" t="str">
            <v>ZYN SPEARMINIT 1.5MG LOW CAJETILLA PZ</v>
          </cell>
        </row>
        <row r="5">
          <cell r="A5">
            <v>100026067</v>
          </cell>
          <cell r="B5">
            <v>7311250035579</v>
          </cell>
          <cell r="C5" t="str">
            <v>ZYN PEACH 6MG STRONG LATA PZ</v>
          </cell>
        </row>
        <row r="6">
          <cell r="A6">
            <v>100026065</v>
          </cell>
          <cell r="B6">
            <v>7311250035593</v>
          </cell>
          <cell r="C6" t="str">
            <v>ZYN PEACH 3MG MEDIUM LATA PZ</v>
          </cell>
        </row>
        <row r="7">
          <cell r="A7">
            <v>100024400</v>
          </cell>
          <cell r="B7">
            <v>7311250044441</v>
          </cell>
          <cell r="C7" t="str">
            <v>ZYN ESPRESSINO MINI STRONG UNIDAD PZ</v>
          </cell>
        </row>
        <row r="8">
          <cell r="A8">
            <v>100024295</v>
          </cell>
          <cell r="B8">
            <v>7311250044434</v>
          </cell>
          <cell r="C8" t="str">
            <v>ZYN ESPRESSINO MINI MEDIUM CAJETILLA PZ</v>
          </cell>
        </row>
        <row r="9">
          <cell r="A9">
            <v>100024399</v>
          </cell>
          <cell r="B9">
            <v>7311250044403</v>
          </cell>
          <cell r="C9" t="str">
            <v>ZYN COOL MINT MINI STRONG UNIDAD PZ</v>
          </cell>
        </row>
        <row r="10">
          <cell r="A10">
            <v>100024294</v>
          </cell>
          <cell r="B10">
            <v>7311250044397</v>
          </cell>
          <cell r="C10" t="str">
            <v>ZYN COOL MINT MINI MEDIUM CAJETILLA PZ</v>
          </cell>
        </row>
        <row r="11">
          <cell r="A11">
            <v>100026064</v>
          </cell>
          <cell r="B11">
            <v>7311250035562</v>
          </cell>
          <cell r="C11" t="str">
            <v>ZYN COOL MINT 1.5MG LOW LATA PZ</v>
          </cell>
        </row>
        <row r="12">
          <cell r="A12">
            <v>100024398</v>
          </cell>
          <cell r="B12">
            <v>7311250044427</v>
          </cell>
          <cell r="C12" t="str">
            <v>ZYN CITRUS MINI STRONG UNIDAD PZ</v>
          </cell>
        </row>
        <row r="13">
          <cell r="A13">
            <v>100024293</v>
          </cell>
          <cell r="B13">
            <v>7311250044410</v>
          </cell>
          <cell r="C13" t="str">
            <v>ZYN CITRUS MINI MEDIUM CAJETILLA PZ</v>
          </cell>
        </row>
        <row r="14">
          <cell r="A14">
            <v>100024397</v>
          </cell>
          <cell r="B14">
            <v>7311250044380</v>
          </cell>
          <cell r="C14" t="str">
            <v>ZYN BLACK CHERRY MINI STRONG UNIDAD PZ</v>
          </cell>
        </row>
        <row r="15">
          <cell r="A15">
            <v>100024289</v>
          </cell>
          <cell r="B15">
            <v>7311250044373</v>
          </cell>
          <cell r="C15" t="str">
            <v>ZYN BLACK CHERRY MINI MEDIUM CAJETILLA PZ</v>
          </cell>
        </row>
        <row r="16">
          <cell r="A16">
            <v>100026062</v>
          </cell>
          <cell r="B16">
            <v>7311250035555</v>
          </cell>
          <cell r="C16" t="str">
            <v>ZYN BLACK CHERRY 1.5MG LOW LATA PZ</v>
          </cell>
        </row>
        <row r="17">
          <cell r="A17">
            <v>100022995</v>
          </cell>
          <cell r="B17">
            <v>7503023959520</v>
          </cell>
          <cell r="C17" t="str">
            <v>WINSTON WINSTON RED 25S 1 PZ</v>
          </cell>
        </row>
        <row r="18">
          <cell r="A18">
            <v>100022996</v>
          </cell>
          <cell r="B18">
            <v>7503023959513</v>
          </cell>
          <cell r="C18" t="str">
            <v>WINSTON WINSTON RED 20S 1 PZ</v>
          </cell>
        </row>
        <row r="19">
          <cell r="A19">
            <v>100025162</v>
          </cell>
          <cell r="B19">
            <v>7503023959452</v>
          </cell>
          <cell r="C19" t="str">
            <v>WINSTON WINSTON CLASSIC 25S 25 PZ</v>
          </cell>
        </row>
        <row r="20">
          <cell r="A20">
            <v>100080896</v>
          </cell>
          <cell r="B20">
            <v>40331362</v>
          </cell>
          <cell r="C20" t="str">
            <v>WINSTON CIGARR CLASSIC  14S CAJET</v>
          </cell>
        </row>
        <row r="21">
          <cell r="A21">
            <v>100080898</v>
          </cell>
          <cell r="B21">
            <v>42138051</v>
          </cell>
          <cell r="C21" t="str">
            <v>WINSTON CIGARR BLUE 20S CAJET</v>
          </cell>
        </row>
        <row r="22">
          <cell r="A22">
            <v>100025053</v>
          </cell>
          <cell r="B22">
            <v>75081942</v>
          </cell>
          <cell r="C22" t="str">
            <v>LUCKIES 20S</v>
          </cell>
        </row>
        <row r="23">
          <cell r="A23">
            <v>100024321</v>
          </cell>
          <cell r="B23">
            <v>75080679</v>
          </cell>
          <cell r="C23" t="str">
            <v>LUCKIES 25S</v>
          </cell>
        </row>
        <row r="24">
          <cell r="A24">
            <v>100012153</v>
          </cell>
          <cell r="B24">
            <v>75063504</v>
          </cell>
          <cell r="C24" t="str">
            <v>LUCKY STRIKE 20S ME TDC 1PZ</v>
          </cell>
        </row>
        <row r="25">
          <cell r="A25">
            <v>100080955</v>
          </cell>
          <cell r="B25">
            <v>75046521</v>
          </cell>
          <cell r="C25" t="str">
            <v>LUCKY STRIKE AMARILLOS 20S</v>
          </cell>
        </row>
        <row r="26">
          <cell r="A26">
            <v>100080952</v>
          </cell>
          <cell r="B26">
            <v>75046545</v>
          </cell>
          <cell r="C26" t="str">
            <v>LUCKY STRIKE AMARILLOS 25S</v>
          </cell>
        </row>
        <row r="27">
          <cell r="A27">
            <v>100004788</v>
          </cell>
          <cell r="B27">
            <v>75051785</v>
          </cell>
          <cell r="C27" t="str">
            <v>LUCKY STRIKE CLICK 4 MIX</v>
          </cell>
        </row>
        <row r="28">
          <cell r="A28">
            <v>100019550</v>
          </cell>
          <cell r="B28">
            <v>75074227</v>
          </cell>
          <cell r="C28" t="str">
            <v>LUCKY STRIKE COMET 20S 1 CAJETILLA</v>
          </cell>
        </row>
        <row r="29">
          <cell r="A29">
            <v>100012997</v>
          </cell>
          <cell r="B29">
            <v>75064716</v>
          </cell>
          <cell r="C29" t="str">
            <v>LUCKY STRIKE ENIGMA 100S 1PZ</v>
          </cell>
        </row>
        <row r="30">
          <cell r="A30">
            <v>100026068</v>
          </cell>
          <cell r="B30">
            <v>75084332</v>
          </cell>
          <cell r="C30" t="str">
            <v>LUCKY STRIKE LUCKIES STICK 20S 20 PZ</v>
          </cell>
        </row>
        <row r="31">
          <cell r="A31">
            <v>100011590</v>
          </cell>
          <cell r="B31">
            <v>7501031700028</v>
          </cell>
          <cell r="C31" t="str">
            <v>LUCKY STRIKE OR255 PPROMO 1PZ</v>
          </cell>
        </row>
        <row r="32">
          <cell r="A32">
            <v>100080975</v>
          </cell>
          <cell r="B32">
            <v>75048129</v>
          </cell>
          <cell r="C32" t="str">
            <v>LUCKY STRIKE ORIGINAL FF 20S TUBE</v>
          </cell>
        </row>
        <row r="33">
          <cell r="A33">
            <v>100020970</v>
          </cell>
          <cell r="B33">
            <v>75076405</v>
          </cell>
          <cell r="C33" t="str">
            <v>MONTANA CLASSI 14S 1 CAJETILLA</v>
          </cell>
        </row>
        <row r="34">
          <cell r="A34">
            <v>100020969</v>
          </cell>
          <cell r="B34">
            <v>75076740</v>
          </cell>
          <cell r="C34" t="str">
            <v>MONTANA CLASSI 20S 1 CAJETILLA</v>
          </cell>
        </row>
        <row r="35">
          <cell r="A35">
            <v>100013075</v>
          </cell>
          <cell r="B35">
            <v>75064747</v>
          </cell>
          <cell r="C35" t="str">
            <v>MONTANA SHOTS 15S 1PZ</v>
          </cell>
        </row>
        <row r="36">
          <cell r="A36">
            <v>100013892</v>
          </cell>
          <cell r="B36">
            <v>75064754</v>
          </cell>
          <cell r="C36" t="str">
            <v>MONTANA SHOTS 1PZ</v>
          </cell>
        </row>
        <row r="37">
          <cell r="A37">
            <v>100023317</v>
          </cell>
          <cell r="B37">
            <v>75078843</v>
          </cell>
          <cell r="C37" t="str">
            <v>MONTANA SHOTS CLASSICS 25 PZ</v>
          </cell>
        </row>
        <row r="38">
          <cell r="A38">
            <v>100016489</v>
          </cell>
          <cell r="B38">
            <v>75071301</v>
          </cell>
          <cell r="C38" t="str">
            <v>PALL MALL ALASKA DUSK 15</v>
          </cell>
        </row>
        <row r="39">
          <cell r="A39">
            <v>100016443</v>
          </cell>
          <cell r="B39">
            <v>75071295</v>
          </cell>
          <cell r="C39" t="str">
            <v>PALL MALL ALASKA DUSK 20</v>
          </cell>
        </row>
        <row r="40">
          <cell r="A40">
            <v>100026387</v>
          </cell>
          <cell r="B40">
            <v>75080501</v>
          </cell>
          <cell r="C40" t="str">
            <v>PALL MALL ARUBA 20 PZ</v>
          </cell>
        </row>
        <row r="41">
          <cell r="A41">
            <v>101000079</v>
          </cell>
          <cell r="B41">
            <v>75079017</v>
          </cell>
          <cell r="C41" t="str">
            <v>PALL MALL BORA BORA SUNBREAK 20 PZ</v>
          </cell>
        </row>
        <row r="42">
          <cell r="A42">
            <v>100025311</v>
          </cell>
          <cell r="B42">
            <v>75083656</v>
          </cell>
          <cell r="C42" t="str">
            <v>TEREA TWILIGHT PEARL 20 CAJETILLA PZ</v>
          </cell>
        </row>
        <row r="43">
          <cell r="A43">
            <v>100024244</v>
          </cell>
          <cell r="B43">
            <v>75006358</v>
          </cell>
          <cell r="C43" t="str">
            <v>TEREA SUN PEARL CAJETILLA PZ</v>
          </cell>
        </row>
        <row r="44">
          <cell r="A44">
            <v>100023686</v>
          </cell>
          <cell r="B44">
            <v>75006938</v>
          </cell>
          <cell r="C44" t="str">
            <v>TEREA SIENNA CAJETILLA PZ</v>
          </cell>
        </row>
        <row r="45">
          <cell r="A45">
            <v>100023685</v>
          </cell>
          <cell r="B45">
            <v>75007461</v>
          </cell>
          <cell r="C45" t="str">
            <v>TEREA RUSSET CAJETILLA PZ</v>
          </cell>
        </row>
        <row r="46">
          <cell r="A46">
            <v>100024999</v>
          </cell>
          <cell r="B46">
            <v>75081652</v>
          </cell>
          <cell r="C46" t="str">
            <v>TEREA PROVENCE PEARL MNT 20 CAJETILLA PZ</v>
          </cell>
        </row>
        <row r="47">
          <cell r="A47">
            <v>100025310</v>
          </cell>
          <cell r="B47">
            <v>75083649</v>
          </cell>
          <cell r="C47" t="str">
            <v>TEREA GLACIER PEARL 20 CAJETILLA PZ</v>
          </cell>
        </row>
        <row r="48">
          <cell r="A48">
            <v>100023682</v>
          </cell>
          <cell r="B48">
            <v>75006396</v>
          </cell>
          <cell r="C48" t="str">
            <v>TEREA BRONZE CAJETILLA PZ</v>
          </cell>
        </row>
        <row r="49">
          <cell r="A49">
            <v>100023681</v>
          </cell>
          <cell r="B49">
            <v>75006389</v>
          </cell>
          <cell r="C49" t="str">
            <v>TEREA BLUE CAJETILLA PZ</v>
          </cell>
        </row>
        <row r="50">
          <cell r="A50">
            <v>100024932</v>
          </cell>
          <cell r="B50">
            <v>75081362</v>
          </cell>
          <cell r="C50" t="str">
            <v>TEREA BLACK TROPICAL CAJETILLA PZ</v>
          </cell>
        </row>
        <row r="51">
          <cell r="A51">
            <v>100024246</v>
          </cell>
          <cell r="B51">
            <v>75007454</v>
          </cell>
          <cell r="C51" t="str">
            <v>TEREA BLACK PURPLE CAJETILLA PZ</v>
          </cell>
        </row>
        <row r="52">
          <cell r="A52">
            <v>100023679</v>
          </cell>
          <cell r="B52">
            <v>75032784</v>
          </cell>
          <cell r="C52" t="str">
            <v>TEREA AMBER CAJETILLA PZ</v>
          </cell>
        </row>
        <row r="53">
          <cell r="A53">
            <v>100080351</v>
          </cell>
          <cell r="B53">
            <v>7501609500241</v>
          </cell>
          <cell r="C53" t="str">
            <v>TE AMO PURO NUM 4 NATURAL PZ</v>
          </cell>
        </row>
        <row r="54">
          <cell r="A54">
            <v>100080762</v>
          </cell>
          <cell r="B54">
            <v>7501609506939</v>
          </cell>
          <cell r="C54" t="str">
            <v>TE AMO PURO MINIPERFECTO CAJET</v>
          </cell>
        </row>
        <row r="55">
          <cell r="A55">
            <v>100017182</v>
          </cell>
          <cell r="B55">
            <v>8414775013578</v>
          </cell>
          <cell r="C55" t="str">
            <v>SMOKING PAPEL ZIGZAG RED 1 PZ</v>
          </cell>
        </row>
        <row r="56">
          <cell r="A56">
            <v>100080938</v>
          </cell>
          <cell r="B56">
            <v>7503006684791</v>
          </cell>
          <cell r="C56" t="str">
            <v>PURO SANTA CRUZ PZ</v>
          </cell>
        </row>
        <row r="57">
          <cell r="A57">
            <v>100024599</v>
          </cell>
          <cell r="B57">
            <v>7501609515894</v>
          </cell>
          <cell r="C57" t="str">
            <v>PURO MATACAN ROBUSTO IND</v>
          </cell>
        </row>
        <row r="58">
          <cell r="A58">
            <v>100080942</v>
          </cell>
          <cell r="B58">
            <v>7503006684838</v>
          </cell>
          <cell r="C58" t="str">
            <v>PURO HABANA PZ</v>
          </cell>
        </row>
        <row r="59">
          <cell r="A59">
            <v>100080943</v>
          </cell>
          <cell r="B59">
            <v>7503006684852</v>
          </cell>
          <cell r="C59" t="str">
            <v>PURO HABANA PZ</v>
          </cell>
        </row>
        <row r="60">
          <cell r="A60">
            <v>100080941</v>
          </cell>
          <cell r="B60">
            <v>7503006684043</v>
          </cell>
          <cell r="C60" t="str">
            <v>PURO HABANA PZ</v>
          </cell>
        </row>
        <row r="61">
          <cell r="A61">
            <v>100080939</v>
          </cell>
          <cell r="B61">
            <v>7503006684395</v>
          </cell>
          <cell r="C61" t="str">
            <v>PURO ARTIGAS BLACK PZ</v>
          </cell>
        </row>
        <row r="62">
          <cell r="A62">
            <v>100080940</v>
          </cell>
          <cell r="B62">
            <v>7503006684807</v>
          </cell>
          <cell r="C62" t="str">
            <v>PURITO HABANA GOLD VA PZ</v>
          </cell>
        </row>
        <row r="63">
          <cell r="A63">
            <v>100016044</v>
          </cell>
          <cell r="B63">
            <v>7465603183667</v>
          </cell>
          <cell r="C63" t="str">
            <v>PRINCIPE PURO FOIL VAINILLA 1 PZ</v>
          </cell>
        </row>
        <row r="64">
          <cell r="A64">
            <v>100016043</v>
          </cell>
          <cell r="B64">
            <v>7465603183636</v>
          </cell>
          <cell r="C64" t="str">
            <v>PRINCIPE PURO FOIL NATURAL 1 PZ</v>
          </cell>
        </row>
        <row r="65">
          <cell r="A65">
            <v>100016042</v>
          </cell>
          <cell r="B65">
            <v>7465603183629</v>
          </cell>
          <cell r="C65" t="str">
            <v>PRINCIPE PURO FOIL CHOCOLATE 1 PZ</v>
          </cell>
        </row>
        <row r="66">
          <cell r="A66">
            <v>100016045</v>
          </cell>
          <cell r="B66">
            <v>7465603180529</v>
          </cell>
          <cell r="C66" t="str">
            <v>PRINCIPE PURO FOIL CEREZA 1 PZ</v>
          </cell>
        </row>
        <row r="67">
          <cell r="A67">
            <v>100017982</v>
          </cell>
          <cell r="B67">
            <v>75071776</v>
          </cell>
          <cell r="C67" t="str">
            <v>PALL MALL CLASSICS 20</v>
          </cell>
        </row>
        <row r="68">
          <cell r="A68">
            <v>100023425</v>
          </cell>
          <cell r="B68">
            <v>75079963</v>
          </cell>
          <cell r="C68" t="str">
            <v>PALL MALL CLASSICS 25 PZ</v>
          </cell>
        </row>
        <row r="69">
          <cell r="A69">
            <v>100020837</v>
          </cell>
          <cell r="B69">
            <v>75074081</v>
          </cell>
          <cell r="C69" t="str">
            <v>PALL MALL EX CLASSI 14S 1 CAJETILLA</v>
          </cell>
        </row>
        <row r="70">
          <cell r="A70">
            <v>100021658</v>
          </cell>
          <cell r="B70">
            <v>75076757</v>
          </cell>
          <cell r="C70" t="str">
            <v>PALL MALL EX GOLD C 14S 1 CAJETILLA</v>
          </cell>
        </row>
        <row r="71">
          <cell r="A71">
            <v>100021978</v>
          </cell>
          <cell r="B71">
            <v>75078638</v>
          </cell>
          <cell r="C71" t="str">
            <v>PALL MALL EX GOLD C 20S 1 CAJETILLA</v>
          </cell>
        </row>
        <row r="72">
          <cell r="A72">
            <v>100018746</v>
          </cell>
          <cell r="B72">
            <v>75073534</v>
          </cell>
          <cell r="C72" t="str">
            <v>PALL MALL EX RED 15 1 CAJETILLA</v>
          </cell>
        </row>
        <row r="73">
          <cell r="A73">
            <v>100018745</v>
          </cell>
          <cell r="B73">
            <v>75073541</v>
          </cell>
          <cell r="C73" t="str">
            <v>PALL MALL EX WHITE 15 1 CAJETILLA</v>
          </cell>
        </row>
        <row r="74">
          <cell r="A74">
            <v>100025670</v>
          </cell>
          <cell r="B74">
            <v>75083786</v>
          </cell>
          <cell r="C74" t="str">
            <v>PALL MALL GOLD SELECT 14 PZ</v>
          </cell>
        </row>
        <row r="75">
          <cell r="A75">
            <v>100025843</v>
          </cell>
          <cell r="B75">
            <v>75084165</v>
          </cell>
          <cell r="C75" t="str">
            <v>PALL MALL TOKYO ROADTRIP CAN 20 PZ</v>
          </cell>
        </row>
        <row r="76">
          <cell r="A76">
            <v>100022118</v>
          </cell>
          <cell r="B76">
            <v>75076429</v>
          </cell>
          <cell r="C76" t="str">
            <v>PALL MALL HAWAII 20S 1 CAJETILLA</v>
          </cell>
        </row>
        <row r="77">
          <cell r="A77">
            <v>100025282</v>
          </cell>
          <cell r="B77">
            <v>75082543</v>
          </cell>
          <cell r="C77" t="str">
            <v>PALL MALL HAWAII SUNLIGHT 15 PZ</v>
          </cell>
        </row>
        <row r="78">
          <cell r="A78">
            <v>100026385</v>
          </cell>
          <cell r="B78">
            <v>75080525</v>
          </cell>
          <cell r="C78" t="str">
            <v>PALL MALL HONOLULU 20 PZ</v>
          </cell>
        </row>
        <row r="79">
          <cell r="A79">
            <v>100026386</v>
          </cell>
          <cell r="B79">
            <v>75080495</v>
          </cell>
          <cell r="C79" t="str">
            <v>PALL MALL ICELAND 20 PZ</v>
          </cell>
        </row>
        <row r="80">
          <cell r="A80">
            <v>100022233</v>
          </cell>
          <cell r="B80">
            <v>75076412</v>
          </cell>
          <cell r="C80" t="str">
            <v>PALL MALL LONDON 20S 1 CAJETILLA</v>
          </cell>
        </row>
        <row r="81">
          <cell r="A81">
            <v>100012746</v>
          </cell>
          <cell r="B81">
            <v>75064648</v>
          </cell>
          <cell r="C81" t="str">
            <v>PALL MALL MYKONOS NIGHTFALL 20</v>
          </cell>
        </row>
        <row r="82">
          <cell r="A82">
            <v>100014187</v>
          </cell>
          <cell r="B82">
            <v>75068363</v>
          </cell>
          <cell r="C82" t="str">
            <v>PALL MALL NEW YORK 20</v>
          </cell>
        </row>
        <row r="83">
          <cell r="A83">
            <v>100026388</v>
          </cell>
          <cell r="B83">
            <v>75080518</v>
          </cell>
          <cell r="C83" t="str">
            <v>PALL MALL OSAKA 20 PZ</v>
          </cell>
        </row>
        <row r="84">
          <cell r="A84">
            <v>100025673</v>
          </cell>
          <cell r="B84">
            <v>75083779</v>
          </cell>
          <cell r="C84" t="str">
            <v>PALL MALL PALL MALL GOLD SELECT 20 PZ</v>
          </cell>
        </row>
        <row r="85">
          <cell r="A85">
            <v>100025677</v>
          </cell>
          <cell r="B85">
            <v>75083793</v>
          </cell>
          <cell r="C85" t="str">
            <v>PALL MALL PALL MALL RED SELECT 25 PZ</v>
          </cell>
        </row>
        <row r="86">
          <cell r="A86">
            <v>100025672</v>
          </cell>
          <cell r="B86">
            <v>75083762</v>
          </cell>
          <cell r="C86" t="str">
            <v>PALL MALL PALL MALL SELECT 14 PZ</v>
          </cell>
        </row>
        <row r="87">
          <cell r="A87">
            <v>100025675</v>
          </cell>
          <cell r="B87">
            <v>75083755</v>
          </cell>
          <cell r="C87" t="str">
            <v>PALL MALL PALL MALL SELECT 20 PZ</v>
          </cell>
        </row>
        <row r="88">
          <cell r="A88">
            <v>100025844</v>
          </cell>
          <cell r="B88">
            <v>75084172</v>
          </cell>
          <cell r="C88" t="str">
            <v>PALL MALL MYKONOS ROADTRIP CAN 20 PZ</v>
          </cell>
        </row>
        <row r="89">
          <cell r="A89">
            <v>100025850</v>
          </cell>
          <cell r="B89">
            <v>75083632</v>
          </cell>
          <cell r="C89" t="str">
            <v>PALL MALL PM MANILA DAYLIGHT 20 PZ</v>
          </cell>
        </row>
        <row r="90">
          <cell r="A90">
            <v>100025847</v>
          </cell>
          <cell r="B90">
            <v>75084141</v>
          </cell>
          <cell r="C90" t="str">
            <v>PALL MALL MIAMI ROADTRIP CAN 20 PZ</v>
          </cell>
        </row>
        <row r="91">
          <cell r="A91">
            <v>100025848</v>
          </cell>
          <cell r="B91">
            <v>75084486</v>
          </cell>
          <cell r="C91" t="str">
            <v>PALL MALL MANILA ROADTRIP CAN 20 PZ</v>
          </cell>
        </row>
        <row r="92">
          <cell r="A92">
            <v>100013077</v>
          </cell>
          <cell r="B92">
            <v>75064761</v>
          </cell>
          <cell r="C92" t="str">
            <v>PALL MALL RED 15 1PZ</v>
          </cell>
        </row>
        <row r="93">
          <cell r="A93">
            <v>100016413</v>
          </cell>
          <cell r="B93">
            <v>75071455</v>
          </cell>
          <cell r="C93" t="str">
            <v>PALL MALL RED 20</v>
          </cell>
        </row>
        <row r="94">
          <cell r="A94">
            <v>100025845</v>
          </cell>
          <cell r="B94">
            <v>75084127</v>
          </cell>
          <cell r="C94" t="str">
            <v>PALL MALL HAWAII ROADTRIP CAN 20 PZ</v>
          </cell>
        </row>
        <row r="95">
          <cell r="A95">
            <v>100013891</v>
          </cell>
          <cell r="B95">
            <v>75064778</v>
          </cell>
          <cell r="C95" t="str">
            <v>PALL MALL RED 25 1PZ</v>
          </cell>
        </row>
        <row r="96">
          <cell r="A96">
            <v>100080802</v>
          </cell>
          <cell r="B96">
            <v>75027766</v>
          </cell>
          <cell r="C96" t="str">
            <v>PALL MALL RED AND CLICK 20</v>
          </cell>
        </row>
        <row r="97">
          <cell r="A97">
            <v>100010093</v>
          </cell>
          <cell r="B97">
            <v>75061777</v>
          </cell>
          <cell r="C97" t="str">
            <v>PALL MALL TOKIO MIDNIGHT 15S</v>
          </cell>
        </row>
        <row r="98">
          <cell r="A98">
            <v>100005585</v>
          </cell>
          <cell r="B98">
            <v>75052836</v>
          </cell>
          <cell r="C98" t="str">
            <v>PALL MALL TOKYO MIDNIGHT 20</v>
          </cell>
        </row>
        <row r="99">
          <cell r="A99">
            <v>100013078</v>
          </cell>
          <cell r="B99">
            <v>75064785</v>
          </cell>
          <cell r="C99" t="str">
            <v>PALL MALL WHITE 15 1PZ</v>
          </cell>
        </row>
        <row r="100">
          <cell r="A100">
            <v>100016412</v>
          </cell>
          <cell r="B100">
            <v>75071479</v>
          </cell>
          <cell r="C100" t="str">
            <v>PALL MALL WHITE 20</v>
          </cell>
        </row>
        <row r="101">
          <cell r="A101">
            <v>100080644</v>
          </cell>
          <cell r="B101">
            <v>8346917</v>
          </cell>
          <cell r="C101" t="str">
            <v>PALL MALL WHITE AND CLICK 20</v>
          </cell>
        </row>
        <row r="102">
          <cell r="A102">
            <v>100019234</v>
          </cell>
          <cell r="B102">
            <v>75074975</v>
          </cell>
          <cell r="C102" t="str">
            <v>PALL MALL XL ALASKA 15S 1 CAJETILLA</v>
          </cell>
        </row>
        <row r="103">
          <cell r="A103">
            <v>100024596</v>
          </cell>
          <cell r="B103">
            <v>75081058</v>
          </cell>
          <cell r="C103" t="str">
            <v>PALL MALL XL MIAMI PARADISE 20S 20 PZ</v>
          </cell>
        </row>
        <row r="104">
          <cell r="A104">
            <v>100019233</v>
          </cell>
          <cell r="B104">
            <v>75074999</v>
          </cell>
          <cell r="C104" t="str">
            <v>PALL MALL XL MYKONO 15S 1 CAJETILLA</v>
          </cell>
        </row>
        <row r="105">
          <cell r="A105">
            <v>100025846</v>
          </cell>
          <cell r="B105">
            <v>75084134</v>
          </cell>
          <cell r="C105" t="str">
            <v>PALL MALL BORA BORA ROADTRIP CAN 20 PZ</v>
          </cell>
        </row>
        <row r="106">
          <cell r="A106">
            <v>100025842</v>
          </cell>
          <cell r="B106">
            <v>75084189</v>
          </cell>
          <cell r="C106" t="str">
            <v>PALL MALL ALASKA ROADTRIP CAN 20 PZ</v>
          </cell>
        </row>
        <row r="107">
          <cell r="A107">
            <v>100020838</v>
          </cell>
          <cell r="B107">
            <v>75074944</v>
          </cell>
          <cell r="C107" t="str">
            <v>PALL MALL XL RÍO SU 20S 1 CAJETILLA</v>
          </cell>
        </row>
        <row r="108">
          <cell r="A108">
            <v>100019230</v>
          </cell>
          <cell r="B108">
            <v>75074982</v>
          </cell>
          <cell r="C108" t="str">
            <v>PALL MALL XL TOKYO 15S 1 CAJETILLA</v>
          </cell>
        </row>
        <row r="109">
          <cell r="A109">
            <v>100025893</v>
          </cell>
          <cell r="B109">
            <v>7503039738447</v>
          </cell>
          <cell r="C109" t="str">
            <v>VELO CHERRY ICE 6 MG 15 PZ</v>
          </cell>
        </row>
        <row r="110">
          <cell r="A110">
            <v>100026306</v>
          </cell>
          <cell r="B110">
            <v>7503039738584</v>
          </cell>
          <cell r="C110" t="str">
            <v>VELO CHERRY ICE 6 MG TC COLOR 15 PZ</v>
          </cell>
        </row>
        <row r="111">
          <cell r="A111">
            <v>100024419</v>
          </cell>
          <cell r="B111">
            <v>7702303622080</v>
          </cell>
          <cell r="C111" t="str">
            <v>VELO GREEN SPEARMINT 4 MG 15 PZ</v>
          </cell>
        </row>
        <row r="112">
          <cell r="A112">
            <v>100026071</v>
          </cell>
          <cell r="B112">
            <v>7503039738508</v>
          </cell>
          <cell r="C112" t="str">
            <v>VELO GREEN SPEARMINT 4 MG TC BK 15 PZ</v>
          </cell>
        </row>
        <row r="113">
          <cell r="A113">
            <v>100024420</v>
          </cell>
          <cell r="B113">
            <v>7702303121477</v>
          </cell>
          <cell r="C113" t="str">
            <v>VELO GREEN SPEARMINT 6 MG 15 PZ</v>
          </cell>
        </row>
        <row r="114">
          <cell r="A114">
            <v>100016248</v>
          </cell>
          <cell r="B114">
            <v>25900000400</v>
          </cell>
          <cell r="C114" t="str">
            <v>MINITIP CIGARR VAINILLA 1 PZ</v>
          </cell>
        </row>
        <row r="115">
          <cell r="A115">
            <v>100009364</v>
          </cell>
          <cell r="B115">
            <v>7503023648011</v>
          </cell>
          <cell r="C115" t="str">
            <v>MAZATAN PURO TORO PZ</v>
          </cell>
        </row>
        <row r="116">
          <cell r="A116">
            <v>100009359</v>
          </cell>
          <cell r="B116">
            <v>7503023648042</v>
          </cell>
          <cell r="C116" t="str">
            <v>MAZATAN PURO PETTITE PANATELA PZ</v>
          </cell>
        </row>
        <row r="117">
          <cell r="A117">
            <v>100080381</v>
          </cell>
          <cell r="B117">
            <v>7501609501804</v>
          </cell>
          <cell r="C117" t="str">
            <v>MATACAN PURO NO.7 CAJET</v>
          </cell>
        </row>
        <row r="118">
          <cell r="A118">
            <v>100020133</v>
          </cell>
          <cell r="B118">
            <v>75075217</v>
          </cell>
          <cell r="C118" t="str">
            <v>MARLBORO VISTA SUMMER FUSIO 1 CAJETILLA</v>
          </cell>
        </row>
        <row r="119">
          <cell r="A119">
            <v>100018656</v>
          </cell>
          <cell r="B119">
            <v>75001360</v>
          </cell>
          <cell r="C119" t="str">
            <v>MARLBORO VISTA GARDEN 20 1 CAJETILLA</v>
          </cell>
        </row>
        <row r="120">
          <cell r="A120">
            <v>100018872</v>
          </cell>
          <cell r="B120">
            <v>75001384</v>
          </cell>
          <cell r="C120" t="str">
            <v>MARLBORO VISTA ARTIC 20 1 CAJETILLA</v>
          </cell>
        </row>
        <row r="121">
          <cell r="A121">
            <v>100021790</v>
          </cell>
          <cell r="B121">
            <v>75019006</v>
          </cell>
          <cell r="C121" t="str">
            <v>MARLBORO VISTA  CARIBBEAN 1 CAJETILLA</v>
          </cell>
        </row>
        <row r="122">
          <cell r="A122">
            <v>100014868</v>
          </cell>
          <cell r="B122">
            <v>75068769</v>
          </cell>
          <cell r="C122" t="str">
            <v>MARLBORO VELVET 100 BOX 20 1 CAJETILLA</v>
          </cell>
        </row>
        <row r="123">
          <cell r="A123">
            <v>100025332</v>
          </cell>
          <cell r="B123">
            <v>75032807</v>
          </cell>
          <cell r="C123" t="str">
            <v>MARLBORO URBAN SHUFFLE 100 BOX 20 CAJETILLA PZ</v>
          </cell>
        </row>
        <row r="124">
          <cell r="A124">
            <v>100013110</v>
          </cell>
          <cell r="B124">
            <v>75065515</v>
          </cell>
          <cell r="C124" t="str">
            <v>MARLBORO RUBY 14 1CAJETILLA</v>
          </cell>
        </row>
        <row r="125">
          <cell r="A125">
            <v>100014711</v>
          </cell>
          <cell r="B125">
            <v>75068783</v>
          </cell>
          <cell r="C125" t="str">
            <v>MARLBORO RUBY 100 BOX 20 1CAJE</v>
          </cell>
        </row>
        <row r="126">
          <cell r="A126">
            <v>100014569</v>
          </cell>
          <cell r="B126">
            <v>75068813</v>
          </cell>
          <cell r="C126" t="str">
            <v>MARLBORO RED 100 CAPS 14 1CAJE</v>
          </cell>
        </row>
        <row r="127">
          <cell r="A127">
            <v>100024881</v>
          </cell>
          <cell r="B127">
            <v>75082345</v>
          </cell>
          <cell r="C127" t="str">
            <v>MARLBORO PROVENCE FUSION MNT 100 BOX 20 CAJETILLA PZ</v>
          </cell>
        </row>
        <row r="128">
          <cell r="A128">
            <v>100023312</v>
          </cell>
          <cell r="B128">
            <v>75006297</v>
          </cell>
          <cell r="C128" t="str">
            <v>MARLBORO MARLBORO CRAFTED RED 2.0 100 BOX 20 CAJETILLA PZ</v>
          </cell>
        </row>
        <row r="129">
          <cell r="A129">
            <v>100023311</v>
          </cell>
          <cell r="B129">
            <v>75006266</v>
          </cell>
          <cell r="C129" t="str">
            <v>MARLBORO MARLBORO CRAFTED 2.0 GOLD 100 BOX 20 CAJETILLA PZ</v>
          </cell>
        </row>
        <row r="130">
          <cell r="A130">
            <v>100024134</v>
          </cell>
          <cell r="B130">
            <v>75006587</v>
          </cell>
          <cell r="C130" t="str">
            <v>MARLBORO LUNA SHUFFLE 100 BOX 20 STD CAJETILLA PZ</v>
          </cell>
        </row>
        <row r="131">
          <cell r="A131">
            <v>100080928</v>
          </cell>
          <cell r="B131">
            <v>75044916</v>
          </cell>
          <cell r="C131" t="str">
            <v>MARLBORO KRETEK MINT</v>
          </cell>
        </row>
        <row r="132">
          <cell r="A132">
            <v>100015186</v>
          </cell>
          <cell r="B132">
            <v>75068844</v>
          </cell>
          <cell r="C132" t="str">
            <v>MARLBORO GOLD KS SRR 14 1 CAJETILLA</v>
          </cell>
        </row>
        <row r="133">
          <cell r="A133">
            <v>100015037</v>
          </cell>
          <cell r="B133">
            <v>75068745</v>
          </cell>
          <cell r="C133" t="str">
            <v>MARLBORO GOLD KS SOF 20 1 CAJETILLA</v>
          </cell>
        </row>
        <row r="134">
          <cell r="A134">
            <v>100014570</v>
          </cell>
          <cell r="B134">
            <v>75068738</v>
          </cell>
          <cell r="C134" t="str">
            <v>MARLBORO GOLD 20 RCB 1CAJE</v>
          </cell>
        </row>
        <row r="135">
          <cell r="A135">
            <v>100013136</v>
          </cell>
          <cell r="B135">
            <v>75066345</v>
          </cell>
          <cell r="C135" t="str">
            <v>MARLBORO FUSION SUMMER 100BOX 1CAJ</v>
          </cell>
        </row>
        <row r="136">
          <cell r="A136">
            <v>101000062</v>
          </cell>
          <cell r="B136">
            <v>75006372</v>
          </cell>
          <cell r="C136" t="str">
            <v>MARLBORO FOREST FUSION CAJETILLA PZ</v>
          </cell>
        </row>
        <row r="137">
          <cell r="A137">
            <v>100022336</v>
          </cell>
          <cell r="B137">
            <v>75066413</v>
          </cell>
          <cell r="C137" t="str">
            <v>MARLBORO CRAFTED 25S CAJETILLA</v>
          </cell>
        </row>
        <row r="138">
          <cell r="A138">
            <v>100022523</v>
          </cell>
          <cell r="B138">
            <v>75019563</v>
          </cell>
          <cell r="C138" t="str">
            <v>MARLBORO CRAFTED 20S CAJETILLA</v>
          </cell>
        </row>
        <row r="139">
          <cell r="A139">
            <v>100022965</v>
          </cell>
          <cell r="B139">
            <v>75019570</v>
          </cell>
          <cell r="C139" t="str">
            <v>MARLBORO CRAFTED 2.0 GOLD KS BOX 20</v>
          </cell>
        </row>
        <row r="140">
          <cell r="A140">
            <v>100022335</v>
          </cell>
          <cell r="B140">
            <v>75019587</v>
          </cell>
          <cell r="C140" t="str">
            <v>MARLBORO CRAFTED 15S CAJETILLAPZ</v>
          </cell>
        </row>
        <row r="141">
          <cell r="A141">
            <v>100080028</v>
          </cell>
          <cell r="B141">
            <v>75001315</v>
          </cell>
          <cell r="C141" t="str">
            <v>MARLBORO CIGARR ROJO CL CS CAJET</v>
          </cell>
        </row>
        <row r="142">
          <cell r="A142">
            <v>100080027</v>
          </cell>
          <cell r="B142">
            <v>75001322</v>
          </cell>
          <cell r="C142" t="str">
            <v>MARLBORO CIGARR ROJO CD CAJET</v>
          </cell>
        </row>
        <row r="143">
          <cell r="A143">
            <v>100080257</v>
          </cell>
          <cell r="B143">
            <v>75001339</v>
          </cell>
          <cell r="C143" t="str">
            <v>MARLBORO CIGARR ROJO 14S CD CAJET</v>
          </cell>
        </row>
        <row r="144">
          <cell r="A144">
            <v>100080820</v>
          </cell>
          <cell r="B144">
            <v>75031053</v>
          </cell>
          <cell r="C144" t="str">
            <v>MARLBORO CIGARR ICEEXPRESS CAJET</v>
          </cell>
        </row>
        <row r="145">
          <cell r="A145">
            <v>100080904</v>
          </cell>
          <cell r="B145">
            <v>75043247</v>
          </cell>
          <cell r="C145" t="str">
            <v>MARLBORO CIGARR ICE XPRESS 14 CAJET</v>
          </cell>
        </row>
        <row r="146">
          <cell r="A146">
            <v>100080850</v>
          </cell>
          <cell r="B146">
            <v>75035259</v>
          </cell>
          <cell r="C146" t="str">
            <v>MARLBORO CIGARR GOLD 100S CAJET</v>
          </cell>
        </row>
        <row r="147">
          <cell r="A147">
            <v>100080903</v>
          </cell>
          <cell r="B147">
            <v>75042646</v>
          </cell>
          <cell r="C147" t="str">
            <v>MARLBORO CIGARR GOLD 100 14S CAJET</v>
          </cell>
        </row>
        <row r="148">
          <cell r="A148">
            <v>100080687</v>
          </cell>
          <cell r="B148">
            <v>75021597</v>
          </cell>
          <cell r="C148" t="str">
            <v>MARLBORO CIGARR 100S CD CAJET</v>
          </cell>
        </row>
        <row r="149">
          <cell r="A149">
            <v>100019981</v>
          </cell>
          <cell r="B149">
            <v>75074746</v>
          </cell>
          <cell r="C149" t="str">
            <v>MARLBORO BLOSSO VISTA BLOSSOM 1 CAJETILLA</v>
          </cell>
        </row>
        <row r="150">
          <cell r="A150">
            <v>100080372</v>
          </cell>
          <cell r="B150">
            <v>7501609501521</v>
          </cell>
          <cell r="C150" t="str">
            <v>MAGNIFICOS PURO CAJET</v>
          </cell>
        </row>
        <row r="151">
          <cell r="A151">
            <v>100026301</v>
          </cell>
          <cell r="B151">
            <v>7503039738546</v>
          </cell>
          <cell r="C151" t="str">
            <v>VELO GREEN SPEARMINT 6MG TC COLOR 15 PZ</v>
          </cell>
        </row>
        <row r="152">
          <cell r="A152">
            <v>100025297</v>
          </cell>
          <cell r="B152">
            <v>7503039738393</v>
          </cell>
          <cell r="C152" t="str">
            <v>VELO GREEN SPEARMINT 8 MG 20 PZ</v>
          </cell>
        </row>
        <row r="153">
          <cell r="A153">
            <v>100024462</v>
          </cell>
          <cell r="B153">
            <v>7707200946741</v>
          </cell>
          <cell r="C153" t="str">
            <v>VELO POLAR PEPPERMINT 4 MG 15 PZ</v>
          </cell>
        </row>
        <row r="154">
          <cell r="A154">
            <v>100026070</v>
          </cell>
          <cell r="B154">
            <v>7503039738492</v>
          </cell>
          <cell r="C154" t="str">
            <v>VELO POLAR PEPPERMINT 4 MG TC BK 15 PZ</v>
          </cell>
        </row>
        <row r="155">
          <cell r="A155">
            <v>100024465</v>
          </cell>
          <cell r="B155">
            <v>7707200943245</v>
          </cell>
          <cell r="C155" t="str">
            <v>VELO POLAR PEPPERMINT 6 MG 15 PZ</v>
          </cell>
        </row>
        <row r="156">
          <cell r="A156">
            <v>100026300</v>
          </cell>
          <cell r="B156">
            <v>7503039738539</v>
          </cell>
          <cell r="C156" t="str">
            <v>VELO POLAR PEPPERMINT 6MG TC COLOR 15 PZ</v>
          </cell>
        </row>
        <row r="157">
          <cell r="A157">
            <v>100025298</v>
          </cell>
          <cell r="B157">
            <v>7503039738416</v>
          </cell>
          <cell r="C157" t="str">
            <v>VELO POLAR PEPPERMINT 8 MG 20 PZ</v>
          </cell>
        </row>
        <row r="158">
          <cell r="A158">
            <v>100025894</v>
          </cell>
          <cell r="B158">
            <v>7503039738461</v>
          </cell>
          <cell r="C158" t="str">
            <v>VELO PURPLE GRAPE 6MG 15 PZ</v>
          </cell>
        </row>
        <row r="159">
          <cell r="A159">
            <v>100026307</v>
          </cell>
          <cell r="B159">
            <v>7503039738591</v>
          </cell>
          <cell r="C159" t="str">
            <v>VELO PURPLE GRAPE 6MG TC COLOR 15 PZ</v>
          </cell>
        </row>
        <row r="160">
          <cell r="A160">
            <v>100024417</v>
          </cell>
          <cell r="B160">
            <v>7702303391467</v>
          </cell>
          <cell r="C160" t="str">
            <v>VELO STRAWBERRY ICE 4 MG 15 PZ</v>
          </cell>
        </row>
        <row r="161">
          <cell r="A161">
            <v>100026072</v>
          </cell>
          <cell r="B161">
            <v>7503039738515</v>
          </cell>
          <cell r="C161" t="str">
            <v>VELO STRAWBERRY ICE 4 MG TC BK 15 PZ</v>
          </cell>
        </row>
        <row r="162">
          <cell r="A162">
            <v>100021048</v>
          </cell>
          <cell r="B162">
            <v>75005481</v>
          </cell>
          <cell r="C162" t="str">
            <v>LM LM 25S 25S 1 CAJETILLA</v>
          </cell>
        </row>
        <row r="163">
          <cell r="A163">
            <v>100020945</v>
          </cell>
          <cell r="B163">
            <v>75022266</v>
          </cell>
          <cell r="C163" t="str">
            <v>LM LM 14S 14S 1 CAJETILLA</v>
          </cell>
        </row>
        <row r="164">
          <cell r="A164">
            <v>100080353</v>
          </cell>
          <cell r="B164">
            <v>2168</v>
          </cell>
          <cell r="C164" t="str">
            <v>LAGUNAS PURO C/5 PZAS CAJET</v>
          </cell>
        </row>
        <row r="165">
          <cell r="A165">
            <v>100018038</v>
          </cell>
          <cell r="B165">
            <v>75069902</v>
          </cell>
          <cell r="C165" t="str">
            <v>L&amp;M RED KS BOX 20 1 CAJETILLA</v>
          </cell>
        </row>
        <row r="166">
          <cell r="A166">
            <v>100016254</v>
          </cell>
          <cell r="B166">
            <v>25900000295</v>
          </cell>
          <cell r="C166" t="str">
            <v>KING EDWARD PURO  ORIGINAL 1 PZ</v>
          </cell>
        </row>
        <row r="167">
          <cell r="A167">
            <v>100009916</v>
          </cell>
          <cell r="B167">
            <v>33300200573</v>
          </cell>
          <cell r="C167" t="str">
            <v>KAYAK TABACO MASTICABLE STRAIGH 34.02</v>
          </cell>
        </row>
        <row r="168">
          <cell r="A168">
            <v>100080763</v>
          </cell>
          <cell r="B168">
            <v>7501609506908</v>
          </cell>
          <cell r="C168" t="str">
            <v>HUMIDIBG PURO PLATINUM CAJET</v>
          </cell>
        </row>
        <row r="169">
          <cell r="A169">
            <v>100080946</v>
          </cell>
          <cell r="B169">
            <v>7502236550173</v>
          </cell>
          <cell r="C169" t="str">
            <v>GOLD SOFT PUROS HAB GOLD SOFT PZ</v>
          </cell>
        </row>
        <row r="170">
          <cell r="A170">
            <v>100080944</v>
          </cell>
          <cell r="B170">
            <v>7502236550180</v>
          </cell>
          <cell r="C170" t="str">
            <v>GOLD SOFT PUROS GOLD SOFT VAIN PZ</v>
          </cell>
        </row>
        <row r="171">
          <cell r="A171">
            <v>100080945</v>
          </cell>
          <cell r="B171">
            <v>7502236550197</v>
          </cell>
          <cell r="C171" t="str">
            <v>GOLD SOFT PURO PZ</v>
          </cell>
        </row>
        <row r="172">
          <cell r="A172">
            <v>100024320</v>
          </cell>
          <cell r="B172">
            <v>75006280</v>
          </cell>
          <cell r="C172" t="str">
            <v>FAROS FAROS KS BOX 25 CAJETILLA PZ</v>
          </cell>
        </row>
        <row r="173">
          <cell r="A173">
            <v>100021977</v>
          </cell>
          <cell r="B173">
            <v>75004385</v>
          </cell>
          <cell r="C173" t="str">
            <v>FAROS FAROS FAROS 14 1 CAJETILLA</v>
          </cell>
        </row>
        <row r="174">
          <cell r="A174">
            <v>100080034</v>
          </cell>
          <cell r="B174">
            <v>75001476</v>
          </cell>
          <cell r="C174" t="str">
            <v>DELICADOS CIGARR OVALADOS CAJET</v>
          </cell>
        </row>
        <row r="175">
          <cell r="A175">
            <v>100021814</v>
          </cell>
          <cell r="B175">
            <v>7503023959490</v>
          </cell>
          <cell r="C175" t="str">
            <v>CAMEL SWITCH 100S 27.4 G</v>
          </cell>
        </row>
        <row r="176">
          <cell r="A176">
            <v>100014678</v>
          </cell>
          <cell r="B176">
            <v>7503023959148</v>
          </cell>
          <cell r="C176" t="str">
            <v xml:space="preserve">CAMEL NATURAL FLAVOR 20						</v>
          </cell>
        </row>
        <row r="177">
          <cell r="A177">
            <v>100021813</v>
          </cell>
          <cell r="B177">
            <v>7503023959506</v>
          </cell>
          <cell r="C177" t="str">
            <v>CAMEL MAX DOUBLE 1 27.4 G</v>
          </cell>
        </row>
        <row r="178">
          <cell r="A178">
            <v>100012957</v>
          </cell>
          <cell r="B178">
            <v>7503023959001</v>
          </cell>
          <cell r="C178" t="str">
            <v>CAMEL FILTERS 20S 1CAJE</v>
          </cell>
        </row>
        <row r="179">
          <cell r="A179">
            <v>100025152</v>
          </cell>
          <cell r="B179">
            <v>7503023959629</v>
          </cell>
          <cell r="C179" t="str">
            <v>CAMEL CAMEL TROPICAL BREW DOBLE CÁPSULA 20 PZ</v>
          </cell>
        </row>
        <row r="180">
          <cell r="A180">
            <v>100022971</v>
          </cell>
          <cell r="B180">
            <v>7503023959278</v>
          </cell>
          <cell r="C180" t="str">
            <v>CAMEL CAMEL FILTERS ORIGINAL 25S 29 GR</v>
          </cell>
        </row>
        <row r="181">
          <cell r="A181">
            <v>100080957</v>
          </cell>
          <cell r="B181">
            <v>75047337</v>
          </cell>
          <cell r="C181" t="str">
            <v>BENSON&amp;HEDGES PEARL CAPS CAJETILLA</v>
          </cell>
        </row>
        <row r="182">
          <cell r="A182">
            <v>100009230</v>
          </cell>
          <cell r="B182">
            <v>75059514</v>
          </cell>
          <cell r="C182" t="str">
            <v>BENSON&amp;HEDGES CRYSTAL BLUE PZ</v>
          </cell>
        </row>
        <row r="183">
          <cell r="A183">
            <v>100004048</v>
          </cell>
          <cell r="B183">
            <v>75050443</v>
          </cell>
          <cell r="C183" t="str">
            <v>BENSON&amp;HEDGE GOLD PEARL</v>
          </cell>
        </row>
        <row r="184">
          <cell r="A184">
            <v>100014714</v>
          </cell>
          <cell r="B184">
            <v>75068776</v>
          </cell>
          <cell r="C184" t="str">
            <v>BENSON&amp;HEDGE GOLD 100 RCB 20 1CAJE</v>
          </cell>
        </row>
        <row r="185">
          <cell r="A185">
            <v>100007108</v>
          </cell>
          <cell r="B185">
            <v>75056308</v>
          </cell>
          <cell r="C185" t="str">
            <v>BENSON&amp;HEDGE CRYSTAL VIOLET PZ</v>
          </cell>
        </row>
        <row r="186">
          <cell r="A186">
            <v>100080440</v>
          </cell>
          <cell r="B186">
            <v>75016777</v>
          </cell>
          <cell r="C186" t="str">
            <v>BENSON&amp;HEDGE CIGARR MENTHOL CD CAJET</v>
          </cell>
        </row>
        <row r="187">
          <cell r="A187">
            <v>100014779</v>
          </cell>
          <cell r="B187">
            <v>7503006684425</v>
          </cell>
          <cell r="C187" t="str">
            <v xml:space="preserve">ARTIGAS/CARL PURO MIX ROBUSTO SABOR  50GR					</v>
          </cell>
        </row>
        <row r="188">
          <cell r="A188">
            <v>100014778</v>
          </cell>
          <cell r="B188">
            <v>7502236550005</v>
          </cell>
          <cell r="C188" t="str">
            <v xml:space="preserve">ARTIGAS/CARL PURO MIX PLUS ROBUSTO M 50GR					</v>
          </cell>
        </row>
        <row r="189">
          <cell r="A189">
            <v>100080948</v>
          </cell>
          <cell r="B189">
            <v>7502236550067</v>
          </cell>
          <cell r="C189" t="str">
            <v>ARTIGAS/CARL PURO MIX PLUS ROBUSTO G 50GR</v>
          </cell>
        </row>
        <row r="190">
          <cell r="A190">
            <v>100014777</v>
          </cell>
          <cell r="B190">
            <v>7503006684388</v>
          </cell>
          <cell r="C190" t="str">
            <v xml:space="preserve">ARTIGAS/CARL PURO MIX PLUS CORONA MA 40GR						</v>
          </cell>
        </row>
        <row r="191">
          <cell r="A191">
            <v>100080947</v>
          </cell>
          <cell r="B191">
            <v>7502236550043</v>
          </cell>
          <cell r="C191" t="str">
            <v>ARTIGAS/CARL PURO MIX PLUS CORONA GO 40GR</v>
          </cell>
        </row>
        <row r="192">
          <cell r="A192">
            <v>100014775</v>
          </cell>
          <cell r="B192">
            <v>7502236550012</v>
          </cell>
          <cell r="C192" t="str">
            <v xml:space="preserve">ARTIGAS/CARL PURO MIX PLUS BELICOSO  50GR				</v>
          </cell>
        </row>
        <row r="193">
          <cell r="A193">
            <v>100014774</v>
          </cell>
          <cell r="B193">
            <v>7503006684487</v>
          </cell>
          <cell r="C193" t="str">
            <v xml:space="preserve">ARTIGAS/CARL PURO MIX CORONA SABOR C 40GR				</v>
          </cell>
        </row>
        <row r="194">
          <cell r="A194">
            <v>100014772</v>
          </cell>
          <cell r="B194">
            <v>7503006684326</v>
          </cell>
          <cell r="C194" t="str">
            <v xml:space="preserve">ARTIGAS/CARL PURO MIX BELICOSO T/C H 50GR									</v>
          </cell>
        </row>
        <row r="195">
          <cell r="A195">
            <v>100024288</v>
          </cell>
          <cell r="B195">
            <v>7622100558453</v>
          </cell>
          <cell r="C195" t="str">
            <v xml:space="preserve"> IQOS ILUMA PEBBLE GREY CAJETILLA PZ</v>
          </cell>
        </row>
        <row r="196">
          <cell r="A196">
            <v>100024859</v>
          </cell>
          <cell r="B196">
            <v>7622100558323</v>
          </cell>
          <cell r="C196" t="str">
            <v xml:space="preserve"> IQOS ILUMA ONE SUNSET RED - CAJETILLA PZ</v>
          </cell>
        </row>
        <row r="197">
          <cell r="A197">
            <v>100024286</v>
          </cell>
          <cell r="B197">
            <v>7622100558309</v>
          </cell>
          <cell r="C197" t="str">
            <v xml:space="preserve"> IQOS ILUMA ONE PEBBLE GREY CAJETILLA PZ</v>
          </cell>
        </row>
        <row r="198">
          <cell r="A198">
            <v>100024282</v>
          </cell>
          <cell r="B198">
            <v>7622100558293</v>
          </cell>
          <cell r="C198" t="str">
            <v xml:space="preserve"> IQOS ILUMA ONE AZURE BLUE CAJETILLA PZ</v>
          </cell>
        </row>
        <row r="199">
          <cell r="A199">
            <v>100024862</v>
          </cell>
          <cell r="B199">
            <v>7622100558446</v>
          </cell>
          <cell r="C199" t="str">
            <v xml:space="preserve"> IQOS ILUMA MOSS GREEN CAJETILLA PZ</v>
          </cell>
        </row>
        <row r="200">
          <cell r="A200">
            <v>100024861</v>
          </cell>
          <cell r="B200">
            <v>7622100558248</v>
          </cell>
          <cell r="C200" t="str">
            <v xml:space="preserve"> IQOS ILUMA AZURE BLUE CAJETILLA PZ</v>
          </cell>
        </row>
        <row r="201">
          <cell r="A201">
            <v>100016411</v>
          </cell>
          <cell r="B201">
            <v>7503023959162</v>
          </cell>
          <cell r="C201" t="str">
            <v>WINSTON WINSTO WATERMELON 100S 1CAJE</v>
          </cell>
        </row>
        <row r="202">
          <cell r="A202">
            <v>100014850</v>
          </cell>
          <cell r="B202">
            <v>4033100094316</v>
          </cell>
          <cell r="C202" t="str">
            <v xml:space="preserve">WINSTON CLASSIC 25S		</v>
          </cell>
        </row>
        <row r="203">
          <cell r="A203">
            <v>100080897</v>
          </cell>
          <cell r="B203">
            <v>42138037</v>
          </cell>
          <cell r="C203" t="str">
            <v>WINSTON CIGARR CLASSIC 20S CAJET</v>
          </cell>
        </row>
        <row r="204">
          <cell r="A204">
            <v>100080899</v>
          </cell>
          <cell r="B204">
            <v>40331379</v>
          </cell>
          <cell r="C204" t="str">
            <v>WINSTON CIGARR BLUE 14S CAJET</v>
          </cell>
        </row>
        <row r="205">
          <cell r="A205">
            <v>101000082</v>
          </cell>
          <cell r="B205">
            <v>7702303464376</v>
          </cell>
          <cell r="C205" t="str">
            <v>VUSE VIVID STRAWBERRY ICE 18 MG 1 PZ</v>
          </cell>
        </row>
        <row r="206">
          <cell r="A206">
            <v>101000081</v>
          </cell>
          <cell r="B206">
            <v>7702303239264</v>
          </cell>
          <cell r="C206" t="str">
            <v>VUSE VIVID MINT ICE 18 MG 1 PZ</v>
          </cell>
        </row>
        <row r="207">
          <cell r="A207">
            <v>101000080</v>
          </cell>
          <cell r="B207">
            <v>7702303820974</v>
          </cell>
          <cell r="C207" t="str">
            <v>VUSE VIVID MINT ICE 0 MG 1 PZ</v>
          </cell>
        </row>
        <row r="208">
          <cell r="A208">
            <v>101000083</v>
          </cell>
          <cell r="B208">
            <v>7702303238434</v>
          </cell>
          <cell r="C208" t="str">
            <v>VUSE VIVID BLUEBERRY ICE 18 MG 1 PZ</v>
          </cell>
        </row>
        <row r="209">
          <cell r="A209">
            <v>100024729</v>
          </cell>
          <cell r="B209">
            <v>7707200942736</v>
          </cell>
          <cell r="C209" t="str">
            <v>VUSE V- PODPACK STRAWBERRY ICE 20 MG 1 PZ</v>
          </cell>
        </row>
        <row r="210">
          <cell r="A210">
            <v>100024658</v>
          </cell>
          <cell r="B210">
            <v>7707200942736</v>
          </cell>
          <cell r="C210" t="str">
            <v>VUSE V- PODPACK STRAWBERRY ICE 20 MG 1 PZ</v>
          </cell>
        </row>
        <row r="211">
          <cell r="A211">
            <v>100024727</v>
          </cell>
          <cell r="B211">
            <v>7702303265324</v>
          </cell>
          <cell r="C211" t="str">
            <v>VUSE V- PODPACK MENTHOL ICE 20 MG 1 PZ</v>
          </cell>
        </row>
        <row r="212">
          <cell r="A212">
            <v>100024656</v>
          </cell>
          <cell r="B212">
            <v>7702303265324</v>
          </cell>
          <cell r="C212" t="str">
            <v>VUSE V- PODPACK MENTHOL ICE 20 MG 1 PZ</v>
          </cell>
        </row>
        <row r="213">
          <cell r="A213">
            <v>100024726</v>
          </cell>
          <cell r="B213">
            <v>7702303108812</v>
          </cell>
          <cell r="C213" t="str">
            <v>VUSE V- PODPACK MENTHOL ICE 0 MG 1 PZ</v>
          </cell>
        </row>
        <row r="214">
          <cell r="A214">
            <v>100024655</v>
          </cell>
          <cell r="B214">
            <v>7702303108812</v>
          </cell>
          <cell r="C214" t="str">
            <v>VUSE V- PODPACK MENTHOL ICE 0 MG 1 PZ</v>
          </cell>
        </row>
        <row r="215">
          <cell r="A215">
            <v>100024728</v>
          </cell>
          <cell r="B215">
            <v>7702303657044</v>
          </cell>
          <cell r="C215" t="str">
            <v>VUSE V- PODPACK BLUEBERRY ICE 20 MG 1 PZ</v>
          </cell>
        </row>
        <row r="216">
          <cell r="A216">
            <v>100024657</v>
          </cell>
          <cell r="B216">
            <v>7702303657044</v>
          </cell>
          <cell r="C216" t="str">
            <v>VUSE V- PODPACK BLUEBERRY ICE 20 MG 1 PZ</v>
          </cell>
        </row>
        <row r="217">
          <cell r="A217">
            <v>100023126</v>
          </cell>
          <cell r="B217">
            <v>7501031701520</v>
          </cell>
          <cell r="C217" t="str">
            <v>VUSE GRAPHITE BLACK DEVICE 1 PZ</v>
          </cell>
        </row>
        <row r="218">
          <cell r="A218">
            <v>100024725</v>
          </cell>
          <cell r="B218">
            <v>7707200944563</v>
          </cell>
          <cell r="C218" t="str">
            <v>VUSE GO RELOAD BLACK 1 PZ</v>
          </cell>
        </row>
        <row r="219">
          <cell r="A219">
            <v>101000088</v>
          </cell>
          <cell r="B219">
            <v>7702303342513</v>
          </cell>
          <cell r="C219" t="str">
            <v>VUSE GO 700 MANGO ICE 34 MG 1 PZ</v>
          </cell>
        </row>
        <row r="220">
          <cell r="A220">
            <v>101000087</v>
          </cell>
          <cell r="B220">
            <v>7702303419598</v>
          </cell>
          <cell r="C220" t="str">
            <v>VUSE GO 700 GRAPE ICE 34 MG 1 PZ</v>
          </cell>
        </row>
        <row r="221">
          <cell r="A221">
            <v>101000085</v>
          </cell>
          <cell r="B221">
            <v>7707200941753</v>
          </cell>
          <cell r="C221" t="str">
            <v>VUSE GO 700 BLUEBERRY ICE 34 MG 1 PZ</v>
          </cell>
        </row>
        <row r="222">
          <cell r="A222">
            <v>101000086</v>
          </cell>
          <cell r="B222">
            <v>7702303173667</v>
          </cell>
          <cell r="C222" t="str">
            <v>VUSE GO 700 BERRY BLEND 34 MG 1 PZ</v>
          </cell>
        </row>
        <row r="223">
          <cell r="A223">
            <v>100024653</v>
          </cell>
          <cell r="B223">
            <v>7707200947311</v>
          </cell>
          <cell r="C223" t="str">
            <v>VUSE GO 5000 MENTHOL ICE 34 MG/ML 1 PZ</v>
          </cell>
        </row>
        <row r="224">
          <cell r="A224">
            <v>100024649</v>
          </cell>
          <cell r="B224">
            <v>7707200945799</v>
          </cell>
          <cell r="C224" t="str">
            <v>VUSE GO 5000 GREEN APPLE 34 MG/ML 1 PZ</v>
          </cell>
        </row>
        <row r="225">
          <cell r="A225">
            <v>100024722</v>
          </cell>
          <cell r="B225">
            <v>7707200945072</v>
          </cell>
          <cell r="C225" t="str">
            <v>VUSE GO 5000 BLUEBERRY RASPBERRY 34 MGML 1 PZ</v>
          </cell>
        </row>
        <row r="226">
          <cell r="A226">
            <v>100024652</v>
          </cell>
          <cell r="B226">
            <v>7707200945072</v>
          </cell>
          <cell r="C226" t="str">
            <v>VUSE GO 5000 BLUEBERRY RASPBERRY 34 MG/ML 1 PZ</v>
          </cell>
        </row>
        <row r="227">
          <cell r="A227">
            <v>100024720</v>
          </cell>
          <cell r="B227">
            <v>7707200949285</v>
          </cell>
          <cell r="C227" t="str">
            <v>VUSE GO 5000 BLUEBERRY ICE 34 MGML 1 PZ</v>
          </cell>
        </row>
        <row r="228">
          <cell r="A228">
            <v>100024650</v>
          </cell>
          <cell r="B228">
            <v>7707200949285</v>
          </cell>
          <cell r="C228" t="str">
            <v>VUSE GO 5000 BLUEBERRY ICE 34 MG/ML 1 PZ</v>
          </cell>
        </row>
        <row r="229">
          <cell r="A229">
            <v>100024721</v>
          </cell>
          <cell r="B229">
            <v>7707200949551</v>
          </cell>
          <cell r="C229" t="str">
            <v>VUSE GO 5000 BERRY BLEND 34 MGML 1 PZ</v>
          </cell>
        </row>
        <row r="230">
          <cell r="A230">
            <v>100024651</v>
          </cell>
          <cell r="B230">
            <v>7707200949551</v>
          </cell>
          <cell r="C230" t="str">
            <v>VUSE GO 5000 BERRY BLEND 34 MG/ML 1 PZ</v>
          </cell>
        </row>
        <row r="231">
          <cell r="A231">
            <v>100024724</v>
          </cell>
          <cell r="B231">
            <v>7707200944037</v>
          </cell>
          <cell r="C231" t="str">
            <v>VUSE GO 5000 BANANA ICE 34 MGML 1 PZ</v>
          </cell>
        </row>
        <row r="232">
          <cell r="A232">
            <v>100024654</v>
          </cell>
          <cell r="B232">
            <v>7707200944037</v>
          </cell>
          <cell r="C232" t="str">
            <v>VUSE GO 5000 BANANA ICE 34 MG/ML 1 PZ</v>
          </cell>
        </row>
        <row r="233">
          <cell r="A233">
            <v>101000089</v>
          </cell>
          <cell r="B233">
            <v>7702303023221</v>
          </cell>
          <cell r="C233" t="str">
            <v>VUSE GO 3000 MENTHOL ICE 34 MG 1 PZ</v>
          </cell>
        </row>
        <row r="234">
          <cell r="A234">
            <v>100024414</v>
          </cell>
          <cell r="B234">
            <v>7702303906036</v>
          </cell>
          <cell r="C234" t="str">
            <v>VUSE GO 3000 HAZELNUT MACCHIATO 34 MG 1 PZ</v>
          </cell>
        </row>
        <row r="235">
          <cell r="A235">
            <v>101000092</v>
          </cell>
          <cell r="B235">
            <v>7702303007979</v>
          </cell>
          <cell r="C235" t="str">
            <v>VUSE GO 3000 BLUEBERRY ICE 34 MG 1 PZ</v>
          </cell>
        </row>
        <row r="236">
          <cell r="A236">
            <v>101000090</v>
          </cell>
          <cell r="B236">
            <v>7702303936590</v>
          </cell>
          <cell r="C236" t="str">
            <v>VUSE GO 3000 BLUE RASPBERRY 34 MG 1 PZ</v>
          </cell>
        </row>
        <row r="237">
          <cell r="A237">
            <v>101000091</v>
          </cell>
          <cell r="B237">
            <v>7702303890434</v>
          </cell>
          <cell r="C237" t="str">
            <v>VUSE GO 3000 BERRY BLEND 34 MG 1 PZ</v>
          </cell>
        </row>
        <row r="238">
          <cell r="A238">
            <v>101000093</v>
          </cell>
          <cell r="B238">
            <v>7702303182898</v>
          </cell>
          <cell r="C238" t="str">
            <v>VUSE GO 3000 APPLE SOUR 34 MG 1 PZ</v>
          </cell>
        </row>
        <row r="239">
          <cell r="A239">
            <v>100024714</v>
          </cell>
          <cell r="B239">
            <v>7707200942019</v>
          </cell>
          <cell r="C239" t="str">
            <v>VUSE GO 1000 MENTHOL ICE 34 MGML 1 PZ</v>
          </cell>
        </row>
        <row r="240">
          <cell r="A240">
            <v>100024627</v>
          </cell>
          <cell r="B240">
            <v>7707200945430</v>
          </cell>
          <cell r="C240" t="str">
            <v>VUSE GO 1000 MANGO ICE 34 MG/ML 1 PZ</v>
          </cell>
        </row>
        <row r="241">
          <cell r="A241">
            <v>100024625</v>
          </cell>
          <cell r="B241">
            <v>7707200947854</v>
          </cell>
          <cell r="C241" t="str">
            <v>VUSE GO 1000 GRAPE ICE 34 MG/ML 1 PZ</v>
          </cell>
        </row>
        <row r="242">
          <cell r="A242">
            <v>100024712</v>
          </cell>
          <cell r="B242">
            <v>7707200946239</v>
          </cell>
          <cell r="C242" t="str">
            <v>VUSE GO 1000 GOLDEN BLEND  1 PZ</v>
          </cell>
        </row>
        <row r="243">
          <cell r="A243">
            <v>100024715</v>
          </cell>
          <cell r="B243">
            <v>7707200946987</v>
          </cell>
          <cell r="C243" t="str">
            <v>VUSE GO 1000 BLUEBERRY ICE 34 MGML 1 PZ</v>
          </cell>
        </row>
        <row r="244">
          <cell r="A244">
            <v>100024623</v>
          </cell>
          <cell r="B244">
            <v>7707200946987</v>
          </cell>
          <cell r="C244" t="str">
            <v>VUSE GO 1000 BLUEBERRY ICE 34 MG/ML 1 PZ</v>
          </cell>
        </row>
        <row r="245">
          <cell r="A245">
            <v>100024716</v>
          </cell>
          <cell r="B245">
            <v>7707200940220</v>
          </cell>
          <cell r="C245" t="str">
            <v>VUSE GO 1000 BERRY BLEND 34 MGML 1 PZ</v>
          </cell>
        </row>
        <row r="246">
          <cell r="A246">
            <v>100024624</v>
          </cell>
          <cell r="B246">
            <v>7707200940220</v>
          </cell>
          <cell r="C246" t="str">
            <v>VUSE GO 1000 BERRY BLEND 34 MG/ML 1 PZ</v>
          </cell>
        </row>
        <row r="247">
          <cell r="A247">
            <v>100023339</v>
          </cell>
          <cell r="B247">
            <v>7501031701667</v>
          </cell>
          <cell r="C247" t="str">
            <v>VUSE EPOD2 VANILLA MEDLEY 0MG 1 PZ</v>
          </cell>
        </row>
        <row r="248">
          <cell r="A248">
            <v>100022786</v>
          </cell>
          <cell r="B248">
            <v>7501031701636</v>
          </cell>
          <cell r="C248" t="str">
            <v>VUSE EPOD2 STRAWBERRY 18MG 1 PZ</v>
          </cell>
        </row>
        <row r="249">
          <cell r="A249">
            <v>100022785</v>
          </cell>
          <cell r="B249">
            <v>7501031701698</v>
          </cell>
          <cell r="C249" t="str">
            <v>VUSE EPOD2 STRAWBERRY 0MG 1 PZ</v>
          </cell>
        </row>
        <row r="250">
          <cell r="A250">
            <v>100023338</v>
          </cell>
          <cell r="B250">
            <v>7501031701575</v>
          </cell>
          <cell r="C250" t="str">
            <v>VUSE EPOD2 GOLDEN TOBACCO 0MG 1 PZ</v>
          </cell>
        </row>
        <row r="251">
          <cell r="A251">
            <v>100023094</v>
          </cell>
          <cell r="B251">
            <v>7501031701759</v>
          </cell>
          <cell r="C251" t="str">
            <v>VUSE EPOD2 DARK CHERRY 0MG 1 PZ</v>
          </cell>
        </row>
        <row r="252">
          <cell r="A252">
            <v>100023336</v>
          </cell>
          <cell r="B252">
            <v>7501031701704</v>
          </cell>
          <cell r="C252" t="str">
            <v>VUSE EPOD2 CUCUMBER FIZZ 0MG 1 PZ</v>
          </cell>
        </row>
        <row r="253">
          <cell r="A253">
            <v>100023337</v>
          </cell>
          <cell r="B253">
            <v>7501031701735</v>
          </cell>
          <cell r="C253" t="str">
            <v>VUSE EPOD2 CLASSICS BLUEBERRY 0MG 1 PZ</v>
          </cell>
        </row>
        <row r="254">
          <cell r="A254">
            <v>100020897</v>
          </cell>
          <cell r="B254">
            <v>7501031701834</v>
          </cell>
          <cell r="C254" t="str">
            <v>VUSE EPOD2  VANILLA MEDLEY 34M 1 PZ</v>
          </cell>
        </row>
        <row r="255">
          <cell r="A255">
            <v>100020894</v>
          </cell>
          <cell r="B255">
            <v>7501031701674</v>
          </cell>
          <cell r="C255" t="str">
            <v>VUSE EPOD2  VANILLA MEDLEY 18M 1 PZ</v>
          </cell>
        </row>
        <row r="256">
          <cell r="A256">
            <v>100020893</v>
          </cell>
          <cell r="B256">
            <v>7501031701889</v>
          </cell>
          <cell r="C256" t="str">
            <v>VUSE EPOD2  SUMMER BLUEBERRY 3 1 PZ</v>
          </cell>
        </row>
        <row r="257">
          <cell r="A257">
            <v>100020892</v>
          </cell>
          <cell r="B257">
            <v>7501031701711</v>
          </cell>
          <cell r="C257" t="str">
            <v>VUSE EPOD2  SUMMER BLUEBERRY 1 1 PZ</v>
          </cell>
        </row>
        <row r="258">
          <cell r="A258">
            <v>100020890</v>
          </cell>
          <cell r="B258">
            <v>7501031701780</v>
          </cell>
          <cell r="C258" t="str">
            <v>VUSE EPOD2  GOLDEN BLEND 34MG 1 PZ</v>
          </cell>
        </row>
        <row r="259">
          <cell r="A259">
            <v>100020888</v>
          </cell>
          <cell r="B259">
            <v>7501031701582</v>
          </cell>
          <cell r="C259" t="str">
            <v>VUSE EPOD2  GOLDEN BLEND 18MG 1 PZ</v>
          </cell>
        </row>
        <row r="260">
          <cell r="A260">
            <v>100020886</v>
          </cell>
          <cell r="B260">
            <v>7501031701803</v>
          </cell>
          <cell r="C260" t="str">
            <v>VUSE EPOD2  DARK CHERRY 34MG 1 PZ</v>
          </cell>
        </row>
        <row r="261">
          <cell r="A261">
            <v>100020885</v>
          </cell>
          <cell r="B261">
            <v>7501031701766</v>
          </cell>
          <cell r="C261" t="str">
            <v>VUSE EPOD2  DARK CHERRY 18MG 1 Pz</v>
          </cell>
        </row>
        <row r="262">
          <cell r="A262">
            <v>100020883</v>
          </cell>
          <cell r="B262">
            <v>7501031701810</v>
          </cell>
          <cell r="C262" t="str">
            <v>VUSE EPOD2  CUCUMBER FIZZ 34MG 1 PZ</v>
          </cell>
        </row>
        <row r="263">
          <cell r="A263">
            <v>100020882</v>
          </cell>
          <cell r="B263">
            <v>7501031701629</v>
          </cell>
          <cell r="C263" t="str">
            <v>VUSE EPOD2  CUCUMBER FIZZ 18MG 1 PZ</v>
          </cell>
        </row>
        <row r="264">
          <cell r="A264">
            <v>100020879</v>
          </cell>
          <cell r="B264">
            <v>7501031701742</v>
          </cell>
          <cell r="C264" t="str">
            <v>VUSE EPOD2  CLASSIC WATERMELON 1 PZ</v>
          </cell>
        </row>
        <row r="265">
          <cell r="A265">
            <v>100020880</v>
          </cell>
          <cell r="B265">
            <v>7501031701728</v>
          </cell>
          <cell r="C265" t="str">
            <v>VUSE EPOD2  CLASSIC WATERMELON 1 PZ</v>
          </cell>
        </row>
        <row r="266">
          <cell r="A266">
            <v>100020881</v>
          </cell>
          <cell r="B266">
            <v>7501031701896</v>
          </cell>
          <cell r="C266" t="str">
            <v>VUSE EPOD2  CLASSIC WATERMELON 1 PZ</v>
          </cell>
        </row>
        <row r="267">
          <cell r="A267">
            <v>100020878</v>
          </cell>
          <cell r="B267">
            <v>7501031701773</v>
          </cell>
          <cell r="C267" t="str">
            <v>VUSE EPOD2  CLASSIC MINT 34MG 1 PZ</v>
          </cell>
        </row>
        <row r="268">
          <cell r="A268">
            <v>100020877</v>
          </cell>
          <cell r="B268">
            <v>7501031701612</v>
          </cell>
          <cell r="C268" t="str">
            <v>VUSE EPOD2  CLASSIC MINT 18MG 1 PZ</v>
          </cell>
        </row>
        <row r="269">
          <cell r="A269">
            <v>100020875</v>
          </cell>
          <cell r="B269">
            <v>7501031701681</v>
          </cell>
          <cell r="C269" t="str">
            <v>VUSE EPOD2  CLASSIC MINT 0MG 1 PZ</v>
          </cell>
        </row>
        <row r="270">
          <cell r="A270">
            <v>100020874</v>
          </cell>
          <cell r="B270">
            <v>7501031701797</v>
          </cell>
          <cell r="C270" t="str">
            <v>VUSE EPOD2  BLUSHED MANGO 34MG 1 PZ</v>
          </cell>
        </row>
        <row r="271">
          <cell r="A271">
            <v>100020873</v>
          </cell>
          <cell r="B271">
            <v>7501031701605</v>
          </cell>
          <cell r="C271" t="str">
            <v>VUSE EPOD2  BLUSHED MANGO 18MG 1 PZ</v>
          </cell>
        </row>
        <row r="272">
          <cell r="A272">
            <v>100020871</v>
          </cell>
          <cell r="B272">
            <v>7501031701599</v>
          </cell>
          <cell r="C272" t="str">
            <v>VUSE EPOD2  BLUSHED MANGO 0MG 1 PZ</v>
          </cell>
        </row>
        <row r="273">
          <cell r="A273">
            <v>100020899</v>
          </cell>
          <cell r="B273">
            <v>7501031701537</v>
          </cell>
          <cell r="C273" t="str">
            <v>VUSE DISPOS GOLDEN  1 PZ</v>
          </cell>
        </row>
        <row r="274">
          <cell r="A274">
            <v>100020898</v>
          </cell>
          <cell r="B274">
            <v>7501031701551</v>
          </cell>
          <cell r="C274" t="str">
            <v>VUSE DISPOS BLACK 1 PZ</v>
          </cell>
        </row>
        <row r="275">
          <cell r="A275">
            <v>100022784</v>
          </cell>
          <cell r="B275">
            <v>7501031701544</v>
          </cell>
          <cell r="C275" t="str">
            <v>VUSE DEVICE ROSE GOLD 1 PZ</v>
          </cell>
        </row>
        <row r="276">
          <cell r="A276">
            <v>101000084</v>
          </cell>
          <cell r="B276">
            <v>7707200941241</v>
          </cell>
          <cell r="C276" t="str">
            <v>VUSE  GO 700 MENTHOL ICE 34 MG 1 PZ</v>
          </cell>
        </row>
        <row r="277">
          <cell r="A277">
            <v>100025449</v>
          </cell>
          <cell r="B277">
            <v>7503031949216</v>
          </cell>
          <cell r="C277" t="str">
            <v>VISTA BLOSSOM MIST 100 BOX 20 (LATA CENICERO '25)</v>
          </cell>
        </row>
        <row r="278">
          <cell r="A278">
            <v>100023684</v>
          </cell>
          <cell r="B278">
            <v>75006952</v>
          </cell>
          <cell r="C278" t="str">
            <v>TEREA PURPLE CAJETILLA PZ</v>
          </cell>
        </row>
        <row r="279">
          <cell r="A279">
            <v>100023683</v>
          </cell>
          <cell r="B279">
            <v>75006341</v>
          </cell>
          <cell r="C279" t="str">
            <v>TEREA GREEN ZING CAJETILLA PZ</v>
          </cell>
        </row>
        <row r="280">
          <cell r="A280">
            <v>100023680</v>
          </cell>
          <cell r="B280">
            <v>75032777</v>
          </cell>
          <cell r="C280" t="str">
            <v>TEREA BLACK GREEN CAJETILLA PZ</v>
          </cell>
        </row>
        <row r="281">
          <cell r="A281">
            <v>100080015</v>
          </cell>
          <cell r="B281">
            <v>8308713</v>
          </cell>
          <cell r="C281" t="str">
            <v>SALEM CIGARR MENTOLADOS CD CAJET</v>
          </cell>
        </row>
        <row r="282">
          <cell r="A282">
            <v>100019228</v>
          </cell>
          <cell r="B282">
            <v>75074883</v>
          </cell>
          <cell r="C282" t="str">
            <v>PALL MALL XL WHITE&amp; CLICK 15S 1 CAJETILLA</v>
          </cell>
        </row>
        <row r="283">
          <cell r="A283">
            <v>100019050</v>
          </cell>
          <cell r="B283">
            <v>75074029</v>
          </cell>
          <cell r="C283" t="str">
            <v>PALL MALL XL W&amp;C LATA 1 CAJETILLA</v>
          </cell>
        </row>
        <row r="284">
          <cell r="A284">
            <v>100020839</v>
          </cell>
          <cell r="B284">
            <v>75076450</v>
          </cell>
          <cell r="C284" t="str">
            <v>PALL MALL XL RIO LA 20S 1 CAJETILLA</v>
          </cell>
        </row>
        <row r="285">
          <cell r="A285">
            <v>100019232</v>
          </cell>
          <cell r="B285">
            <v>75074876</v>
          </cell>
          <cell r="C285" t="str">
            <v>PALL MALL XL RED &amp; CLICK 15S 1 CAJETILLA</v>
          </cell>
        </row>
        <row r="286">
          <cell r="A286">
            <v>100019051</v>
          </cell>
          <cell r="B286">
            <v>75074012</v>
          </cell>
          <cell r="C286" t="str">
            <v>PALL MALL XL R&amp;C LATA 1 CAJETILLA</v>
          </cell>
        </row>
        <row r="287">
          <cell r="A287">
            <v>100019958</v>
          </cell>
          <cell r="B287">
            <v>75074920</v>
          </cell>
          <cell r="C287" t="str">
            <v>PALL MALL XL ICEBER 20S 1 CAJETILLA</v>
          </cell>
        </row>
        <row r="288">
          <cell r="A288">
            <v>100020528</v>
          </cell>
          <cell r="B288">
            <v>75074937</v>
          </cell>
          <cell r="C288" t="str">
            <v>PALL MALL XL FUJI 20S 1 CAJETILLA</v>
          </cell>
        </row>
        <row r="289">
          <cell r="A289">
            <v>100014061</v>
          </cell>
          <cell r="B289">
            <v>75066888</v>
          </cell>
          <cell r="C289" t="str">
            <v xml:space="preserve">PALL MALL XL EXOTIC MIX 20S 1PZ									</v>
          </cell>
        </row>
        <row r="290">
          <cell r="A290">
            <v>100080991</v>
          </cell>
          <cell r="B290">
            <v>75050047</v>
          </cell>
          <cell r="C290" t="str">
            <v>PALL MALL XL BLACK EDITION</v>
          </cell>
        </row>
        <row r="291">
          <cell r="A291">
            <v>100019959</v>
          </cell>
          <cell r="B291">
            <v>75074913</v>
          </cell>
          <cell r="C291" t="str">
            <v>PALL MALL XL ATHENS 20S 1 CAJETILLA</v>
          </cell>
        </row>
        <row r="292">
          <cell r="A292">
            <v>100010175</v>
          </cell>
          <cell r="B292">
            <v>75061654</v>
          </cell>
          <cell r="C292" t="str">
            <v>PALL MALL XL ARUBA SUNRISE 1PZ</v>
          </cell>
        </row>
        <row r="293">
          <cell r="A293">
            <v>100006386</v>
          </cell>
          <cell r="B293">
            <v>75053673</v>
          </cell>
          <cell r="C293" t="str">
            <v>PALL MALL XL 99M MAUI CREPUSCULE 20 CAJ</v>
          </cell>
        </row>
        <row r="294">
          <cell r="A294">
            <v>100080878</v>
          </cell>
          <cell r="B294">
            <v>75039875</v>
          </cell>
          <cell r="C294" t="str">
            <v>PALL MALL WHITE AND CLICK 15</v>
          </cell>
        </row>
        <row r="295">
          <cell r="A295">
            <v>100023316</v>
          </cell>
          <cell r="B295">
            <v>75079642</v>
          </cell>
          <cell r="C295" t="str">
            <v>PALL MALL TOKYO SUNSHINE LATA 20 PZ</v>
          </cell>
        </row>
        <row r="296">
          <cell r="A296">
            <v>100025444</v>
          </cell>
          <cell r="B296">
            <v>75083953</v>
          </cell>
          <cell r="C296" t="str">
            <v>PALL MALL TOKYO STRESS RELIEVER 20 PZ</v>
          </cell>
        </row>
        <row r="297">
          <cell r="A297">
            <v>100080892</v>
          </cell>
          <cell r="B297">
            <v>75042943</v>
          </cell>
          <cell r="C297" t="str">
            <v>PALL MALL RED AND CLICK 15</v>
          </cell>
        </row>
        <row r="298">
          <cell r="A298">
            <v>100023314</v>
          </cell>
          <cell r="B298">
            <v>75079659</v>
          </cell>
          <cell r="C298" t="str">
            <v>PALL MALL MYKONOS SUNSHINE LATA 20 PZ</v>
          </cell>
        </row>
        <row r="299">
          <cell r="A299">
            <v>100025443</v>
          </cell>
          <cell r="B299">
            <v>75083946</v>
          </cell>
          <cell r="C299" t="str">
            <v>PALL MALL MYKONOS STRESS RELIEVER 20 PZ</v>
          </cell>
        </row>
        <row r="300">
          <cell r="A300">
            <v>100013594</v>
          </cell>
          <cell r="B300">
            <v>75067960</v>
          </cell>
          <cell r="C300" t="str">
            <v>PALL MALL MYKONOS NIGHTFALL 15</v>
          </cell>
        </row>
        <row r="301">
          <cell r="A301">
            <v>100015341</v>
          </cell>
          <cell r="B301">
            <v>75070090</v>
          </cell>
          <cell r="C301" t="str">
            <v>PALL MALL MIX PACK 20</v>
          </cell>
        </row>
        <row r="302">
          <cell r="A302">
            <v>100025445</v>
          </cell>
          <cell r="B302">
            <v>75083977</v>
          </cell>
          <cell r="C302" t="str">
            <v>PALL MALL MIAMI STRESS RELIEVER 20 PZ</v>
          </cell>
        </row>
        <row r="303">
          <cell r="A303">
            <v>100021888</v>
          </cell>
          <cell r="B303">
            <v>75077433</v>
          </cell>
          <cell r="C303" t="str">
            <v>PALL MALL LT TOK 20S 1 CAJETILLA</v>
          </cell>
        </row>
        <row r="304">
          <cell r="A304">
            <v>100021889</v>
          </cell>
          <cell r="B304">
            <v>75077426</v>
          </cell>
          <cell r="C304" t="str">
            <v>PALL MALL LT RÍO 20S 1 CAJETILLA</v>
          </cell>
        </row>
        <row r="305">
          <cell r="A305">
            <v>100021887</v>
          </cell>
          <cell r="B305">
            <v>75077402</v>
          </cell>
          <cell r="C305" t="str">
            <v>PALL MALL LT MYK 20S 1 CAJETILLA</v>
          </cell>
        </row>
        <row r="306">
          <cell r="A306">
            <v>100021886</v>
          </cell>
          <cell r="B306">
            <v>75077389</v>
          </cell>
          <cell r="C306" t="str">
            <v>PALL MALL LT ALA 20S 1 CAJETILLA</v>
          </cell>
        </row>
        <row r="307">
          <cell r="A307">
            <v>100025446</v>
          </cell>
          <cell r="B307">
            <v>75083960</v>
          </cell>
          <cell r="C307" t="str">
            <v>PALL MALL LONDON STRESS RELIEVER 20 PZ</v>
          </cell>
        </row>
        <row r="308">
          <cell r="A308">
            <v>100025284</v>
          </cell>
          <cell r="B308">
            <v>75083892</v>
          </cell>
          <cell r="C308" t="str">
            <v>PALL MALL HAWAII SUNLIGHT STRESS RELIEVER 20 PZ</v>
          </cell>
        </row>
        <row r="309">
          <cell r="A309">
            <v>100025283</v>
          </cell>
          <cell r="B309">
            <v>75083885</v>
          </cell>
          <cell r="C309" t="str">
            <v>PALL MALL HAWAII SUNLIGHT STRESS RELIEVER 15 PZ</v>
          </cell>
        </row>
        <row r="310">
          <cell r="A310">
            <v>100010317</v>
          </cell>
          <cell r="B310">
            <v>75062620</v>
          </cell>
          <cell r="C310" t="str">
            <v>PALL MALL DS 20S 1PZ</v>
          </cell>
        </row>
        <row r="311">
          <cell r="A311">
            <v>100080803</v>
          </cell>
          <cell r="B311">
            <v>75027667</v>
          </cell>
          <cell r="C311" t="str">
            <v>PALL MALL CIGARR XL MENTHOL CAJET</v>
          </cell>
        </row>
        <row r="312">
          <cell r="A312">
            <v>100080834</v>
          </cell>
          <cell r="B312">
            <v>75034665</v>
          </cell>
          <cell r="C312" t="str">
            <v>PALL MALL CIGARR XL FRESH CAJET</v>
          </cell>
        </row>
        <row r="313">
          <cell r="A313">
            <v>100080891</v>
          </cell>
          <cell r="B313">
            <v>75042936</v>
          </cell>
          <cell r="C313" t="str">
            <v>PALL MALL CIGARR XL 14S MENTHO CAJET</v>
          </cell>
        </row>
        <row r="314">
          <cell r="A314">
            <v>100080877</v>
          </cell>
          <cell r="B314">
            <v>75039868</v>
          </cell>
          <cell r="C314" t="str">
            <v>PALL MALL CIGARR XL 14S FRESH CAJET</v>
          </cell>
        </row>
        <row r="315">
          <cell r="A315">
            <v>100080806</v>
          </cell>
          <cell r="B315">
            <v>75027803</v>
          </cell>
          <cell r="C315" t="str">
            <v>PALL MALL CIGARR EXACTOS PLUS CAJET</v>
          </cell>
        </row>
        <row r="316">
          <cell r="A316">
            <v>100080888</v>
          </cell>
          <cell r="B316">
            <v>8308014</v>
          </cell>
          <cell r="C316" t="str">
            <v>PALL MALL CIGARR EXACTOS LIGHT CAJET</v>
          </cell>
        </row>
        <row r="317">
          <cell r="A317">
            <v>100015215</v>
          </cell>
          <cell r="B317">
            <v>75069490</v>
          </cell>
          <cell r="C317" t="str">
            <v>PALL MALL CALIFORNIA NIGHTS 20</v>
          </cell>
        </row>
        <row r="318">
          <cell r="A318">
            <v>100011743</v>
          </cell>
          <cell r="B318">
            <v>75064587</v>
          </cell>
          <cell r="C318" t="str">
            <v>PALL MALL ARUBA 14S</v>
          </cell>
        </row>
        <row r="319">
          <cell r="A319">
            <v>100023315</v>
          </cell>
          <cell r="B319">
            <v>75079697</v>
          </cell>
          <cell r="C319" t="str">
            <v>PALL MALL ALASKA SUNSHINE LATA 20 PZ</v>
          </cell>
        </row>
        <row r="320">
          <cell r="A320">
            <v>100025442</v>
          </cell>
          <cell r="B320">
            <v>75083939</v>
          </cell>
          <cell r="C320" t="str">
            <v>PALL MALL ALASKA STRESS RELIEVER 20 PZ</v>
          </cell>
        </row>
        <row r="321">
          <cell r="A321">
            <v>100025448</v>
          </cell>
          <cell r="B321">
            <v>75083922</v>
          </cell>
          <cell r="C321" t="str">
            <v>PALL MALL ALASKA STRESS RELIEVER 15 PZ</v>
          </cell>
        </row>
        <row r="322">
          <cell r="A322">
            <v>100024884</v>
          </cell>
          <cell r="B322">
            <v>75082284</v>
          </cell>
          <cell r="C322" t="str">
            <v>PALL MALL 125 AÑOS CASE TOKYO 20 PZ</v>
          </cell>
        </row>
        <row r="323">
          <cell r="A323">
            <v>100024885</v>
          </cell>
          <cell r="B323">
            <v>75082291</v>
          </cell>
          <cell r="C323" t="str">
            <v>PALL MALL 125 AÑOS CASE MYKONOS 20 PZ</v>
          </cell>
        </row>
        <row r="324">
          <cell r="A324">
            <v>100024888</v>
          </cell>
          <cell r="B324">
            <v>75082338</v>
          </cell>
          <cell r="C324" t="str">
            <v>PALL MALL 125 AÑOS CASE MIAMI 20 PZ</v>
          </cell>
        </row>
        <row r="325">
          <cell r="A325">
            <v>100024886</v>
          </cell>
          <cell r="B325">
            <v>75082314</v>
          </cell>
          <cell r="C325" t="str">
            <v>PALL MALL 125 AÑOS CASE LONDON 20 PZ</v>
          </cell>
        </row>
        <row r="326">
          <cell r="A326">
            <v>100024887</v>
          </cell>
          <cell r="B326">
            <v>75082307</v>
          </cell>
          <cell r="C326" t="str">
            <v>PALL MALL 125 AÑOS CASE HAWAII 20 PZ</v>
          </cell>
        </row>
        <row r="327">
          <cell r="A327">
            <v>100024883</v>
          </cell>
          <cell r="B327">
            <v>75082321</v>
          </cell>
          <cell r="C327" t="str">
            <v>PALL MALL 125 AÑOS CASE BORA BORA 20 PZ</v>
          </cell>
        </row>
        <row r="328">
          <cell r="A328">
            <v>100024882</v>
          </cell>
          <cell r="B328">
            <v>75082277</v>
          </cell>
          <cell r="C328" t="str">
            <v>PALL MALL 125 AÑOS CASE ALASKA 20 PZ</v>
          </cell>
        </row>
        <row r="329">
          <cell r="A329">
            <v>100019052</v>
          </cell>
          <cell r="B329">
            <v>75074784</v>
          </cell>
          <cell r="C329" t="str">
            <v>MONTANA SHOTS XL 20S 1 CAJETILLA</v>
          </cell>
        </row>
        <row r="330">
          <cell r="A330">
            <v>100080808</v>
          </cell>
          <cell r="B330">
            <v>75030728</v>
          </cell>
          <cell r="C330" t="str">
            <v>MARLBORO WINTER SHUFFLE</v>
          </cell>
        </row>
        <row r="331">
          <cell r="A331">
            <v>100020770</v>
          </cell>
          <cell r="B331">
            <v>75074753</v>
          </cell>
          <cell r="C331" t="str">
            <v>MARLBORO WINTER EDICION LIMITADA W 1 CAJETILLA</v>
          </cell>
        </row>
        <row r="332">
          <cell r="A332">
            <v>100024301</v>
          </cell>
          <cell r="B332">
            <v>7503031950960</v>
          </cell>
          <cell r="C332" t="str">
            <v>MARLBORO VISTA SUMMER FUSION 100 BOX 20 LATA MEXICO 2024 CAJETILLA PZ</v>
          </cell>
        </row>
        <row r="333">
          <cell r="A333">
            <v>100025452</v>
          </cell>
          <cell r="B333">
            <v>7503031949322</v>
          </cell>
          <cell r="C333" t="str">
            <v>MARLBORO VISTA PROVENCE FUSION 100 BOX 20 (LATA CENICERO '25) CAJETILLA PZ</v>
          </cell>
        </row>
        <row r="334">
          <cell r="A334">
            <v>100024303</v>
          </cell>
          <cell r="B334">
            <v>7503031950977</v>
          </cell>
          <cell r="C334" t="str">
            <v>MARLBORO VISTA GARDEN FUSION 100 BOX 20 LATA MEXICO 2024 CAJETILLA PZ</v>
          </cell>
        </row>
        <row r="335">
          <cell r="A335">
            <v>100024306</v>
          </cell>
          <cell r="B335">
            <v>7503031949094</v>
          </cell>
          <cell r="C335" t="str">
            <v>MARLBORO VISTA FOREST FUSION 100 BOX 20 LATA MEXICO 2024 CAJETILLA PZ</v>
          </cell>
        </row>
        <row r="336">
          <cell r="A336">
            <v>100025451</v>
          </cell>
          <cell r="B336">
            <v>7503031949209</v>
          </cell>
          <cell r="C336" t="str">
            <v>MARLBORO VISTA FOREST FUSION 100 BOX 20 (LATA CENICERO '25) CAJETILLA PZ</v>
          </cell>
        </row>
        <row r="337">
          <cell r="A337">
            <v>100024305</v>
          </cell>
          <cell r="B337">
            <v>7503031949001</v>
          </cell>
          <cell r="C337" t="str">
            <v>MARLBORO VISTA CARIBBEAN FUSION 100 BOX 20 LATA MEXICO 2024 CAJETILLA PZ</v>
          </cell>
        </row>
        <row r="338">
          <cell r="A338">
            <v>100025450</v>
          </cell>
          <cell r="B338">
            <v>7503031949223</v>
          </cell>
          <cell r="C338" t="str">
            <v>MARLBORO VISTA CARIBBEAN FUSION 100 BOX 20 (LATA CENICERO '25) CAJETILLA PZ</v>
          </cell>
        </row>
        <row r="339">
          <cell r="A339">
            <v>100022332</v>
          </cell>
          <cell r="B339">
            <v>75018832</v>
          </cell>
          <cell r="C339" t="str">
            <v>MARLBORO VISTA BLOSSOM 14´S CAJETILLAPZ</v>
          </cell>
        </row>
        <row r="340">
          <cell r="A340">
            <v>100024304</v>
          </cell>
          <cell r="B340">
            <v>7503031950991</v>
          </cell>
          <cell r="C340" t="str">
            <v>MARLBORO VISTA BLOSSOM 100 BOX 20 LATA MEXICO 2024 CAJETILLA PZ</v>
          </cell>
        </row>
        <row r="341">
          <cell r="A341">
            <v>100022331</v>
          </cell>
          <cell r="B341">
            <v>75004408</v>
          </cell>
          <cell r="C341" t="str">
            <v>MARLBORO VISTA ARTIC 14S CAJETILLAPZ</v>
          </cell>
        </row>
        <row r="342">
          <cell r="A342">
            <v>100019003</v>
          </cell>
          <cell r="B342">
            <v>75001445</v>
          </cell>
          <cell r="C342" t="str">
            <v>MARLBORO TROPIC SHUFFLE 20 1 CAJETILLA</v>
          </cell>
        </row>
        <row r="343">
          <cell r="A343">
            <v>100006296</v>
          </cell>
          <cell r="B343">
            <v>75053758</v>
          </cell>
          <cell r="C343" t="str">
            <v>MARLBORO TABACO REPOSADO GOLD</v>
          </cell>
        </row>
        <row r="344">
          <cell r="A344">
            <v>100022139</v>
          </cell>
          <cell r="B344">
            <v>7503031950274</v>
          </cell>
          <cell r="C344" t="str">
            <v>MARLBORO SUMMER LPE SUMMER 1 CAJETILLA</v>
          </cell>
        </row>
        <row r="345">
          <cell r="A345">
            <v>100022845</v>
          </cell>
          <cell r="B345">
            <v>7503031950458</v>
          </cell>
          <cell r="C345" t="str">
            <v>MARLBORO SUMMER LATA 23 CAJET PZ</v>
          </cell>
        </row>
        <row r="346">
          <cell r="A346">
            <v>100023891</v>
          </cell>
          <cell r="B346">
            <v>7503031950939</v>
          </cell>
          <cell r="C346" t="str">
            <v>MARLBORO SUMMER FUSION MNT LATA DISCO 24 MARLBORO SUMMER LATA 24 DISCO CAJETILLA PZ</v>
          </cell>
        </row>
        <row r="347">
          <cell r="A347">
            <v>100022968</v>
          </cell>
          <cell r="B347">
            <v>75025359</v>
          </cell>
          <cell r="C347" t="str">
            <v>MARLBORO SOL SHUFFLE MNT 100 BOX 20</v>
          </cell>
        </row>
        <row r="348">
          <cell r="A348">
            <v>100010332</v>
          </cell>
          <cell r="B348">
            <v>75062736</v>
          </cell>
          <cell r="C348" t="str">
            <v>MARLBORO SHINE 100S 1 CAJETILLA</v>
          </cell>
        </row>
        <row r="349">
          <cell r="A349">
            <v>100006294</v>
          </cell>
          <cell r="B349">
            <v>75053765</v>
          </cell>
          <cell r="C349" t="str">
            <v>MARLBORO SELECCION ARTESANAL 20</v>
          </cell>
        </row>
        <row r="350">
          <cell r="A350">
            <v>100018586</v>
          </cell>
          <cell r="B350">
            <v>75001414</v>
          </cell>
          <cell r="C350" t="str">
            <v>MARLBORO SELECC ARTESANAL 14 1 CAJETILLA</v>
          </cell>
        </row>
        <row r="351">
          <cell r="A351">
            <v>100080990</v>
          </cell>
          <cell r="B351">
            <v>75050450</v>
          </cell>
          <cell r="C351" t="str">
            <v>MARLBORO RUBYFRESH CAJET</v>
          </cell>
        </row>
        <row r="352">
          <cell r="A352">
            <v>100021422</v>
          </cell>
          <cell r="B352">
            <v>75022242</v>
          </cell>
          <cell r="C352" t="str">
            <v>MARLBORO RED CA RED CAPS MEX 1 CAJETILLA</v>
          </cell>
        </row>
        <row r="353">
          <cell r="A353">
            <v>100019696</v>
          </cell>
          <cell r="B353">
            <v>75072612</v>
          </cell>
          <cell r="C353" t="str">
            <v>MARLBORO MEXICO RED LS BOX MEXICO 1 CAJETILLA</v>
          </cell>
        </row>
        <row r="354">
          <cell r="A354">
            <v>100015219</v>
          </cell>
          <cell r="B354">
            <v>75069933</v>
          </cell>
          <cell r="C354" t="str">
            <v>MARLBORO MEXICO LATA 1 CAJETILLA</v>
          </cell>
        </row>
        <row r="355">
          <cell r="A355">
            <v>100019698</v>
          </cell>
          <cell r="B355">
            <v>75072605</v>
          </cell>
          <cell r="C355" t="str">
            <v>MARLBORO MEXICO GOLD KS 100 MEXICO 1 CAJETILLA</v>
          </cell>
        </row>
        <row r="356">
          <cell r="A356">
            <v>100021413</v>
          </cell>
          <cell r="B356">
            <v>7503031950229</v>
          </cell>
          <cell r="C356" t="str">
            <v>MARLBORO LPE ME MEXICO SUMMER 1 CAJETILLA</v>
          </cell>
        </row>
        <row r="357">
          <cell r="A357">
            <v>100021421</v>
          </cell>
          <cell r="B357">
            <v>75012717</v>
          </cell>
          <cell r="C357" t="str">
            <v>MARLBORO LPE ME MEXICO RED 1 CAJETILLA</v>
          </cell>
        </row>
        <row r="358">
          <cell r="A358">
            <v>100021415</v>
          </cell>
          <cell r="B358">
            <v>75022259</v>
          </cell>
          <cell r="C358" t="str">
            <v>MARLBORO LPE ME MEXICO GOLD 1 CAJETILLA</v>
          </cell>
        </row>
        <row r="359">
          <cell r="A359">
            <v>100021411</v>
          </cell>
          <cell r="B359">
            <v>7503031950236</v>
          </cell>
          <cell r="C359" t="str">
            <v xml:space="preserve">MARLBORO LPE ME MEXICO GARDEN 1 CAJETILLA	</v>
          </cell>
        </row>
        <row r="360">
          <cell r="A360">
            <v>100021409</v>
          </cell>
          <cell r="B360">
            <v>7503031950250</v>
          </cell>
          <cell r="C360" t="str">
            <v>MARLBORO LPE ME MEXICO BLOSSOM 1 CAJETILLA</v>
          </cell>
        </row>
        <row r="361">
          <cell r="A361">
            <v>100021407</v>
          </cell>
          <cell r="B361">
            <v>7503031950243</v>
          </cell>
          <cell r="C361" t="str">
            <v>MARLBORO LPE ME MEXICO ARCTIC 1 CAJETILLA</v>
          </cell>
        </row>
        <row r="362">
          <cell r="A362">
            <v>100021418</v>
          </cell>
          <cell r="B362">
            <v>75015718</v>
          </cell>
          <cell r="C362" t="str">
            <v>MARLBORO LPE GO GOLD CAPS MEXICO 1 CAJETILLA</v>
          </cell>
        </row>
        <row r="363">
          <cell r="A363">
            <v>100022334</v>
          </cell>
          <cell r="B363">
            <v>7503031950441</v>
          </cell>
          <cell r="C363" t="str">
            <v>MARLBORO LPE ARTIC CAJETILLAPZ</v>
          </cell>
        </row>
        <row r="364">
          <cell r="A364">
            <v>100020135</v>
          </cell>
          <cell r="B364">
            <v>7503031950137</v>
          </cell>
          <cell r="C364" t="str">
            <v>MARLBORO LATAS  SUMMER DICIEMBRE  1 CAJETILLA</v>
          </cell>
        </row>
        <row r="365">
          <cell r="A365">
            <v>100020134</v>
          </cell>
          <cell r="B365">
            <v>7503031950144</v>
          </cell>
          <cell r="C365" t="str">
            <v>MARLBORO LATAS  GARDEN DICIEMBRE  1 CAJETILLA</v>
          </cell>
        </row>
        <row r="366">
          <cell r="A366">
            <v>100020136</v>
          </cell>
          <cell r="B366">
            <v>7503031950151</v>
          </cell>
          <cell r="C366" t="str">
            <v>MARLBORO LATAS  ARTIC DICIEMBRE  1 CAJETILLA</v>
          </cell>
        </row>
        <row r="367">
          <cell r="A367">
            <v>100019578</v>
          </cell>
          <cell r="B367">
            <v>7503031950052</v>
          </cell>
          <cell r="C367" t="str">
            <v>MARLBORO LATA SUMMER MEXICO 1 CAJETILLA</v>
          </cell>
        </row>
        <row r="368">
          <cell r="A368">
            <v>100020724</v>
          </cell>
          <cell r="B368">
            <v>7503031950182</v>
          </cell>
          <cell r="C368" t="str">
            <v>MARLBORO LATA L SUMMER 1 CAJETILLA</v>
          </cell>
        </row>
        <row r="369">
          <cell r="A369">
            <v>100020725</v>
          </cell>
          <cell r="B369">
            <v>7503031950199</v>
          </cell>
          <cell r="C369" t="str">
            <v>MARLBORO LATA L GARDEN 1 CAJETILLA</v>
          </cell>
        </row>
        <row r="370">
          <cell r="A370">
            <v>100020726</v>
          </cell>
          <cell r="B370">
            <v>7503031950205</v>
          </cell>
          <cell r="C370" t="str">
            <v>MARLBORO LATA L ARCTIC 1 CAJETILLA</v>
          </cell>
        </row>
        <row r="371">
          <cell r="A371">
            <v>100019576</v>
          </cell>
          <cell r="B371">
            <v>7503031950069</v>
          </cell>
          <cell r="C371" t="str">
            <v>MARLBORO LATA GARDEN MEXICO 1 CAJETILLA</v>
          </cell>
        </row>
        <row r="372">
          <cell r="A372">
            <v>100020429</v>
          </cell>
          <cell r="B372">
            <v>7503031950175</v>
          </cell>
          <cell r="C372" t="str">
            <v>MARLBORO LATA B BLOSSOM 1 CAJETILLA</v>
          </cell>
        </row>
        <row r="373">
          <cell r="A373">
            <v>100021091</v>
          </cell>
          <cell r="B373">
            <v>7503031950212</v>
          </cell>
          <cell r="C373" t="str">
            <v>MARLBORO LATA B BLOSOM LPE 1 CAJETILLA</v>
          </cell>
        </row>
        <row r="374">
          <cell r="A374">
            <v>100022138</v>
          </cell>
          <cell r="B374">
            <v>7503031950281</v>
          </cell>
          <cell r="C374" t="str">
            <v xml:space="preserve">MARLBORO GARDEN LPE GARDEN 1 CAJETILLA	</v>
          </cell>
        </row>
        <row r="375">
          <cell r="A375">
            <v>100022849</v>
          </cell>
          <cell r="B375">
            <v>7503031950465</v>
          </cell>
          <cell r="C375" t="str">
            <v>MARLBORO GARDEN LATA 23 CAJET PZ</v>
          </cell>
        </row>
        <row r="376">
          <cell r="A376">
            <v>100023889</v>
          </cell>
          <cell r="B376">
            <v>7503031950953</v>
          </cell>
          <cell r="C376" t="str">
            <v>MARLBORO FOREST FUSION MNT LATA DISCO 24</v>
          </cell>
        </row>
        <row r="377">
          <cell r="A377">
            <v>100022276</v>
          </cell>
          <cell r="B377">
            <v>75004415</v>
          </cell>
          <cell r="C377" t="str">
            <v>MARLBORO EXOTIC VISTA EXOTIC 1 CAJETILLA</v>
          </cell>
        </row>
        <row r="378">
          <cell r="A378">
            <v>100023362</v>
          </cell>
          <cell r="B378">
            <v>7503031950533</v>
          </cell>
          <cell r="C378" t="str">
            <v>MARLBORO CRAFTED 2.0 RED KS BOX 20 STD - VAO CAJETILLA PZ</v>
          </cell>
        </row>
        <row r="379">
          <cell r="A379">
            <v>100020137</v>
          </cell>
          <cell r="B379">
            <v>7503031950168</v>
          </cell>
          <cell r="C379" t="str">
            <v>MARLBORO CRAFTE CRAFTED ARTESANAL  1 CAJETILLA</v>
          </cell>
        </row>
        <row r="380">
          <cell r="A380">
            <v>100080937</v>
          </cell>
          <cell r="B380">
            <v>75046781</v>
          </cell>
          <cell r="C380" t="str">
            <v>MARLBORO CIGARRO 18 ROJO</v>
          </cell>
        </row>
        <row r="381">
          <cell r="A381">
            <v>100080829</v>
          </cell>
          <cell r="B381">
            <v>75034375</v>
          </cell>
          <cell r="C381" t="str">
            <v>MARLBORO CIGARR TOUCH CAJET</v>
          </cell>
        </row>
        <row r="382">
          <cell r="A382">
            <v>100007987</v>
          </cell>
          <cell r="B382">
            <v>9583</v>
          </cell>
          <cell r="C382" t="str">
            <v>MARLBORO CIGARR ROJO CD CAJETBC</v>
          </cell>
        </row>
        <row r="383">
          <cell r="A383">
            <v>100080029</v>
          </cell>
          <cell r="B383">
            <v>75001292</v>
          </cell>
          <cell r="C383" t="str">
            <v>MARLBORO CIGARR LIGTH EL CS CAJET</v>
          </cell>
        </row>
        <row r="384">
          <cell r="A384">
            <v>100007989</v>
          </cell>
          <cell r="B384">
            <v>9584</v>
          </cell>
          <cell r="C384" t="str">
            <v>MARLBORO CIGARR LIGHT FT CD CAJETBC</v>
          </cell>
        </row>
        <row r="385">
          <cell r="A385">
            <v>100080420</v>
          </cell>
          <cell r="B385">
            <v>75014551</v>
          </cell>
          <cell r="C385" t="str">
            <v>MARLBORO CIGARR LIGHT FT CD CAJET</v>
          </cell>
        </row>
        <row r="386">
          <cell r="A386">
            <v>100080769</v>
          </cell>
          <cell r="B386">
            <v>75027018</v>
          </cell>
          <cell r="C386" t="str">
            <v>MARLBORO CIGARR LIGHT 14S CD CAJET</v>
          </cell>
        </row>
        <row r="387">
          <cell r="A387">
            <v>100080797</v>
          </cell>
          <cell r="B387">
            <v>75029388</v>
          </cell>
          <cell r="C387" t="str">
            <v>MARLBORO CIGARR FRESH CD CAJET</v>
          </cell>
        </row>
        <row r="388">
          <cell r="A388">
            <v>100022848</v>
          </cell>
          <cell r="B388">
            <v>7503031950496</v>
          </cell>
          <cell r="C388" t="str">
            <v>MARLBORO CARIBBEAN LATA 23 CAJET PZ</v>
          </cell>
        </row>
        <row r="389">
          <cell r="A389">
            <v>101000061</v>
          </cell>
          <cell r="B389">
            <v>75006204</v>
          </cell>
          <cell r="C389" t="str">
            <v>MARLBORO CARIBBEAN FUSION 100 BOX 14 CAJETILLA PZ</v>
          </cell>
        </row>
        <row r="390">
          <cell r="A390">
            <v>100022137</v>
          </cell>
          <cell r="B390">
            <v>7503031950311</v>
          </cell>
          <cell r="C390" t="str">
            <v>MARLBORO CARIBB LPE CARIBBEAN 1 CAJETILLA</v>
          </cell>
        </row>
        <row r="391">
          <cell r="A391">
            <v>100023892</v>
          </cell>
          <cell r="B391">
            <v>7503031950946</v>
          </cell>
          <cell r="C391" t="str">
            <v>MARLBORO BLOSSOM MIST MNT LATA DISCO 24 PZ</v>
          </cell>
        </row>
        <row r="392">
          <cell r="A392">
            <v>100022846</v>
          </cell>
          <cell r="B392">
            <v>7503031950489</v>
          </cell>
          <cell r="C392" t="str">
            <v>MARLBORO BLOSSOM LATA 23 CAJET PZ</v>
          </cell>
        </row>
        <row r="393">
          <cell r="A393">
            <v>100022136</v>
          </cell>
          <cell r="B393">
            <v>7503031950304</v>
          </cell>
          <cell r="C393" t="str">
            <v>MARLBORO BLOSSO LPE BLOSSOM 1 CAJETILLA</v>
          </cell>
        </row>
        <row r="394">
          <cell r="A394">
            <v>100022847</v>
          </cell>
          <cell r="B394">
            <v>7503031950472</v>
          </cell>
          <cell r="C394" t="str">
            <v>MARLBORO ARTIC LATA 23 CAJET PZ</v>
          </cell>
        </row>
        <row r="395">
          <cell r="A395">
            <v>100022134</v>
          </cell>
          <cell r="B395">
            <v>7503031950298</v>
          </cell>
          <cell r="C395" t="str">
            <v>MARLBORO ARCTIC LPE ARCTIC 1 CAJETILLA</v>
          </cell>
        </row>
        <row r="396">
          <cell r="A396">
            <v>100007424</v>
          </cell>
          <cell r="B396">
            <v>75056001</v>
          </cell>
          <cell r="C396" t="str">
            <v>MARLBORO AMBER ADVANCE 1CAJ</v>
          </cell>
        </row>
        <row r="397">
          <cell r="A397">
            <v>100015222</v>
          </cell>
          <cell r="B397">
            <v>75068790</v>
          </cell>
          <cell r="C397" t="str">
            <v>MARLBORO AMBER 100 BOX 20 1 CAJETILLA</v>
          </cell>
        </row>
        <row r="398">
          <cell r="A398">
            <v>100023361</v>
          </cell>
          <cell r="B398">
            <v>7503031950540</v>
          </cell>
          <cell r="C398" t="str">
            <v>MARLBORO  MARLBORO CRAFTED 2.0 GOLD KS BOX 20 STD - VAO CAJETILLA PZ</v>
          </cell>
        </row>
        <row r="399">
          <cell r="A399">
            <v>100080977</v>
          </cell>
          <cell r="B399">
            <v>75047078</v>
          </cell>
          <cell r="C399" t="str">
            <v>MALBORO ICE XPRESS</v>
          </cell>
        </row>
        <row r="400">
          <cell r="A400">
            <v>100023423</v>
          </cell>
          <cell r="B400">
            <v>75079888</v>
          </cell>
          <cell r="C400" t="str">
            <v>LUCKY STRIKE ORIGINS RICH 20 PZ</v>
          </cell>
        </row>
        <row r="401">
          <cell r="A401">
            <v>100023422</v>
          </cell>
          <cell r="B401">
            <v>75079901</v>
          </cell>
          <cell r="C401" t="str">
            <v>LUCKY STRIKE ORIGINS DARK 20 PZ</v>
          </cell>
        </row>
        <row r="402">
          <cell r="A402">
            <v>100023424</v>
          </cell>
          <cell r="B402">
            <v>75079895</v>
          </cell>
          <cell r="C402" t="str">
            <v>LUCKY STRIKE ORIGINS BRIGHT 20 PZ</v>
          </cell>
        </row>
        <row r="403">
          <cell r="A403">
            <v>100023426</v>
          </cell>
          <cell r="B403">
            <v>75079956</v>
          </cell>
          <cell r="C403" t="str">
            <v>LUCKY STRIKE ORIGINAL RED 20 PZ</v>
          </cell>
        </row>
        <row r="404">
          <cell r="A404">
            <v>100019548</v>
          </cell>
          <cell r="B404">
            <v>75073978</v>
          </cell>
          <cell r="C404" t="str">
            <v>LUCKY STRIKE NOVA LATA 1 CAJETILLA</v>
          </cell>
        </row>
        <row r="405">
          <cell r="A405">
            <v>100019549</v>
          </cell>
          <cell r="B405">
            <v>75073985</v>
          </cell>
          <cell r="C405" t="str">
            <v>LUCKY STRIKE NOVA 20S 1 CAJETILLA</v>
          </cell>
        </row>
        <row r="406">
          <cell r="A406">
            <v>100007451</v>
          </cell>
          <cell r="B406">
            <v>75057732</v>
          </cell>
          <cell r="C406" t="str">
            <v>LUCKY STRIKE ME T+C FRESH 1PZ</v>
          </cell>
        </row>
        <row r="407">
          <cell r="A407">
            <v>100023714</v>
          </cell>
          <cell r="B407">
            <v>75080105</v>
          </cell>
          <cell r="C407" t="str">
            <v>LUCKY STRIKE LATA CLÁSICA RED 20 PZ</v>
          </cell>
        </row>
        <row r="408">
          <cell r="A408">
            <v>100017662</v>
          </cell>
          <cell r="B408">
            <v>75072506</v>
          </cell>
          <cell r="C408" t="str">
            <v>LUCKY STRIKE LATA CINEMA 25S 1 PZ</v>
          </cell>
        </row>
        <row r="409">
          <cell r="A409">
            <v>100011378</v>
          </cell>
          <cell r="B409">
            <v>75063351</v>
          </cell>
          <cell r="C409" t="str">
            <v>LUCKY STRIKE FF DARK INFUSE LATA 20S</v>
          </cell>
        </row>
        <row r="410">
          <cell r="A410">
            <v>100011380</v>
          </cell>
          <cell r="B410">
            <v>75063344</v>
          </cell>
          <cell r="C410" t="str">
            <v>LUCKY STRIKE FF BLOND INFUSE LATA 20S</v>
          </cell>
        </row>
        <row r="411">
          <cell r="A411">
            <v>100018747</v>
          </cell>
          <cell r="B411">
            <v>75074197</v>
          </cell>
          <cell r="C411" t="str">
            <v>LUCKY STRIKE ENIGMA LATA 1 CAJETILLA</v>
          </cell>
        </row>
        <row r="412">
          <cell r="A412">
            <v>100018748</v>
          </cell>
          <cell r="B412">
            <v>75074203</v>
          </cell>
          <cell r="C412" t="str">
            <v>LUCKY STRIKE ECLIPS LATA 1 CAJETILLA</v>
          </cell>
        </row>
        <row r="413">
          <cell r="A413">
            <v>100008777</v>
          </cell>
          <cell r="B413">
            <v>75061135</v>
          </cell>
          <cell r="C413" t="str">
            <v>LUCKY STRIKE CONVERTIBLES ENIGMA PZ</v>
          </cell>
        </row>
        <row r="414">
          <cell r="A414">
            <v>100080954</v>
          </cell>
          <cell r="B414">
            <v>75047283</v>
          </cell>
          <cell r="C414" t="str">
            <v>LUCKY STRIKE CAJA DURA</v>
          </cell>
        </row>
        <row r="415">
          <cell r="A415">
            <v>100013301</v>
          </cell>
          <cell r="B415">
            <v>75066611</v>
          </cell>
          <cell r="C415" t="str">
            <v>LUCKY STRIKE BLOND 100S 1PZ</v>
          </cell>
        </row>
        <row r="416">
          <cell r="A416">
            <v>100015645</v>
          </cell>
          <cell r="B416">
            <v>75070373</v>
          </cell>
          <cell r="C416" t="str">
            <v xml:space="preserve">LUCKY STRIKE 94MM WINTER STORM 1 CAJETILLA		</v>
          </cell>
        </row>
        <row r="417">
          <cell r="A417">
            <v>100015174</v>
          </cell>
          <cell r="B417">
            <v>75067878</v>
          </cell>
          <cell r="C417" t="str">
            <v xml:space="preserve">LUCKY STRIKE 94MM SUNSHINE BLAST 1 CAJETILLA				</v>
          </cell>
        </row>
        <row r="418">
          <cell r="A418">
            <v>100015648</v>
          </cell>
          <cell r="B418">
            <v>75070588</v>
          </cell>
          <cell r="C418" t="str">
            <v>LUCKY STRIKE 100S MYSTIC 1 CAJETILLA</v>
          </cell>
        </row>
        <row r="419">
          <cell r="A419">
            <v>100017624</v>
          </cell>
          <cell r="B419">
            <v>75072674</v>
          </cell>
          <cell r="C419" t="str">
            <v>LUCKY STRIKE 100S ECLIPSE 20S 1 PZ</v>
          </cell>
        </row>
        <row r="420">
          <cell r="A420">
            <v>100008441</v>
          </cell>
          <cell r="B420">
            <v>75058470</v>
          </cell>
          <cell r="C420" t="str">
            <v>LUCKY STRICKE ORIGINAL 145AÑOS PZ</v>
          </cell>
        </row>
        <row r="421">
          <cell r="A421">
            <v>100010934</v>
          </cell>
          <cell r="B421">
            <v>75062675</v>
          </cell>
          <cell r="C421" t="str">
            <v>LUCKIE  STRIKE BLOND INFUSE 20S FF</v>
          </cell>
        </row>
        <row r="422">
          <cell r="A422">
            <v>900000012</v>
          </cell>
          <cell r="B422">
            <v>8356</v>
          </cell>
          <cell r="C422" t="str">
            <v>LM CIGARRO</v>
          </cell>
        </row>
        <row r="423">
          <cell r="A423">
            <v>100020228</v>
          </cell>
          <cell r="B423">
            <v>5410706884555</v>
          </cell>
          <cell r="C423" t="str">
            <v>IQOS IQOS 3 IQOS DUO WHITE KIT 1 PZ</v>
          </cell>
        </row>
        <row r="424">
          <cell r="A424">
            <v>100017011</v>
          </cell>
          <cell r="B424">
            <v>5410706851496</v>
          </cell>
          <cell r="C424" t="str">
            <v>IQOS HISOPO LIMPIADORES 1 CAJETILLA</v>
          </cell>
        </row>
        <row r="425">
          <cell r="A425">
            <v>100021272</v>
          </cell>
          <cell r="B425">
            <v>7622100711049</v>
          </cell>
          <cell r="C425" t="str">
            <v xml:space="preserve">IQOS HISOPO GLICERINA  1 CAJETILLA	</v>
          </cell>
        </row>
        <row r="426">
          <cell r="A426">
            <v>100018398</v>
          </cell>
          <cell r="B426">
            <v>7622100806332</v>
          </cell>
          <cell r="C426" t="str">
            <v>IQOS HISOPO 10 1 CAJETILLA</v>
          </cell>
        </row>
        <row r="427">
          <cell r="A427">
            <v>100020901</v>
          </cell>
          <cell r="B427">
            <v>5410706903331</v>
          </cell>
          <cell r="C427" t="str">
            <v>IQOS DUO WH IQOS WHITE 1 CAJETILLA</v>
          </cell>
        </row>
        <row r="428">
          <cell r="A428">
            <v>100020906</v>
          </cell>
          <cell r="B428">
            <v>5410706903317</v>
          </cell>
          <cell r="C428" t="str">
            <v>IQOS DUO GR IQOS GREY 1 CAJETILLA</v>
          </cell>
        </row>
        <row r="429">
          <cell r="A429">
            <v>100020904</v>
          </cell>
          <cell r="B429">
            <v>5410706903294</v>
          </cell>
          <cell r="C429" t="str">
            <v>IQOS DUO GO IQOS GOLD 1 CAJETILLA</v>
          </cell>
        </row>
        <row r="430">
          <cell r="A430">
            <v>100020905</v>
          </cell>
          <cell r="B430">
            <v>5410706903355</v>
          </cell>
          <cell r="C430" t="str">
            <v>IQOS DUO BL IQOS BLUE 1 CAJETILLA</v>
          </cell>
        </row>
        <row r="431">
          <cell r="A431">
            <v>100020177</v>
          </cell>
          <cell r="B431">
            <v>5410706884739</v>
          </cell>
          <cell r="C431" t="str">
            <v>IQOS 3 IQOS DUO GREY KIT 1 PZ</v>
          </cell>
        </row>
        <row r="432">
          <cell r="A432">
            <v>100020178</v>
          </cell>
          <cell r="B432">
            <v>5410706884715</v>
          </cell>
          <cell r="C432" t="str">
            <v>IQOS 3 IQOS DUO GOLD KIT 1 PZ</v>
          </cell>
        </row>
        <row r="433">
          <cell r="A433">
            <v>100020179</v>
          </cell>
          <cell r="B433">
            <v>5410706884654</v>
          </cell>
          <cell r="C433" t="str">
            <v>IQOS 3 IQOS DUO BLUE KIT 1 PZ</v>
          </cell>
        </row>
        <row r="434">
          <cell r="A434">
            <v>100020992</v>
          </cell>
          <cell r="B434">
            <v>5410710000000</v>
          </cell>
          <cell r="C434" t="str">
            <v>IQOS 2.4 NA IQOS 2.4 1 CAJETILLA</v>
          </cell>
        </row>
        <row r="435">
          <cell r="A435">
            <v>100015421</v>
          </cell>
          <cell r="B435">
            <v>7501045357423</v>
          </cell>
          <cell r="C435" t="str">
            <v>HEETS YELLOW SELECTION 1 CAJETILLA</v>
          </cell>
        </row>
        <row r="436">
          <cell r="A436">
            <v>100015420</v>
          </cell>
          <cell r="B436">
            <v>7501045357416</v>
          </cell>
          <cell r="C436" t="str">
            <v>HEETS TURQUO SELECTION 1 CAJETILLA</v>
          </cell>
        </row>
        <row r="437">
          <cell r="A437">
            <v>100015419</v>
          </cell>
          <cell r="B437">
            <v>7501045357430</v>
          </cell>
          <cell r="C437" t="str">
            <v>HEETS SIENNA SELECTION 1 CAJETILLA</v>
          </cell>
        </row>
        <row r="438">
          <cell r="A438">
            <v>100018638</v>
          </cell>
          <cell r="B438">
            <v>7501045357898</v>
          </cell>
          <cell r="C438" t="str">
            <v>HEETS RUSSET SELECTION 1 CAJETILLA</v>
          </cell>
        </row>
        <row r="439">
          <cell r="A439">
            <v>100015418</v>
          </cell>
          <cell r="B439">
            <v>7501045357454</v>
          </cell>
          <cell r="C439" t="str">
            <v>HEETS PURPLE SELECTION 1 CAJETILLA</v>
          </cell>
        </row>
        <row r="440">
          <cell r="A440">
            <v>100018639</v>
          </cell>
          <cell r="B440">
            <v>7501045357966</v>
          </cell>
          <cell r="C440" t="str">
            <v>HEETS GREEN ZING 1 CAJETILLA</v>
          </cell>
        </row>
        <row r="441">
          <cell r="A441">
            <v>100017980</v>
          </cell>
          <cell r="B441">
            <v>7501045357881</v>
          </cell>
          <cell r="C441" t="str">
            <v>HEETS BRONZE SELECTION 1 CAJETILLA</v>
          </cell>
        </row>
        <row r="442">
          <cell r="A442">
            <v>100015417</v>
          </cell>
          <cell r="B442">
            <v>7501045357447</v>
          </cell>
          <cell r="C442" t="str">
            <v>HEETS BLUE  SELECTION 1 CAJETILLA</v>
          </cell>
        </row>
        <row r="443">
          <cell r="A443">
            <v>100022970</v>
          </cell>
          <cell r="B443">
            <v>7503031950571</v>
          </cell>
          <cell r="C443" t="str">
            <v>HEETS BLACK GREEN SELECTION S50 PRI 20 SLI</v>
          </cell>
        </row>
        <row r="444">
          <cell r="A444">
            <v>100015416</v>
          </cell>
          <cell r="B444">
            <v>7501045356259</v>
          </cell>
          <cell r="C444" t="str">
            <v>HEETS AMBER SELECTION 1 CAJETILLA</v>
          </cell>
        </row>
        <row r="445">
          <cell r="A445">
            <v>100021950</v>
          </cell>
          <cell r="B445">
            <v>75004392</v>
          </cell>
          <cell r="C445" t="str">
            <v>FAROS 20 1 CAJETILLA</v>
          </cell>
        </row>
        <row r="446">
          <cell r="A446">
            <v>100012007</v>
          </cell>
          <cell r="B446">
            <v>75063900</v>
          </cell>
          <cell r="C446" t="str">
            <v>DELICADOS ORIGINALES 20 FAMILIARIZE 1CAJ</v>
          </cell>
        </row>
        <row r="447">
          <cell r="A447">
            <v>100011702</v>
          </cell>
          <cell r="B447">
            <v>75063894</v>
          </cell>
          <cell r="C447" t="str">
            <v>DELICADOS ORIGINALES 20 ENDO 1CAJE</v>
          </cell>
        </row>
        <row r="448">
          <cell r="A448">
            <v>100010267</v>
          </cell>
          <cell r="B448">
            <v>75061463</v>
          </cell>
          <cell r="C448" t="str">
            <v>DELICADOS FRESCOS 14S 1CAJ</v>
          </cell>
        </row>
        <row r="449">
          <cell r="A449">
            <v>100012003</v>
          </cell>
          <cell r="B449">
            <v>75063863</v>
          </cell>
          <cell r="C449" t="str">
            <v>DELICADOS FRESCOS 14 FAMILIAR 1CAJ</v>
          </cell>
        </row>
        <row r="450">
          <cell r="A450">
            <v>100009575</v>
          </cell>
          <cell r="B450">
            <v>75061449</v>
          </cell>
          <cell r="C450" t="str">
            <v>DELICADOS DELICA ORIGINAL 14S 1CAJE</v>
          </cell>
        </row>
        <row r="451">
          <cell r="A451">
            <v>100012005</v>
          </cell>
          <cell r="B451">
            <v>75063948</v>
          </cell>
          <cell r="C451" t="str">
            <v>DELICADOS CLAROS 24 FAMILIAR 1CAJ</v>
          </cell>
        </row>
        <row r="452">
          <cell r="A452">
            <v>100011705</v>
          </cell>
          <cell r="B452">
            <v>75063931</v>
          </cell>
          <cell r="C452" t="str">
            <v>DELICADOS CLAROS 24 ENDORSE 1CAJE</v>
          </cell>
        </row>
        <row r="453">
          <cell r="A453">
            <v>100080984</v>
          </cell>
          <cell r="B453">
            <v>75049607</v>
          </cell>
          <cell r="C453" t="str">
            <v>DELICADOS CLAROS 24</v>
          </cell>
        </row>
        <row r="454">
          <cell r="A454">
            <v>100012002</v>
          </cell>
          <cell r="B454">
            <v>75063849</v>
          </cell>
          <cell r="C454" t="str">
            <v>DELICADOS CLAROS 14 FAMILIAR 1CAJ</v>
          </cell>
        </row>
        <row r="455">
          <cell r="A455">
            <v>100011706</v>
          </cell>
          <cell r="B455">
            <v>75063832</v>
          </cell>
          <cell r="C455" t="str">
            <v>DELICADOS CLAROS 14 ENDORSE 1CAJE</v>
          </cell>
        </row>
        <row r="456">
          <cell r="A456">
            <v>100080976</v>
          </cell>
          <cell r="B456">
            <v>75049591</v>
          </cell>
          <cell r="C456" t="str">
            <v>DELICADOS CLAROS</v>
          </cell>
        </row>
        <row r="457">
          <cell r="A457">
            <v>100080951</v>
          </cell>
          <cell r="B457">
            <v>75047092</v>
          </cell>
          <cell r="C457" t="str">
            <v>DELICADOS CIGARROS 24S CAJET</v>
          </cell>
        </row>
        <row r="458">
          <cell r="A458">
            <v>100080869</v>
          </cell>
          <cell r="B458">
            <v>75037048</v>
          </cell>
          <cell r="C458" t="str">
            <v>DELICADOS CIGARR C/FILTRO LS20 CAJET</v>
          </cell>
        </row>
        <row r="459">
          <cell r="A459">
            <v>100005287</v>
          </cell>
          <cell r="B459">
            <v>75053048</v>
          </cell>
          <cell r="C459" t="str">
            <v>DELICADOS CAPSULA</v>
          </cell>
        </row>
        <row r="460">
          <cell r="A460">
            <v>100012006</v>
          </cell>
          <cell r="B460">
            <v>75063924</v>
          </cell>
          <cell r="C460" t="str">
            <v>DELICADOS 24 FAMILIARIZE 1CAJ</v>
          </cell>
        </row>
        <row r="461">
          <cell r="A461">
            <v>100011704</v>
          </cell>
          <cell r="B461">
            <v>75063917</v>
          </cell>
          <cell r="C461" t="str">
            <v>DELICADOS 24 ENDORSE 1CAJE</v>
          </cell>
        </row>
        <row r="462">
          <cell r="A462">
            <v>100011708</v>
          </cell>
          <cell r="B462">
            <v>75063870</v>
          </cell>
          <cell r="C462" t="str">
            <v>DELICADOS 14 ENDORSE 1CAJE</v>
          </cell>
        </row>
        <row r="463">
          <cell r="A463">
            <v>100008186</v>
          </cell>
          <cell r="B463">
            <v>75057817</v>
          </cell>
          <cell r="C463" t="str">
            <v>CHESTERFIELD ROJO 14S CAJET</v>
          </cell>
        </row>
        <row r="464">
          <cell r="A464">
            <v>100011671</v>
          </cell>
          <cell r="B464">
            <v>75063771</v>
          </cell>
          <cell r="C464" t="str">
            <v>CHESTERFIELD REMIX PASSION</v>
          </cell>
        </row>
        <row r="465">
          <cell r="A465">
            <v>100018204</v>
          </cell>
          <cell r="B465">
            <v>7501045300139</v>
          </cell>
          <cell r="C465" t="str">
            <v>CHESTERFIELD REMIX  LATA PASSION 1 CAJETILLA</v>
          </cell>
        </row>
        <row r="466">
          <cell r="A466">
            <v>100018203</v>
          </cell>
          <cell r="B466">
            <v>7501045300122</v>
          </cell>
          <cell r="C466" t="str">
            <v>CHESTERFIELD REMIX  LATA 20S 1 CAJETILLA</v>
          </cell>
        </row>
        <row r="467">
          <cell r="A467">
            <v>100004742</v>
          </cell>
          <cell r="B467">
            <v>75052867</v>
          </cell>
          <cell r="C467" t="str">
            <v>CHESTERFIELD RED 16</v>
          </cell>
        </row>
        <row r="468">
          <cell r="A468">
            <v>100080980</v>
          </cell>
          <cell r="B468">
            <v>75049577</v>
          </cell>
          <cell r="C468" t="str">
            <v>CHESTERFIELD PURPLE CAPS CAJET</v>
          </cell>
        </row>
        <row r="469">
          <cell r="A469">
            <v>100012202</v>
          </cell>
          <cell r="B469">
            <v>75064112</v>
          </cell>
          <cell r="C469" t="str">
            <v>CHESTERFIELD ORIGINALES 24 1CAJE</v>
          </cell>
        </row>
        <row r="470">
          <cell r="A470">
            <v>100011674</v>
          </cell>
          <cell r="B470">
            <v>75063726</v>
          </cell>
          <cell r="C470" t="str">
            <v>CHESTERFIELD ORIGINALES 20 1CAJ</v>
          </cell>
        </row>
        <row r="471">
          <cell r="A471">
            <v>100011678</v>
          </cell>
          <cell r="B471">
            <v>75063757</v>
          </cell>
          <cell r="C471" t="str">
            <v>CHESTERFIELD ORIGINALES 14 1CAJ</v>
          </cell>
        </row>
        <row r="472">
          <cell r="A472">
            <v>100018490</v>
          </cell>
          <cell r="B472">
            <v>7501045300146</v>
          </cell>
          <cell r="C472" t="str">
            <v>CHESTERFIELD ORIGIN STREET ART LATA 1 CAJETILLA</v>
          </cell>
        </row>
        <row r="473">
          <cell r="A473">
            <v>100014571</v>
          </cell>
          <cell r="B473">
            <v>75069506</v>
          </cell>
          <cell r="C473" t="str">
            <v>CHESTERFIELD ORIGIN REMIX 100 1CAJE</v>
          </cell>
        </row>
        <row r="474">
          <cell r="A474">
            <v>100013983</v>
          </cell>
          <cell r="B474">
            <v>75067854</v>
          </cell>
          <cell r="C474" t="str">
            <v>CHESTERFIELD ORIGIN 25 PERMANENT 1CAJE</v>
          </cell>
        </row>
        <row r="475">
          <cell r="A475">
            <v>100013785</v>
          </cell>
          <cell r="B475">
            <v>75067892</v>
          </cell>
          <cell r="C475" t="str">
            <v xml:space="preserve">CHESTERFIELD ORIGIN 25 ENDORSEMENT 1CAJE									</v>
          </cell>
        </row>
        <row r="476">
          <cell r="A476">
            <v>100013982</v>
          </cell>
          <cell r="B476">
            <v>75067823</v>
          </cell>
          <cell r="C476" t="str">
            <v>CHESTERFIELD ORIGIN 15 PERMANENT 1CAJE</v>
          </cell>
        </row>
        <row r="477">
          <cell r="A477">
            <v>100008185</v>
          </cell>
          <cell r="B477">
            <v>75057824</v>
          </cell>
          <cell r="C477" t="str">
            <v>CHESTERFIELD MINT 14S CAJET</v>
          </cell>
        </row>
        <row r="478">
          <cell r="A478">
            <v>100080979</v>
          </cell>
          <cell r="B478">
            <v>75049584</v>
          </cell>
          <cell r="C478" t="str">
            <v>CHESTERFIELD MINI CAPSULE</v>
          </cell>
        </row>
        <row r="479">
          <cell r="A479">
            <v>100021797</v>
          </cell>
          <cell r="B479">
            <v>7503031950267</v>
          </cell>
          <cell r="C479" t="str">
            <v>CHESTERFIELD LPE OR LPE 125 1 CAJETILLA</v>
          </cell>
        </row>
        <row r="480">
          <cell r="A480">
            <v>100019960</v>
          </cell>
          <cell r="B480">
            <v>7503031950113</v>
          </cell>
          <cell r="C480" t="str">
            <v>CHESTERFIELD LATA P REMIX PASSION 1 CAJETILLA</v>
          </cell>
        </row>
        <row r="481">
          <cell r="A481">
            <v>100019961</v>
          </cell>
          <cell r="B481">
            <v>7503031950106</v>
          </cell>
          <cell r="C481" t="str">
            <v>CHESTERFIELD LATA F REMIX FRESH 1 CAJETILLA</v>
          </cell>
        </row>
        <row r="482">
          <cell r="A482">
            <v>100014579</v>
          </cell>
          <cell r="B482">
            <v>75069773</v>
          </cell>
          <cell r="C482" t="str">
            <v>CHESTERFIELD INCOGN 1CAJE</v>
          </cell>
        </row>
        <row r="483">
          <cell r="A483">
            <v>100080958</v>
          </cell>
          <cell r="B483">
            <v>75047498</v>
          </cell>
          <cell r="C483" t="str">
            <v>CHESTERFIELD CIGARR RED 20S</v>
          </cell>
        </row>
        <row r="484">
          <cell r="A484">
            <v>100080961</v>
          </cell>
          <cell r="B484">
            <v>75047467</v>
          </cell>
          <cell r="C484" t="str">
            <v>CHESTERFIELD CIGAR BLUE 20S 1CJT</v>
          </cell>
        </row>
        <row r="485">
          <cell r="A485">
            <v>100012203</v>
          </cell>
          <cell r="B485">
            <v>75061715</v>
          </cell>
          <cell r="C485" t="str">
            <v>CHESTERFIELD BLUE 24 1CAJE</v>
          </cell>
        </row>
        <row r="486">
          <cell r="A486">
            <v>100011673</v>
          </cell>
          <cell r="B486">
            <v>75063825</v>
          </cell>
          <cell r="C486" t="str">
            <v>CHESTERFIELD BLUE 20 1CAJ</v>
          </cell>
        </row>
        <row r="487">
          <cell r="A487">
            <v>100008184</v>
          </cell>
          <cell r="B487">
            <v>75057800</v>
          </cell>
          <cell r="C487" t="str">
            <v>CHESTERFIELD BLUE 14S CAJET</v>
          </cell>
        </row>
        <row r="488">
          <cell r="A488">
            <v>100011677</v>
          </cell>
          <cell r="B488">
            <v>75063740</v>
          </cell>
          <cell r="C488" t="str">
            <v>CHESTERFIELD BLUE 14 1CAJ</v>
          </cell>
        </row>
        <row r="489">
          <cell r="A489">
            <v>100018931</v>
          </cell>
          <cell r="B489">
            <v>7503023959346</v>
          </cell>
          <cell r="C489" t="str">
            <v>CAMEL FILTER LEP ANIMALS 20S 23 G</v>
          </cell>
        </row>
        <row r="490">
          <cell r="A490">
            <v>100017393</v>
          </cell>
          <cell r="B490">
            <v>7503023959230</v>
          </cell>
          <cell r="C490" t="str">
            <v>CAMEL FILTER GREETINGS 20S 1 PZ</v>
          </cell>
        </row>
        <row r="491">
          <cell r="A491">
            <v>100080917</v>
          </cell>
          <cell r="B491">
            <v>75045135</v>
          </cell>
          <cell r="C491" t="str">
            <v>CAMEL CIGARR WHITE 20S CAJET</v>
          </cell>
        </row>
        <row r="492">
          <cell r="A492">
            <v>100080184</v>
          </cell>
          <cell r="B492">
            <v>8308315</v>
          </cell>
          <cell r="C492" t="str">
            <v>CAMEL CIGARR FF CD CAJET</v>
          </cell>
        </row>
        <row r="493">
          <cell r="A493">
            <v>100080865</v>
          </cell>
          <cell r="B493">
            <v>75039370</v>
          </cell>
          <cell r="C493" t="str">
            <v>CAMEL CIGARR FF 100S CAJET</v>
          </cell>
        </row>
        <row r="494">
          <cell r="A494">
            <v>100080895</v>
          </cell>
          <cell r="B494">
            <v>75043230</v>
          </cell>
          <cell r="C494" t="str">
            <v>CAMEL CIGARR ACTIVA LI CAJET</v>
          </cell>
        </row>
        <row r="495">
          <cell r="A495">
            <v>100080695</v>
          </cell>
          <cell r="B495">
            <v>8338918</v>
          </cell>
          <cell r="C495" t="str">
            <v>CAMEL CIGARR 14S FF CD CAJET</v>
          </cell>
        </row>
        <row r="496">
          <cell r="A496">
            <v>100014240</v>
          </cell>
          <cell r="B496">
            <v>7503023959025</v>
          </cell>
          <cell r="C496" t="str">
            <v>CAMEL CAMEL  FILTERS 14S 1CAJE</v>
          </cell>
        </row>
        <row r="497">
          <cell r="A497">
            <v>100014242</v>
          </cell>
          <cell r="B497">
            <v>7503023959117</v>
          </cell>
          <cell r="C497" t="str">
            <v>CAMEL CAMEL  ACTIVA MINT PURPLE 1CAJE</v>
          </cell>
        </row>
        <row r="498">
          <cell r="A498">
            <v>100014243</v>
          </cell>
          <cell r="B498">
            <v>7503023959131</v>
          </cell>
          <cell r="C498" t="str">
            <v>CAMEL CAMEL  ACTIVA 100S 1CAJE</v>
          </cell>
        </row>
        <row r="499">
          <cell r="A499">
            <v>100020727</v>
          </cell>
          <cell r="B499">
            <v>75015725</v>
          </cell>
          <cell r="C499" t="str">
            <v>BENSON&amp;HEDGE LUX SA SAPPHIRE 1 CAJETILLA</v>
          </cell>
        </row>
        <row r="500">
          <cell r="A500">
            <v>100022210</v>
          </cell>
          <cell r="B500">
            <v>75012694</v>
          </cell>
          <cell r="C500" t="str">
            <v>BENSON&amp;HEDGE LUX QU QUARTZ 1 CAJETILLA</v>
          </cell>
        </row>
        <row r="501">
          <cell r="A501">
            <v>100020728</v>
          </cell>
          <cell r="B501">
            <v>75018825</v>
          </cell>
          <cell r="C501" t="str">
            <v>BENSON&amp;HEDGE LUX JA JADE 1 CAJETILLA</v>
          </cell>
        </row>
        <row r="502">
          <cell r="A502">
            <v>100020729</v>
          </cell>
          <cell r="B502">
            <v>75012564</v>
          </cell>
          <cell r="C502" t="str">
            <v>BENSON&amp;HEDGE LUX AM AMBER 1 CAJETILLA</v>
          </cell>
        </row>
        <row r="503">
          <cell r="A503">
            <v>100015187</v>
          </cell>
          <cell r="B503">
            <v>75068752</v>
          </cell>
          <cell r="C503" t="str">
            <v>BENSON&amp;HEDGE GOLD 100 SOF 20 1 CAJETILLA</v>
          </cell>
        </row>
        <row r="504">
          <cell r="A504">
            <v>100014718</v>
          </cell>
          <cell r="B504">
            <v>75068806</v>
          </cell>
          <cell r="C504" t="str">
            <v>BENSON&amp;HEDGE GOLD 100 BOX 14 1CAJE</v>
          </cell>
        </row>
        <row r="505">
          <cell r="A505">
            <v>100080033</v>
          </cell>
          <cell r="B505">
            <v>75001247</v>
          </cell>
          <cell r="C505" t="str">
            <v>BENSON&amp;HEDGE CIGARR MENTHOL CS CAJET</v>
          </cell>
        </row>
        <row r="506">
          <cell r="A506">
            <v>100080862</v>
          </cell>
          <cell r="B506">
            <v>75038007</v>
          </cell>
          <cell r="C506" t="str">
            <v>BENSON&amp;HEDGE CIGARR MENTHOL 14S CAJET</v>
          </cell>
        </row>
        <row r="507">
          <cell r="A507">
            <v>100080439</v>
          </cell>
          <cell r="B507">
            <v>75016760</v>
          </cell>
          <cell r="C507" t="str">
            <v>BENSON&amp;HEDGE CIGARR FF CD CAJET</v>
          </cell>
        </row>
        <row r="508">
          <cell r="A508">
            <v>100080861</v>
          </cell>
          <cell r="B508">
            <v>75037994</v>
          </cell>
          <cell r="C508" t="str">
            <v>BENSON&amp;HEDGE CIGARR FF 14S CAJET</v>
          </cell>
        </row>
        <row r="509">
          <cell r="A509">
            <v>100080031</v>
          </cell>
          <cell r="B509">
            <v>75001254</v>
          </cell>
          <cell r="C509" t="str">
            <v>BENSON&amp;HEDGE CIGARR CS CAJET</v>
          </cell>
        </row>
        <row r="510">
          <cell r="A510">
            <v>100080926</v>
          </cell>
          <cell r="B510">
            <v>75045692</v>
          </cell>
          <cell r="C510" t="str">
            <v>BENSON &amp; HEDGES POLAR ICE</v>
          </cell>
        </row>
        <row r="511">
          <cell r="A511">
            <v>100022054</v>
          </cell>
          <cell r="B511">
            <v>7503023959438</v>
          </cell>
          <cell r="C511" t="str">
            <v xml:space="preserve"> WINSTON OASIS FRES 27.4 G	</v>
          </cell>
        </row>
        <row r="512">
          <cell r="A512">
            <v>100026143</v>
          </cell>
          <cell r="B512">
            <v>75084011</v>
          </cell>
          <cell r="C512" t="str">
            <v>TEREA RIVIERA PEARL 2 CAJETILLA PZ</v>
          </cell>
        </row>
        <row r="513">
          <cell r="A513">
            <v>100024418</v>
          </cell>
          <cell r="B513">
            <v>7702303253338</v>
          </cell>
          <cell r="C513" t="str">
            <v>VELO STRAWBERRY ICE 6 MG 15 PZ</v>
          </cell>
        </row>
        <row r="514">
          <cell r="A514">
            <v>100026302</v>
          </cell>
          <cell r="B514">
            <v>7503039738553</v>
          </cell>
          <cell r="C514" t="str">
            <v>VELO STRAWBERRY ICE 6MG TC COLOR 15 PZ</v>
          </cell>
        </row>
        <row r="515">
          <cell r="A515">
            <v>100025296</v>
          </cell>
          <cell r="B515">
            <v>7503039738409</v>
          </cell>
          <cell r="C515" t="str">
            <v>VELO STRAWBERRY ICE 8 MG 20 PZ</v>
          </cell>
        </row>
        <row r="516">
          <cell r="A516">
            <v>100026069</v>
          </cell>
          <cell r="B516">
            <v>7503039738430</v>
          </cell>
          <cell r="C516" t="str">
            <v>VELO SWEET PAPAYA 8 MG 20 PZ</v>
          </cell>
        </row>
        <row r="517">
          <cell r="A517">
            <v>100024415</v>
          </cell>
          <cell r="B517">
            <v>7702303630924</v>
          </cell>
          <cell r="C517" t="str">
            <v>VELO TROPICAL MANGO 4 MG 15 PZ</v>
          </cell>
        </row>
        <row r="518">
          <cell r="A518">
            <v>100026074</v>
          </cell>
          <cell r="B518">
            <v>7503039738522</v>
          </cell>
          <cell r="C518" t="str">
            <v>VELO TROPICAL MANGO 4MG TC BK 15 PZ</v>
          </cell>
        </row>
        <row r="519">
          <cell r="A519">
            <v>100024416</v>
          </cell>
          <cell r="B519">
            <v>7702303813235</v>
          </cell>
          <cell r="C519" t="str">
            <v>VELO TROPICAL MANGO 6 MG 15 PZ</v>
          </cell>
        </row>
        <row r="520">
          <cell r="A520">
            <v>100026304</v>
          </cell>
          <cell r="B520">
            <v>7503039738560</v>
          </cell>
          <cell r="C520" t="str">
            <v>VELO TROPICAL MANGO 6MG TC COLOR 15 PZ</v>
          </cell>
        </row>
        <row r="521">
          <cell r="A521">
            <v>100026383</v>
          </cell>
          <cell r="B521">
            <v>75084004</v>
          </cell>
          <cell r="C521" t="str">
            <v>TEREA BERRINE EDITION 20 CAJETILLA PZ</v>
          </cell>
        </row>
        <row r="522">
          <cell r="A522">
            <v>100025292</v>
          </cell>
          <cell r="B522">
            <v>7503039738386</v>
          </cell>
          <cell r="C522" t="str">
            <v>VELO TROPICAL MANGO 8 MG 20 PZ</v>
          </cell>
        </row>
        <row r="523">
          <cell r="A523">
            <v>100025895</v>
          </cell>
          <cell r="B523">
            <v>7503039738478</v>
          </cell>
          <cell r="C523" t="str">
            <v>VELO WATERMELON ICE 6 MG 15 PZ</v>
          </cell>
        </row>
        <row r="524">
          <cell r="A524">
            <v>100026382</v>
          </cell>
          <cell r="B524">
            <v>75085384</v>
          </cell>
          <cell r="C524" t="str">
            <v>MARLBORO CRAFTED BLOSSOM MIX 100</v>
          </cell>
        </row>
        <row r="525">
          <cell r="A525">
            <v>100026305</v>
          </cell>
          <cell r="B525">
            <v>7503039738577</v>
          </cell>
          <cell r="C525" t="str">
            <v>VELO WATERMELON ICE 6MG TC COLOR 15 PZ</v>
          </cell>
        </row>
        <row r="526">
          <cell r="A526">
            <v>100026380</v>
          </cell>
          <cell r="B526">
            <v>75086091</v>
          </cell>
          <cell r="C526" t="str">
            <v>MARLBORO CRAFTED SUMMER MIX 100</v>
          </cell>
        </row>
        <row r="527">
          <cell r="A527">
            <v>100011672</v>
          </cell>
          <cell r="B527">
            <v>75063801</v>
          </cell>
          <cell r="C527" t="str">
            <v>MARLBORO CRAFTED ICE MIX</v>
          </cell>
        </row>
        <row r="528">
          <cell r="A528">
            <v>100026471</v>
          </cell>
          <cell r="B528">
            <v>7622100510727</v>
          </cell>
          <cell r="C528" t="str">
            <v>IQOS ILUMA I ONE MIDNIGHT BLACK  PZ</v>
          </cell>
        </row>
        <row r="529">
          <cell r="A529">
            <v>100026467</v>
          </cell>
          <cell r="B529">
            <v>7622100511076</v>
          </cell>
          <cell r="C529" t="str">
            <v>IQOS ILUMA I MIDNIGHT BLACK  PZ</v>
          </cell>
        </row>
        <row r="530">
          <cell r="A530">
            <v>100026473</v>
          </cell>
          <cell r="B530">
            <v>7622100510765</v>
          </cell>
          <cell r="C530" t="str">
            <v>IQOS ILUMA I ONE BREEZE BLUE  PZ</v>
          </cell>
        </row>
        <row r="531">
          <cell r="A531">
            <v>100026616</v>
          </cell>
          <cell r="B531">
            <v>7622100511038</v>
          </cell>
          <cell r="C531" t="str">
            <v>IQOS ILUMA I BREEZE BLUE  PZ</v>
          </cell>
        </row>
        <row r="532">
          <cell r="A532">
            <v>100026687</v>
          </cell>
          <cell r="B532">
            <v>75084585</v>
          </cell>
          <cell r="C532" t="str">
            <v>PALL MALL AIRLINES ALASKA 20 PZ</v>
          </cell>
        </row>
        <row r="533">
          <cell r="A533">
            <v>100026688</v>
          </cell>
          <cell r="B533">
            <v>75084608</v>
          </cell>
          <cell r="C533" t="str">
            <v>PALL MALL AIRLINES TOKYO 20 PZ</v>
          </cell>
        </row>
        <row r="534">
          <cell r="A534">
            <v>100026689</v>
          </cell>
          <cell r="B534">
            <v>75084592</v>
          </cell>
          <cell r="C534" t="str">
            <v>PALL MALL AIRLINES MYKONOS 20 PZ</v>
          </cell>
        </row>
        <row r="535">
          <cell r="A535">
            <v>100026690</v>
          </cell>
          <cell r="B535">
            <v>75084646</v>
          </cell>
          <cell r="C535" t="str">
            <v>PALL MALL AIRLINES HAWAII 20 PZ</v>
          </cell>
        </row>
        <row r="536">
          <cell r="A536">
            <v>100026691</v>
          </cell>
          <cell r="B536">
            <v>75084639</v>
          </cell>
          <cell r="C536" t="str">
            <v>PALL MALL AIRLINES BORA BORA 20 PZ</v>
          </cell>
        </row>
        <row r="537">
          <cell r="A537">
            <v>100026692</v>
          </cell>
          <cell r="B537">
            <v>75084653</v>
          </cell>
          <cell r="C537" t="str">
            <v>PALL MALL AIRLINES MANILA 20 PZ</v>
          </cell>
        </row>
        <row r="538">
          <cell r="A538">
            <v>100026676</v>
          </cell>
          <cell r="B538">
            <v>75087142</v>
          </cell>
          <cell r="C538" t="str">
            <v>PALL MALL SUMMER ALASKA 20 PZ</v>
          </cell>
        </row>
        <row r="539">
          <cell r="A539">
            <v>100026677</v>
          </cell>
          <cell r="B539">
            <v>75087159</v>
          </cell>
          <cell r="C539" t="str">
            <v>PALL MALL SUMMER TOKYO 20 PZ</v>
          </cell>
        </row>
        <row r="540">
          <cell r="A540">
            <v>100026678</v>
          </cell>
          <cell r="B540">
            <v>75087166</v>
          </cell>
          <cell r="C540" t="str">
            <v>PALL MALL SUMMER MYKONOS 20 PZ</v>
          </cell>
        </row>
        <row r="541">
          <cell r="A541">
            <v>100026679</v>
          </cell>
          <cell r="B541">
            <v>75087173</v>
          </cell>
          <cell r="C541" t="str">
            <v>PALL MALL SUMMER HAWAII 20 PZ</v>
          </cell>
        </row>
        <row r="542">
          <cell r="A542">
            <v>100026680</v>
          </cell>
          <cell r="B542">
            <v>75087180</v>
          </cell>
          <cell r="C542" t="str">
            <v>PALL MALL SUMMER MANILA 20 PZ</v>
          </cell>
        </row>
        <row r="543">
          <cell r="A543">
            <v>100026684</v>
          </cell>
          <cell r="B543">
            <v>75084493</v>
          </cell>
          <cell r="C543" t="str">
            <v>PALL MALL AMALFI 20 PZ</v>
          </cell>
        </row>
        <row r="544">
          <cell r="A544">
            <v>100026681</v>
          </cell>
          <cell r="B544">
            <v>75087197</v>
          </cell>
          <cell r="C544" t="str">
            <v>PALL MALL SUMMER SELECT RED 25 PZ</v>
          </cell>
        </row>
        <row r="545">
          <cell r="A545">
            <v>100026682</v>
          </cell>
          <cell r="B545">
            <v>75087203</v>
          </cell>
          <cell r="C545" t="str">
            <v>PALL MALL SUMMER SELECT GOLD 14 PZ</v>
          </cell>
        </row>
        <row r="546">
          <cell r="A546">
            <v>100026683</v>
          </cell>
          <cell r="B546">
            <v>75087210</v>
          </cell>
          <cell r="C546" t="str">
            <v>SHOTS CLASSICS SUMMER 25 PZ</v>
          </cell>
        </row>
        <row r="547">
          <cell r="A547">
            <v>100026685</v>
          </cell>
          <cell r="B547">
            <v>75086381</v>
          </cell>
          <cell r="C547" t="str">
            <v>MARLBORO CRAFTED RUBY PZ</v>
          </cell>
        </row>
        <row r="548">
          <cell r="A548">
            <v>100026614</v>
          </cell>
          <cell r="B548">
            <v>7501045300177</v>
          </cell>
          <cell r="C548" t="str">
            <v>MARLBORO VISTA BLOSSOM MIST 100 PZ</v>
          </cell>
        </row>
        <row r="549">
          <cell r="A549">
            <v>100027095</v>
          </cell>
          <cell r="B549">
            <v>75087586</v>
          </cell>
          <cell r="C549" t="str">
            <v>MARLBORO CRAFTED POLAR MIX 100 BOX 20  CAJETILLA PZ</v>
          </cell>
        </row>
        <row r="550">
          <cell r="A550">
            <v>100027096</v>
          </cell>
          <cell r="B550">
            <v>7311250035586</v>
          </cell>
          <cell r="C550" t="str">
            <v>ZYN APPLE MINT 3MG CAJETILLA PZ</v>
          </cell>
        </row>
        <row r="551">
          <cell r="A551">
            <v>100027097</v>
          </cell>
          <cell r="B551">
            <v>7311250035609</v>
          </cell>
          <cell r="C551" t="str">
            <v>ZYN APPLE MINT 6MG CAJETILLA PZ</v>
          </cell>
        </row>
        <row r="552">
          <cell r="A552">
            <v>100027103</v>
          </cell>
          <cell r="B552">
            <v>7503039738805</v>
          </cell>
          <cell r="C552" t="str">
            <v>VELO GREEN SPEARMINT 8MG 15 PZ</v>
          </cell>
        </row>
        <row r="553">
          <cell r="A553">
            <v>100027104</v>
          </cell>
          <cell r="B553">
            <v>7503039738812</v>
          </cell>
          <cell r="C553" t="str">
            <v>VELO TROPICAL MANGO 8MG 15 PZ</v>
          </cell>
        </row>
        <row r="554">
          <cell r="A554">
            <v>100027105</v>
          </cell>
          <cell r="B554">
            <v>7503039738829</v>
          </cell>
          <cell r="C554" t="str">
            <v>VELO STRAWBERRY ICE 8MG 15 PZ</v>
          </cell>
        </row>
        <row r="555">
          <cell r="A555">
            <v>100027106</v>
          </cell>
          <cell r="B555">
            <v>7503039738836</v>
          </cell>
          <cell r="C555" t="str">
            <v>VELO POLAR PEPPERMINT 8MG 15 PZ</v>
          </cell>
        </row>
        <row r="556">
          <cell r="A556">
            <v>100027098</v>
          </cell>
          <cell r="B556">
            <v>7503039738843</v>
          </cell>
          <cell r="C556" t="str">
            <v>VELO MANGO ICE 4MG  15 PZ</v>
          </cell>
        </row>
        <row r="557">
          <cell r="A557">
            <v>100027099</v>
          </cell>
          <cell r="B557">
            <v>7503039738867</v>
          </cell>
          <cell r="C557" t="str">
            <v>VELO MANGO FLAME 10MG 15 PZ</v>
          </cell>
        </row>
        <row r="558">
          <cell r="A558">
            <v>100027102</v>
          </cell>
          <cell r="B558">
            <v>7503039738874</v>
          </cell>
          <cell r="C558" t="str">
            <v>VELO PEPPERMINT STORM 10.9 MG 15 PZ</v>
          </cell>
        </row>
        <row r="559">
          <cell r="A559">
            <v>100080354</v>
          </cell>
          <cell r="C559" t="str">
            <v>CANOS PURO C/5 NATURAL CAJET</v>
          </cell>
        </row>
        <row r="560">
          <cell r="A560">
            <v>100080382</v>
          </cell>
          <cell r="C560" t="str">
            <v>MATACAN PURO NATURAL CAJET</v>
          </cell>
        </row>
        <row r="561">
          <cell r="A561">
            <v>100013782</v>
          </cell>
          <cell r="C561" t="str">
            <v xml:space="preserve">CHESTERFIELD ORIGIN 20 ENDORSEMENT 1CAJE									</v>
          </cell>
        </row>
        <row r="562">
          <cell r="A562">
            <v>100024718</v>
          </cell>
          <cell r="C562" t="str">
            <v>VUSE GO 1000 MANGO ICE 34 MGML 1 PZ</v>
          </cell>
        </row>
        <row r="563">
          <cell r="A563">
            <v>101000060</v>
          </cell>
          <cell r="C563" t="str">
            <v>MARLBORO CARIBEAN FUSION 100 BOX 14</v>
          </cell>
        </row>
        <row r="564">
          <cell r="A564">
            <v>100017238</v>
          </cell>
          <cell r="C564" t="str">
            <v>AC DUMMY CIGARROS</v>
          </cell>
        </row>
        <row r="565">
          <cell r="A565">
            <v>100024719</v>
          </cell>
          <cell r="B565">
            <v>7707200945799</v>
          </cell>
          <cell r="C565" t="str">
            <v>VUSE GO 5000 GREEN APPLE 34 MGML 1 PZ</v>
          </cell>
        </row>
        <row r="566">
          <cell r="A566">
            <v>100080894</v>
          </cell>
          <cell r="B566">
            <v>75043209</v>
          </cell>
          <cell r="C566" t="str">
            <v>CAMEL CIGARR ACTIVA FF CAJET</v>
          </cell>
        </row>
        <row r="567">
          <cell r="A567">
            <v>100011675</v>
          </cell>
          <cell r="B567">
            <v>75063702</v>
          </cell>
          <cell r="C567" t="str">
            <v>CHESTERFIELD MINT 14 1CAJ</v>
          </cell>
        </row>
        <row r="568">
          <cell r="A568">
            <v>100009363</v>
          </cell>
          <cell r="B568">
            <v>7503023648035</v>
          </cell>
          <cell r="C568" t="str">
            <v>MAZATAN PURO SHORT TORPEDO PZ</v>
          </cell>
        </row>
        <row r="569">
          <cell r="A569">
            <v>100009365</v>
          </cell>
          <cell r="B569">
            <v>7503023648028</v>
          </cell>
          <cell r="C569" t="str">
            <v>MAZATAN PURO DOBLE ROBUSTO PZ</v>
          </cell>
        </row>
        <row r="570">
          <cell r="A570">
            <v>100080406</v>
          </cell>
          <cell r="B570">
            <v>7501609500968</v>
          </cell>
          <cell r="C570" t="str">
            <v>PUROS CANOS/PIEZA</v>
          </cell>
        </row>
        <row r="571">
          <cell r="A571">
            <v>100011025</v>
          </cell>
          <cell r="B571">
            <v>10000</v>
          </cell>
          <cell r="C571" t="str">
            <v>MARLBORO CIGARR ROJO CD CAJET</v>
          </cell>
        </row>
        <row r="572">
          <cell r="A572">
            <v>100013300</v>
          </cell>
          <cell r="B572">
            <v>75066901</v>
          </cell>
          <cell r="C572" t="str">
            <v>LUCKY STRIKE HAZEL 100S 1PZ</v>
          </cell>
        </row>
        <row r="573">
          <cell r="A573">
            <v>100016260</v>
          </cell>
          <cell r="B573">
            <v>25900000288</v>
          </cell>
          <cell r="C573" t="str">
            <v>KING EDWARD PURO  VAINILLA 1 PZ</v>
          </cell>
        </row>
        <row r="574">
          <cell r="A574">
            <v>100017183</v>
          </cell>
          <cell r="B574">
            <v>42230748</v>
          </cell>
          <cell r="C574" t="str">
            <v>GIZEH PAPEL  ZIGZAG 1 PZ</v>
          </cell>
        </row>
        <row r="575">
          <cell r="A575">
            <v>100016041</v>
          </cell>
          <cell r="B575">
            <v>25900213053</v>
          </cell>
          <cell r="C575" t="str">
            <v>MINITIP CIGARR CHERRY 1 PZ</v>
          </cell>
        </row>
        <row r="576">
          <cell r="A576">
            <v>100080949</v>
          </cell>
          <cell r="B576">
            <v>7503006684265</v>
          </cell>
          <cell r="C576" t="str">
            <v>CIGARR BLACK LABEL PZ</v>
          </cell>
        </row>
        <row r="577">
          <cell r="A577">
            <v>100015384</v>
          </cell>
          <cell r="B577">
            <v>85000100</v>
          </cell>
          <cell r="C577" t="str">
            <v>COHIBA COHIBA COHIBA CAJETILLA C 1 CAJETILLA</v>
          </cell>
        </row>
        <row r="578">
          <cell r="A578">
            <v>100024717</v>
          </cell>
          <cell r="B578">
            <v>7707200947854</v>
          </cell>
          <cell r="C578" t="str">
            <v>VUSE GO 1000 GRAPE ICE 34 MGML 1 PZ</v>
          </cell>
        </row>
        <row r="579">
          <cell r="A579">
            <v>100024723</v>
          </cell>
          <cell r="B579">
            <v>7707200947311</v>
          </cell>
          <cell r="C579" t="str">
            <v>VUSE GO 5000 MENTHOL ICE 34 MGML 1 PZ</v>
          </cell>
        </row>
        <row r="580">
          <cell r="A580">
            <v>100024893</v>
          </cell>
          <cell r="B580">
            <v>7707200943825</v>
          </cell>
          <cell r="C580" t="str">
            <v>VUSE GO 1000 WATERMELON ICE 34 MG/ML 1 PZ</v>
          </cell>
        </row>
        <row r="581">
          <cell r="A581">
            <v>100027108</v>
          </cell>
          <cell r="B581">
            <v>7502274777471</v>
          </cell>
          <cell r="C581" t="str">
            <v>SESH MINT 10 2MG 1 PZ</v>
          </cell>
        </row>
        <row r="582">
          <cell r="A582">
            <v>100027109</v>
          </cell>
          <cell r="B582">
            <v>7502274777501</v>
          </cell>
          <cell r="C582" t="str">
            <v>SESH MINT 10 4MG 1 PZ</v>
          </cell>
        </row>
        <row r="583">
          <cell r="A583">
            <v>100027110</v>
          </cell>
          <cell r="B583">
            <v>7502274777488</v>
          </cell>
          <cell r="C583" t="str">
            <v>SESH MANGO 10S 2MG 1 PZ</v>
          </cell>
        </row>
        <row r="584">
          <cell r="A584">
            <v>100027111</v>
          </cell>
          <cell r="B584">
            <v>7502274777464</v>
          </cell>
          <cell r="C584" t="str">
            <v>SESH CLEAR 10S 2MG 1 PZ</v>
          </cell>
        </row>
        <row r="585">
          <cell r="A585">
            <v>100027324</v>
          </cell>
          <cell r="B585">
            <v>75086145</v>
          </cell>
          <cell r="C585" t="str">
            <v>PALL MALL ICELAND 14 PZ</v>
          </cell>
        </row>
        <row r="586">
          <cell r="A586">
            <v>100027323</v>
          </cell>
          <cell r="B586">
            <v>75086176</v>
          </cell>
          <cell r="C586" t="str">
            <v>PALL MALL HONOLULU 14 PZ</v>
          </cell>
        </row>
        <row r="587">
          <cell r="A587">
            <v>100027464</v>
          </cell>
          <cell r="B587">
            <v>7503039738904</v>
          </cell>
          <cell r="C587" t="str">
            <v>VELO PURPLE GRAPE 8MG 15 PZ</v>
          </cell>
        </row>
        <row r="588">
          <cell r="A588">
            <v>100027462</v>
          </cell>
          <cell r="B588">
            <v>7503039738911</v>
          </cell>
          <cell r="C588" t="str">
            <v>VELO PEACH ICE 8MG 15 PZ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EE93BC-6693-42D7-9A82-F691AA5CD3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d05bf7f-d8d5-4e12-8337-39ebbb023d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sheetPr filterMode="1"/>
  <dimension ref="A1:L590"/>
  <sheetViews>
    <sheetView tabSelected="1" zoomScale="50" zoomScaleNormal="40" workbookViewId="0">
      <selection activeCell="C549" sqref="A1:C549"/>
    </sheetView>
  </sheetViews>
  <sheetFormatPr baseColWidth="10" defaultColWidth="11.453125" defaultRowHeight="14.5" x14ac:dyDescent="0.35"/>
  <cols>
    <col min="1" max="1" width="13.7265625" customWidth="1"/>
    <col min="2" max="2" width="15.36328125" bestFit="1" customWidth="1"/>
    <col min="3" max="3" width="110.08984375" bestFit="1" customWidth="1"/>
    <col min="4" max="4" width="36.453125" bestFit="1" customWidth="1"/>
    <col min="5" max="5" width="24.26953125" customWidth="1"/>
    <col min="6" max="6" width="15.36328125" customWidth="1"/>
    <col min="7" max="7" width="20.81640625" customWidth="1"/>
    <col min="8" max="8" width="22.26953125" bestFit="1" customWidth="1"/>
    <col min="9" max="9" width="31.7265625" bestFit="1" customWidth="1"/>
    <col min="10" max="10" width="16.453125" bestFit="1" customWidth="1"/>
    <col min="11" max="11" width="12.81640625" bestFit="1" customWidth="1"/>
    <col min="12" max="12" width="12.26953125" bestFit="1" customWidth="1"/>
  </cols>
  <sheetData>
    <row r="1" spans="1:12" x14ac:dyDescent="0.35">
      <c r="A1" s="37" t="s">
        <v>0</v>
      </c>
      <c r="B1" s="37" t="s">
        <v>1</v>
      </c>
      <c r="C1" s="37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673</v>
      </c>
      <c r="L1" s="20" t="s">
        <v>678</v>
      </c>
    </row>
    <row r="2" spans="1:12" hidden="1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>
        <v>15</v>
      </c>
      <c r="L2" t="s">
        <v>676</v>
      </c>
    </row>
    <row r="3" spans="1:12" hidden="1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>
        <v>15</v>
      </c>
      <c r="L3" t="s">
        <v>675</v>
      </c>
    </row>
    <row r="4" spans="1:12" hidden="1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>
        <v>15</v>
      </c>
      <c r="L4" t="s">
        <v>674</v>
      </c>
    </row>
    <row r="5" spans="1:12" hidden="1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>
        <v>15</v>
      </c>
      <c r="L5" t="s">
        <v>676</v>
      </c>
    </row>
    <row r="6" spans="1:12" hidden="1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>
        <v>15</v>
      </c>
      <c r="L6" t="s">
        <v>675</v>
      </c>
    </row>
    <row r="7" spans="1:12" hidden="1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>
        <v>15</v>
      </c>
      <c r="L7" t="s">
        <v>676</v>
      </c>
    </row>
    <row r="8" spans="1:12" hidden="1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>
        <v>15</v>
      </c>
      <c r="L8" t="s">
        <v>675</v>
      </c>
    </row>
    <row r="9" spans="1:12" hidden="1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>
        <v>15</v>
      </c>
      <c r="L9" t="s">
        <v>676</v>
      </c>
    </row>
    <row r="10" spans="1:12" hidden="1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>
        <v>15</v>
      </c>
      <c r="L10" t="s">
        <v>675</v>
      </c>
    </row>
    <row r="11" spans="1:12" hidden="1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>
        <v>15</v>
      </c>
      <c r="L11" t="s">
        <v>674</v>
      </c>
    </row>
    <row r="12" spans="1:12" hidden="1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>
        <v>15</v>
      </c>
      <c r="L12" t="s">
        <v>676</v>
      </c>
    </row>
    <row r="13" spans="1:12" hidden="1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>
        <v>15</v>
      </c>
      <c r="L13" t="s">
        <v>675</v>
      </c>
    </row>
    <row r="14" spans="1:12" hidden="1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>
        <v>15</v>
      </c>
      <c r="L14" t="s">
        <v>676</v>
      </c>
    </row>
    <row r="15" spans="1:12" hidden="1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>
        <v>15</v>
      </c>
      <c r="L15" t="s">
        <v>675</v>
      </c>
    </row>
    <row r="16" spans="1:12" hidden="1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>
        <v>15</v>
      </c>
      <c r="L16" t="s">
        <v>674</v>
      </c>
    </row>
    <row r="17" spans="1:11" hidden="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>
        <v>25</v>
      </c>
    </row>
    <row r="18" spans="1:11" hidden="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>
        <v>20</v>
      </c>
    </row>
    <row r="19" spans="1:11" hidden="1" x14ac:dyDescent="0.35">
      <c r="A19">
        <v>100025162</v>
      </c>
      <c r="B19" s="52">
        <v>7503023959452</v>
      </c>
      <c r="C19" t="s">
        <v>38</v>
      </c>
      <c r="D19" s="3" t="s">
        <v>32</v>
      </c>
      <c r="E19" s="30" t="s">
        <v>33</v>
      </c>
      <c r="F19" s="4" t="s">
        <v>41</v>
      </c>
      <c r="G19" s="4" t="s">
        <v>35</v>
      </c>
      <c r="H19" s="3" t="s">
        <v>36</v>
      </c>
      <c r="I19" s="3" t="s">
        <v>109</v>
      </c>
      <c r="J19" t="str">
        <f>+_xlfn.XLOOKUP(B19,INNOVACIÓN!A:A,INNOVACIÓN!B:B,"NO")</f>
        <v>NO</v>
      </c>
      <c r="K19">
        <v>25</v>
      </c>
    </row>
    <row r="20" spans="1:11" hidden="1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33</v>
      </c>
      <c r="F20" s="4" t="s">
        <v>41</v>
      </c>
      <c r="G20" s="4" t="s">
        <v>35</v>
      </c>
      <c r="H20" s="3" t="s">
        <v>36</v>
      </c>
      <c r="I20" s="3" t="s">
        <v>109</v>
      </c>
      <c r="J20" t="str">
        <f>+_xlfn.XLOOKUP(B20,INNOVACIÓN!A:A,INNOVACIÓN!B:B,"NO")</f>
        <v>NO</v>
      </c>
      <c r="K20">
        <v>14</v>
      </c>
    </row>
    <row r="21" spans="1:11" hidden="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>
        <v>20</v>
      </c>
    </row>
    <row r="22" spans="1:11" hidden="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>
        <v>20</v>
      </c>
    </row>
    <row r="23" spans="1:11" hidden="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>
        <v>25</v>
      </c>
    </row>
    <row r="24" spans="1:11" hidden="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>
        <v>20</v>
      </c>
    </row>
    <row r="25" spans="1:11" hidden="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>
        <v>20</v>
      </c>
    </row>
    <row r="26" spans="1:11" hidden="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>
        <v>25</v>
      </c>
    </row>
    <row r="27" spans="1:11" hidden="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>
        <v>20</v>
      </c>
    </row>
    <row r="28" spans="1:11" hidden="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>
        <v>20</v>
      </c>
    </row>
    <row r="29" spans="1:11" hidden="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>
        <v>20</v>
      </c>
    </row>
    <row r="30" spans="1:11" hidden="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>
        <v>20</v>
      </c>
    </row>
    <row r="31" spans="1:11" hidden="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33</v>
      </c>
      <c r="F31" s="3" t="s">
        <v>39</v>
      </c>
      <c r="G31" s="3" t="s">
        <v>58</v>
      </c>
      <c r="H31" s="3" t="s">
        <v>36</v>
      </c>
      <c r="I31" s="3" t="s">
        <v>109</v>
      </c>
      <c r="J31" t="str">
        <f>+_xlfn.XLOOKUP(B31,INNOVACIÓN!A:A,INNOVACIÓN!B:B,"NO")</f>
        <v>NO</v>
      </c>
      <c r="K31">
        <v>25</v>
      </c>
    </row>
    <row r="32" spans="1:11" hidden="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>
        <v>20</v>
      </c>
    </row>
    <row r="33" spans="1:11" hidden="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>
        <v>14</v>
      </c>
    </row>
    <row r="34" spans="1:11" hidden="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>
        <v>20</v>
      </c>
    </row>
    <row r="35" spans="1:11" hidden="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>
        <v>15</v>
      </c>
    </row>
    <row r="36" spans="1:11" hidden="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>
        <v>20</v>
      </c>
    </row>
    <row r="37" spans="1:11" hidden="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>
        <v>25</v>
      </c>
    </row>
    <row r="38" spans="1:11" hidden="1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109</v>
      </c>
      <c r="J38" t="str">
        <f>+_xlfn.XLOOKUP(B38,INNOVACIÓN!A:A,INNOVACIÓN!B:B,"NO")</f>
        <v>NO</v>
      </c>
      <c r="K38">
        <v>15</v>
      </c>
    </row>
    <row r="39" spans="1:11" hidden="1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>
        <v>20</v>
      </c>
    </row>
    <row r="40" spans="1:11" hidden="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>
        <v>20</v>
      </c>
    </row>
    <row r="41" spans="1:11" hidden="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>
        <v>20</v>
      </c>
    </row>
    <row r="42" spans="1:11" hidden="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1" hidden="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1" hidden="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1" hidden="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1" hidden="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1" hidden="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1" hidden="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hidden="1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hidden="1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hidden="1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hidden="1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hidden="1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hidden="1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hidden="1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hidden="1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hidden="1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hidden="1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hidden="1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hidden="1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hidden="1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hidden="1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hidden="1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hidden="1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1" hidden="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1" hidden="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1" hidden="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>
        <v>20</v>
      </c>
    </row>
    <row r="68" spans="1:11" hidden="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>
        <v>25</v>
      </c>
    </row>
    <row r="69" spans="1:11" hidden="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>
        <v>14</v>
      </c>
    </row>
    <row r="70" spans="1:11" hidden="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>
        <v>14</v>
      </c>
    </row>
    <row r="71" spans="1:11" hidden="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>
        <v>20</v>
      </c>
    </row>
    <row r="72" spans="1:11" hidden="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>
        <v>15</v>
      </c>
    </row>
    <row r="73" spans="1:11" hidden="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>
        <v>15</v>
      </c>
    </row>
    <row r="74" spans="1:11" hidden="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>
        <v>14</v>
      </c>
    </row>
    <row r="75" spans="1:11" hidden="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>
        <v>20</v>
      </c>
    </row>
    <row r="76" spans="1:11" hidden="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>
        <v>20</v>
      </c>
    </row>
    <row r="77" spans="1:11" hidden="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>
        <v>15</v>
      </c>
    </row>
    <row r="78" spans="1:11" hidden="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>
        <v>20</v>
      </c>
    </row>
    <row r="79" spans="1:11" hidden="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>
        <v>20</v>
      </c>
    </row>
    <row r="80" spans="1:11" hidden="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>
        <v>20</v>
      </c>
    </row>
    <row r="81" spans="1:11" hidden="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>
        <v>20</v>
      </c>
    </row>
    <row r="82" spans="1:11" hidden="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>
        <v>20</v>
      </c>
    </row>
    <row r="83" spans="1:11" hidden="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>
        <v>20</v>
      </c>
    </row>
    <row r="84" spans="1:11" hidden="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>
        <v>20</v>
      </c>
    </row>
    <row r="85" spans="1:11" hidden="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>
        <v>25</v>
      </c>
    </row>
    <row r="86" spans="1:11" hidden="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>
        <v>14</v>
      </c>
    </row>
    <row r="87" spans="1:11" hidden="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  <c r="K87">
        <v>20</v>
      </c>
    </row>
    <row r="88" spans="1:11" hidden="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>
        <v>20</v>
      </c>
    </row>
    <row r="89" spans="1:11" hidden="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>
        <v>20</v>
      </c>
    </row>
    <row r="90" spans="1:11" hidden="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>
        <v>20</v>
      </c>
    </row>
    <row r="91" spans="1:11" hidden="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>
        <v>20</v>
      </c>
    </row>
    <row r="92" spans="1:11" hidden="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33</v>
      </c>
      <c r="F92" s="9" t="s">
        <v>41</v>
      </c>
      <c r="G92" s="9" t="s">
        <v>35</v>
      </c>
      <c r="H92" s="3" t="s">
        <v>36</v>
      </c>
      <c r="I92" s="3" t="s">
        <v>109</v>
      </c>
      <c r="J92" t="str">
        <f>+_xlfn.XLOOKUP(B92,INNOVACIÓN!A:A,INNOVACIÓN!B:B,"NO")</f>
        <v>NO</v>
      </c>
      <c r="K92">
        <v>15</v>
      </c>
    </row>
    <row r="93" spans="1:11" hidden="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>
        <v>20</v>
      </c>
    </row>
    <row r="94" spans="1:11" hidden="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>
        <v>20</v>
      </c>
    </row>
    <row r="95" spans="1:11" hidden="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>
        <v>25</v>
      </c>
    </row>
    <row r="96" spans="1:11" hidden="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>
        <v>20</v>
      </c>
    </row>
    <row r="97" spans="1:12" hidden="1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33</v>
      </c>
      <c r="F97" s="9" t="s">
        <v>46</v>
      </c>
      <c r="G97" s="9" t="s">
        <v>54</v>
      </c>
      <c r="H97" s="3" t="s">
        <v>36</v>
      </c>
      <c r="I97" s="3" t="s">
        <v>109</v>
      </c>
      <c r="J97" t="str">
        <f>+_xlfn.XLOOKUP(B97,INNOVACIÓN!A:A,INNOVACIÓN!B:B,"NO")</f>
        <v>NO</v>
      </c>
      <c r="K97">
        <v>15</v>
      </c>
    </row>
    <row r="98" spans="1:12" hidden="1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>
        <v>20</v>
      </c>
    </row>
    <row r="99" spans="1:12" hidden="1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9" t="s">
        <v>33</v>
      </c>
      <c r="F99" s="4" t="s">
        <v>41</v>
      </c>
      <c r="G99" s="4" t="s">
        <v>71</v>
      </c>
      <c r="H99" s="3" t="s">
        <v>36</v>
      </c>
      <c r="I99" s="3" t="s">
        <v>109</v>
      </c>
      <c r="J99" t="str">
        <f>+_xlfn.XLOOKUP(B99,INNOVACIÓN!A:A,INNOVACIÓN!B:B,"NO")</f>
        <v>NO</v>
      </c>
      <c r="K99">
        <v>15</v>
      </c>
    </row>
    <row r="100" spans="1:12" hidden="1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>
        <v>20</v>
      </c>
    </row>
    <row r="101" spans="1:12" hidden="1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>
        <v>20</v>
      </c>
    </row>
    <row r="102" spans="1:12" hidden="1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>
        <v>15</v>
      </c>
    </row>
    <row r="103" spans="1:12" hidden="1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>
        <v>20</v>
      </c>
    </row>
    <row r="104" spans="1:12" hidden="1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>
        <v>15</v>
      </c>
    </row>
    <row r="105" spans="1:12" hidden="1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>
        <v>20</v>
      </c>
    </row>
    <row r="106" spans="1:12" hidden="1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>
        <v>20</v>
      </c>
    </row>
    <row r="107" spans="1:12" hidden="1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>
        <v>20</v>
      </c>
    </row>
    <row r="108" spans="1:12" hidden="1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>
        <v>15</v>
      </c>
    </row>
    <row r="109" spans="1:12" hidden="1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109</v>
      </c>
      <c r="J109" t="str">
        <f>+_xlfn.XLOOKUP(B109,INNOVACIÓN!A:A,INNOVACIÓN!B:B,"NO")</f>
        <v>NO</v>
      </c>
      <c r="K109">
        <v>15</v>
      </c>
      <c r="L109" t="s">
        <v>676</v>
      </c>
    </row>
    <row r="110" spans="1:12" hidden="1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109</v>
      </c>
      <c r="J110" t="str">
        <f>+_xlfn.XLOOKUP(B110,INNOVACIÓN!A:A,INNOVACIÓN!B:B,"NO")</f>
        <v>NO</v>
      </c>
      <c r="K110">
        <v>15</v>
      </c>
      <c r="L110" t="s">
        <v>676</v>
      </c>
    </row>
    <row r="111" spans="1:12" hidden="1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>
        <v>15</v>
      </c>
      <c r="L111" t="s">
        <v>675</v>
      </c>
    </row>
    <row r="112" spans="1:12" hidden="1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33</v>
      </c>
      <c r="F112" s="3" t="s">
        <v>13</v>
      </c>
      <c r="G112" s="4" t="s">
        <v>14</v>
      </c>
      <c r="H112" s="4" t="s">
        <v>15</v>
      </c>
      <c r="I112" s="3" t="s">
        <v>109</v>
      </c>
      <c r="J112" t="str">
        <f>+_xlfn.XLOOKUP(B112,INNOVACIÓN!A:A,INNOVACIÓN!B:B,"NO")</f>
        <v>NO</v>
      </c>
      <c r="K112">
        <v>15</v>
      </c>
      <c r="L112" t="s">
        <v>675</v>
      </c>
    </row>
    <row r="113" spans="1:12" hidden="1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>
        <v>15</v>
      </c>
      <c r="L113" t="s">
        <v>676</v>
      </c>
    </row>
    <row r="114" spans="1:12" hidden="1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2" hidden="1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2" hidden="1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2" hidden="1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2" hidden="1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>
        <v>20</v>
      </c>
    </row>
    <row r="119" spans="1:12" hidden="1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>
        <v>20</v>
      </c>
    </row>
    <row r="120" spans="1:12" hidden="1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>
        <v>20</v>
      </c>
    </row>
    <row r="121" spans="1:12" hidden="1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>
        <v>20</v>
      </c>
    </row>
    <row r="122" spans="1:12" hidden="1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>
        <v>20</v>
      </c>
    </row>
    <row r="123" spans="1:12" hidden="1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>
        <v>20</v>
      </c>
    </row>
    <row r="124" spans="1:12" hidden="1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109</v>
      </c>
      <c r="J124" t="str">
        <f>+_xlfn.XLOOKUP(B124,INNOVACIÓN!A:A,INNOVACIÓN!B:B,"NO")</f>
        <v>NO</v>
      </c>
      <c r="K124">
        <v>14</v>
      </c>
    </row>
    <row r="125" spans="1:12" hidden="1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>
        <v>20</v>
      </c>
    </row>
    <row r="126" spans="1:12" hidden="1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>
        <v>14</v>
      </c>
    </row>
    <row r="127" spans="1:12" hidden="1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>
        <v>20</v>
      </c>
    </row>
    <row r="128" spans="1:12" hidden="1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>
        <v>20</v>
      </c>
    </row>
    <row r="129" spans="1:11" hidden="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>
        <v>20</v>
      </c>
    </row>
    <row r="130" spans="1:11" hidden="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>
        <v>20</v>
      </c>
    </row>
    <row r="131" spans="1:11" hidden="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>
        <v>20</v>
      </c>
    </row>
    <row r="132" spans="1:11" hidden="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>
        <v>14</v>
      </c>
    </row>
    <row r="133" spans="1:11" hidden="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>
        <v>20</v>
      </c>
    </row>
    <row r="134" spans="1:11" hidden="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>
        <v>20</v>
      </c>
    </row>
    <row r="135" spans="1:11" hidden="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>
        <v>20</v>
      </c>
    </row>
    <row r="136" spans="1:11" hidden="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>
        <v>20</v>
      </c>
    </row>
    <row r="137" spans="1:11" hidden="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>
        <v>25</v>
      </c>
    </row>
    <row r="138" spans="1:11" hidden="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>
        <v>20</v>
      </c>
    </row>
    <row r="139" spans="1:11" hidden="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>
        <v>20</v>
      </c>
    </row>
    <row r="140" spans="1:11" hidden="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>
        <v>15</v>
      </c>
    </row>
    <row r="141" spans="1:11" hidden="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>
        <v>20</v>
      </c>
    </row>
    <row r="142" spans="1:11" hidden="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>
        <v>20</v>
      </c>
    </row>
    <row r="143" spans="1:11" hidden="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>
        <v>14</v>
      </c>
    </row>
    <row r="144" spans="1:11" hidden="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>
        <v>20</v>
      </c>
    </row>
    <row r="145" spans="1:12" hidden="1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109</v>
      </c>
      <c r="J145" t="str">
        <f>+_xlfn.XLOOKUP(B145,INNOVACIÓN!A:A,INNOVACIÓN!B:B,"NO")</f>
        <v>NO</v>
      </c>
      <c r="K145">
        <v>14</v>
      </c>
    </row>
    <row r="146" spans="1:12" hidden="1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>
        <v>20</v>
      </c>
    </row>
    <row r="147" spans="1:12" hidden="1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>
        <v>14</v>
      </c>
    </row>
    <row r="148" spans="1:12" hidden="1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>
        <v>20</v>
      </c>
    </row>
    <row r="149" spans="1:12" hidden="1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>
        <v>20</v>
      </c>
    </row>
    <row r="150" spans="1:12" hidden="1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2" hidden="1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109</v>
      </c>
      <c r="J151" t="str">
        <f>+_xlfn.XLOOKUP(B151,INNOVACIÓN!A:A,INNOVACIÓN!B:B,"NO")</f>
        <v>NO</v>
      </c>
      <c r="K151">
        <v>15</v>
      </c>
      <c r="L151" t="s">
        <v>676</v>
      </c>
    </row>
    <row r="152" spans="1:12" hidden="1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>
        <v>20</v>
      </c>
      <c r="L152" t="s">
        <v>677</v>
      </c>
    </row>
    <row r="153" spans="1:12" hidden="1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>
        <v>15</v>
      </c>
      <c r="L153" t="s">
        <v>675</v>
      </c>
    </row>
    <row r="154" spans="1:12" hidden="1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33</v>
      </c>
      <c r="F154" s="3" t="s">
        <v>13</v>
      </c>
      <c r="G154" s="4" t="s">
        <v>14</v>
      </c>
      <c r="H154" s="4" t="s">
        <v>15</v>
      </c>
      <c r="I154" s="3" t="s">
        <v>109</v>
      </c>
      <c r="J154" t="str">
        <f>+_xlfn.XLOOKUP(B154,INNOVACIÓN!A:A,INNOVACIÓN!B:B,"NO")</f>
        <v>NO</v>
      </c>
      <c r="K154">
        <v>15</v>
      </c>
      <c r="L154" t="s">
        <v>675</v>
      </c>
    </row>
    <row r="155" spans="1:12" hidden="1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>
        <v>15</v>
      </c>
      <c r="L155" t="s">
        <v>676</v>
      </c>
    </row>
    <row r="156" spans="1:12" hidden="1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109</v>
      </c>
      <c r="J156" t="str">
        <f>+_xlfn.XLOOKUP(B156,INNOVACIÓN!A:A,INNOVACIÓN!B:B,"NO")</f>
        <v>NO</v>
      </c>
      <c r="K156">
        <v>15</v>
      </c>
      <c r="L156" t="s">
        <v>676</v>
      </c>
    </row>
    <row r="157" spans="1:12" hidden="1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>
        <v>20</v>
      </c>
      <c r="L157" t="s">
        <v>677</v>
      </c>
    </row>
    <row r="158" spans="1:12" hidden="1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>
        <v>15</v>
      </c>
      <c r="L158" t="s">
        <v>676</v>
      </c>
    </row>
    <row r="159" spans="1:12" hidden="1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109</v>
      </c>
      <c r="J159" t="str">
        <f>+_xlfn.XLOOKUP(B159,INNOVACIÓN!A:A,INNOVACIÓN!B:B,"NO")</f>
        <v>NO</v>
      </c>
      <c r="K159">
        <v>15</v>
      </c>
      <c r="L159" t="s">
        <v>676</v>
      </c>
    </row>
    <row r="160" spans="1:12" hidden="1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>
        <v>15</v>
      </c>
      <c r="L160" t="s">
        <v>675</v>
      </c>
    </row>
    <row r="161" spans="1:12" hidden="1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33</v>
      </c>
      <c r="F161" s="3" t="s">
        <v>13</v>
      </c>
      <c r="G161" s="4" t="s">
        <v>14</v>
      </c>
      <c r="H161" s="4" t="s">
        <v>15</v>
      </c>
      <c r="I161" s="3" t="s">
        <v>109</v>
      </c>
      <c r="J161" t="str">
        <f>+_xlfn.XLOOKUP(B161,INNOVACIÓN!A:A,INNOVACIÓN!B:B,"NO")</f>
        <v>NO</v>
      </c>
      <c r="K161">
        <v>15</v>
      </c>
      <c r="L161" t="s">
        <v>675</v>
      </c>
    </row>
    <row r="162" spans="1:12" hidden="1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>
        <v>25</v>
      </c>
    </row>
    <row r="163" spans="1:12" hidden="1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>
        <v>14</v>
      </c>
    </row>
    <row r="164" spans="1:12" hidden="1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2" hidden="1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>
        <v>20</v>
      </c>
    </row>
    <row r="166" spans="1:12" hidden="1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2" hidden="1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2" hidden="1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2" hidden="1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2" hidden="1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2" hidden="1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2" hidden="1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>
        <v>25</v>
      </c>
    </row>
    <row r="173" spans="1:12" hidden="1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>
        <v>14</v>
      </c>
    </row>
    <row r="174" spans="1:12" hidden="1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>
        <v>20</v>
      </c>
    </row>
    <row r="175" spans="1:12" hidden="1" x14ac:dyDescent="0.35">
      <c r="A175" s="3">
        <v>100021814</v>
      </c>
      <c r="B175" s="50">
        <v>7503023959490</v>
      </c>
      <c r="C175" s="3" t="s">
        <v>217</v>
      </c>
      <c r="D175" s="4" t="s">
        <v>32</v>
      </c>
      <c r="E175" s="30" t="s">
        <v>33</v>
      </c>
      <c r="F175" s="3" t="s">
        <v>46</v>
      </c>
      <c r="G175" s="3" t="s">
        <v>14</v>
      </c>
      <c r="H175" s="3" t="s">
        <v>36</v>
      </c>
      <c r="I175" s="3" t="s">
        <v>109</v>
      </c>
      <c r="J175" t="str">
        <f>+_xlfn.XLOOKUP(B175,INNOVACIÓN!A:A,INNOVACIÓN!B:B,"NO")</f>
        <v>NO</v>
      </c>
      <c r="K175">
        <v>20</v>
      </c>
    </row>
    <row r="176" spans="1:12" hidden="1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>
        <v>20</v>
      </c>
    </row>
    <row r="177" spans="1:11" hidden="1" x14ac:dyDescent="0.35">
      <c r="A177" s="4">
        <v>100021813</v>
      </c>
      <c r="B177" s="41">
        <v>7503023959506</v>
      </c>
      <c r="C177" s="4" t="s">
        <v>219</v>
      </c>
      <c r="D177" s="4" t="s">
        <v>32</v>
      </c>
      <c r="E177" s="30" t="s">
        <v>33</v>
      </c>
      <c r="F177" s="4" t="s">
        <v>46</v>
      </c>
      <c r="G177" s="4" t="s">
        <v>14</v>
      </c>
      <c r="H177" s="3" t="s">
        <v>36</v>
      </c>
      <c r="I177" s="3" t="s">
        <v>109</v>
      </c>
      <c r="J177" t="str">
        <f>+_xlfn.XLOOKUP(B177,INNOVACIÓN!A:A,INNOVACIÓN!B:B,"NO")</f>
        <v>NO</v>
      </c>
      <c r="K177">
        <v>20</v>
      </c>
    </row>
    <row r="178" spans="1:11" hidden="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590</v>
      </c>
      <c r="F178" s="3" t="s">
        <v>39</v>
      </c>
      <c r="G178" s="3" t="s">
        <v>35</v>
      </c>
      <c r="H178" s="3" t="s">
        <v>36</v>
      </c>
      <c r="I178" s="3" t="s">
        <v>16</v>
      </c>
      <c r="J178" t="str">
        <f>+_xlfn.XLOOKUP(B178,INNOVACIÓN!A:A,INNOVACIÓN!B:B,"NO")</f>
        <v>NO</v>
      </c>
      <c r="K178">
        <v>20</v>
      </c>
    </row>
    <row r="179" spans="1:11" hidden="1" x14ac:dyDescent="0.35">
      <c r="A179">
        <v>100025152</v>
      </c>
      <c r="B179" s="51">
        <v>7503023959629</v>
      </c>
      <c r="C179" t="s">
        <v>221</v>
      </c>
      <c r="D179" s="3" t="s">
        <v>32</v>
      </c>
      <c r="E179" s="30" t="s">
        <v>33</v>
      </c>
      <c r="F179" s="3" t="s">
        <v>46</v>
      </c>
      <c r="G179" s="3" t="s">
        <v>14</v>
      </c>
      <c r="H179" s="3" t="s">
        <v>36</v>
      </c>
      <c r="I179" s="3" t="s">
        <v>109</v>
      </c>
      <c r="J179" t="str">
        <f>+_xlfn.XLOOKUP(B179,INNOVACIÓN!A:A,INNOVACIÓN!B:B,"NO")</f>
        <v>NO</v>
      </c>
      <c r="K179">
        <v>20</v>
      </c>
    </row>
    <row r="180" spans="1:11" hidden="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>
        <v>25</v>
      </c>
    </row>
    <row r="181" spans="1:11" hidden="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>
        <v>20</v>
      </c>
    </row>
    <row r="182" spans="1:11" hidden="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>
        <v>20</v>
      </c>
    </row>
    <row r="183" spans="1:11" hidden="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>
        <v>20</v>
      </c>
    </row>
    <row r="184" spans="1:11" hidden="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>
        <v>20</v>
      </c>
    </row>
    <row r="185" spans="1:11" hidden="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>
        <v>20</v>
      </c>
    </row>
    <row r="186" spans="1:11" hidden="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>
        <v>20</v>
      </c>
    </row>
    <row r="187" spans="1:11" hidden="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1" hidden="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1" hidden="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1" hidden="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1" hidden="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1" hidden="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1" hidden="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1" hidden="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1" hidden="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1" hidden="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1" hidden="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1" hidden="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1" hidden="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1" hidden="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1" hidden="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>
        <v>20</v>
      </c>
    </row>
    <row r="202" spans="1:11" hidden="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>
        <v>25</v>
      </c>
    </row>
    <row r="203" spans="1:11" hidden="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>
        <v>20</v>
      </c>
    </row>
    <row r="204" spans="1:11" hidden="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>
        <v>14</v>
      </c>
    </row>
    <row r="205" spans="1:11" hidden="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1" hidden="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1" hidden="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1" hidden="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hidden="1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hidden="1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hidden="1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hidden="1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hidden="1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hidden="1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hidden="1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hidden="1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hidden="1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hidden="1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hidden="1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hidden="1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hidden="1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hidden="1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hidden="1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hidden="1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hidden="1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hidden="1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hidden="1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hidden="1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hidden="1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hidden="1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hidden="1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hidden="1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hidden="1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hidden="1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hidden="1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hidden="1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hidden="1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hidden="1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hidden="1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hidden="1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hidden="1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hidden="1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hidden="1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hidden="1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hidden="1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hidden="1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hidden="1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hidden="1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hidden="1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hidden="1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hidden="1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hidden="1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hidden="1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hidden="1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hidden="1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hidden="1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hidden="1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hidden="1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hidden="1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hidden="1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hidden="1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hidden="1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hidden="1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hidden="1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hidden="1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hidden="1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hidden="1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hidden="1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hidden="1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hidden="1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hidden="1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hidden="1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1" hidden="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1" hidden="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1" hidden="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1" hidden="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1" hidden="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>
        <v>25</v>
      </c>
    </row>
    <row r="278" spans="1:11" hidden="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1" hidden="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1" hidden="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1" hidden="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>
        <v>20</v>
      </c>
    </row>
    <row r="282" spans="1:11" hidden="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>
        <v>15</v>
      </c>
    </row>
    <row r="283" spans="1:11" hidden="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>
        <v>20</v>
      </c>
    </row>
    <row r="284" spans="1:11" hidden="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>
        <v>20</v>
      </c>
    </row>
    <row r="285" spans="1:11" hidden="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>
        <v>15</v>
      </c>
    </row>
    <row r="286" spans="1:11" hidden="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>
        <v>20</v>
      </c>
    </row>
    <row r="287" spans="1:11" hidden="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>
        <v>20</v>
      </c>
    </row>
    <row r="288" spans="1:11" hidden="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>
        <v>20</v>
      </c>
    </row>
    <row r="289" spans="1:11" hidden="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>
        <v>20</v>
      </c>
    </row>
    <row r="290" spans="1:11" hidden="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>
        <v>20</v>
      </c>
    </row>
    <row r="291" spans="1:11" hidden="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>
        <v>20</v>
      </c>
    </row>
    <row r="292" spans="1:11" hidden="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>
        <v>20</v>
      </c>
    </row>
    <row r="293" spans="1:11" hidden="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>
        <v>20</v>
      </c>
    </row>
    <row r="294" spans="1:11" hidden="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>
        <v>15</v>
      </c>
    </row>
    <row r="295" spans="1:11" hidden="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>
        <v>20</v>
      </c>
    </row>
    <row r="296" spans="1:11" hidden="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>
        <v>20</v>
      </c>
    </row>
    <row r="297" spans="1:11" hidden="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>
        <v>15</v>
      </c>
    </row>
    <row r="298" spans="1:11" hidden="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>
        <v>20</v>
      </c>
    </row>
    <row r="299" spans="1:11" hidden="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>
        <v>20</v>
      </c>
    </row>
    <row r="300" spans="1:11" hidden="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>
        <v>15</v>
      </c>
    </row>
    <row r="301" spans="1:11" hidden="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>
        <v>20</v>
      </c>
    </row>
    <row r="302" spans="1:11" hidden="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>
        <v>20</v>
      </c>
    </row>
    <row r="303" spans="1:11" hidden="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>
        <v>20</v>
      </c>
    </row>
    <row r="304" spans="1:11" hidden="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>
        <v>20</v>
      </c>
    </row>
    <row r="305" spans="1:11" hidden="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>
        <v>20</v>
      </c>
    </row>
    <row r="306" spans="1:11" hidden="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>
        <v>20</v>
      </c>
    </row>
    <row r="307" spans="1:11" hidden="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>
        <v>20</v>
      </c>
    </row>
    <row r="308" spans="1:11" hidden="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>
        <v>20</v>
      </c>
    </row>
    <row r="309" spans="1:11" hidden="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>
        <v>15</v>
      </c>
    </row>
    <row r="310" spans="1:11" hidden="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>
        <v>20</v>
      </c>
    </row>
    <row r="311" spans="1:11" hidden="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>
        <v>20</v>
      </c>
    </row>
    <row r="312" spans="1:11" hidden="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>
        <v>20</v>
      </c>
    </row>
    <row r="313" spans="1:11" hidden="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>
        <v>14</v>
      </c>
    </row>
    <row r="314" spans="1:11" hidden="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>
        <v>14</v>
      </c>
    </row>
    <row r="315" spans="1:11" hidden="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>
        <v>20</v>
      </c>
    </row>
    <row r="316" spans="1:11" hidden="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>
        <v>20</v>
      </c>
    </row>
    <row r="317" spans="1:11" hidden="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>
        <v>20</v>
      </c>
    </row>
    <row r="318" spans="1:11" hidden="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>
        <v>14</v>
      </c>
    </row>
    <row r="319" spans="1:11" hidden="1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>
        <v>20</v>
      </c>
    </row>
    <row r="320" spans="1:11" hidden="1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>
        <v>20</v>
      </c>
    </row>
    <row r="321" spans="1:11" hidden="1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>
        <v>15</v>
      </c>
    </row>
    <row r="322" spans="1:11" hidden="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>
        <v>25</v>
      </c>
    </row>
    <row r="323" spans="1:11" hidden="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>
        <v>25</v>
      </c>
    </row>
    <row r="324" spans="1:11" hidden="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>
        <v>25</v>
      </c>
    </row>
    <row r="325" spans="1:11" hidden="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>
        <v>25</v>
      </c>
    </row>
    <row r="326" spans="1:11" hidden="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>
        <v>25</v>
      </c>
    </row>
    <row r="327" spans="1:11" hidden="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>
        <v>25</v>
      </c>
    </row>
    <row r="328" spans="1:11" hidden="1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>
        <v>25</v>
      </c>
    </row>
    <row r="329" spans="1:11" hidden="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>
        <v>20</v>
      </c>
    </row>
    <row r="330" spans="1:11" hidden="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>
        <v>20</v>
      </c>
    </row>
    <row r="331" spans="1:11" hidden="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>
        <v>20</v>
      </c>
    </row>
    <row r="332" spans="1:11" hidden="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>
        <v>24</v>
      </c>
    </row>
    <row r="333" spans="1:11" hidden="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>
        <v>25</v>
      </c>
    </row>
    <row r="334" spans="1:11" hidden="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>
        <v>24</v>
      </c>
    </row>
    <row r="335" spans="1:11" hidden="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>
        <v>24</v>
      </c>
    </row>
    <row r="336" spans="1:11" hidden="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>
        <v>25</v>
      </c>
    </row>
    <row r="337" spans="1:11" hidden="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>
        <v>24</v>
      </c>
    </row>
    <row r="338" spans="1:11" hidden="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>
        <v>25</v>
      </c>
    </row>
    <row r="339" spans="1:11" hidden="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>
        <v>14</v>
      </c>
    </row>
    <row r="340" spans="1:11" hidden="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>
        <v>24</v>
      </c>
    </row>
    <row r="341" spans="1:11" hidden="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>
        <v>14</v>
      </c>
    </row>
    <row r="342" spans="1:11" hidden="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>
        <v>20</v>
      </c>
    </row>
    <row r="343" spans="1:11" hidden="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>
        <v>20</v>
      </c>
    </row>
    <row r="344" spans="1:11" hidden="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>
        <v>20</v>
      </c>
    </row>
    <row r="345" spans="1:11" hidden="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>
        <v>20</v>
      </c>
    </row>
    <row r="346" spans="1:11" hidden="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>
        <v>24</v>
      </c>
    </row>
    <row r="347" spans="1:11" hidden="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>
        <v>20</v>
      </c>
    </row>
    <row r="348" spans="1:11" hidden="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>
        <v>20</v>
      </c>
    </row>
    <row r="349" spans="1:11" hidden="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>
        <v>20</v>
      </c>
    </row>
    <row r="350" spans="1:11" hidden="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>
        <v>14</v>
      </c>
    </row>
    <row r="351" spans="1:11" hidden="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>
        <v>20</v>
      </c>
    </row>
    <row r="352" spans="1:11" hidden="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>
        <v>20</v>
      </c>
    </row>
    <row r="353" spans="1:11" hidden="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>
        <v>20</v>
      </c>
    </row>
    <row r="354" spans="1:11" hidden="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>
        <v>20</v>
      </c>
    </row>
    <row r="355" spans="1:11" hidden="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>
        <v>20</v>
      </c>
    </row>
    <row r="356" spans="1:11" hidden="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>
        <v>20</v>
      </c>
    </row>
    <row r="357" spans="1:11" hidden="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>
        <v>20</v>
      </c>
    </row>
    <row r="358" spans="1:11" hidden="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>
        <v>20</v>
      </c>
    </row>
    <row r="359" spans="1:11" hidden="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>
        <v>20</v>
      </c>
    </row>
    <row r="360" spans="1:11" hidden="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>
        <v>20</v>
      </c>
    </row>
    <row r="361" spans="1:11" hidden="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>
        <v>20</v>
      </c>
    </row>
    <row r="362" spans="1:11" hidden="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>
        <v>20</v>
      </c>
    </row>
    <row r="363" spans="1:11" hidden="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>
        <v>20</v>
      </c>
    </row>
    <row r="364" spans="1:11" hidden="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>
        <v>20</v>
      </c>
    </row>
    <row r="365" spans="1:11" hidden="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>
        <v>20</v>
      </c>
    </row>
    <row r="366" spans="1:11" hidden="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>
        <v>20</v>
      </c>
    </row>
    <row r="367" spans="1:11" hidden="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>
        <v>20</v>
      </c>
    </row>
    <row r="368" spans="1:11" hidden="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>
        <v>20</v>
      </c>
    </row>
    <row r="369" spans="1:11" hidden="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>
        <v>20</v>
      </c>
    </row>
    <row r="370" spans="1:11" hidden="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>
        <v>20</v>
      </c>
    </row>
    <row r="371" spans="1:11" hidden="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>
        <v>20</v>
      </c>
    </row>
    <row r="372" spans="1:11" hidden="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>
        <v>20</v>
      </c>
    </row>
    <row r="373" spans="1:11" hidden="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>
        <v>20</v>
      </c>
    </row>
    <row r="374" spans="1:11" hidden="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>
        <v>20</v>
      </c>
    </row>
    <row r="375" spans="1:11" hidden="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>
        <v>20</v>
      </c>
    </row>
    <row r="376" spans="1:11" hidden="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>
        <v>24</v>
      </c>
    </row>
    <row r="377" spans="1:11" hidden="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>
        <v>20</v>
      </c>
    </row>
    <row r="378" spans="1:11" hidden="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>
        <v>20</v>
      </c>
    </row>
    <row r="379" spans="1:11" hidden="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>
        <v>20</v>
      </c>
    </row>
    <row r="380" spans="1:11" hidden="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>
        <v>20</v>
      </c>
    </row>
    <row r="381" spans="1:11" hidden="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>
        <v>20</v>
      </c>
    </row>
    <row r="382" spans="1:11" hidden="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>
        <v>20</v>
      </c>
    </row>
    <row r="383" spans="1:11" hidden="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>
        <v>20</v>
      </c>
    </row>
    <row r="384" spans="1:11" hidden="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>
        <v>20</v>
      </c>
    </row>
    <row r="385" spans="1:11" hidden="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>
        <v>20</v>
      </c>
    </row>
    <row r="386" spans="1:11" hidden="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>
        <v>14</v>
      </c>
    </row>
    <row r="387" spans="1:11" hidden="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>
        <v>20</v>
      </c>
    </row>
    <row r="388" spans="1:11" hidden="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>
        <v>20</v>
      </c>
    </row>
    <row r="389" spans="1:11" hidden="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>
        <v>14</v>
      </c>
    </row>
    <row r="390" spans="1:11" hidden="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>
        <v>20</v>
      </c>
    </row>
    <row r="391" spans="1:11" hidden="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>
        <v>24</v>
      </c>
    </row>
    <row r="392" spans="1:11" hidden="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>
        <v>20</v>
      </c>
    </row>
    <row r="393" spans="1:11" hidden="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>
        <v>20</v>
      </c>
    </row>
    <row r="394" spans="1:11" hidden="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>
        <v>20</v>
      </c>
    </row>
    <row r="395" spans="1:11" hidden="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>
        <v>20</v>
      </c>
    </row>
    <row r="396" spans="1:11" hidden="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>
        <v>20</v>
      </c>
    </row>
    <row r="397" spans="1:11" hidden="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>
        <v>20</v>
      </c>
    </row>
    <row r="398" spans="1:11" hidden="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>
        <v>20</v>
      </c>
    </row>
    <row r="399" spans="1:11" hidden="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>
        <v>20</v>
      </c>
    </row>
    <row r="400" spans="1:11" hidden="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>
        <v>20</v>
      </c>
    </row>
    <row r="401" spans="1:11" hidden="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>
        <v>20</v>
      </c>
    </row>
    <row r="402" spans="1:11" hidden="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>
        <v>20</v>
      </c>
    </row>
    <row r="403" spans="1:11" hidden="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>
        <v>20</v>
      </c>
    </row>
    <row r="404" spans="1:11" hidden="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>
        <v>20</v>
      </c>
    </row>
    <row r="405" spans="1:11" hidden="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>
        <v>20</v>
      </c>
    </row>
    <row r="406" spans="1:11" hidden="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>
        <v>20</v>
      </c>
    </row>
    <row r="407" spans="1:11" hidden="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>
        <v>20</v>
      </c>
    </row>
    <row r="408" spans="1:11" hidden="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>
        <v>25</v>
      </c>
    </row>
    <row r="409" spans="1:11" hidden="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>
        <v>20</v>
      </c>
    </row>
    <row r="410" spans="1:11" hidden="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>
        <v>20</v>
      </c>
    </row>
    <row r="411" spans="1:11" hidden="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>
        <v>20</v>
      </c>
    </row>
    <row r="412" spans="1:11" hidden="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>
        <v>20</v>
      </c>
    </row>
    <row r="413" spans="1:11" hidden="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>
        <v>20</v>
      </c>
    </row>
    <row r="414" spans="1:11" hidden="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>
        <v>20</v>
      </c>
    </row>
    <row r="415" spans="1:11" hidden="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>
        <v>20</v>
      </c>
    </row>
    <row r="416" spans="1:11" hidden="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>
        <v>20</v>
      </c>
    </row>
    <row r="417" spans="1:11" hidden="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>
        <v>20</v>
      </c>
    </row>
    <row r="418" spans="1:11" hidden="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>
        <v>20</v>
      </c>
    </row>
    <row r="419" spans="1:11" hidden="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>
        <v>20</v>
      </c>
    </row>
    <row r="420" spans="1:11" hidden="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>
        <v>14</v>
      </c>
    </row>
    <row r="421" spans="1:11" hidden="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>
        <v>20</v>
      </c>
    </row>
    <row r="422" spans="1:11" hidden="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>
        <v>20</v>
      </c>
    </row>
    <row r="423" spans="1:11" hidden="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1" hidden="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1" hidden="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1" hidden="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1" hidden="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1" hidden="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1" hidden="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1" hidden="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1" hidden="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1" hidden="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1" hidden="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1" hidden="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1" hidden="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1" hidden="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1" hidden="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1" hidden="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1" hidden="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1" hidden="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1" hidden="1" x14ac:dyDescent="0.35">
      <c r="A441" s="3">
        <v>100017980</v>
      </c>
      <c r="B441" s="6">
        <v>7501045357881</v>
      </c>
      <c r="C441" s="3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1" hidden="1" x14ac:dyDescent="0.35">
      <c r="A442" s="3">
        <v>100015417</v>
      </c>
      <c r="B442" s="6">
        <v>7501045357447</v>
      </c>
      <c r="C442" s="3" t="s">
        <v>483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1" hidden="1" x14ac:dyDescent="0.35">
      <c r="A443" s="3">
        <v>100022970</v>
      </c>
      <c r="B443" s="6">
        <v>7503031950571</v>
      </c>
      <c r="C443" s="3" t="s">
        <v>484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1" hidden="1" x14ac:dyDescent="0.35">
      <c r="A444" s="3">
        <v>100015416</v>
      </c>
      <c r="B444" s="6">
        <v>7501045356259</v>
      </c>
      <c r="C444" s="3" t="s">
        <v>485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1" hidden="1" x14ac:dyDescent="0.35">
      <c r="A445" s="4">
        <v>100021950</v>
      </c>
      <c r="B445" s="6">
        <v>75004392</v>
      </c>
      <c r="C445" s="4" t="s">
        <v>486</v>
      </c>
      <c r="D445" s="4" t="s">
        <v>11</v>
      </c>
      <c r="E445" s="30" t="s">
        <v>214</v>
      </c>
      <c r="F445" s="4" t="s">
        <v>609</v>
      </c>
      <c r="G445" s="4" t="s">
        <v>35</v>
      </c>
      <c r="H445" s="3" t="s">
        <v>36</v>
      </c>
      <c r="I445" s="3" t="s">
        <v>16</v>
      </c>
      <c r="J445" t="str">
        <f>+_xlfn.XLOOKUP(B445,INNOVACIÓN!A:A,INNOVACIÓN!B:B,"NO")</f>
        <v>NO</v>
      </c>
      <c r="K445">
        <v>20</v>
      </c>
    </row>
    <row r="446" spans="1:11" hidden="1" x14ac:dyDescent="0.35">
      <c r="A446">
        <v>100012007</v>
      </c>
      <c r="B446" s="6">
        <v>75063900</v>
      </c>
      <c r="C446" t="s">
        <v>487</v>
      </c>
      <c r="D446" s="3" t="s">
        <v>11</v>
      </c>
      <c r="E446" s="4" t="s">
        <v>33</v>
      </c>
      <c r="F446" s="3" t="s">
        <v>41</v>
      </c>
      <c r="G446" s="3" t="s">
        <v>35</v>
      </c>
      <c r="H446" s="3" t="s">
        <v>36</v>
      </c>
      <c r="I446" s="3" t="s">
        <v>109</v>
      </c>
      <c r="J446" t="str">
        <f>+_xlfn.XLOOKUP(B446,INNOVACIÓN!A:A,INNOVACIÓN!B:B,"NO")</f>
        <v>NO</v>
      </c>
      <c r="K446">
        <v>20</v>
      </c>
    </row>
    <row r="447" spans="1:11" hidden="1" x14ac:dyDescent="0.35">
      <c r="A447">
        <v>100011702</v>
      </c>
      <c r="B447" s="6">
        <v>75063894</v>
      </c>
      <c r="C447" t="s">
        <v>488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>
        <v>20</v>
      </c>
    </row>
    <row r="448" spans="1:11" hidden="1" x14ac:dyDescent="0.35">
      <c r="A448" s="3">
        <v>100010267</v>
      </c>
      <c r="B448" s="6">
        <v>75061463</v>
      </c>
      <c r="C448" s="3" t="s">
        <v>489</v>
      </c>
      <c r="D448" s="3" t="s">
        <v>11</v>
      </c>
      <c r="E448" s="4" t="s">
        <v>33</v>
      </c>
      <c r="F448" s="3" t="s">
        <v>41</v>
      </c>
      <c r="G448" s="3" t="s">
        <v>54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>
        <v>14</v>
      </c>
    </row>
    <row r="449" spans="1:11" hidden="1" x14ac:dyDescent="0.35">
      <c r="A449">
        <v>100012003</v>
      </c>
      <c r="B449" s="6">
        <v>75063863</v>
      </c>
      <c r="C449" t="s">
        <v>490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>
        <v>14</v>
      </c>
    </row>
    <row r="450" spans="1:11" hidden="1" x14ac:dyDescent="0.35">
      <c r="A450">
        <v>100009575</v>
      </c>
      <c r="B450" s="6">
        <v>75061449</v>
      </c>
      <c r="C450" t="s">
        <v>491</v>
      </c>
      <c r="D450" s="3" t="s">
        <v>11</v>
      </c>
      <c r="E450" s="4" t="s">
        <v>33</v>
      </c>
      <c r="F450" s="3" t="s">
        <v>41</v>
      </c>
      <c r="G450" s="3" t="s">
        <v>35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>
        <v>14</v>
      </c>
    </row>
    <row r="451" spans="1:11" hidden="1" x14ac:dyDescent="0.35">
      <c r="A451">
        <v>100012005</v>
      </c>
      <c r="B451" s="6">
        <v>75063948</v>
      </c>
      <c r="C451" t="s">
        <v>492</v>
      </c>
      <c r="D451" s="3" t="s">
        <v>11</v>
      </c>
      <c r="E451" s="4" t="s">
        <v>33</v>
      </c>
      <c r="F451" s="3" t="s">
        <v>41</v>
      </c>
      <c r="G451" s="3" t="s">
        <v>71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>
        <v>24</v>
      </c>
    </row>
    <row r="452" spans="1:11" hidden="1" x14ac:dyDescent="0.35">
      <c r="A452">
        <v>100011705</v>
      </c>
      <c r="B452" s="6">
        <v>75063931</v>
      </c>
      <c r="C452" t="s">
        <v>493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>
        <v>24</v>
      </c>
    </row>
    <row r="453" spans="1:11" hidden="1" x14ac:dyDescent="0.35">
      <c r="A453" s="3">
        <v>100080984</v>
      </c>
      <c r="B453" s="6">
        <v>75049607</v>
      </c>
      <c r="C453" s="3" t="s">
        <v>494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>
        <v>24</v>
      </c>
    </row>
    <row r="454" spans="1:11" hidden="1" x14ac:dyDescent="0.35">
      <c r="A454">
        <v>100012002</v>
      </c>
      <c r="B454" s="6">
        <v>75063849</v>
      </c>
      <c r="C454" t="s">
        <v>495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>
        <v>14</v>
      </c>
    </row>
    <row r="455" spans="1:11" hidden="1" x14ac:dyDescent="0.35">
      <c r="A455" s="3">
        <v>100011706</v>
      </c>
      <c r="B455" s="6">
        <v>75063832</v>
      </c>
      <c r="C455" s="3" t="s">
        <v>496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>
        <v>14</v>
      </c>
    </row>
    <row r="456" spans="1:11" hidden="1" x14ac:dyDescent="0.35">
      <c r="A456" s="3">
        <v>100080976</v>
      </c>
      <c r="B456" s="6">
        <v>75049591</v>
      </c>
      <c r="C456" s="3" t="s">
        <v>497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>
        <v>20</v>
      </c>
    </row>
    <row r="457" spans="1:11" hidden="1" x14ac:dyDescent="0.35">
      <c r="A457">
        <v>100080951</v>
      </c>
      <c r="B457" s="6">
        <v>75047092</v>
      </c>
      <c r="C457" t="s">
        <v>498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>
        <v>24</v>
      </c>
    </row>
    <row r="458" spans="1:11" hidden="1" x14ac:dyDescent="0.35">
      <c r="A458">
        <v>100080869</v>
      </c>
      <c r="B458" s="6">
        <v>75037048</v>
      </c>
      <c r="C458" t="s">
        <v>499</v>
      </c>
      <c r="D458" s="3" t="s">
        <v>11</v>
      </c>
      <c r="E458" s="4" t="s">
        <v>33</v>
      </c>
      <c r="F458" s="3" t="s">
        <v>41</v>
      </c>
      <c r="G458" s="3" t="s">
        <v>35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>
        <v>20</v>
      </c>
    </row>
    <row r="459" spans="1:11" hidden="1" x14ac:dyDescent="0.35">
      <c r="A459">
        <v>100005287</v>
      </c>
      <c r="B459" s="6">
        <v>75053048</v>
      </c>
      <c r="C459" t="s">
        <v>500</v>
      </c>
      <c r="D459" s="3" t="s">
        <v>11</v>
      </c>
      <c r="E459" s="4" t="s">
        <v>33</v>
      </c>
      <c r="F459" s="3" t="s">
        <v>41</v>
      </c>
      <c r="G459" s="3" t="s">
        <v>54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>
        <v>20</v>
      </c>
    </row>
    <row r="460" spans="1:11" hidden="1" x14ac:dyDescent="0.35">
      <c r="A460">
        <v>100012006</v>
      </c>
      <c r="B460" s="6">
        <v>75063924</v>
      </c>
      <c r="C460" t="s">
        <v>501</v>
      </c>
      <c r="D460" s="3" t="s">
        <v>11</v>
      </c>
      <c r="E460" s="4" t="s">
        <v>33</v>
      </c>
      <c r="F460" s="3" t="s">
        <v>41</v>
      </c>
      <c r="G460" s="3" t="s">
        <v>35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>
        <v>24</v>
      </c>
    </row>
    <row r="461" spans="1:11" hidden="1" x14ac:dyDescent="0.35">
      <c r="A461">
        <v>100011704</v>
      </c>
      <c r="B461" s="6">
        <v>75063917</v>
      </c>
      <c r="C461" t="s">
        <v>502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>
        <v>24</v>
      </c>
    </row>
    <row r="462" spans="1:11" hidden="1" x14ac:dyDescent="0.35">
      <c r="A462" s="3">
        <v>100011708</v>
      </c>
      <c r="B462" s="6">
        <v>75063870</v>
      </c>
      <c r="C462" s="3" t="s">
        <v>503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>
        <v>14</v>
      </c>
    </row>
    <row r="463" spans="1:11" hidden="1" x14ac:dyDescent="0.35">
      <c r="A463">
        <v>100008186</v>
      </c>
      <c r="B463" s="6">
        <v>75057817</v>
      </c>
      <c r="C463" t="s">
        <v>504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>
        <v>14</v>
      </c>
    </row>
    <row r="464" spans="1:11" hidden="1" x14ac:dyDescent="0.35">
      <c r="A464" s="3">
        <v>100011671</v>
      </c>
      <c r="B464" s="6">
        <v>75063771</v>
      </c>
      <c r="C464" s="3" t="s">
        <v>505</v>
      </c>
      <c r="D464" s="4" t="s">
        <v>11</v>
      </c>
      <c r="E464" s="4" t="s">
        <v>33</v>
      </c>
      <c r="F464" s="3" t="s">
        <v>41</v>
      </c>
      <c r="G464" s="3" t="s">
        <v>14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>
        <v>20</v>
      </c>
    </row>
    <row r="465" spans="1:11" hidden="1" x14ac:dyDescent="0.35">
      <c r="A465" s="3">
        <v>100018204</v>
      </c>
      <c r="B465" s="6">
        <v>7501045300139</v>
      </c>
      <c r="C465" s="3" t="s">
        <v>506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>
        <v>20</v>
      </c>
    </row>
    <row r="466" spans="1:11" hidden="1" x14ac:dyDescent="0.35">
      <c r="A466" s="3">
        <v>100018203</v>
      </c>
      <c r="B466" s="6">
        <v>7501045300122</v>
      </c>
      <c r="C466" s="3" t="s">
        <v>507</v>
      </c>
      <c r="D466" s="4" t="s">
        <v>11</v>
      </c>
      <c r="E466" s="4" t="s">
        <v>33</v>
      </c>
      <c r="F466" s="3" t="s">
        <v>41</v>
      </c>
      <c r="G466" s="3" t="s">
        <v>54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>
        <v>20</v>
      </c>
    </row>
    <row r="467" spans="1:11" hidden="1" x14ac:dyDescent="0.35">
      <c r="A467">
        <v>100004742</v>
      </c>
      <c r="B467" s="6">
        <v>75052867</v>
      </c>
      <c r="C467" t="s">
        <v>508</v>
      </c>
      <c r="D467" s="3" t="s">
        <v>11</v>
      </c>
      <c r="E467" s="4" t="s">
        <v>33</v>
      </c>
      <c r="F467" s="3" t="s">
        <v>41</v>
      </c>
      <c r="G467" s="3" t="s">
        <v>35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>
        <v>20</v>
      </c>
    </row>
    <row r="468" spans="1:11" hidden="1" x14ac:dyDescent="0.35">
      <c r="A468" s="3">
        <v>100080980</v>
      </c>
      <c r="B468" s="6">
        <v>75049577</v>
      </c>
      <c r="C468" s="3" t="s">
        <v>509</v>
      </c>
      <c r="D468" s="3" t="s">
        <v>11</v>
      </c>
      <c r="E468" s="4" t="s">
        <v>33</v>
      </c>
      <c r="F468" s="3" t="s">
        <v>41</v>
      </c>
      <c r="G468" s="3" t="s">
        <v>14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>
        <v>20</v>
      </c>
    </row>
    <row r="469" spans="1:11" hidden="1" x14ac:dyDescent="0.35">
      <c r="A469" s="3">
        <v>100012202</v>
      </c>
      <c r="B469" s="6">
        <v>75064112</v>
      </c>
      <c r="C469" s="3" t="s">
        <v>510</v>
      </c>
      <c r="D469" s="3" t="s">
        <v>11</v>
      </c>
      <c r="E469" s="4" t="s">
        <v>33</v>
      </c>
      <c r="F469" s="3" t="s">
        <v>41</v>
      </c>
      <c r="G469" s="3" t="s">
        <v>35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>
        <v>24</v>
      </c>
    </row>
    <row r="470" spans="1:11" hidden="1" x14ac:dyDescent="0.35">
      <c r="A470" s="3">
        <v>100011674</v>
      </c>
      <c r="B470" s="6">
        <v>75063726</v>
      </c>
      <c r="C470" s="3" t="s">
        <v>511</v>
      </c>
      <c r="D470" s="4" t="s">
        <v>11</v>
      </c>
      <c r="E470" s="4" t="s">
        <v>33</v>
      </c>
      <c r="F470" s="3" t="s">
        <v>41</v>
      </c>
      <c r="G470" s="4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>
        <v>20</v>
      </c>
    </row>
    <row r="471" spans="1:11" hidden="1" x14ac:dyDescent="0.35">
      <c r="A471" s="3">
        <v>100011678</v>
      </c>
      <c r="B471" s="6">
        <v>75063757</v>
      </c>
      <c r="C471" s="3" t="s">
        <v>512</v>
      </c>
      <c r="D471" s="3" t="s">
        <v>11</v>
      </c>
      <c r="E471" s="4" t="s">
        <v>33</v>
      </c>
      <c r="F471" s="3" t="s">
        <v>41</v>
      </c>
      <c r="G471" s="3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>
        <v>14</v>
      </c>
    </row>
    <row r="472" spans="1:11" hidden="1" x14ac:dyDescent="0.35">
      <c r="A472">
        <v>100018490</v>
      </c>
      <c r="B472" s="6">
        <v>7501045300146</v>
      </c>
      <c r="C472" t="s">
        <v>513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>
        <v>20</v>
      </c>
    </row>
    <row r="473" spans="1:11" hidden="1" x14ac:dyDescent="0.35">
      <c r="A473" s="3">
        <v>100014571</v>
      </c>
      <c r="B473" s="6">
        <v>75069506</v>
      </c>
      <c r="C473" s="3" t="s">
        <v>514</v>
      </c>
      <c r="D473" s="3" t="s">
        <v>11</v>
      </c>
      <c r="E473" s="4" t="s">
        <v>33</v>
      </c>
      <c r="F473" s="3" t="s">
        <v>41</v>
      </c>
      <c r="G473" s="3" t="s">
        <v>54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>
        <v>20</v>
      </c>
    </row>
    <row r="474" spans="1:11" hidden="1" x14ac:dyDescent="0.35">
      <c r="A474" s="3">
        <v>100013983</v>
      </c>
      <c r="B474" s="6">
        <v>75067854</v>
      </c>
      <c r="C474" s="3" t="s">
        <v>515</v>
      </c>
      <c r="D474" s="3" t="s">
        <v>11</v>
      </c>
      <c r="E474" s="4" t="s">
        <v>33</v>
      </c>
      <c r="F474" s="3" t="s">
        <v>41</v>
      </c>
      <c r="G474" s="3" t="s">
        <v>35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>
        <v>25</v>
      </c>
    </row>
    <row r="475" spans="1:11" hidden="1" x14ac:dyDescent="0.35">
      <c r="A475">
        <v>100013785</v>
      </c>
      <c r="B475" s="6">
        <v>75067892</v>
      </c>
      <c r="C475" t="s">
        <v>516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>
        <v>25</v>
      </c>
    </row>
    <row r="476" spans="1:11" hidden="1" x14ac:dyDescent="0.35">
      <c r="A476" s="3">
        <v>100013982</v>
      </c>
      <c r="B476" s="6">
        <v>75067823</v>
      </c>
      <c r="C476" s="3" t="s">
        <v>517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>
        <v>15</v>
      </c>
    </row>
    <row r="477" spans="1:11" hidden="1" x14ac:dyDescent="0.35">
      <c r="A477" s="3">
        <v>100008185</v>
      </c>
      <c r="B477" s="6">
        <v>75057824</v>
      </c>
      <c r="C477" s="3" t="s">
        <v>518</v>
      </c>
      <c r="D477" s="3" t="s">
        <v>11</v>
      </c>
      <c r="E477" s="4" t="s">
        <v>33</v>
      </c>
      <c r="F477" s="3" t="s">
        <v>41</v>
      </c>
      <c r="G477" s="3" t="s">
        <v>54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>
        <v>14</v>
      </c>
    </row>
    <row r="478" spans="1:11" hidden="1" x14ac:dyDescent="0.35">
      <c r="A478">
        <v>100080979</v>
      </c>
      <c r="B478" s="6">
        <v>75049584</v>
      </c>
      <c r="C478" t="s">
        <v>519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>
        <v>20</v>
      </c>
    </row>
    <row r="479" spans="1:11" hidden="1" x14ac:dyDescent="0.35">
      <c r="A479" s="3">
        <v>100021797</v>
      </c>
      <c r="B479" s="6">
        <v>7503031950267</v>
      </c>
      <c r="C479" s="3" t="s">
        <v>520</v>
      </c>
      <c r="D479" s="4" t="s">
        <v>11</v>
      </c>
      <c r="E479" s="4" t="s">
        <v>33</v>
      </c>
      <c r="F479" s="3" t="s">
        <v>41</v>
      </c>
      <c r="G479" s="4" t="s">
        <v>35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>
        <v>25</v>
      </c>
    </row>
    <row r="480" spans="1:11" hidden="1" x14ac:dyDescent="0.35">
      <c r="A480" s="3">
        <v>100019960</v>
      </c>
      <c r="B480" s="6">
        <v>7503031950113</v>
      </c>
      <c r="C480" s="3" t="s">
        <v>521</v>
      </c>
      <c r="D480" s="4" t="s">
        <v>11</v>
      </c>
      <c r="E480" s="4" t="s">
        <v>33</v>
      </c>
      <c r="F480" s="3" t="s">
        <v>41</v>
      </c>
      <c r="G480" s="3" t="s">
        <v>14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>
        <v>20</v>
      </c>
    </row>
    <row r="481" spans="1:11" hidden="1" x14ac:dyDescent="0.35">
      <c r="A481" s="3">
        <v>100019961</v>
      </c>
      <c r="B481" s="6">
        <v>7503031950106</v>
      </c>
      <c r="C481" s="3" t="s">
        <v>522</v>
      </c>
      <c r="D481" s="4" t="s">
        <v>11</v>
      </c>
      <c r="E481" s="4" t="s">
        <v>33</v>
      </c>
      <c r="F481" s="3" t="s">
        <v>41</v>
      </c>
      <c r="G481" s="3" t="s">
        <v>54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>
        <v>20</v>
      </c>
    </row>
    <row r="482" spans="1:11" hidden="1" x14ac:dyDescent="0.35">
      <c r="A482" s="3">
        <v>100014579</v>
      </c>
      <c r="B482" s="6">
        <v>75069773</v>
      </c>
      <c r="C482" s="3" t="s">
        <v>523</v>
      </c>
      <c r="D482" s="4" t="s">
        <v>11</v>
      </c>
      <c r="E482" s="4" t="s">
        <v>33</v>
      </c>
      <c r="F482" s="3" t="s">
        <v>41</v>
      </c>
      <c r="G482" s="3" t="s">
        <v>14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>
        <v>20</v>
      </c>
    </row>
    <row r="483" spans="1:11" hidden="1" x14ac:dyDescent="0.35">
      <c r="A483" s="3">
        <v>100080958</v>
      </c>
      <c r="B483" s="6">
        <v>75047498</v>
      </c>
      <c r="C483" s="3" t="s">
        <v>524</v>
      </c>
      <c r="D483" s="4" t="s">
        <v>11</v>
      </c>
      <c r="E483" s="4" t="s">
        <v>33</v>
      </c>
      <c r="F483" s="3" t="s">
        <v>41</v>
      </c>
      <c r="G483" s="3" t="s">
        <v>35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>
        <v>20</v>
      </c>
    </row>
    <row r="484" spans="1:11" hidden="1" x14ac:dyDescent="0.35">
      <c r="A484" s="3">
        <v>100080961</v>
      </c>
      <c r="B484" s="6">
        <v>75047467</v>
      </c>
      <c r="C484" s="3" t="s">
        <v>525</v>
      </c>
      <c r="D484" s="4" t="s">
        <v>11</v>
      </c>
      <c r="E484" s="4" t="s">
        <v>33</v>
      </c>
      <c r="F484" s="3" t="s">
        <v>41</v>
      </c>
      <c r="G484" s="3" t="s">
        <v>14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>
        <v>20</v>
      </c>
    </row>
    <row r="485" spans="1:11" hidden="1" x14ac:dyDescent="0.35">
      <c r="A485" s="3">
        <v>100012203</v>
      </c>
      <c r="B485" s="6">
        <v>75061715</v>
      </c>
      <c r="C485" s="3" t="s">
        <v>526</v>
      </c>
      <c r="D485" s="4" t="s">
        <v>11</v>
      </c>
      <c r="E485" s="4" t="s">
        <v>33</v>
      </c>
      <c r="F485" s="3" t="s">
        <v>41</v>
      </c>
      <c r="G485" s="4" t="s">
        <v>71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>
        <v>24</v>
      </c>
    </row>
    <row r="486" spans="1:11" hidden="1" x14ac:dyDescent="0.35">
      <c r="A486" s="3">
        <v>100011673</v>
      </c>
      <c r="B486" s="6">
        <v>75063825</v>
      </c>
      <c r="C486" s="3" t="s">
        <v>527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>
        <v>20</v>
      </c>
    </row>
    <row r="487" spans="1:11" hidden="1" x14ac:dyDescent="0.35">
      <c r="A487" s="3">
        <v>100008184</v>
      </c>
      <c r="B487" s="6">
        <v>75057800</v>
      </c>
      <c r="C487" s="3" t="s">
        <v>528</v>
      </c>
      <c r="D487" s="3" t="s">
        <v>11</v>
      </c>
      <c r="E487" s="4" t="s">
        <v>33</v>
      </c>
      <c r="F487" s="3" t="s">
        <v>41</v>
      </c>
      <c r="G487" s="3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>
        <v>14</v>
      </c>
    </row>
    <row r="488" spans="1:11" hidden="1" x14ac:dyDescent="0.35">
      <c r="A488" s="3">
        <v>100011677</v>
      </c>
      <c r="B488" s="6">
        <v>75063740</v>
      </c>
      <c r="C488" s="3" t="s">
        <v>529</v>
      </c>
      <c r="D488" s="4" t="s">
        <v>11</v>
      </c>
      <c r="E488" s="4" t="s">
        <v>33</v>
      </c>
      <c r="F488" s="3" t="s">
        <v>41</v>
      </c>
      <c r="G488" s="4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>
        <v>14</v>
      </c>
    </row>
    <row r="489" spans="1:11" hidden="1" x14ac:dyDescent="0.35">
      <c r="A489" s="3">
        <v>100018931</v>
      </c>
      <c r="B489" s="6">
        <v>7503023959346</v>
      </c>
      <c r="C489" s="3" t="s">
        <v>530</v>
      </c>
      <c r="D489" s="4" t="s">
        <v>32</v>
      </c>
      <c r="E489" s="4" t="s">
        <v>33</v>
      </c>
      <c r="F489" s="3" t="s">
        <v>39</v>
      </c>
      <c r="G489" s="3" t="s">
        <v>35</v>
      </c>
      <c r="H489" s="3" t="s">
        <v>36</v>
      </c>
      <c r="I489" s="3" t="s">
        <v>247</v>
      </c>
      <c r="J489" t="str">
        <f>+_xlfn.XLOOKUP(B489,INNOVACIÓN!A:A,INNOVACIÓN!B:B,"NO")</f>
        <v>NO</v>
      </c>
      <c r="K489">
        <v>20</v>
      </c>
    </row>
    <row r="490" spans="1:11" hidden="1" x14ac:dyDescent="0.35">
      <c r="A490" s="3">
        <v>100017393</v>
      </c>
      <c r="B490" s="6">
        <v>7503023959230</v>
      </c>
      <c r="C490" s="3" t="s">
        <v>531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>
        <v>20</v>
      </c>
    </row>
    <row r="491" spans="1:11" hidden="1" x14ac:dyDescent="0.35">
      <c r="A491" s="3">
        <v>100080917</v>
      </c>
      <c r="B491" s="3">
        <v>75045135</v>
      </c>
      <c r="C491" s="3" t="s">
        <v>532</v>
      </c>
      <c r="D491" s="3" t="s">
        <v>32</v>
      </c>
      <c r="E491" s="4" t="s">
        <v>33</v>
      </c>
      <c r="F491" s="3" t="s">
        <v>46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>
        <v>20</v>
      </c>
    </row>
    <row r="492" spans="1:11" hidden="1" x14ac:dyDescent="0.35">
      <c r="A492" s="3">
        <v>100080184</v>
      </c>
      <c r="B492" s="6">
        <v>8308315</v>
      </c>
      <c r="C492" s="3" t="s">
        <v>533</v>
      </c>
      <c r="D492" s="4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>
        <v>20</v>
      </c>
    </row>
    <row r="493" spans="1:11" hidden="1" x14ac:dyDescent="0.35">
      <c r="A493" s="3">
        <v>100080865</v>
      </c>
      <c r="B493" s="3">
        <v>75039370</v>
      </c>
      <c r="C493" s="3" t="s">
        <v>534</v>
      </c>
      <c r="D493" s="3" t="s">
        <v>32</v>
      </c>
      <c r="E493" s="4" t="s">
        <v>33</v>
      </c>
      <c r="F493" s="3" t="s">
        <v>46</v>
      </c>
      <c r="G493" s="3" t="s">
        <v>14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>
        <v>20</v>
      </c>
    </row>
    <row r="494" spans="1:11" hidden="1" x14ac:dyDescent="0.35">
      <c r="A494" s="3">
        <v>100080895</v>
      </c>
      <c r="B494" s="3">
        <v>75043230</v>
      </c>
      <c r="C494" s="3" t="s">
        <v>535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>
        <v>20</v>
      </c>
    </row>
    <row r="495" spans="1:11" hidden="1" x14ac:dyDescent="0.35">
      <c r="A495" s="3">
        <v>100080695</v>
      </c>
      <c r="B495" s="6">
        <v>8338918</v>
      </c>
      <c r="C495" s="3" t="s">
        <v>536</v>
      </c>
      <c r="D495" s="4" t="s">
        <v>32</v>
      </c>
      <c r="E495" s="4" t="s">
        <v>33</v>
      </c>
      <c r="F495" s="3" t="s">
        <v>46</v>
      </c>
      <c r="G495" s="3" t="s">
        <v>35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>
        <v>14</v>
      </c>
    </row>
    <row r="496" spans="1:11" hidden="1" x14ac:dyDescent="0.35">
      <c r="A496" s="3">
        <v>100014240</v>
      </c>
      <c r="B496" s="6">
        <v>7503023959025</v>
      </c>
      <c r="C496" s="3" t="s">
        <v>537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>
        <v>14</v>
      </c>
    </row>
    <row r="497" spans="1:11" hidden="1" x14ac:dyDescent="0.35">
      <c r="A497" s="3">
        <v>100014242</v>
      </c>
      <c r="B497" s="6">
        <v>7503023959117</v>
      </c>
      <c r="C497" s="3" t="s">
        <v>538</v>
      </c>
      <c r="D497" s="4" t="s">
        <v>32</v>
      </c>
      <c r="E497" s="4" t="s">
        <v>33</v>
      </c>
      <c r="F497" s="3" t="s">
        <v>46</v>
      </c>
      <c r="G497" s="3" t="s">
        <v>14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>
        <v>20</v>
      </c>
    </row>
    <row r="498" spans="1:11" hidden="1" x14ac:dyDescent="0.35">
      <c r="A498" s="3">
        <v>100014243</v>
      </c>
      <c r="B498" s="6">
        <v>7503023959131</v>
      </c>
      <c r="C498" s="3" t="s">
        <v>539</v>
      </c>
      <c r="D498" s="4" t="s">
        <v>32</v>
      </c>
      <c r="E498" s="4" t="s">
        <v>33</v>
      </c>
      <c r="F498" s="3" t="s">
        <v>46</v>
      </c>
      <c r="G498" s="3" t="s">
        <v>35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>
        <v>20</v>
      </c>
    </row>
    <row r="499" spans="1:11" hidden="1" x14ac:dyDescent="0.35">
      <c r="A499" s="4">
        <v>100020727</v>
      </c>
      <c r="B499" s="6">
        <v>75015725</v>
      </c>
      <c r="C499" s="4" t="s">
        <v>540</v>
      </c>
      <c r="D499" s="4" t="s">
        <v>11</v>
      </c>
      <c r="E499" s="4" t="s">
        <v>33</v>
      </c>
      <c r="F499" s="4" t="s">
        <v>46</v>
      </c>
      <c r="G499" s="4" t="s">
        <v>54</v>
      </c>
      <c r="H499" s="3" t="s">
        <v>36</v>
      </c>
      <c r="I499" s="3" t="s">
        <v>109</v>
      </c>
      <c r="J499" t="str">
        <f>+_xlfn.XLOOKUP(B499,INNOVACIÓN!A:A,INNOVACIÓN!B:B,"NO")</f>
        <v>NO</v>
      </c>
      <c r="K499">
        <v>20</v>
      </c>
    </row>
    <row r="500" spans="1:11" hidden="1" x14ac:dyDescent="0.35">
      <c r="A500" s="3">
        <v>100022210</v>
      </c>
      <c r="B500" s="6">
        <v>75012694</v>
      </c>
      <c r="C500" s="3" t="s">
        <v>541</v>
      </c>
      <c r="D500" s="4" t="s">
        <v>11</v>
      </c>
      <c r="E500" s="4" t="s">
        <v>33</v>
      </c>
      <c r="F500" s="4" t="s">
        <v>46</v>
      </c>
      <c r="G500" s="4" t="s">
        <v>14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>
        <v>20</v>
      </c>
    </row>
    <row r="501" spans="1:11" hidden="1" x14ac:dyDescent="0.35">
      <c r="A501" s="3">
        <v>100020728</v>
      </c>
      <c r="B501" s="6">
        <v>75018825</v>
      </c>
      <c r="C501" s="3" t="s">
        <v>542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>
        <v>20</v>
      </c>
    </row>
    <row r="502" spans="1:11" hidden="1" x14ac:dyDescent="0.35">
      <c r="A502" s="3">
        <v>100020729</v>
      </c>
      <c r="B502" s="6">
        <v>75012564</v>
      </c>
      <c r="C502" s="3" t="s">
        <v>543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>
        <v>20</v>
      </c>
    </row>
    <row r="503" spans="1:11" hidden="1" x14ac:dyDescent="0.35">
      <c r="A503" s="3">
        <v>100015187</v>
      </c>
      <c r="B503" s="6">
        <v>75068752</v>
      </c>
      <c r="C503" s="3" t="s">
        <v>544</v>
      </c>
      <c r="D503" s="4" t="s">
        <v>11</v>
      </c>
      <c r="E503" s="4" t="s">
        <v>33</v>
      </c>
      <c r="F503" s="4" t="s">
        <v>39</v>
      </c>
      <c r="G503" s="4" t="s">
        <v>71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>
        <v>20</v>
      </c>
    </row>
    <row r="504" spans="1:11" hidden="1" x14ac:dyDescent="0.35">
      <c r="A504" s="3">
        <v>100014718</v>
      </c>
      <c r="B504" s="6">
        <v>75068806</v>
      </c>
      <c r="C504" s="3" t="s">
        <v>545</v>
      </c>
      <c r="D504" s="3" t="s">
        <v>11</v>
      </c>
      <c r="E504" s="4" t="s">
        <v>33</v>
      </c>
      <c r="F504" s="4" t="s">
        <v>39</v>
      </c>
      <c r="G504" s="3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>
        <v>14</v>
      </c>
    </row>
    <row r="505" spans="1:11" hidden="1" x14ac:dyDescent="0.35">
      <c r="A505" s="3">
        <v>100080033</v>
      </c>
      <c r="B505" s="6">
        <v>75001247</v>
      </c>
      <c r="C505" s="3" t="s">
        <v>546</v>
      </c>
      <c r="D505" s="4" t="s">
        <v>11</v>
      </c>
      <c r="E505" s="4" t="s">
        <v>33</v>
      </c>
      <c r="F505" s="4" t="s">
        <v>39</v>
      </c>
      <c r="G505" s="3" t="s">
        <v>54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>
        <v>20</v>
      </c>
    </row>
    <row r="506" spans="1:11" hidden="1" x14ac:dyDescent="0.35">
      <c r="A506" s="3">
        <v>100080862</v>
      </c>
      <c r="B506" s="6">
        <v>75038007</v>
      </c>
      <c r="C506" s="3" t="s">
        <v>547</v>
      </c>
      <c r="D506" s="3" t="s">
        <v>11</v>
      </c>
      <c r="E506" s="4" t="s">
        <v>33</v>
      </c>
      <c r="F506" s="3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>
        <v>14</v>
      </c>
    </row>
    <row r="507" spans="1:11" hidden="1" x14ac:dyDescent="0.35">
      <c r="A507">
        <v>100080439</v>
      </c>
      <c r="B507" s="6">
        <v>75016760</v>
      </c>
      <c r="C507" t="s">
        <v>548</v>
      </c>
      <c r="D507" s="3" t="s">
        <v>11</v>
      </c>
      <c r="E507" s="4" t="s">
        <v>33</v>
      </c>
      <c r="F507" s="3" t="s">
        <v>39</v>
      </c>
      <c r="G507" s="3" t="s">
        <v>71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>
        <v>20</v>
      </c>
    </row>
    <row r="508" spans="1:11" hidden="1" x14ac:dyDescent="0.35">
      <c r="A508" s="3">
        <v>100080861</v>
      </c>
      <c r="B508" s="6">
        <v>75037994</v>
      </c>
      <c r="C508" s="3" t="s">
        <v>549</v>
      </c>
      <c r="D508" s="4" t="s">
        <v>11</v>
      </c>
      <c r="E508" s="4" t="s">
        <v>33</v>
      </c>
      <c r="F508" s="4" t="s">
        <v>39</v>
      </c>
      <c r="G508" s="4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>
        <v>14</v>
      </c>
    </row>
    <row r="509" spans="1:11" hidden="1" x14ac:dyDescent="0.35">
      <c r="A509" s="3">
        <v>100080031</v>
      </c>
      <c r="B509" s="6">
        <v>75001254</v>
      </c>
      <c r="C509" s="3" t="s">
        <v>550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>
        <v>20</v>
      </c>
    </row>
    <row r="510" spans="1:11" hidden="1" x14ac:dyDescent="0.35">
      <c r="A510" s="3">
        <v>100080926</v>
      </c>
      <c r="B510" s="6">
        <v>75045692</v>
      </c>
      <c r="C510" s="3" t="s">
        <v>551</v>
      </c>
      <c r="D510" s="3" t="s">
        <v>11</v>
      </c>
      <c r="E510" s="4" t="s">
        <v>33</v>
      </c>
      <c r="F510" s="3" t="s">
        <v>39</v>
      </c>
      <c r="G510" s="3" t="s">
        <v>54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>
        <v>20</v>
      </c>
    </row>
    <row r="511" spans="1:11" hidden="1" x14ac:dyDescent="0.35">
      <c r="A511" s="4">
        <v>100022054</v>
      </c>
      <c r="B511" s="5">
        <v>7503023959438</v>
      </c>
      <c r="C511" s="4" t="s">
        <v>552</v>
      </c>
      <c r="D511" s="4" t="s">
        <v>32</v>
      </c>
      <c r="E511" s="30" t="s">
        <v>589</v>
      </c>
      <c r="F511" s="4" t="s">
        <v>609</v>
      </c>
      <c r="G511" s="4" t="s">
        <v>14</v>
      </c>
      <c r="H511" s="3" t="s">
        <v>36</v>
      </c>
      <c r="I511" s="3" t="s">
        <v>16</v>
      </c>
      <c r="J511" t="str">
        <f>+_xlfn.XLOOKUP(B511,INNOVACIÓN!A:A,INNOVACIÓN!B:B,"NO")</f>
        <v>SI</v>
      </c>
      <c r="K511">
        <v>20</v>
      </c>
    </row>
    <row r="512" spans="1:11" hidden="1" x14ac:dyDescent="0.35">
      <c r="A512">
        <v>100026143</v>
      </c>
      <c r="B512">
        <v>75084011</v>
      </c>
      <c r="C512" t="s">
        <v>553</v>
      </c>
      <c r="D512" s="4" t="s">
        <v>11</v>
      </c>
      <c r="E512" s="4" t="s">
        <v>74</v>
      </c>
      <c r="F512" s="30" t="s">
        <v>41</v>
      </c>
      <c r="G512" s="4" t="s">
        <v>75</v>
      </c>
      <c r="H512" s="3" t="s">
        <v>70</v>
      </c>
      <c r="I512" s="3" t="s">
        <v>16</v>
      </c>
      <c r="J512" t="str">
        <f>+_xlfn.XLOOKUP(B512,INNOVACIÓN!A:A,INNOVACIÓN!B:B,"NO")</f>
        <v>NO</v>
      </c>
    </row>
    <row r="513" spans="1:12" hidden="1" x14ac:dyDescent="0.35">
      <c r="A513">
        <v>100024418</v>
      </c>
      <c r="B513" s="8">
        <v>7702303253338</v>
      </c>
      <c r="C513" t="s">
        <v>554</v>
      </c>
      <c r="D513" s="3" t="s">
        <v>44</v>
      </c>
      <c r="E513" s="3" t="s">
        <v>146</v>
      </c>
      <c r="F513" s="3" t="s">
        <v>13</v>
      </c>
      <c r="G513" s="4" t="s">
        <v>14</v>
      </c>
      <c r="H513" s="3" t="s">
        <v>15</v>
      </c>
      <c r="I513" s="3" t="s">
        <v>16</v>
      </c>
      <c r="J513" t="str">
        <f>+_xlfn.XLOOKUP(B513,INNOVACIÓN!A:A,INNOVACIÓN!B:B,"NO")</f>
        <v>NO</v>
      </c>
      <c r="K513">
        <v>15</v>
      </c>
      <c r="L513" t="s">
        <v>676</v>
      </c>
    </row>
    <row r="514" spans="1:12" hidden="1" x14ac:dyDescent="0.35">
      <c r="A514">
        <v>100026302</v>
      </c>
      <c r="B514" s="8">
        <v>7503039738553</v>
      </c>
      <c r="C514" t="s">
        <v>555</v>
      </c>
      <c r="D514" s="4" t="s">
        <v>44</v>
      </c>
      <c r="E514" s="4" t="s">
        <v>33</v>
      </c>
      <c r="F514" s="4" t="s">
        <v>13</v>
      </c>
      <c r="G514" s="4" t="s">
        <v>14</v>
      </c>
      <c r="H514" s="3" t="s">
        <v>15</v>
      </c>
      <c r="I514" s="3" t="s">
        <v>109</v>
      </c>
      <c r="J514" t="str">
        <f>+_xlfn.XLOOKUP(B514,INNOVACIÓN!A:A,INNOVACIÓN!B:B,"NO")</f>
        <v>NO</v>
      </c>
      <c r="K514">
        <v>15</v>
      </c>
      <c r="L514" t="s">
        <v>676</v>
      </c>
    </row>
    <row r="515" spans="1:12" hidden="1" x14ac:dyDescent="0.35">
      <c r="A515">
        <v>100025296</v>
      </c>
      <c r="B515" s="8">
        <v>7503039738409</v>
      </c>
      <c r="C515" t="s">
        <v>556</v>
      </c>
      <c r="D515" s="4" t="s">
        <v>44</v>
      </c>
      <c r="E515" t="s">
        <v>33</v>
      </c>
      <c r="F515" s="3" t="s">
        <v>13</v>
      </c>
      <c r="G515" s="4" t="s">
        <v>14</v>
      </c>
      <c r="H515" s="3" t="s">
        <v>15</v>
      </c>
      <c r="I515" s="3" t="s">
        <v>109</v>
      </c>
      <c r="J515" t="str">
        <f>+_xlfn.XLOOKUP(B515,INNOVACIÓN!A:A,INNOVACIÓN!B:B,"NO")</f>
        <v>NO</v>
      </c>
      <c r="K515">
        <v>20</v>
      </c>
      <c r="L515" t="s">
        <v>677</v>
      </c>
    </row>
    <row r="516" spans="1:12" hidden="1" x14ac:dyDescent="0.35">
      <c r="A516">
        <v>100026069</v>
      </c>
      <c r="B516" s="8">
        <v>7503039738430</v>
      </c>
      <c r="C516" t="s">
        <v>557</v>
      </c>
      <c r="D516" s="30" t="s">
        <v>44</v>
      </c>
      <c r="E516" s="4" t="s">
        <v>146</v>
      </c>
      <c r="F516" s="3" t="s">
        <v>13</v>
      </c>
      <c r="G516" s="4" t="s">
        <v>14</v>
      </c>
      <c r="H516" s="4" t="s">
        <v>15</v>
      </c>
      <c r="I516" s="3" t="s">
        <v>16</v>
      </c>
      <c r="J516" t="str">
        <f>+_xlfn.XLOOKUP(B516,INNOVACIÓN!A:A,INNOVACIÓN!B:B,"NO")</f>
        <v>NO</v>
      </c>
      <c r="K516">
        <v>20</v>
      </c>
      <c r="L516" t="s">
        <v>677</v>
      </c>
    </row>
    <row r="517" spans="1:12" hidden="1" x14ac:dyDescent="0.35">
      <c r="A517">
        <v>100024415</v>
      </c>
      <c r="B517" s="8">
        <v>7702303630924</v>
      </c>
      <c r="C517" t="s">
        <v>558</v>
      </c>
      <c r="D517" s="3" t="s">
        <v>44</v>
      </c>
      <c r="E517" s="3" t="s">
        <v>146</v>
      </c>
      <c r="F517" s="3" t="s">
        <v>13</v>
      </c>
      <c r="G517" s="4" t="s">
        <v>14</v>
      </c>
      <c r="H517" s="3" t="s">
        <v>15</v>
      </c>
      <c r="I517" s="3" t="s">
        <v>16</v>
      </c>
      <c r="J517" t="str">
        <f>+_xlfn.XLOOKUP(B517,INNOVACIÓN!A:A,INNOVACIÓN!B:B,"NO")</f>
        <v>NO</v>
      </c>
      <c r="K517">
        <v>15</v>
      </c>
      <c r="L517" t="s">
        <v>675</v>
      </c>
    </row>
    <row r="518" spans="1:12" hidden="1" x14ac:dyDescent="0.35">
      <c r="A518">
        <v>100026074</v>
      </c>
      <c r="B518" s="8">
        <v>7503039738522</v>
      </c>
      <c r="C518" t="s">
        <v>559</v>
      </c>
      <c r="D518" s="30" t="s">
        <v>44</v>
      </c>
      <c r="E518" s="4" t="s">
        <v>33</v>
      </c>
      <c r="F518" s="3" t="s">
        <v>13</v>
      </c>
      <c r="G518" s="4" t="s">
        <v>14</v>
      </c>
      <c r="H518" s="4" t="s">
        <v>15</v>
      </c>
      <c r="I518" s="3" t="s">
        <v>109</v>
      </c>
      <c r="J518" t="str">
        <f>+_xlfn.XLOOKUP(B518,INNOVACIÓN!A:A,INNOVACIÓN!B:B,"NO")</f>
        <v>NO</v>
      </c>
      <c r="K518">
        <v>15</v>
      </c>
      <c r="L518" t="s">
        <v>675</v>
      </c>
    </row>
    <row r="519" spans="1:12" hidden="1" x14ac:dyDescent="0.35">
      <c r="A519">
        <v>100024416</v>
      </c>
      <c r="B519" s="8">
        <v>7702303813235</v>
      </c>
      <c r="C519" t="s">
        <v>560</v>
      </c>
      <c r="D519" s="3" t="s">
        <v>44</v>
      </c>
      <c r="E519" s="3" t="s">
        <v>146</v>
      </c>
      <c r="F519" s="3" t="s">
        <v>13</v>
      </c>
      <c r="G519" s="4" t="s">
        <v>14</v>
      </c>
      <c r="H519" s="3" t="s">
        <v>15</v>
      </c>
      <c r="I519" s="3" t="s">
        <v>16</v>
      </c>
      <c r="J519" t="str">
        <f>+_xlfn.XLOOKUP(B519,INNOVACIÓN!A:A,INNOVACIÓN!B:B,"NO")</f>
        <v>NO</v>
      </c>
      <c r="K519">
        <v>15</v>
      </c>
      <c r="L519" t="s">
        <v>676</v>
      </c>
    </row>
    <row r="520" spans="1:12" hidden="1" x14ac:dyDescent="0.35">
      <c r="A520">
        <v>100026304</v>
      </c>
      <c r="B520" s="8">
        <v>7503039738560</v>
      </c>
      <c r="C520" t="s">
        <v>561</v>
      </c>
      <c r="D520" s="4" t="s">
        <v>44</v>
      </c>
      <c r="E520" s="4" t="s">
        <v>33</v>
      </c>
      <c r="F520" s="4" t="s">
        <v>13</v>
      </c>
      <c r="G520" s="4" t="s">
        <v>14</v>
      </c>
      <c r="H520" s="3" t="s">
        <v>15</v>
      </c>
      <c r="I520" s="3" t="s">
        <v>109</v>
      </c>
      <c r="J520" t="str">
        <f>+_xlfn.XLOOKUP(B520,INNOVACIÓN!A:A,INNOVACIÓN!B:B,"NO")</f>
        <v>NO</v>
      </c>
      <c r="K520">
        <v>15</v>
      </c>
      <c r="L520" t="s">
        <v>676</v>
      </c>
    </row>
    <row r="521" spans="1:12" hidden="1" x14ac:dyDescent="0.35">
      <c r="A521">
        <v>100026383</v>
      </c>
      <c r="B521" s="8">
        <v>75084004</v>
      </c>
      <c r="C521" t="s">
        <v>562</v>
      </c>
      <c r="D521" s="3" t="s">
        <v>11</v>
      </c>
      <c r="E521" s="4" t="s">
        <v>33</v>
      </c>
      <c r="F521" s="4" t="s">
        <v>46</v>
      </c>
      <c r="G521" s="4" t="s">
        <v>75</v>
      </c>
      <c r="H521" s="3" t="s">
        <v>70</v>
      </c>
      <c r="I521" s="3" t="s">
        <v>16</v>
      </c>
      <c r="J521" t="str">
        <f>+_xlfn.XLOOKUP(B521,INNOVACIÓN!A:A,INNOVACIÓN!B:B,"NO")</f>
        <v>NO</v>
      </c>
    </row>
    <row r="522" spans="1:12" hidden="1" x14ac:dyDescent="0.35">
      <c r="A522">
        <v>100025292</v>
      </c>
      <c r="B522" s="8">
        <v>7503039738386</v>
      </c>
      <c r="C522" t="s">
        <v>563</v>
      </c>
      <c r="D522" s="4" t="s">
        <v>44</v>
      </c>
      <c r="E522" t="s">
        <v>33</v>
      </c>
      <c r="F522" s="3" t="s">
        <v>13</v>
      </c>
      <c r="G522" s="4" t="s">
        <v>14</v>
      </c>
      <c r="H522" s="3" t="s">
        <v>15</v>
      </c>
      <c r="I522" s="3" t="s">
        <v>109</v>
      </c>
      <c r="J522" t="str">
        <f>+_xlfn.XLOOKUP(B522,INNOVACIÓN!A:A,INNOVACIÓN!B:B,"NO")</f>
        <v>NO</v>
      </c>
      <c r="K522">
        <v>20</v>
      </c>
      <c r="L522" t="s">
        <v>677</v>
      </c>
    </row>
    <row r="523" spans="1:12" hidden="1" x14ac:dyDescent="0.35">
      <c r="A523">
        <v>100025895</v>
      </c>
      <c r="B523" s="8">
        <v>7503039738478</v>
      </c>
      <c r="C523" t="s">
        <v>564</v>
      </c>
      <c r="D523" s="4" t="s">
        <v>44</v>
      </c>
      <c r="E523" s="4" t="s">
        <v>146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>
        <v>15</v>
      </c>
      <c r="L523" t="s">
        <v>676</v>
      </c>
    </row>
    <row r="524" spans="1:12" hidden="1" x14ac:dyDescent="0.35">
      <c r="A524">
        <v>100026382</v>
      </c>
      <c r="B524" s="8">
        <v>75085384</v>
      </c>
      <c r="C524" t="s">
        <v>565</v>
      </c>
      <c r="D524" s="3" t="s">
        <v>11</v>
      </c>
      <c r="E524" s="30" t="s">
        <v>161</v>
      </c>
      <c r="F524" s="4" t="s">
        <v>608</v>
      </c>
      <c r="G524" s="4" t="s">
        <v>71</v>
      </c>
      <c r="H524" s="3" t="s">
        <v>36</v>
      </c>
      <c r="I524" s="3" t="s">
        <v>16</v>
      </c>
      <c r="J524" t="str">
        <f>+_xlfn.XLOOKUP(B524,INNOVACIÓN!A:A,INNOVACIÓN!B:B,"NO")</f>
        <v>NO</v>
      </c>
      <c r="K524">
        <v>20</v>
      </c>
    </row>
    <row r="525" spans="1:12" hidden="1" x14ac:dyDescent="0.35">
      <c r="A525">
        <v>100026305</v>
      </c>
      <c r="B525" s="8">
        <v>7503039738577</v>
      </c>
      <c r="C525" t="s">
        <v>566</v>
      </c>
      <c r="D525" s="4" t="s">
        <v>44</v>
      </c>
      <c r="E525" s="4" t="s">
        <v>33</v>
      </c>
      <c r="F525" s="4" t="s">
        <v>13</v>
      </c>
      <c r="G525" s="4" t="s">
        <v>14</v>
      </c>
      <c r="H525" s="3" t="s">
        <v>15</v>
      </c>
      <c r="I525" s="3" t="s">
        <v>109</v>
      </c>
      <c r="J525" t="str">
        <f>+_xlfn.XLOOKUP(B525,INNOVACIÓN!A:A,INNOVACIÓN!B:B,"NO")</f>
        <v>NO</v>
      </c>
      <c r="K525">
        <v>15</v>
      </c>
      <c r="L525" t="s">
        <v>676</v>
      </c>
    </row>
    <row r="526" spans="1:12" hidden="1" x14ac:dyDescent="0.35">
      <c r="A526">
        <v>100026380</v>
      </c>
      <c r="B526" s="8">
        <v>75086091</v>
      </c>
      <c r="C526" t="s">
        <v>567</v>
      </c>
      <c r="D526" s="3" t="s">
        <v>11</v>
      </c>
      <c r="E526" s="30" t="s">
        <v>161</v>
      </c>
      <c r="F526" s="4" t="s">
        <v>608</v>
      </c>
      <c r="G526" s="4" t="s">
        <v>71</v>
      </c>
      <c r="H526" s="3" t="s">
        <v>36</v>
      </c>
      <c r="I526" s="3" t="s">
        <v>16</v>
      </c>
      <c r="J526" t="str">
        <f>+_xlfn.XLOOKUP(B526,INNOVACIÓN!A:A,INNOVACIÓN!B:B,"NO")</f>
        <v>NO</v>
      </c>
      <c r="K526">
        <v>20</v>
      </c>
    </row>
    <row r="527" spans="1:12" hidden="1" x14ac:dyDescent="0.35">
      <c r="A527" s="3">
        <v>100011672</v>
      </c>
      <c r="B527" s="6">
        <v>75063801</v>
      </c>
      <c r="C527" s="3" t="s">
        <v>568</v>
      </c>
      <c r="D527" s="4" t="s">
        <v>11</v>
      </c>
      <c r="E527" s="30" t="s">
        <v>161</v>
      </c>
      <c r="F527" s="4" t="s">
        <v>608</v>
      </c>
      <c r="G527" s="4" t="s">
        <v>54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>
        <v>20</v>
      </c>
    </row>
    <row r="528" spans="1:12" hidden="1" x14ac:dyDescent="0.35">
      <c r="A528">
        <v>100026471</v>
      </c>
      <c r="B528" s="8">
        <v>7622100510727</v>
      </c>
      <c r="C528" t="s">
        <v>569</v>
      </c>
      <c r="D528" s="4" t="s">
        <v>11</v>
      </c>
      <c r="E528" s="4" t="s">
        <v>242</v>
      </c>
      <c r="F528" s="3" t="s">
        <v>70</v>
      </c>
      <c r="G528" s="3" t="s">
        <v>239</v>
      </c>
      <c r="H528" s="3" t="s">
        <v>70</v>
      </c>
      <c r="I528" s="3" t="s">
        <v>16</v>
      </c>
      <c r="J528" t="str">
        <f>+_xlfn.XLOOKUP(B528,INNOVACIÓN!A:A,INNOVACIÓN!B:B,"NO")</f>
        <v>NO</v>
      </c>
    </row>
    <row r="529" spans="1:11" hidden="1" x14ac:dyDescent="0.35">
      <c r="A529">
        <v>100026467</v>
      </c>
      <c r="B529" s="8">
        <v>7622100511076</v>
      </c>
      <c r="C529" t="s">
        <v>570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1" hidden="1" x14ac:dyDescent="0.35">
      <c r="A530">
        <v>100026473</v>
      </c>
      <c r="B530" s="8">
        <v>7622100510765</v>
      </c>
      <c r="C530" t="s">
        <v>571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1" hidden="1" x14ac:dyDescent="0.35">
      <c r="A531">
        <v>100026616</v>
      </c>
      <c r="B531" s="8">
        <v>7622100511038</v>
      </c>
      <c r="C531" t="s">
        <v>666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1" hidden="1" x14ac:dyDescent="0.35">
      <c r="A532">
        <v>100026687</v>
      </c>
      <c r="B532">
        <v>75084585</v>
      </c>
      <c r="C532" t="s">
        <v>591</v>
      </c>
      <c r="D532" s="4" t="s">
        <v>44</v>
      </c>
      <c r="E532" s="30" t="s">
        <v>33</v>
      </c>
      <c r="F532" s="4" t="s">
        <v>46</v>
      </c>
      <c r="H532" s="3" t="s">
        <v>36</v>
      </c>
      <c r="I532" s="3" t="s">
        <v>109</v>
      </c>
      <c r="J532" t="str">
        <f>+_xlfn.XLOOKUP(B532,INNOVACIÓN!A:A,INNOVACIÓN!B:B,"NO")</f>
        <v>NO</v>
      </c>
      <c r="K532">
        <v>20</v>
      </c>
    </row>
    <row r="533" spans="1:11" hidden="1" x14ac:dyDescent="0.35">
      <c r="A533">
        <v>100026688</v>
      </c>
      <c r="B533">
        <v>75084608</v>
      </c>
      <c r="C533" t="s">
        <v>592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NO</v>
      </c>
      <c r="K533">
        <v>20</v>
      </c>
    </row>
    <row r="534" spans="1:11" hidden="1" x14ac:dyDescent="0.35">
      <c r="A534">
        <v>100026689</v>
      </c>
      <c r="B534">
        <v>75084592</v>
      </c>
      <c r="C534" t="s">
        <v>593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NO</v>
      </c>
      <c r="K534">
        <v>20</v>
      </c>
    </row>
    <row r="535" spans="1:11" hidden="1" x14ac:dyDescent="0.35">
      <c r="A535">
        <v>100026690</v>
      </c>
      <c r="B535">
        <v>75084646</v>
      </c>
      <c r="C535" t="s">
        <v>594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NO</v>
      </c>
      <c r="K535">
        <v>20</v>
      </c>
    </row>
    <row r="536" spans="1:11" hidden="1" x14ac:dyDescent="0.35">
      <c r="A536">
        <v>100026691</v>
      </c>
      <c r="B536">
        <v>75084639</v>
      </c>
      <c r="C536" t="s">
        <v>595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NO</v>
      </c>
      <c r="K536">
        <v>20</v>
      </c>
    </row>
    <row r="537" spans="1:11" hidden="1" x14ac:dyDescent="0.35">
      <c r="A537">
        <v>100026692</v>
      </c>
      <c r="B537">
        <v>75084653</v>
      </c>
      <c r="C537" t="s">
        <v>596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NO</v>
      </c>
      <c r="K537">
        <v>20</v>
      </c>
    </row>
    <row r="538" spans="1:11" hidden="1" x14ac:dyDescent="0.35">
      <c r="A538">
        <v>100026676</v>
      </c>
      <c r="B538">
        <v>75087142</v>
      </c>
      <c r="C538" t="s">
        <v>597</v>
      </c>
      <c r="D538" s="4" t="s">
        <v>44</v>
      </c>
      <c r="E538" s="30" t="s">
        <v>33</v>
      </c>
      <c r="F538" s="4" t="s">
        <v>39</v>
      </c>
      <c r="H538" s="3" t="s">
        <v>36</v>
      </c>
      <c r="I538" s="3" t="s">
        <v>16</v>
      </c>
      <c r="J538" t="str">
        <f>+_xlfn.XLOOKUP(B538,INNOVACIÓN!A:A,INNOVACIÓN!B:B,"NO")</f>
        <v>SI</v>
      </c>
      <c r="K538">
        <v>20</v>
      </c>
    </row>
    <row r="539" spans="1:11" hidden="1" x14ac:dyDescent="0.35">
      <c r="A539">
        <v>100026677</v>
      </c>
      <c r="B539">
        <v>75087159</v>
      </c>
      <c r="C539" t="s">
        <v>598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>
        <v>20</v>
      </c>
    </row>
    <row r="540" spans="1:11" hidden="1" x14ac:dyDescent="0.35">
      <c r="A540">
        <v>100026678</v>
      </c>
      <c r="B540">
        <v>75087166</v>
      </c>
      <c r="C540" t="s">
        <v>599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>
        <v>20</v>
      </c>
    </row>
    <row r="541" spans="1:11" hidden="1" x14ac:dyDescent="0.35">
      <c r="A541">
        <v>100026679</v>
      </c>
      <c r="B541">
        <v>75087173</v>
      </c>
      <c r="C541" t="s">
        <v>600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>
        <v>20</v>
      </c>
    </row>
    <row r="542" spans="1:11" hidden="1" x14ac:dyDescent="0.35">
      <c r="A542">
        <v>100026680</v>
      </c>
      <c r="B542">
        <v>75087180</v>
      </c>
      <c r="C542" t="s">
        <v>601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>
        <v>20</v>
      </c>
    </row>
    <row r="543" spans="1:11" hidden="1" x14ac:dyDescent="0.35">
      <c r="A543">
        <v>100026684</v>
      </c>
      <c r="B543">
        <v>75084493</v>
      </c>
      <c r="C543" t="s">
        <v>602</v>
      </c>
      <c r="D543" s="4" t="s">
        <v>44</v>
      </c>
      <c r="E543" s="30" t="s">
        <v>67</v>
      </c>
      <c r="F543" s="4" t="s">
        <v>608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>
        <v>20</v>
      </c>
    </row>
    <row r="544" spans="1:11" hidden="1" x14ac:dyDescent="0.35">
      <c r="A544">
        <v>100026681</v>
      </c>
      <c r="B544">
        <v>75087197</v>
      </c>
      <c r="C544" t="s">
        <v>603</v>
      </c>
      <c r="D544" s="4" t="s">
        <v>44</v>
      </c>
      <c r="E544" s="30" t="s">
        <v>33</v>
      </c>
      <c r="F544" s="4" t="s">
        <v>609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>
        <v>25</v>
      </c>
    </row>
    <row r="545" spans="1:12" hidden="1" x14ac:dyDescent="0.35">
      <c r="A545">
        <v>100026682</v>
      </c>
      <c r="B545">
        <v>75087203</v>
      </c>
      <c r="C545" t="s">
        <v>604</v>
      </c>
      <c r="D545" s="4" t="s">
        <v>44</v>
      </c>
      <c r="E545" s="30" t="s">
        <v>33</v>
      </c>
      <c r="F545" s="30" t="s">
        <v>46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>
        <v>14</v>
      </c>
    </row>
    <row r="546" spans="1:12" hidden="1" x14ac:dyDescent="0.35">
      <c r="A546">
        <v>100026683</v>
      </c>
      <c r="B546">
        <v>75087210</v>
      </c>
      <c r="C546" t="s">
        <v>605</v>
      </c>
      <c r="D546" s="4" t="s">
        <v>44</v>
      </c>
      <c r="E546" s="30" t="s">
        <v>33</v>
      </c>
      <c r="F546" s="4" t="s">
        <v>609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>
        <v>25</v>
      </c>
    </row>
    <row r="547" spans="1:12" hidden="1" x14ac:dyDescent="0.35">
      <c r="A547">
        <v>100026685</v>
      </c>
      <c r="B547">
        <v>75086381</v>
      </c>
      <c r="C547" t="s">
        <v>606</v>
      </c>
      <c r="D547" s="4" t="s">
        <v>11</v>
      </c>
      <c r="E547" s="30" t="s">
        <v>161</v>
      </c>
      <c r="F547" s="4" t="s">
        <v>608</v>
      </c>
      <c r="H547" s="3" t="s">
        <v>36</v>
      </c>
      <c r="I547" s="3" t="s">
        <v>16</v>
      </c>
      <c r="J547" t="str">
        <f>+_xlfn.XLOOKUP(B547,INNOVACIÓN!A:A,INNOVACIÓN!B:B,"NO")</f>
        <v>NO</v>
      </c>
      <c r="K547">
        <v>20</v>
      </c>
    </row>
    <row r="548" spans="1:12" hidden="1" x14ac:dyDescent="0.35">
      <c r="A548">
        <v>100026614</v>
      </c>
      <c r="B548" s="8">
        <v>7501045300177</v>
      </c>
      <c r="C548" t="s">
        <v>607</v>
      </c>
      <c r="D548" s="4" t="s">
        <v>11</v>
      </c>
      <c r="E548" s="30" t="s">
        <v>161</v>
      </c>
      <c r="F548" s="4" t="s">
        <v>39</v>
      </c>
      <c r="H548" s="3" t="s">
        <v>36</v>
      </c>
      <c r="I548" s="3" t="s">
        <v>109</v>
      </c>
      <c r="J548" t="str">
        <f>+_xlfn.XLOOKUP(B548,INNOVACIÓN!A:A,INNOVACIÓN!B:B,"NO")</f>
        <v>NO</v>
      </c>
      <c r="K548">
        <v>20</v>
      </c>
    </row>
    <row r="549" spans="1:12" x14ac:dyDescent="0.35">
      <c r="A549">
        <v>100027095</v>
      </c>
      <c r="B549" s="28">
        <v>75087586</v>
      </c>
      <c r="C549" t="s">
        <v>665</v>
      </c>
      <c r="D549" s="4" t="s">
        <v>11</v>
      </c>
      <c r="E549" s="30" t="s">
        <v>161</v>
      </c>
      <c r="F549" s="4" t="s">
        <v>608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>
        <v>20</v>
      </c>
    </row>
    <row r="550" spans="1:12" hidden="1" x14ac:dyDescent="0.35">
      <c r="A550" s="38">
        <v>100027096</v>
      </c>
      <c r="B550" s="39">
        <v>7311250035586</v>
      </c>
      <c r="C550" s="40" t="s">
        <v>611</v>
      </c>
      <c r="D550" s="4" t="s">
        <v>11</v>
      </c>
      <c r="E550" s="30" t="s">
        <v>12</v>
      </c>
      <c r="F550" s="30" t="s">
        <v>13</v>
      </c>
      <c r="H550" s="3" t="s">
        <v>15</v>
      </c>
      <c r="I550" s="3" t="s">
        <v>16</v>
      </c>
      <c r="J550" t="str">
        <f>+_xlfn.XLOOKUP(B550,INNOVACIÓN!A:A,INNOVACIÓN!B:B,"NO")</f>
        <v>SI</v>
      </c>
      <c r="K550">
        <v>15</v>
      </c>
      <c r="L550" t="s">
        <v>675</v>
      </c>
    </row>
    <row r="551" spans="1:12" hidden="1" x14ac:dyDescent="0.35">
      <c r="A551" s="38">
        <v>100027097</v>
      </c>
      <c r="B551" s="39">
        <v>7311250035609</v>
      </c>
      <c r="C551" s="40" t="s">
        <v>612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>
        <v>15</v>
      </c>
      <c r="L551" t="s">
        <v>676</v>
      </c>
    </row>
    <row r="552" spans="1:12" hidden="1" x14ac:dyDescent="0.35">
      <c r="A552">
        <v>100027103</v>
      </c>
      <c r="B552" s="28">
        <v>7503039738805</v>
      </c>
      <c r="C552" s="26" t="s">
        <v>613</v>
      </c>
      <c r="D552" s="4" t="s">
        <v>44</v>
      </c>
      <c r="E552" s="30" t="s">
        <v>146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NO</v>
      </c>
      <c r="K552">
        <v>15</v>
      </c>
      <c r="L552" t="s">
        <v>677</v>
      </c>
    </row>
    <row r="553" spans="1:12" hidden="1" x14ac:dyDescent="0.35">
      <c r="A553">
        <v>100027104</v>
      </c>
      <c r="B553" s="28">
        <v>7503039738812</v>
      </c>
      <c r="C553" s="26" t="s">
        <v>614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NO</v>
      </c>
      <c r="K553">
        <v>15</v>
      </c>
      <c r="L553" t="s">
        <v>677</v>
      </c>
    </row>
    <row r="554" spans="1:12" hidden="1" x14ac:dyDescent="0.35">
      <c r="A554">
        <v>100027105</v>
      </c>
      <c r="B554" s="28">
        <v>7503039738829</v>
      </c>
      <c r="C554" s="26" t="s">
        <v>615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NO</v>
      </c>
      <c r="K554">
        <v>15</v>
      </c>
      <c r="L554" t="s">
        <v>677</v>
      </c>
    </row>
    <row r="555" spans="1:12" hidden="1" x14ac:dyDescent="0.35">
      <c r="A555">
        <v>100027106</v>
      </c>
      <c r="B555" s="28">
        <v>7503039738836</v>
      </c>
      <c r="C555" s="26" t="s">
        <v>616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NO</v>
      </c>
      <c r="K555">
        <v>15</v>
      </c>
      <c r="L555" t="s">
        <v>677</v>
      </c>
    </row>
    <row r="556" spans="1:12" hidden="1" x14ac:dyDescent="0.35">
      <c r="A556">
        <v>100027098</v>
      </c>
      <c r="B556" s="28">
        <v>7503039738843</v>
      </c>
      <c r="C556" t="s">
        <v>667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>
        <v>15</v>
      </c>
      <c r="L556" t="s">
        <v>675</v>
      </c>
    </row>
    <row r="557" spans="1:12" hidden="1" x14ac:dyDescent="0.35">
      <c r="A557">
        <v>100027099</v>
      </c>
      <c r="B557" s="28">
        <v>7503039738867</v>
      </c>
      <c r="C557" s="26" t="s">
        <v>618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>
        <v>15</v>
      </c>
      <c r="L557" t="s">
        <v>677</v>
      </c>
    </row>
    <row r="558" spans="1:12" hidden="1" x14ac:dyDescent="0.35">
      <c r="A558">
        <v>100027102</v>
      </c>
      <c r="B558" s="28">
        <v>7503039738874</v>
      </c>
      <c r="C558" t="s">
        <v>669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>
        <v>15</v>
      </c>
      <c r="L558" t="s">
        <v>677</v>
      </c>
    </row>
    <row r="559" spans="1:12" hidden="1" x14ac:dyDescent="0.35">
      <c r="A559">
        <v>100080354</v>
      </c>
      <c r="C559" t="s">
        <v>622</v>
      </c>
      <c r="D559" t="s">
        <v>87</v>
      </c>
      <c r="E559" t="s">
        <v>33</v>
      </c>
      <c r="F559" t="s">
        <v>87</v>
      </c>
      <c r="G559" s="4" t="s">
        <v>87</v>
      </c>
      <c r="H559" s="3" t="s">
        <v>87</v>
      </c>
      <c r="I559" s="3" t="s">
        <v>16</v>
      </c>
      <c r="J559" t="str">
        <f>+_xlfn.XLOOKUP(B559,INNOVACIÓN!A:A,INNOVACIÓN!B:B,"NO")</f>
        <v>NO</v>
      </c>
    </row>
    <row r="560" spans="1:12" hidden="1" x14ac:dyDescent="0.35">
      <c r="A560">
        <v>100080382</v>
      </c>
      <c r="C560" t="s">
        <v>623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1" hidden="1" x14ac:dyDescent="0.35">
      <c r="A561">
        <v>100013782</v>
      </c>
      <c r="C561" t="s">
        <v>624</v>
      </c>
      <c r="D561" t="s">
        <v>11</v>
      </c>
      <c r="E561" t="s">
        <v>33</v>
      </c>
      <c r="F561" t="s">
        <v>41</v>
      </c>
      <c r="H561" s="3" t="s">
        <v>36</v>
      </c>
      <c r="I561" s="3" t="s">
        <v>109</v>
      </c>
      <c r="J561" t="str">
        <f>+_xlfn.XLOOKUP(B561,INNOVACIÓN!A:A,INNOVACIÓN!B:B,"NO")</f>
        <v>NO</v>
      </c>
      <c r="K561">
        <v>20</v>
      </c>
    </row>
    <row r="562" spans="1:11" hidden="1" x14ac:dyDescent="0.35">
      <c r="A562">
        <v>100024718</v>
      </c>
      <c r="C562" t="s">
        <v>579</v>
      </c>
      <c r="D562" t="s">
        <v>44</v>
      </c>
      <c r="E562" t="s">
        <v>33</v>
      </c>
      <c r="F562" s="3" t="s">
        <v>252</v>
      </c>
      <c r="H562" s="3" t="s">
        <v>252</v>
      </c>
      <c r="I562" s="3" t="s">
        <v>247</v>
      </c>
      <c r="J562" t="str">
        <f>+_xlfn.XLOOKUP(B562,INNOVACIÓN!A:A,INNOVACIÓN!B:B,"NO")</f>
        <v>NO</v>
      </c>
    </row>
    <row r="563" spans="1:11" hidden="1" x14ac:dyDescent="0.35">
      <c r="A563">
        <v>101000060</v>
      </c>
      <c r="C563" t="s">
        <v>625</v>
      </c>
      <c r="D563" t="s">
        <v>11</v>
      </c>
      <c r="E563" t="s">
        <v>33</v>
      </c>
      <c r="F563" t="s">
        <v>46</v>
      </c>
      <c r="H563" s="3" t="s">
        <v>36</v>
      </c>
      <c r="I563" s="3" t="s">
        <v>109</v>
      </c>
      <c r="J563" t="str">
        <f>+_xlfn.XLOOKUP(B563,INNOVACIÓN!A:A,INNOVACIÓN!B:B,"NO")</f>
        <v>NO</v>
      </c>
      <c r="K563">
        <v>14</v>
      </c>
    </row>
    <row r="564" spans="1:11" hidden="1" x14ac:dyDescent="0.35">
      <c r="A564">
        <v>100017238</v>
      </c>
      <c r="C564" t="s">
        <v>626</v>
      </c>
      <c r="D564" t="s">
        <v>628</v>
      </c>
      <c r="E564" t="s">
        <v>33</v>
      </c>
      <c r="F564" t="s">
        <v>39</v>
      </c>
      <c r="H564" s="3" t="s">
        <v>36</v>
      </c>
      <c r="I564" s="3" t="s">
        <v>16</v>
      </c>
      <c r="J564" t="str">
        <f>+_xlfn.XLOOKUP(B564,INNOVACIÓN!A:A,INNOVACIÓN!B:B,"NO")</f>
        <v>NO</v>
      </c>
      <c r="K564">
        <v>20</v>
      </c>
    </row>
    <row r="565" spans="1:11" hidden="1" x14ac:dyDescent="0.35">
      <c r="A565">
        <v>100024719</v>
      </c>
      <c r="B565" s="8">
        <v>7707200945799</v>
      </c>
      <c r="C565" t="s">
        <v>627</v>
      </c>
      <c r="D565" t="s">
        <v>44</v>
      </c>
      <c r="E565" t="s">
        <v>33</v>
      </c>
      <c r="F565" t="s">
        <v>252</v>
      </c>
      <c r="H565" t="s">
        <v>252</v>
      </c>
      <c r="I565" s="3" t="s">
        <v>247</v>
      </c>
      <c r="J565" t="str">
        <f>+_xlfn.XLOOKUP(B565,INNOVACIÓN!A:A,INNOVACIÓN!B:B,"NO")</f>
        <v>NO</v>
      </c>
    </row>
    <row r="566" spans="1:11" hidden="1" x14ac:dyDescent="0.35">
      <c r="A566">
        <v>100080894</v>
      </c>
      <c r="B566" s="8">
        <v>75043209</v>
      </c>
      <c r="C566" t="s">
        <v>629</v>
      </c>
      <c r="D566" t="s">
        <v>32</v>
      </c>
      <c r="E566" t="s">
        <v>33</v>
      </c>
      <c r="F566" t="s">
        <v>46</v>
      </c>
      <c r="H566" t="s">
        <v>36</v>
      </c>
      <c r="I566" s="3" t="s">
        <v>247</v>
      </c>
      <c r="J566" t="str">
        <f>+_xlfn.XLOOKUP(B566,INNOVACIÓN!A:A,INNOVACIÓN!B:B,"NO")</f>
        <v>NO</v>
      </c>
      <c r="K566">
        <v>20</v>
      </c>
    </row>
    <row r="567" spans="1:11" hidden="1" x14ac:dyDescent="0.35">
      <c r="A567">
        <v>100011675</v>
      </c>
      <c r="B567" s="8">
        <v>75063702</v>
      </c>
      <c r="C567" t="s">
        <v>630</v>
      </c>
      <c r="D567" t="s">
        <v>11</v>
      </c>
      <c r="E567" t="s">
        <v>33</v>
      </c>
      <c r="F567" t="s">
        <v>41</v>
      </c>
      <c r="H567" t="s">
        <v>36</v>
      </c>
      <c r="I567" s="3" t="s">
        <v>247</v>
      </c>
      <c r="J567" t="str">
        <f>+_xlfn.XLOOKUP(B567,INNOVACIÓN!A:A,INNOVACIÓN!B:B,"NO")</f>
        <v>NO</v>
      </c>
      <c r="K567">
        <v>14</v>
      </c>
    </row>
    <row r="568" spans="1:11" hidden="1" x14ac:dyDescent="0.35">
      <c r="A568">
        <v>100009363</v>
      </c>
      <c r="B568" s="8">
        <v>7503023648035</v>
      </c>
      <c r="C568" t="s">
        <v>631</v>
      </c>
      <c r="D568" t="s">
        <v>87</v>
      </c>
      <c r="E568" t="s">
        <v>33</v>
      </c>
      <c r="F568" t="s">
        <v>87</v>
      </c>
      <c r="G568" t="s">
        <v>33</v>
      </c>
      <c r="H568" t="s">
        <v>87</v>
      </c>
      <c r="I568" s="3" t="s">
        <v>247</v>
      </c>
      <c r="J568" t="str">
        <f>+_xlfn.XLOOKUP(B568,INNOVACIÓN!A:A,INNOVACIÓN!B:B,"NO")</f>
        <v>NO</v>
      </c>
    </row>
    <row r="569" spans="1:11" hidden="1" x14ac:dyDescent="0.35">
      <c r="A569">
        <v>100009365</v>
      </c>
      <c r="B569" s="8">
        <v>7503023648028</v>
      </c>
      <c r="C569" t="s">
        <v>632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1" hidden="1" x14ac:dyDescent="0.35">
      <c r="A570">
        <v>100080406</v>
      </c>
      <c r="B570" s="8">
        <v>7501609500968</v>
      </c>
      <c r="C570" t="s">
        <v>633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1" hidden="1" x14ac:dyDescent="0.35">
      <c r="A571">
        <v>100011025</v>
      </c>
      <c r="B571" s="8">
        <v>10000</v>
      </c>
      <c r="C571" t="s">
        <v>182</v>
      </c>
      <c r="D571" t="s">
        <v>11</v>
      </c>
      <c r="E571" t="s">
        <v>33</v>
      </c>
      <c r="F571" t="s">
        <v>46</v>
      </c>
      <c r="H571" t="s">
        <v>36</v>
      </c>
      <c r="I571" s="3" t="s">
        <v>247</v>
      </c>
      <c r="J571" t="str">
        <f>+_xlfn.XLOOKUP(B571,INNOVACIÓN!A:A,INNOVACIÓN!B:B,"NO")</f>
        <v>NO</v>
      </c>
      <c r="K571">
        <v>20</v>
      </c>
    </row>
    <row r="572" spans="1:11" hidden="1" x14ac:dyDescent="0.35">
      <c r="A572">
        <v>100013300</v>
      </c>
      <c r="B572" s="8">
        <v>75066901</v>
      </c>
      <c r="C572" t="s">
        <v>634</v>
      </c>
      <c r="D572" t="s">
        <v>44</v>
      </c>
      <c r="E572" t="s">
        <v>33</v>
      </c>
      <c r="F572" t="s">
        <v>608</v>
      </c>
      <c r="H572" t="s">
        <v>36</v>
      </c>
      <c r="I572" s="3" t="s">
        <v>247</v>
      </c>
      <c r="J572" t="str">
        <f>+_xlfn.XLOOKUP(B572,INNOVACIÓN!A:A,INNOVACIÓN!B:B,"NO")</f>
        <v>NO</v>
      </c>
      <c r="K572">
        <v>20</v>
      </c>
    </row>
    <row r="573" spans="1:11" hidden="1" x14ac:dyDescent="0.35">
      <c r="A573">
        <v>100016260</v>
      </c>
      <c r="B573" s="8">
        <v>25900000288</v>
      </c>
      <c r="C573" t="s">
        <v>635</v>
      </c>
      <c r="D573" t="s">
        <v>87</v>
      </c>
      <c r="E573" t="s">
        <v>33</v>
      </c>
      <c r="F573" t="s">
        <v>87</v>
      </c>
      <c r="G573" t="s">
        <v>33</v>
      </c>
      <c r="H573" t="s">
        <v>87</v>
      </c>
      <c r="I573" s="3" t="s">
        <v>247</v>
      </c>
      <c r="J573" t="str">
        <f>+_xlfn.XLOOKUP(B573,INNOVACIÓN!A:A,INNOVACIÓN!B:B,"NO")</f>
        <v>NO</v>
      </c>
    </row>
    <row r="574" spans="1:11" hidden="1" x14ac:dyDescent="0.35">
      <c r="A574">
        <v>100017183</v>
      </c>
      <c r="B574" s="8">
        <v>42230748</v>
      </c>
      <c r="C574" t="s">
        <v>586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16</v>
      </c>
      <c r="J574" t="str">
        <f>+_xlfn.XLOOKUP(B574,INNOVACIÓN!A:A,INNOVACIÓN!B:B,"NO")</f>
        <v>NO</v>
      </c>
    </row>
    <row r="575" spans="1:11" hidden="1" x14ac:dyDescent="0.35">
      <c r="A575">
        <v>100016041</v>
      </c>
      <c r="B575" s="8">
        <v>25900213053</v>
      </c>
      <c r="C575" t="s">
        <v>584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247</v>
      </c>
      <c r="J575" t="str">
        <f>+_xlfn.XLOOKUP(B575,INNOVACIÓN!A:A,INNOVACIÓN!B:B,"NO")</f>
        <v>NO</v>
      </c>
    </row>
    <row r="576" spans="1:11" hidden="1" x14ac:dyDescent="0.35">
      <c r="A576">
        <v>100080949</v>
      </c>
      <c r="B576" s="8">
        <v>7503006684265</v>
      </c>
      <c r="C576" t="s">
        <v>636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2" hidden="1" x14ac:dyDescent="0.35">
      <c r="A577">
        <v>100015384</v>
      </c>
      <c r="B577" s="8">
        <v>85000100</v>
      </c>
      <c r="C577" t="s">
        <v>637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2" hidden="1" x14ac:dyDescent="0.35">
      <c r="A578">
        <v>100024717</v>
      </c>
      <c r="B578" s="8">
        <v>7707200947854</v>
      </c>
      <c r="C578" t="s">
        <v>638</v>
      </c>
      <c r="D578" t="s">
        <v>44</v>
      </c>
      <c r="E578" t="s">
        <v>33</v>
      </c>
      <c r="F578" t="s">
        <v>252</v>
      </c>
      <c r="H578" t="s">
        <v>252</v>
      </c>
      <c r="I578" s="3" t="s">
        <v>247</v>
      </c>
      <c r="J578" t="str">
        <f>+_xlfn.XLOOKUP(B578,INNOVACIÓN!A:A,INNOVACIÓN!B:B,"NO")</f>
        <v>NO</v>
      </c>
    </row>
    <row r="579" spans="1:12" hidden="1" x14ac:dyDescent="0.35">
      <c r="A579">
        <v>100024723</v>
      </c>
      <c r="B579" s="8">
        <v>7707200947311</v>
      </c>
      <c r="C579" t="s">
        <v>639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2" hidden="1" x14ac:dyDescent="0.35">
      <c r="A580">
        <v>100024893</v>
      </c>
      <c r="B580" s="8">
        <v>7707200943825</v>
      </c>
      <c r="C580" t="s">
        <v>640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2" hidden="1" x14ac:dyDescent="0.35">
      <c r="A581">
        <v>100027108</v>
      </c>
      <c r="B581" s="8">
        <v>7502274777471</v>
      </c>
      <c r="C581" t="s">
        <v>641</v>
      </c>
      <c r="D581" t="s">
        <v>642</v>
      </c>
      <c r="E581" t="s">
        <v>643</v>
      </c>
      <c r="F581" t="s">
        <v>13</v>
      </c>
      <c r="H581" s="3" t="s">
        <v>15</v>
      </c>
      <c r="I581" s="3" t="s">
        <v>16</v>
      </c>
      <c r="J581" t="str">
        <f>+_xlfn.XLOOKUP(B581,INNOVACIÓN!A:A,INNOVACIÓN!B:B,"NO")</f>
        <v>SI</v>
      </c>
      <c r="K581">
        <v>10</v>
      </c>
      <c r="L581" t="s">
        <v>674</v>
      </c>
    </row>
    <row r="582" spans="1:12" hidden="1" x14ac:dyDescent="0.35">
      <c r="A582">
        <v>100027109</v>
      </c>
      <c r="B582" s="8">
        <v>7502274777501</v>
      </c>
      <c r="C582" t="s">
        <v>644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>
        <v>10</v>
      </c>
      <c r="L582" t="s">
        <v>675</v>
      </c>
    </row>
    <row r="583" spans="1:12" hidden="1" x14ac:dyDescent="0.35">
      <c r="A583">
        <v>100027110</v>
      </c>
      <c r="B583" s="8">
        <v>7502274777488</v>
      </c>
      <c r="C583" t="s">
        <v>645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>
        <v>10</v>
      </c>
      <c r="L583" t="s">
        <v>674</v>
      </c>
    </row>
    <row r="584" spans="1:12" hidden="1" x14ac:dyDescent="0.35">
      <c r="A584">
        <v>100027111</v>
      </c>
      <c r="B584" s="8">
        <v>7502274777464</v>
      </c>
      <c r="C584" t="s">
        <v>646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>
        <v>10</v>
      </c>
      <c r="L584" t="s">
        <v>674</v>
      </c>
    </row>
    <row r="585" spans="1:12" hidden="1" x14ac:dyDescent="0.35">
      <c r="A585" s="8">
        <v>100027324</v>
      </c>
      <c r="B585" s="8">
        <v>75086145</v>
      </c>
      <c r="C585" t="s">
        <v>660</v>
      </c>
      <c r="D585" s="4" t="s">
        <v>44</v>
      </c>
      <c r="E585" s="30" t="s">
        <v>67</v>
      </c>
      <c r="F585" s="4" t="s">
        <v>608</v>
      </c>
      <c r="G585" s="4" t="s">
        <v>71</v>
      </c>
      <c r="H585" s="3" t="s">
        <v>36</v>
      </c>
      <c r="I585" s="3" t="s">
        <v>16</v>
      </c>
      <c r="J585" t="str">
        <f>+_xlfn.XLOOKUP(B585,INNOVACIÓN!A:A,INNOVACIÓN!B:B,"NO")</f>
        <v>SI</v>
      </c>
      <c r="K585">
        <v>14</v>
      </c>
    </row>
    <row r="586" spans="1:12" hidden="1" x14ac:dyDescent="0.35">
      <c r="A586">
        <v>100027323</v>
      </c>
      <c r="B586" s="8">
        <v>75086176</v>
      </c>
      <c r="C586" t="s">
        <v>668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tr">
        <f>+_xlfn.XLOOKUP(B586,INNOVACIÓN!A:A,INNOVACIÓN!B:B,"NO")</f>
        <v>SI</v>
      </c>
      <c r="K586">
        <v>14</v>
      </c>
    </row>
    <row r="587" spans="1:12" hidden="1" x14ac:dyDescent="0.35">
      <c r="A587" s="8">
        <v>100027464</v>
      </c>
      <c r="B587" s="8">
        <v>7503039738904</v>
      </c>
      <c r="C587" s="8" t="s">
        <v>670</v>
      </c>
      <c r="D587" t="s">
        <v>44</v>
      </c>
      <c r="E587" t="s">
        <v>146</v>
      </c>
      <c r="F587" t="s">
        <v>13</v>
      </c>
      <c r="H587" s="3" t="s">
        <v>15</v>
      </c>
      <c r="I587" s="3" t="s">
        <v>16</v>
      </c>
      <c r="J587" t="str">
        <f>+_xlfn.XLOOKUP(B587,INNOVACIÓN!A:A,INNOVACIÓN!B:B,"NO")</f>
        <v>SI</v>
      </c>
      <c r="K587">
        <v>15</v>
      </c>
      <c r="L587" t="s">
        <v>677</v>
      </c>
    </row>
    <row r="588" spans="1:12" hidden="1" x14ac:dyDescent="0.35">
      <c r="A588" s="8">
        <v>100027462</v>
      </c>
      <c r="B588" s="8">
        <v>7503039738911</v>
      </c>
      <c r="C588" s="8" t="s">
        <v>671</v>
      </c>
      <c r="D588" t="s">
        <v>44</v>
      </c>
      <c r="E588" t="s">
        <v>146</v>
      </c>
      <c r="F588" t="s">
        <v>13</v>
      </c>
      <c r="H588" s="3" t="s">
        <v>15</v>
      </c>
      <c r="I588" s="3" t="s">
        <v>16</v>
      </c>
      <c r="J588" t="str">
        <f>+_xlfn.XLOOKUP(B588,INNOVACIÓN!A:A,INNOVACIÓN!B:B,"NO")</f>
        <v>SI</v>
      </c>
      <c r="K588">
        <v>15</v>
      </c>
      <c r="L588" t="s">
        <v>677</v>
      </c>
    </row>
    <row r="589" spans="1:12" hidden="1" x14ac:dyDescent="0.35">
      <c r="A589" s="8">
        <v>100009965</v>
      </c>
      <c r="B589" s="8">
        <v>9872</v>
      </c>
      <c r="C589" t="s">
        <v>700</v>
      </c>
      <c r="D589" t="s">
        <v>44</v>
      </c>
      <c r="E589" t="s">
        <v>67</v>
      </c>
      <c r="F589" t="s">
        <v>36</v>
      </c>
      <c r="H589" s="3" t="s">
        <v>36</v>
      </c>
      <c r="I589" s="3" t="s">
        <v>247</v>
      </c>
      <c r="J589" t="str">
        <f>+_xlfn.XLOOKUP(B589,INNOVACIÓN!A:A,INNOVACIÓN!B:B,"NO")</f>
        <v>NO</v>
      </c>
    </row>
    <row r="590" spans="1:12" hidden="1" x14ac:dyDescent="0.35">
      <c r="A590" s="8">
        <v>100027603</v>
      </c>
      <c r="B590" s="8">
        <v>7503039738966</v>
      </c>
      <c r="C590" t="s">
        <v>680</v>
      </c>
      <c r="D590" t="s">
        <v>44</v>
      </c>
      <c r="E590" t="s">
        <v>146</v>
      </c>
      <c r="F590" t="s">
        <v>13</v>
      </c>
      <c r="H590" s="3" t="s">
        <v>15</v>
      </c>
      <c r="I590" s="3" t="s">
        <v>16</v>
      </c>
      <c r="J590" s="3" t="s">
        <v>588</v>
      </c>
    </row>
  </sheetData>
  <autoFilter ref="A1:L590" xr:uid="{AB23CCA5-4D92-457D-9CBF-97F54250C4A8}">
    <filterColumn colId="2">
      <filters>
        <filter val="MARLBORO CRAFTED POLAR MIX 100 BOX 20  CAJETILLA PZ"/>
      </filters>
    </filterColumn>
  </autoFilter>
  <conditionalFormatting sqref="A2:A584">
    <cfRule type="duplicateValues" dxfId="12" priority="220"/>
  </conditionalFormatting>
  <conditionalFormatting sqref="I2:I590 J590">
    <cfRule type="containsText" dxfId="11" priority="1" operator="containsText" text="Descontinuado (Con Stock)">
      <formula>NOT(ISERROR(SEARCH("Descontinuado (Con Stock)",I2)))</formula>
    </cfRule>
    <cfRule type="containsText" dxfId="10" priority="2" operator="containsText" text="Inactivo">
      <formula>NOT(ISERROR(SEARCH("Inactivo",I2)))</formula>
    </cfRule>
    <cfRule type="containsText" dxfId="9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589 I2:I586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FC955-CEFF-4458-9EDE-4ECBCFC108A6}">
  <dimension ref="A1:A2"/>
  <sheetViews>
    <sheetView workbookViewId="0">
      <selection activeCell="A2" sqref="A2"/>
    </sheetView>
  </sheetViews>
  <sheetFormatPr baseColWidth="10" defaultRowHeight="14.5" x14ac:dyDescent="0.35"/>
  <sheetData>
    <row r="1" spans="1:1" x14ac:dyDescent="0.35">
      <c r="A1" s="49">
        <v>75001476</v>
      </c>
    </row>
    <row r="2" spans="1:1" x14ac:dyDescent="0.35">
      <c r="A2" s="49">
        <v>75022266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6FBB-ED11-41C0-A6F6-FFE4FABC37FF}">
  <sheetPr filterMode="1"/>
  <dimension ref="A1:E370"/>
  <sheetViews>
    <sheetView zoomScale="80" zoomScaleNormal="80" workbookViewId="0">
      <selection activeCell="D306" sqref="D306:D360"/>
    </sheetView>
  </sheetViews>
  <sheetFormatPr baseColWidth="10" defaultRowHeight="14.5" x14ac:dyDescent="0.35"/>
  <cols>
    <col min="1" max="2" width="15" bestFit="1" customWidth="1"/>
    <col min="3" max="3" width="49.26953125" bestFit="1" customWidth="1"/>
    <col min="4" max="4" width="12.54296875" bestFit="1" customWidth="1"/>
  </cols>
  <sheetData>
    <row r="1" spans="1:5" ht="48" x14ac:dyDescent="0.35">
      <c r="A1" s="44" t="s">
        <v>572</v>
      </c>
      <c r="B1" s="44" t="s">
        <v>1</v>
      </c>
      <c r="C1" s="44" t="s">
        <v>2</v>
      </c>
      <c r="D1" s="44" t="s">
        <v>686</v>
      </c>
    </row>
    <row r="2" spans="1:5" ht="16" hidden="1" x14ac:dyDescent="0.35">
      <c r="A2" s="45">
        <v>100021813</v>
      </c>
      <c r="B2" s="46">
        <v>7503023959506</v>
      </c>
      <c r="C2" s="45" t="s">
        <v>219</v>
      </c>
      <c r="D2" s="47" t="s">
        <v>687</v>
      </c>
      <c r="E2" t="s">
        <v>588</v>
      </c>
    </row>
    <row r="3" spans="1:5" ht="16" hidden="1" x14ac:dyDescent="0.35">
      <c r="A3" s="45">
        <v>100021813</v>
      </c>
      <c r="B3" s="46">
        <v>7503023959506</v>
      </c>
      <c r="C3" s="45" t="s">
        <v>219</v>
      </c>
      <c r="D3" s="47" t="s">
        <v>688</v>
      </c>
      <c r="E3" t="s">
        <v>588</v>
      </c>
    </row>
    <row r="4" spans="1:5" ht="16" hidden="1" x14ac:dyDescent="0.35">
      <c r="A4" s="45">
        <v>100021813</v>
      </c>
      <c r="B4" s="46">
        <v>7503023959506</v>
      </c>
      <c r="C4" s="45" t="s">
        <v>219</v>
      </c>
      <c r="D4" s="47" t="s">
        <v>656</v>
      </c>
      <c r="E4" t="s">
        <v>588</v>
      </c>
    </row>
    <row r="5" spans="1:5" ht="16" hidden="1" x14ac:dyDescent="0.35">
      <c r="A5" s="45">
        <v>100021813</v>
      </c>
      <c r="B5" s="46">
        <v>7503023959506</v>
      </c>
      <c r="C5" s="45" t="s">
        <v>219</v>
      </c>
      <c r="D5" s="47" t="s">
        <v>689</v>
      </c>
      <c r="E5" t="s">
        <v>588</v>
      </c>
    </row>
    <row r="6" spans="1:5" ht="16" hidden="1" x14ac:dyDescent="0.35">
      <c r="A6" s="45">
        <v>100021813</v>
      </c>
      <c r="B6" s="46">
        <v>7503023959506</v>
      </c>
      <c r="C6" s="45" t="s">
        <v>219</v>
      </c>
      <c r="D6" s="47" t="s">
        <v>690</v>
      </c>
      <c r="E6" t="s">
        <v>588</v>
      </c>
    </row>
    <row r="7" spans="1:5" ht="16" hidden="1" x14ac:dyDescent="0.35">
      <c r="A7" s="45">
        <v>100021813</v>
      </c>
      <c r="B7" s="46">
        <v>7503023959506</v>
      </c>
      <c r="C7" s="45" t="s">
        <v>219</v>
      </c>
      <c r="D7" s="47" t="s">
        <v>691</v>
      </c>
      <c r="E7" t="s">
        <v>588</v>
      </c>
    </row>
    <row r="8" spans="1:5" ht="16" hidden="1" x14ac:dyDescent="0.35">
      <c r="A8" s="45">
        <v>100021813</v>
      </c>
      <c r="B8" s="46">
        <v>7503023959506</v>
      </c>
      <c r="C8" s="45" t="s">
        <v>219</v>
      </c>
      <c r="D8" s="47" t="s">
        <v>692</v>
      </c>
      <c r="E8" t="s">
        <v>588</v>
      </c>
    </row>
    <row r="9" spans="1:5" ht="16" hidden="1" x14ac:dyDescent="0.35">
      <c r="A9" s="45">
        <v>100021813</v>
      </c>
      <c r="B9" s="46">
        <v>7503023959506</v>
      </c>
      <c r="C9" s="45" t="s">
        <v>219</v>
      </c>
      <c r="D9" s="47" t="s">
        <v>693</v>
      </c>
      <c r="E9" t="s">
        <v>588</v>
      </c>
    </row>
    <row r="10" spans="1:5" ht="16" hidden="1" x14ac:dyDescent="0.35">
      <c r="A10" s="45">
        <v>100021813</v>
      </c>
      <c r="B10" s="46">
        <v>7503023959506</v>
      </c>
      <c r="C10" s="45" t="s">
        <v>219</v>
      </c>
      <c r="D10" s="47" t="s">
        <v>694</v>
      </c>
      <c r="E10" t="s">
        <v>588</v>
      </c>
    </row>
    <row r="11" spans="1:5" ht="16" hidden="1" x14ac:dyDescent="0.35">
      <c r="A11" s="45">
        <v>100021813</v>
      </c>
      <c r="B11" s="46">
        <v>7503023959506</v>
      </c>
      <c r="C11" s="45" t="s">
        <v>219</v>
      </c>
      <c r="D11" s="47" t="s">
        <v>695</v>
      </c>
      <c r="E11" t="s">
        <v>588</v>
      </c>
    </row>
    <row r="12" spans="1:5" ht="16" hidden="1" x14ac:dyDescent="0.35">
      <c r="A12" s="45">
        <v>100021813</v>
      </c>
      <c r="B12" s="46">
        <v>7503023959506</v>
      </c>
      <c r="C12" s="45" t="s">
        <v>219</v>
      </c>
      <c r="D12" s="47" t="s">
        <v>696</v>
      </c>
      <c r="E12" t="s">
        <v>588</v>
      </c>
    </row>
    <row r="13" spans="1:5" ht="16" hidden="1" x14ac:dyDescent="0.35">
      <c r="A13" s="45">
        <v>100021813</v>
      </c>
      <c r="B13" s="46">
        <v>7503023959506</v>
      </c>
      <c r="C13" s="45" t="s">
        <v>219</v>
      </c>
      <c r="D13" s="47" t="s">
        <v>697</v>
      </c>
      <c r="E13" t="s">
        <v>588</v>
      </c>
    </row>
    <row r="14" spans="1:5" ht="16" hidden="1" x14ac:dyDescent="0.35">
      <c r="A14" s="45">
        <v>100021813</v>
      </c>
      <c r="B14" s="46">
        <v>7503023959506</v>
      </c>
      <c r="C14" s="45" t="s">
        <v>219</v>
      </c>
      <c r="D14" s="47" t="s">
        <v>698</v>
      </c>
      <c r="E14" t="s">
        <v>588</v>
      </c>
    </row>
    <row r="15" spans="1:5" ht="16" hidden="1" x14ac:dyDescent="0.35">
      <c r="A15" s="45">
        <v>100021813</v>
      </c>
      <c r="B15" s="46">
        <v>7503023959506</v>
      </c>
      <c r="C15" s="45" t="s">
        <v>219</v>
      </c>
      <c r="D15" s="47" t="s">
        <v>657</v>
      </c>
      <c r="E15" t="s">
        <v>588</v>
      </c>
    </row>
    <row r="16" spans="1:5" ht="16" hidden="1" x14ac:dyDescent="0.35">
      <c r="A16" s="45">
        <v>100021813</v>
      </c>
      <c r="B16" s="46">
        <v>7503023959506</v>
      </c>
      <c r="C16" s="45" t="s">
        <v>219</v>
      </c>
      <c r="D16" s="47" t="s">
        <v>699</v>
      </c>
      <c r="E16" t="s">
        <v>588</v>
      </c>
    </row>
    <row r="17" spans="1:5" ht="16" hidden="1" x14ac:dyDescent="0.35">
      <c r="A17" s="45">
        <v>100021814</v>
      </c>
      <c r="B17" s="46">
        <v>7503023959490</v>
      </c>
      <c r="C17" s="45" t="s">
        <v>217</v>
      </c>
      <c r="D17" s="47" t="s">
        <v>687</v>
      </c>
      <c r="E17" t="s">
        <v>588</v>
      </c>
    </row>
    <row r="18" spans="1:5" ht="16" hidden="1" x14ac:dyDescent="0.35">
      <c r="A18" s="45">
        <v>100021814</v>
      </c>
      <c r="B18" s="46">
        <v>7503023959490</v>
      </c>
      <c r="C18" s="45" t="s">
        <v>217</v>
      </c>
      <c r="D18" s="47" t="s">
        <v>688</v>
      </c>
      <c r="E18" t="s">
        <v>588</v>
      </c>
    </row>
    <row r="19" spans="1:5" ht="16" hidden="1" x14ac:dyDescent="0.35">
      <c r="A19" s="45">
        <v>100021814</v>
      </c>
      <c r="B19" s="46">
        <v>7503023959490</v>
      </c>
      <c r="C19" s="45" t="s">
        <v>217</v>
      </c>
      <c r="D19" s="47" t="s">
        <v>656</v>
      </c>
      <c r="E19" t="s">
        <v>588</v>
      </c>
    </row>
    <row r="20" spans="1:5" ht="16" hidden="1" x14ac:dyDescent="0.35">
      <c r="A20" s="45">
        <v>100021814</v>
      </c>
      <c r="B20" s="46">
        <v>7503023959490</v>
      </c>
      <c r="C20" s="45" t="s">
        <v>217</v>
      </c>
      <c r="D20" s="47" t="s">
        <v>689</v>
      </c>
      <c r="E20" t="s">
        <v>588</v>
      </c>
    </row>
    <row r="21" spans="1:5" ht="16" hidden="1" x14ac:dyDescent="0.35">
      <c r="A21" s="45">
        <v>100021814</v>
      </c>
      <c r="B21" s="46">
        <v>7503023959490</v>
      </c>
      <c r="C21" s="45" t="s">
        <v>217</v>
      </c>
      <c r="D21" s="47" t="s">
        <v>690</v>
      </c>
      <c r="E21" t="s">
        <v>588</v>
      </c>
    </row>
    <row r="22" spans="1:5" ht="16" hidden="1" x14ac:dyDescent="0.35">
      <c r="A22" s="45">
        <v>100021814</v>
      </c>
      <c r="B22" s="46">
        <v>7503023959490</v>
      </c>
      <c r="C22" s="45" t="s">
        <v>217</v>
      </c>
      <c r="D22" s="47" t="s">
        <v>691</v>
      </c>
      <c r="E22" t="s">
        <v>588</v>
      </c>
    </row>
    <row r="23" spans="1:5" ht="16" hidden="1" x14ac:dyDescent="0.35">
      <c r="A23" s="45">
        <v>100021814</v>
      </c>
      <c r="B23" s="46">
        <v>7503023959490</v>
      </c>
      <c r="C23" s="45" t="s">
        <v>217</v>
      </c>
      <c r="D23" s="47" t="s">
        <v>692</v>
      </c>
      <c r="E23" t="s">
        <v>588</v>
      </c>
    </row>
    <row r="24" spans="1:5" ht="16" hidden="1" x14ac:dyDescent="0.35">
      <c r="A24" s="45">
        <v>100021814</v>
      </c>
      <c r="B24" s="46">
        <v>7503023959490</v>
      </c>
      <c r="C24" s="45" t="s">
        <v>217</v>
      </c>
      <c r="D24" s="47" t="s">
        <v>693</v>
      </c>
      <c r="E24" t="s">
        <v>588</v>
      </c>
    </row>
    <row r="25" spans="1:5" ht="16" hidden="1" x14ac:dyDescent="0.35">
      <c r="A25" s="45">
        <v>100021814</v>
      </c>
      <c r="B25" s="46">
        <v>7503023959490</v>
      </c>
      <c r="C25" s="45" t="s">
        <v>217</v>
      </c>
      <c r="D25" s="47" t="s">
        <v>694</v>
      </c>
      <c r="E25" t="s">
        <v>588</v>
      </c>
    </row>
    <row r="26" spans="1:5" ht="16" hidden="1" x14ac:dyDescent="0.35">
      <c r="A26" s="45">
        <v>100021814</v>
      </c>
      <c r="B26" s="46">
        <v>7503023959490</v>
      </c>
      <c r="C26" s="45" t="s">
        <v>217</v>
      </c>
      <c r="D26" s="47" t="s">
        <v>695</v>
      </c>
      <c r="E26" t="s">
        <v>588</v>
      </c>
    </row>
    <row r="27" spans="1:5" ht="16" hidden="1" x14ac:dyDescent="0.35">
      <c r="A27" s="45">
        <v>100021814</v>
      </c>
      <c r="B27" s="46">
        <v>7503023959490</v>
      </c>
      <c r="C27" s="45" t="s">
        <v>217</v>
      </c>
      <c r="D27" s="47" t="s">
        <v>696</v>
      </c>
      <c r="E27" t="s">
        <v>588</v>
      </c>
    </row>
    <row r="28" spans="1:5" ht="16" hidden="1" x14ac:dyDescent="0.35">
      <c r="A28" s="45">
        <v>100021814</v>
      </c>
      <c r="B28" s="46">
        <v>7503023959490</v>
      </c>
      <c r="C28" s="45" t="s">
        <v>217</v>
      </c>
      <c r="D28" s="47" t="s">
        <v>697</v>
      </c>
      <c r="E28" t="s">
        <v>588</v>
      </c>
    </row>
    <row r="29" spans="1:5" ht="16" hidden="1" x14ac:dyDescent="0.35">
      <c r="A29" s="45">
        <v>100021814</v>
      </c>
      <c r="B29" s="46">
        <v>7503023959490</v>
      </c>
      <c r="C29" s="45" t="s">
        <v>217</v>
      </c>
      <c r="D29" s="47" t="s">
        <v>698</v>
      </c>
      <c r="E29" t="s">
        <v>588</v>
      </c>
    </row>
    <row r="30" spans="1:5" ht="16" hidden="1" x14ac:dyDescent="0.35">
      <c r="A30" s="45">
        <v>100021814</v>
      </c>
      <c r="B30" s="46">
        <v>7503023959490</v>
      </c>
      <c r="C30" s="45" t="s">
        <v>217</v>
      </c>
      <c r="D30" s="47" t="s">
        <v>657</v>
      </c>
      <c r="E30" t="s">
        <v>588</v>
      </c>
    </row>
    <row r="31" spans="1:5" ht="16" hidden="1" x14ac:dyDescent="0.35">
      <c r="A31" s="45">
        <v>100021814</v>
      </c>
      <c r="B31" s="46">
        <v>7503023959490</v>
      </c>
      <c r="C31" s="45" t="s">
        <v>217</v>
      </c>
      <c r="D31" s="47" t="s">
        <v>699</v>
      </c>
      <c r="E31" t="s">
        <v>588</v>
      </c>
    </row>
    <row r="32" spans="1:5" ht="16" hidden="1" x14ac:dyDescent="0.35">
      <c r="A32" s="45">
        <v>100025152</v>
      </c>
      <c r="B32" s="46">
        <v>7503023959629</v>
      </c>
      <c r="C32" s="45" t="s">
        <v>221</v>
      </c>
      <c r="D32" s="47" t="s">
        <v>687</v>
      </c>
      <c r="E32" t="s">
        <v>588</v>
      </c>
    </row>
    <row r="33" spans="1:5" ht="16" hidden="1" x14ac:dyDescent="0.35">
      <c r="A33" s="45">
        <v>100025152</v>
      </c>
      <c r="B33" s="46">
        <v>7503023959629</v>
      </c>
      <c r="C33" s="45" t="s">
        <v>221</v>
      </c>
      <c r="D33" s="47" t="s">
        <v>688</v>
      </c>
      <c r="E33" t="s">
        <v>588</v>
      </c>
    </row>
    <row r="34" spans="1:5" ht="16" hidden="1" x14ac:dyDescent="0.35">
      <c r="A34" s="45">
        <v>100025152</v>
      </c>
      <c r="B34" s="46">
        <v>7503023959629</v>
      </c>
      <c r="C34" s="45" t="s">
        <v>221</v>
      </c>
      <c r="D34" s="47" t="s">
        <v>656</v>
      </c>
      <c r="E34" t="s">
        <v>588</v>
      </c>
    </row>
    <row r="35" spans="1:5" ht="16" hidden="1" x14ac:dyDescent="0.35">
      <c r="A35" s="45">
        <v>100025152</v>
      </c>
      <c r="B35" s="46">
        <v>7503023959629</v>
      </c>
      <c r="C35" s="45" t="s">
        <v>221</v>
      </c>
      <c r="D35" s="47" t="s">
        <v>689</v>
      </c>
      <c r="E35" t="s">
        <v>588</v>
      </c>
    </row>
    <row r="36" spans="1:5" ht="16" hidden="1" x14ac:dyDescent="0.35">
      <c r="A36" s="45">
        <v>100025152</v>
      </c>
      <c r="B36" s="46">
        <v>7503023959629</v>
      </c>
      <c r="C36" s="45" t="s">
        <v>221</v>
      </c>
      <c r="D36" s="47" t="s">
        <v>690</v>
      </c>
      <c r="E36" t="s">
        <v>588</v>
      </c>
    </row>
    <row r="37" spans="1:5" ht="16" hidden="1" x14ac:dyDescent="0.35">
      <c r="A37" s="45">
        <v>100025152</v>
      </c>
      <c r="B37" s="46">
        <v>7503023959629</v>
      </c>
      <c r="C37" s="45" t="s">
        <v>221</v>
      </c>
      <c r="D37" s="47" t="s">
        <v>691</v>
      </c>
      <c r="E37" t="s">
        <v>588</v>
      </c>
    </row>
    <row r="38" spans="1:5" ht="16" hidden="1" x14ac:dyDescent="0.35">
      <c r="A38" s="45">
        <v>100025152</v>
      </c>
      <c r="B38" s="46">
        <v>7503023959629</v>
      </c>
      <c r="C38" s="45" t="s">
        <v>221</v>
      </c>
      <c r="D38" s="47" t="s">
        <v>692</v>
      </c>
      <c r="E38" t="s">
        <v>588</v>
      </c>
    </row>
    <row r="39" spans="1:5" ht="16" hidden="1" x14ac:dyDescent="0.35">
      <c r="A39" s="45">
        <v>100025152</v>
      </c>
      <c r="B39" s="46">
        <v>7503023959629</v>
      </c>
      <c r="C39" s="45" t="s">
        <v>221</v>
      </c>
      <c r="D39" s="47" t="s">
        <v>693</v>
      </c>
      <c r="E39" t="s">
        <v>588</v>
      </c>
    </row>
    <row r="40" spans="1:5" ht="16" hidden="1" x14ac:dyDescent="0.35">
      <c r="A40" s="45">
        <v>100025152</v>
      </c>
      <c r="B40" s="46">
        <v>7503023959629</v>
      </c>
      <c r="C40" s="45" t="s">
        <v>221</v>
      </c>
      <c r="D40" s="47" t="s">
        <v>694</v>
      </c>
      <c r="E40" t="s">
        <v>588</v>
      </c>
    </row>
    <row r="41" spans="1:5" ht="16" hidden="1" x14ac:dyDescent="0.35">
      <c r="A41" s="45">
        <v>100025152</v>
      </c>
      <c r="B41" s="46">
        <v>7503023959629</v>
      </c>
      <c r="C41" s="45" t="s">
        <v>221</v>
      </c>
      <c r="D41" s="47" t="s">
        <v>695</v>
      </c>
      <c r="E41" t="s">
        <v>588</v>
      </c>
    </row>
    <row r="42" spans="1:5" ht="16" hidden="1" x14ac:dyDescent="0.35">
      <c r="A42" s="45">
        <v>100025152</v>
      </c>
      <c r="B42" s="46">
        <v>7503023959629</v>
      </c>
      <c r="C42" s="45" t="s">
        <v>221</v>
      </c>
      <c r="D42" s="47" t="s">
        <v>696</v>
      </c>
      <c r="E42" t="s">
        <v>588</v>
      </c>
    </row>
    <row r="43" spans="1:5" ht="16" hidden="1" x14ac:dyDescent="0.35">
      <c r="A43" s="45">
        <v>100025152</v>
      </c>
      <c r="B43" s="46">
        <v>7503023959629</v>
      </c>
      <c r="C43" s="45" t="s">
        <v>221</v>
      </c>
      <c r="D43" s="47" t="s">
        <v>697</v>
      </c>
      <c r="E43" t="s">
        <v>588</v>
      </c>
    </row>
    <row r="44" spans="1:5" ht="16" hidden="1" x14ac:dyDescent="0.35">
      <c r="A44" s="45">
        <v>100025152</v>
      </c>
      <c r="B44" s="46">
        <v>7503023959629</v>
      </c>
      <c r="C44" s="45" t="s">
        <v>221</v>
      </c>
      <c r="D44" s="47" t="s">
        <v>698</v>
      </c>
      <c r="E44" t="s">
        <v>588</v>
      </c>
    </row>
    <row r="45" spans="1:5" ht="16" hidden="1" x14ac:dyDescent="0.35">
      <c r="A45" s="45">
        <v>100025152</v>
      </c>
      <c r="B45" s="46">
        <v>7503023959629</v>
      </c>
      <c r="C45" s="45" t="s">
        <v>221</v>
      </c>
      <c r="D45" s="47" t="s">
        <v>657</v>
      </c>
      <c r="E45" t="s">
        <v>588</v>
      </c>
    </row>
    <row r="46" spans="1:5" ht="16" hidden="1" x14ac:dyDescent="0.35">
      <c r="A46" s="45">
        <v>100025152</v>
      </c>
      <c r="B46" s="46">
        <v>7503023959629</v>
      </c>
      <c r="C46" s="45" t="s">
        <v>221</v>
      </c>
      <c r="D46" s="47" t="s">
        <v>699</v>
      </c>
      <c r="E46" t="s">
        <v>588</v>
      </c>
    </row>
    <row r="47" spans="1:5" ht="16" hidden="1" x14ac:dyDescent="0.35">
      <c r="A47" s="45">
        <v>100025162</v>
      </c>
      <c r="B47" s="46">
        <v>7503023959452</v>
      </c>
      <c r="C47" s="45" t="s">
        <v>38</v>
      </c>
      <c r="D47" s="47" t="s">
        <v>687</v>
      </c>
      <c r="E47" t="s">
        <v>588</v>
      </c>
    </row>
    <row r="48" spans="1:5" ht="16" hidden="1" x14ac:dyDescent="0.35">
      <c r="A48" s="45">
        <v>100025162</v>
      </c>
      <c r="B48" s="46">
        <v>7503023959452</v>
      </c>
      <c r="C48" s="45" t="s">
        <v>38</v>
      </c>
      <c r="D48" s="47" t="s">
        <v>688</v>
      </c>
      <c r="E48" t="s">
        <v>588</v>
      </c>
    </row>
    <row r="49" spans="1:5" ht="16" hidden="1" x14ac:dyDescent="0.35">
      <c r="A49" s="45">
        <v>100025162</v>
      </c>
      <c r="B49" s="46">
        <v>7503023959452</v>
      </c>
      <c r="C49" s="45" t="s">
        <v>38</v>
      </c>
      <c r="D49" s="47" t="s">
        <v>656</v>
      </c>
      <c r="E49" t="s">
        <v>588</v>
      </c>
    </row>
    <row r="50" spans="1:5" ht="16" hidden="1" x14ac:dyDescent="0.35">
      <c r="A50" s="45">
        <v>100025162</v>
      </c>
      <c r="B50" s="46">
        <v>7503023959452</v>
      </c>
      <c r="C50" s="45" t="s">
        <v>38</v>
      </c>
      <c r="D50" s="47" t="s">
        <v>689</v>
      </c>
      <c r="E50" t="s">
        <v>588</v>
      </c>
    </row>
    <row r="51" spans="1:5" ht="16" hidden="1" x14ac:dyDescent="0.35">
      <c r="A51" s="45">
        <v>100025162</v>
      </c>
      <c r="B51" s="46">
        <v>7503023959452</v>
      </c>
      <c r="C51" s="45" t="s">
        <v>38</v>
      </c>
      <c r="D51" s="47" t="s">
        <v>690</v>
      </c>
      <c r="E51" t="s">
        <v>588</v>
      </c>
    </row>
    <row r="52" spans="1:5" ht="16" hidden="1" x14ac:dyDescent="0.35">
      <c r="A52" s="45">
        <v>100025162</v>
      </c>
      <c r="B52" s="46">
        <v>7503023959452</v>
      </c>
      <c r="C52" s="45" t="s">
        <v>38</v>
      </c>
      <c r="D52" s="47" t="s">
        <v>691</v>
      </c>
      <c r="E52" t="s">
        <v>588</v>
      </c>
    </row>
    <row r="53" spans="1:5" ht="16" hidden="1" x14ac:dyDescent="0.35">
      <c r="A53" s="45">
        <v>100025162</v>
      </c>
      <c r="B53" s="46">
        <v>7503023959452</v>
      </c>
      <c r="C53" s="45" t="s">
        <v>38</v>
      </c>
      <c r="D53" s="47" t="s">
        <v>692</v>
      </c>
      <c r="E53" t="s">
        <v>588</v>
      </c>
    </row>
    <row r="54" spans="1:5" ht="16" hidden="1" x14ac:dyDescent="0.35">
      <c r="A54" s="45">
        <v>100025162</v>
      </c>
      <c r="B54" s="46">
        <v>7503023959452</v>
      </c>
      <c r="C54" s="45" t="s">
        <v>38</v>
      </c>
      <c r="D54" s="47" t="s">
        <v>693</v>
      </c>
      <c r="E54" t="s">
        <v>588</v>
      </c>
    </row>
    <row r="55" spans="1:5" ht="16" hidden="1" x14ac:dyDescent="0.35">
      <c r="A55" s="45">
        <v>100025162</v>
      </c>
      <c r="B55" s="46">
        <v>7503023959452</v>
      </c>
      <c r="C55" s="45" t="s">
        <v>38</v>
      </c>
      <c r="D55" s="47" t="s">
        <v>694</v>
      </c>
      <c r="E55" t="s">
        <v>588</v>
      </c>
    </row>
    <row r="56" spans="1:5" ht="16" hidden="1" x14ac:dyDescent="0.35">
      <c r="A56" s="45">
        <v>100025162</v>
      </c>
      <c r="B56" s="46">
        <v>7503023959452</v>
      </c>
      <c r="C56" s="45" t="s">
        <v>38</v>
      </c>
      <c r="D56" s="47" t="s">
        <v>695</v>
      </c>
      <c r="E56" t="s">
        <v>588</v>
      </c>
    </row>
    <row r="57" spans="1:5" ht="16" hidden="1" x14ac:dyDescent="0.35">
      <c r="A57" s="45">
        <v>100025162</v>
      </c>
      <c r="B57" s="46">
        <v>7503023959452</v>
      </c>
      <c r="C57" s="45" t="s">
        <v>38</v>
      </c>
      <c r="D57" s="47" t="s">
        <v>696</v>
      </c>
      <c r="E57" t="s">
        <v>588</v>
      </c>
    </row>
    <row r="58" spans="1:5" ht="16" hidden="1" x14ac:dyDescent="0.35">
      <c r="A58" s="45">
        <v>100025162</v>
      </c>
      <c r="B58" s="46">
        <v>7503023959452</v>
      </c>
      <c r="C58" s="45" t="s">
        <v>38</v>
      </c>
      <c r="D58" s="47" t="s">
        <v>697</v>
      </c>
      <c r="E58" t="s">
        <v>588</v>
      </c>
    </row>
    <row r="59" spans="1:5" ht="16" hidden="1" x14ac:dyDescent="0.35">
      <c r="A59" s="45">
        <v>100025162</v>
      </c>
      <c r="B59" s="46">
        <v>7503023959452</v>
      </c>
      <c r="C59" s="45" t="s">
        <v>38</v>
      </c>
      <c r="D59" s="47" t="s">
        <v>698</v>
      </c>
      <c r="E59" t="s">
        <v>588</v>
      </c>
    </row>
    <row r="60" spans="1:5" ht="16" hidden="1" x14ac:dyDescent="0.35">
      <c r="A60" s="45">
        <v>100025162</v>
      </c>
      <c r="B60" s="46">
        <v>7503023959452</v>
      </c>
      <c r="C60" s="45" t="s">
        <v>38</v>
      </c>
      <c r="D60" s="47" t="s">
        <v>657</v>
      </c>
      <c r="E60" t="s">
        <v>588</v>
      </c>
    </row>
    <row r="61" spans="1:5" ht="16" hidden="1" x14ac:dyDescent="0.35">
      <c r="A61" s="45">
        <v>100025162</v>
      </c>
      <c r="B61" s="46">
        <v>7503023959452</v>
      </c>
      <c r="C61" s="45" t="s">
        <v>38</v>
      </c>
      <c r="D61" s="47" t="s">
        <v>699</v>
      </c>
      <c r="E61" t="s">
        <v>588</v>
      </c>
    </row>
    <row r="62" spans="1:5" ht="16" hidden="1" x14ac:dyDescent="0.35">
      <c r="A62" s="47">
        <v>100026306</v>
      </c>
      <c r="B62" s="48">
        <v>7503039738584</v>
      </c>
      <c r="C62" s="47" t="s">
        <v>147</v>
      </c>
      <c r="D62" s="47" t="s">
        <v>687</v>
      </c>
      <c r="E62" t="s">
        <v>588</v>
      </c>
    </row>
    <row r="63" spans="1:5" ht="16" hidden="1" x14ac:dyDescent="0.35">
      <c r="A63" s="47">
        <v>100026306</v>
      </c>
      <c r="B63" s="48">
        <v>7503039738584</v>
      </c>
      <c r="C63" s="47" t="s">
        <v>147</v>
      </c>
      <c r="D63" s="47" t="s">
        <v>688</v>
      </c>
      <c r="E63" t="s">
        <v>588</v>
      </c>
    </row>
    <row r="64" spans="1:5" ht="16" hidden="1" x14ac:dyDescent="0.35">
      <c r="A64" s="47">
        <v>100026306</v>
      </c>
      <c r="B64" s="48">
        <v>7503039738584</v>
      </c>
      <c r="C64" s="47" t="s">
        <v>147</v>
      </c>
      <c r="D64" s="47" t="s">
        <v>656</v>
      </c>
      <c r="E64" t="s">
        <v>588</v>
      </c>
    </row>
    <row r="65" spans="1:5" ht="16" hidden="1" x14ac:dyDescent="0.35">
      <c r="A65" s="47">
        <v>100026306</v>
      </c>
      <c r="B65" s="48">
        <v>7503039738584</v>
      </c>
      <c r="C65" s="47" t="s">
        <v>147</v>
      </c>
      <c r="D65" s="47" t="s">
        <v>689</v>
      </c>
      <c r="E65" t="s">
        <v>588</v>
      </c>
    </row>
    <row r="66" spans="1:5" ht="16" hidden="1" x14ac:dyDescent="0.35">
      <c r="A66" s="47">
        <v>100026306</v>
      </c>
      <c r="B66" s="48">
        <v>7503039738584</v>
      </c>
      <c r="C66" s="47" t="s">
        <v>147</v>
      </c>
      <c r="D66" s="47" t="s">
        <v>690</v>
      </c>
      <c r="E66" t="s">
        <v>588</v>
      </c>
    </row>
    <row r="67" spans="1:5" ht="16" hidden="1" x14ac:dyDescent="0.35">
      <c r="A67" s="47">
        <v>100026306</v>
      </c>
      <c r="B67" s="48">
        <v>7503039738584</v>
      </c>
      <c r="C67" s="47" t="s">
        <v>147</v>
      </c>
      <c r="D67" s="47" t="s">
        <v>691</v>
      </c>
      <c r="E67" t="s">
        <v>588</v>
      </c>
    </row>
    <row r="68" spans="1:5" ht="16" hidden="1" x14ac:dyDescent="0.35">
      <c r="A68" s="47">
        <v>100026306</v>
      </c>
      <c r="B68" s="48">
        <v>7503039738584</v>
      </c>
      <c r="C68" s="47" t="s">
        <v>147</v>
      </c>
      <c r="D68" s="47" t="s">
        <v>692</v>
      </c>
      <c r="E68" t="s">
        <v>588</v>
      </c>
    </row>
    <row r="69" spans="1:5" ht="16" hidden="1" x14ac:dyDescent="0.35">
      <c r="A69" s="47">
        <v>100026306</v>
      </c>
      <c r="B69" s="48">
        <v>7503039738584</v>
      </c>
      <c r="C69" s="47" t="s">
        <v>147</v>
      </c>
      <c r="D69" s="47" t="s">
        <v>693</v>
      </c>
      <c r="E69" t="s">
        <v>588</v>
      </c>
    </row>
    <row r="70" spans="1:5" ht="16" hidden="1" x14ac:dyDescent="0.35">
      <c r="A70" s="47">
        <v>100026306</v>
      </c>
      <c r="B70" s="48">
        <v>7503039738584</v>
      </c>
      <c r="C70" s="47" t="s">
        <v>147</v>
      </c>
      <c r="D70" s="47" t="s">
        <v>694</v>
      </c>
      <c r="E70" t="s">
        <v>588</v>
      </c>
    </row>
    <row r="71" spans="1:5" ht="16" hidden="1" x14ac:dyDescent="0.35">
      <c r="A71" s="47">
        <v>100026306</v>
      </c>
      <c r="B71" s="48">
        <v>7503039738584</v>
      </c>
      <c r="C71" s="47" t="s">
        <v>147</v>
      </c>
      <c r="D71" s="47" t="s">
        <v>695</v>
      </c>
      <c r="E71" t="s">
        <v>588</v>
      </c>
    </row>
    <row r="72" spans="1:5" ht="16" hidden="1" x14ac:dyDescent="0.35">
      <c r="A72" s="47">
        <v>100026306</v>
      </c>
      <c r="B72" s="48">
        <v>7503039738584</v>
      </c>
      <c r="C72" s="47" t="s">
        <v>147</v>
      </c>
      <c r="D72" s="47" t="s">
        <v>696</v>
      </c>
      <c r="E72" t="s">
        <v>588</v>
      </c>
    </row>
    <row r="73" spans="1:5" ht="16" hidden="1" x14ac:dyDescent="0.35">
      <c r="A73" s="47">
        <v>100026306</v>
      </c>
      <c r="B73" s="48">
        <v>7503039738584</v>
      </c>
      <c r="C73" s="47" t="s">
        <v>147</v>
      </c>
      <c r="D73" s="47" t="s">
        <v>697</v>
      </c>
      <c r="E73" t="s">
        <v>588</v>
      </c>
    </row>
    <row r="74" spans="1:5" ht="16" hidden="1" x14ac:dyDescent="0.35">
      <c r="A74" s="47">
        <v>100026306</v>
      </c>
      <c r="B74" s="48">
        <v>7503039738584</v>
      </c>
      <c r="C74" s="47" t="s">
        <v>147</v>
      </c>
      <c r="D74" s="47" t="s">
        <v>698</v>
      </c>
      <c r="E74" t="s">
        <v>588</v>
      </c>
    </row>
    <row r="75" spans="1:5" ht="16" hidden="1" x14ac:dyDescent="0.35">
      <c r="A75" s="47">
        <v>100026306</v>
      </c>
      <c r="B75" s="48">
        <v>7503039738584</v>
      </c>
      <c r="C75" s="47" t="s">
        <v>147</v>
      </c>
      <c r="D75" s="47" t="s">
        <v>657</v>
      </c>
      <c r="E75" t="s">
        <v>588</v>
      </c>
    </row>
    <row r="76" spans="1:5" ht="16" hidden="1" x14ac:dyDescent="0.35">
      <c r="A76" s="47">
        <v>100026306</v>
      </c>
      <c r="B76" s="48">
        <v>7503039738584</v>
      </c>
      <c r="C76" s="47" t="s">
        <v>147</v>
      </c>
      <c r="D76" s="47" t="s">
        <v>699</v>
      </c>
      <c r="E76" t="s">
        <v>588</v>
      </c>
    </row>
    <row r="77" spans="1:5" ht="16" hidden="1" x14ac:dyDescent="0.35">
      <c r="A77" s="47">
        <v>100026305</v>
      </c>
      <c r="B77" s="48">
        <v>7503039738577</v>
      </c>
      <c r="C77" s="47" t="s">
        <v>566</v>
      </c>
      <c r="D77" s="47" t="s">
        <v>687</v>
      </c>
      <c r="E77" t="s">
        <v>588</v>
      </c>
    </row>
    <row r="78" spans="1:5" ht="16" hidden="1" x14ac:dyDescent="0.35">
      <c r="A78" s="47">
        <v>100026305</v>
      </c>
      <c r="B78" s="48">
        <v>7503039738577</v>
      </c>
      <c r="C78" s="47" t="s">
        <v>566</v>
      </c>
      <c r="D78" s="47" t="s">
        <v>688</v>
      </c>
      <c r="E78" t="s">
        <v>588</v>
      </c>
    </row>
    <row r="79" spans="1:5" ht="16" hidden="1" x14ac:dyDescent="0.35">
      <c r="A79" s="47">
        <v>100026305</v>
      </c>
      <c r="B79" s="48">
        <v>7503039738577</v>
      </c>
      <c r="C79" s="47" t="s">
        <v>566</v>
      </c>
      <c r="D79" s="47" t="s">
        <v>656</v>
      </c>
      <c r="E79" t="s">
        <v>588</v>
      </c>
    </row>
    <row r="80" spans="1:5" ht="16" hidden="1" x14ac:dyDescent="0.35">
      <c r="A80" s="47">
        <v>100026305</v>
      </c>
      <c r="B80" s="48">
        <v>7503039738577</v>
      </c>
      <c r="C80" s="47" t="s">
        <v>566</v>
      </c>
      <c r="D80" s="47" t="s">
        <v>689</v>
      </c>
      <c r="E80" t="s">
        <v>588</v>
      </c>
    </row>
    <row r="81" spans="1:5" ht="16" hidden="1" x14ac:dyDescent="0.35">
      <c r="A81" s="47">
        <v>100026305</v>
      </c>
      <c r="B81" s="48">
        <v>7503039738577</v>
      </c>
      <c r="C81" s="47" t="s">
        <v>566</v>
      </c>
      <c r="D81" s="47" t="s">
        <v>690</v>
      </c>
      <c r="E81" t="s">
        <v>588</v>
      </c>
    </row>
    <row r="82" spans="1:5" ht="16" hidden="1" x14ac:dyDescent="0.35">
      <c r="A82" s="47">
        <v>100026305</v>
      </c>
      <c r="B82" s="48">
        <v>7503039738577</v>
      </c>
      <c r="C82" s="47" t="s">
        <v>566</v>
      </c>
      <c r="D82" s="47" t="s">
        <v>691</v>
      </c>
      <c r="E82" t="s">
        <v>588</v>
      </c>
    </row>
    <row r="83" spans="1:5" ht="16" hidden="1" x14ac:dyDescent="0.35">
      <c r="A83" s="47">
        <v>100026305</v>
      </c>
      <c r="B83" s="48">
        <v>7503039738577</v>
      </c>
      <c r="C83" s="47" t="s">
        <v>566</v>
      </c>
      <c r="D83" s="47" t="s">
        <v>692</v>
      </c>
      <c r="E83" t="s">
        <v>588</v>
      </c>
    </row>
    <row r="84" spans="1:5" ht="16" hidden="1" x14ac:dyDescent="0.35">
      <c r="A84" s="47">
        <v>100026305</v>
      </c>
      <c r="B84" s="48">
        <v>7503039738577</v>
      </c>
      <c r="C84" s="47" t="s">
        <v>566</v>
      </c>
      <c r="D84" s="47" t="s">
        <v>693</v>
      </c>
      <c r="E84" t="s">
        <v>588</v>
      </c>
    </row>
    <row r="85" spans="1:5" ht="16" hidden="1" x14ac:dyDescent="0.35">
      <c r="A85" s="47">
        <v>100026305</v>
      </c>
      <c r="B85" s="48">
        <v>7503039738577</v>
      </c>
      <c r="C85" s="47" t="s">
        <v>566</v>
      </c>
      <c r="D85" s="47" t="s">
        <v>694</v>
      </c>
      <c r="E85" t="s">
        <v>588</v>
      </c>
    </row>
    <row r="86" spans="1:5" ht="16" hidden="1" x14ac:dyDescent="0.35">
      <c r="A86" s="47">
        <v>100026305</v>
      </c>
      <c r="B86" s="48">
        <v>7503039738577</v>
      </c>
      <c r="C86" s="47" t="s">
        <v>566</v>
      </c>
      <c r="D86" s="47" t="s">
        <v>695</v>
      </c>
      <c r="E86" t="s">
        <v>588</v>
      </c>
    </row>
    <row r="87" spans="1:5" ht="16" hidden="1" x14ac:dyDescent="0.35">
      <c r="A87" s="47">
        <v>100026305</v>
      </c>
      <c r="B87" s="48">
        <v>7503039738577</v>
      </c>
      <c r="C87" s="47" t="s">
        <v>566</v>
      </c>
      <c r="D87" s="47" t="s">
        <v>696</v>
      </c>
      <c r="E87" t="s">
        <v>588</v>
      </c>
    </row>
    <row r="88" spans="1:5" ht="16" hidden="1" x14ac:dyDescent="0.35">
      <c r="A88" s="47">
        <v>100026305</v>
      </c>
      <c r="B88" s="48">
        <v>7503039738577</v>
      </c>
      <c r="C88" s="47" t="s">
        <v>566</v>
      </c>
      <c r="D88" s="47" t="s">
        <v>697</v>
      </c>
      <c r="E88" t="s">
        <v>588</v>
      </c>
    </row>
    <row r="89" spans="1:5" ht="16" hidden="1" x14ac:dyDescent="0.35">
      <c r="A89" s="47">
        <v>100026305</v>
      </c>
      <c r="B89" s="48">
        <v>7503039738577</v>
      </c>
      <c r="C89" s="47" t="s">
        <v>566</v>
      </c>
      <c r="D89" s="47" t="s">
        <v>698</v>
      </c>
      <c r="E89" t="s">
        <v>588</v>
      </c>
    </row>
    <row r="90" spans="1:5" ht="16" hidden="1" x14ac:dyDescent="0.35">
      <c r="A90" s="47">
        <v>100026305</v>
      </c>
      <c r="B90" s="48">
        <v>7503039738577</v>
      </c>
      <c r="C90" s="47" t="s">
        <v>566</v>
      </c>
      <c r="D90" s="47" t="s">
        <v>657</v>
      </c>
      <c r="E90" t="s">
        <v>588</v>
      </c>
    </row>
    <row r="91" spans="1:5" ht="16" hidden="1" x14ac:dyDescent="0.35">
      <c r="A91" s="47">
        <v>100026305</v>
      </c>
      <c r="B91" s="48">
        <v>7503039738577</v>
      </c>
      <c r="C91" s="47" t="s">
        <v>566</v>
      </c>
      <c r="D91" s="47" t="s">
        <v>699</v>
      </c>
      <c r="E91" t="s">
        <v>588</v>
      </c>
    </row>
    <row r="92" spans="1:5" ht="16" hidden="1" x14ac:dyDescent="0.35">
      <c r="A92" s="47">
        <v>100026302</v>
      </c>
      <c r="B92" s="48">
        <v>7503039738553</v>
      </c>
      <c r="C92" s="47" t="s">
        <v>555</v>
      </c>
      <c r="D92" s="47" t="s">
        <v>687</v>
      </c>
      <c r="E92" t="s">
        <v>588</v>
      </c>
    </row>
    <row r="93" spans="1:5" ht="16" hidden="1" x14ac:dyDescent="0.35">
      <c r="A93" s="47">
        <v>100026302</v>
      </c>
      <c r="B93" s="48">
        <v>7503039738553</v>
      </c>
      <c r="C93" s="47" t="s">
        <v>555</v>
      </c>
      <c r="D93" s="47" t="s">
        <v>688</v>
      </c>
      <c r="E93" t="s">
        <v>588</v>
      </c>
    </row>
    <row r="94" spans="1:5" ht="16" hidden="1" x14ac:dyDescent="0.35">
      <c r="A94" s="47">
        <v>100026302</v>
      </c>
      <c r="B94" s="48">
        <v>7503039738553</v>
      </c>
      <c r="C94" s="47" t="s">
        <v>555</v>
      </c>
      <c r="D94" s="47" t="s">
        <v>656</v>
      </c>
      <c r="E94" t="s">
        <v>588</v>
      </c>
    </row>
    <row r="95" spans="1:5" ht="16" hidden="1" x14ac:dyDescent="0.35">
      <c r="A95" s="47">
        <v>100026302</v>
      </c>
      <c r="B95" s="48">
        <v>7503039738553</v>
      </c>
      <c r="C95" s="47" t="s">
        <v>555</v>
      </c>
      <c r="D95" s="47" t="s">
        <v>689</v>
      </c>
      <c r="E95" t="s">
        <v>588</v>
      </c>
    </row>
    <row r="96" spans="1:5" ht="16" hidden="1" x14ac:dyDescent="0.35">
      <c r="A96" s="47">
        <v>100026302</v>
      </c>
      <c r="B96" s="48">
        <v>7503039738553</v>
      </c>
      <c r="C96" s="47" t="s">
        <v>555</v>
      </c>
      <c r="D96" s="47" t="s">
        <v>690</v>
      </c>
      <c r="E96" t="s">
        <v>588</v>
      </c>
    </row>
    <row r="97" spans="1:5" ht="16" hidden="1" x14ac:dyDescent="0.35">
      <c r="A97" s="47">
        <v>100026302</v>
      </c>
      <c r="B97" s="48">
        <v>7503039738553</v>
      </c>
      <c r="C97" s="47" t="s">
        <v>555</v>
      </c>
      <c r="D97" s="47" t="s">
        <v>691</v>
      </c>
      <c r="E97" t="s">
        <v>588</v>
      </c>
    </row>
    <row r="98" spans="1:5" ht="16" hidden="1" x14ac:dyDescent="0.35">
      <c r="A98" s="47">
        <v>100026302</v>
      </c>
      <c r="B98" s="48">
        <v>7503039738553</v>
      </c>
      <c r="C98" s="47" t="s">
        <v>555</v>
      </c>
      <c r="D98" s="47" t="s">
        <v>692</v>
      </c>
      <c r="E98" t="s">
        <v>588</v>
      </c>
    </row>
    <row r="99" spans="1:5" ht="16" hidden="1" x14ac:dyDescent="0.35">
      <c r="A99" s="47">
        <v>100026302</v>
      </c>
      <c r="B99" s="48">
        <v>7503039738553</v>
      </c>
      <c r="C99" s="47" t="s">
        <v>555</v>
      </c>
      <c r="D99" s="47" t="s">
        <v>693</v>
      </c>
      <c r="E99" t="s">
        <v>588</v>
      </c>
    </row>
    <row r="100" spans="1:5" ht="16" hidden="1" x14ac:dyDescent="0.35">
      <c r="A100" s="47">
        <v>100026302</v>
      </c>
      <c r="B100" s="48">
        <v>7503039738553</v>
      </c>
      <c r="C100" s="47" t="s">
        <v>555</v>
      </c>
      <c r="D100" s="47" t="s">
        <v>694</v>
      </c>
      <c r="E100" t="s">
        <v>588</v>
      </c>
    </row>
    <row r="101" spans="1:5" ht="16" hidden="1" x14ac:dyDescent="0.35">
      <c r="A101" s="47">
        <v>100026302</v>
      </c>
      <c r="B101" s="48">
        <v>7503039738553</v>
      </c>
      <c r="C101" s="47" t="s">
        <v>555</v>
      </c>
      <c r="D101" s="47" t="s">
        <v>695</v>
      </c>
      <c r="E101" t="s">
        <v>588</v>
      </c>
    </row>
    <row r="102" spans="1:5" ht="16" hidden="1" x14ac:dyDescent="0.35">
      <c r="A102" s="47">
        <v>100026302</v>
      </c>
      <c r="B102" s="48">
        <v>7503039738553</v>
      </c>
      <c r="C102" s="47" t="s">
        <v>555</v>
      </c>
      <c r="D102" s="47" t="s">
        <v>696</v>
      </c>
      <c r="E102" t="s">
        <v>588</v>
      </c>
    </row>
    <row r="103" spans="1:5" ht="16" hidden="1" x14ac:dyDescent="0.35">
      <c r="A103" s="47">
        <v>100026302</v>
      </c>
      <c r="B103" s="48">
        <v>7503039738553</v>
      </c>
      <c r="C103" s="47" t="s">
        <v>555</v>
      </c>
      <c r="D103" s="47" t="s">
        <v>697</v>
      </c>
      <c r="E103" t="s">
        <v>588</v>
      </c>
    </row>
    <row r="104" spans="1:5" ht="16" hidden="1" x14ac:dyDescent="0.35">
      <c r="A104" s="47">
        <v>100026302</v>
      </c>
      <c r="B104" s="48">
        <v>7503039738553</v>
      </c>
      <c r="C104" s="47" t="s">
        <v>555</v>
      </c>
      <c r="D104" s="47" t="s">
        <v>698</v>
      </c>
      <c r="E104" t="s">
        <v>588</v>
      </c>
    </row>
    <row r="105" spans="1:5" ht="16" hidden="1" x14ac:dyDescent="0.35">
      <c r="A105" s="47">
        <v>100026302</v>
      </c>
      <c r="B105" s="48">
        <v>7503039738553</v>
      </c>
      <c r="C105" s="47" t="s">
        <v>555</v>
      </c>
      <c r="D105" s="47" t="s">
        <v>657</v>
      </c>
      <c r="E105" t="s">
        <v>588</v>
      </c>
    </row>
    <row r="106" spans="1:5" ht="16" hidden="1" x14ac:dyDescent="0.35">
      <c r="A106" s="47">
        <v>100026302</v>
      </c>
      <c r="B106" s="48">
        <v>7503039738553</v>
      </c>
      <c r="C106" s="47" t="s">
        <v>555</v>
      </c>
      <c r="D106" s="47" t="s">
        <v>699</v>
      </c>
      <c r="E106" t="s">
        <v>588</v>
      </c>
    </row>
    <row r="107" spans="1:5" ht="16" hidden="1" x14ac:dyDescent="0.35">
      <c r="A107" s="47">
        <v>100026301</v>
      </c>
      <c r="B107" s="48">
        <v>7503039738546</v>
      </c>
      <c r="C107" s="47" t="s">
        <v>191</v>
      </c>
      <c r="D107" s="47" t="s">
        <v>687</v>
      </c>
      <c r="E107" t="s">
        <v>588</v>
      </c>
    </row>
    <row r="108" spans="1:5" ht="16" hidden="1" x14ac:dyDescent="0.35">
      <c r="A108" s="47">
        <v>100026301</v>
      </c>
      <c r="B108" s="48">
        <v>7503039738546</v>
      </c>
      <c r="C108" s="47" t="s">
        <v>191</v>
      </c>
      <c r="D108" s="47" t="s">
        <v>688</v>
      </c>
      <c r="E108" t="s">
        <v>588</v>
      </c>
    </row>
    <row r="109" spans="1:5" ht="16" hidden="1" x14ac:dyDescent="0.35">
      <c r="A109" s="47">
        <v>100026301</v>
      </c>
      <c r="B109" s="48">
        <v>7503039738546</v>
      </c>
      <c r="C109" s="47" t="s">
        <v>191</v>
      </c>
      <c r="D109" s="47" t="s">
        <v>656</v>
      </c>
      <c r="E109" t="s">
        <v>588</v>
      </c>
    </row>
    <row r="110" spans="1:5" ht="16" hidden="1" x14ac:dyDescent="0.35">
      <c r="A110" s="47">
        <v>100026301</v>
      </c>
      <c r="B110" s="48">
        <v>7503039738546</v>
      </c>
      <c r="C110" s="47" t="s">
        <v>191</v>
      </c>
      <c r="D110" s="47" t="s">
        <v>689</v>
      </c>
      <c r="E110" t="s">
        <v>588</v>
      </c>
    </row>
    <row r="111" spans="1:5" ht="16" hidden="1" x14ac:dyDescent="0.35">
      <c r="A111" s="47">
        <v>100026301</v>
      </c>
      <c r="B111" s="48">
        <v>7503039738546</v>
      </c>
      <c r="C111" s="47" t="s">
        <v>191</v>
      </c>
      <c r="D111" s="47" t="s">
        <v>690</v>
      </c>
      <c r="E111" t="s">
        <v>588</v>
      </c>
    </row>
    <row r="112" spans="1:5" ht="16" hidden="1" x14ac:dyDescent="0.35">
      <c r="A112" s="47">
        <v>100026301</v>
      </c>
      <c r="B112" s="48">
        <v>7503039738546</v>
      </c>
      <c r="C112" s="47" t="s">
        <v>191</v>
      </c>
      <c r="D112" s="47" t="s">
        <v>691</v>
      </c>
      <c r="E112" t="s">
        <v>588</v>
      </c>
    </row>
    <row r="113" spans="1:5" ht="16" hidden="1" x14ac:dyDescent="0.35">
      <c r="A113" s="47">
        <v>100026301</v>
      </c>
      <c r="B113" s="48">
        <v>7503039738546</v>
      </c>
      <c r="C113" s="47" t="s">
        <v>191</v>
      </c>
      <c r="D113" s="47" t="s">
        <v>692</v>
      </c>
      <c r="E113" t="s">
        <v>588</v>
      </c>
    </row>
    <row r="114" spans="1:5" ht="16" hidden="1" x14ac:dyDescent="0.35">
      <c r="A114" s="47">
        <v>100026301</v>
      </c>
      <c r="B114" s="48">
        <v>7503039738546</v>
      </c>
      <c r="C114" s="47" t="s">
        <v>191</v>
      </c>
      <c r="D114" s="47" t="s">
        <v>693</v>
      </c>
      <c r="E114" t="s">
        <v>588</v>
      </c>
    </row>
    <row r="115" spans="1:5" ht="16" hidden="1" x14ac:dyDescent="0.35">
      <c r="A115" s="47">
        <v>100026301</v>
      </c>
      <c r="B115" s="48">
        <v>7503039738546</v>
      </c>
      <c r="C115" s="47" t="s">
        <v>191</v>
      </c>
      <c r="D115" s="47" t="s">
        <v>694</v>
      </c>
      <c r="E115" t="s">
        <v>588</v>
      </c>
    </row>
    <row r="116" spans="1:5" ht="16" hidden="1" x14ac:dyDescent="0.35">
      <c r="A116" s="47">
        <v>100026301</v>
      </c>
      <c r="B116" s="48">
        <v>7503039738546</v>
      </c>
      <c r="C116" s="47" t="s">
        <v>191</v>
      </c>
      <c r="D116" s="47" t="s">
        <v>695</v>
      </c>
      <c r="E116" t="s">
        <v>588</v>
      </c>
    </row>
    <row r="117" spans="1:5" ht="16" hidden="1" x14ac:dyDescent="0.35">
      <c r="A117" s="47">
        <v>100026301</v>
      </c>
      <c r="B117" s="48">
        <v>7503039738546</v>
      </c>
      <c r="C117" s="47" t="s">
        <v>191</v>
      </c>
      <c r="D117" s="47" t="s">
        <v>696</v>
      </c>
      <c r="E117" t="s">
        <v>588</v>
      </c>
    </row>
    <row r="118" spans="1:5" ht="16" hidden="1" x14ac:dyDescent="0.35">
      <c r="A118" s="47">
        <v>100026301</v>
      </c>
      <c r="B118" s="48">
        <v>7503039738546</v>
      </c>
      <c r="C118" s="47" t="s">
        <v>191</v>
      </c>
      <c r="D118" s="47" t="s">
        <v>697</v>
      </c>
      <c r="E118" t="s">
        <v>588</v>
      </c>
    </row>
    <row r="119" spans="1:5" ht="16" hidden="1" x14ac:dyDescent="0.35">
      <c r="A119" s="47">
        <v>100026301</v>
      </c>
      <c r="B119" s="48">
        <v>7503039738546</v>
      </c>
      <c r="C119" s="47" t="s">
        <v>191</v>
      </c>
      <c r="D119" s="47" t="s">
        <v>698</v>
      </c>
      <c r="E119" t="s">
        <v>588</v>
      </c>
    </row>
    <row r="120" spans="1:5" ht="16" hidden="1" x14ac:dyDescent="0.35">
      <c r="A120" s="47">
        <v>100026301</v>
      </c>
      <c r="B120" s="48">
        <v>7503039738546</v>
      </c>
      <c r="C120" s="47" t="s">
        <v>191</v>
      </c>
      <c r="D120" s="47" t="s">
        <v>657</v>
      </c>
      <c r="E120" t="s">
        <v>588</v>
      </c>
    </row>
    <row r="121" spans="1:5" ht="16" hidden="1" x14ac:dyDescent="0.35">
      <c r="A121" s="47">
        <v>100026301</v>
      </c>
      <c r="B121" s="48">
        <v>7503039738546</v>
      </c>
      <c r="C121" s="47" t="s">
        <v>191</v>
      </c>
      <c r="D121" s="47" t="s">
        <v>699</v>
      </c>
      <c r="E121" t="s">
        <v>588</v>
      </c>
    </row>
    <row r="122" spans="1:5" ht="16" hidden="1" x14ac:dyDescent="0.35">
      <c r="A122" s="47">
        <v>100026300</v>
      </c>
      <c r="B122" s="48">
        <v>7503039738539</v>
      </c>
      <c r="C122" s="47" t="s">
        <v>196</v>
      </c>
      <c r="D122" s="47" t="s">
        <v>687</v>
      </c>
      <c r="E122" t="s">
        <v>588</v>
      </c>
    </row>
    <row r="123" spans="1:5" ht="16" hidden="1" x14ac:dyDescent="0.35">
      <c r="A123" s="47">
        <v>100026300</v>
      </c>
      <c r="B123" s="48">
        <v>7503039738539</v>
      </c>
      <c r="C123" s="47" t="s">
        <v>196</v>
      </c>
      <c r="D123" s="47" t="s">
        <v>688</v>
      </c>
      <c r="E123" t="s">
        <v>588</v>
      </c>
    </row>
    <row r="124" spans="1:5" ht="16" hidden="1" x14ac:dyDescent="0.35">
      <c r="A124" s="47">
        <v>100026300</v>
      </c>
      <c r="B124" s="48">
        <v>7503039738539</v>
      </c>
      <c r="C124" s="47" t="s">
        <v>196</v>
      </c>
      <c r="D124" s="47" t="s">
        <v>656</v>
      </c>
      <c r="E124" t="s">
        <v>588</v>
      </c>
    </row>
    <row r="125" spans="1:5" ht="16" hidden="1" x14ac:dyDescent="0.35">
      <c r="A125" s="47">
        <v>100026300</v>
      </c>
      <c r="B125" s="48">
        <v>7503039738539</v>
      </c>
      <c r="C125" s="47" t="s">
        <v>196</v>
      </c>
      <c r="D125" s="47" t="s">
        <v>689</v>
      </c>
      <c r="E125" t="s">
        <v>588</v>
      </c>
    </row>
    <row r="126" spans="1:5" ht="16" hidden="1" x14ac:dyDescent="0.35">
      <c r="A126" s="47">
        <v>100026300</v>
      </c>
      <c r="B126" s="48">
        <v>7503039738539</v>
      </c>
      <c r="C126" s="47" t="s">
        <v>196</v>
      </c>
      <c r="D126" s="47" t="s">
        <v>690</v>
      </c>
      <c r="E126" t="s">
        <v>588</v>
      </c>
    </row>
    <row r="127" spans="1:5" ht="16" hidden="1" x14ac:dyDescent="0.35">
      <c r="A127" s="47">
        <v>100026300</v>
      </c>
      <c r="B127" s="48">
        <v>7503039738539</v>
      </c>
      <c r="C127" s="47" t="s">
        <v>196</v>
      </c>
      <c r="D127" s="47" t="s">
        <v>691</v>
      </c>
      <c r="E127" t="s">
        <v>588</v>
      </c>
    </row>
    <row r="128" spans="1:5" ht="16" hidden="1" x14ac:dyDescent="0.35">
      <c r="A128" s="47">
        <v>100026300</v>
      </c>
      <c r="B128" s="48">
        <v>7503039738539</v>
      </c>
      <c r="C128" s="47" t="s">
        <v>196</v>
      </c>
      <c r="D128" s="47" t="s">
        <v>692</v>
      </c>
      <c r="E128" t="s">
        <v>588</v>
      </c>
    </row>
    <row r="129" spans="1:5" ht="16" hidden="1" x14ac:dyDescent="0.35">
      <c r="A129" s="47">
        <v>100026300</v>
      </c>
      <c r="B129" s="48">
        <v>7503039738539</v>
      </c>
      <c r="C129" s="47" t="s">
        <v>196</v>
      </c>
      <c r="D129" s="47" t="s">
        <v>693</v>
      </c>
      <c r="E129" t="s">
        <v>588</v>
      </c>
    </row>
    <row r="130" spans="1:5" ht="16" hidden="1" x14ac:dyDescent="0.35">
      <c r="A130" s="47">
        <v>100026300</v>
      </c>
      <c r="B130" s="48">
        <v>7503039738539</v>
      </c>
      <c r="C130" s="47" t="s">
        <v>196</v>
      </c>
      <c r="D130" s="47" t="s">
        <v>694</v>
      </c>
      <c r="E130" t="s">
        <v>588</v>
      </c>
    </row>
    <row r="131" spans="1:5" ht="16" hidden="1" x14ac:dyDescent="0.35">
      <c r="A131" s="47">
        <v>100026300</v>
      </c>
      <c r="B131" s="48">
        <v>7503039738539</v>
      </c>
      <c r="C131" s="47" t="s">
        <v>196</v>
      </c>
      <c r="D131" s="47" t="s">
        <v>695</v>
      </c>
      <c r="E131" t="s">
        <v>588</v>
      </c>
    </row>
    <row r="132" spans="1:5" ht="16" hidden="1" x14ac:dyDescent="0.35">
      <c r="A132" s="47">
        <v>100026300</v>
      </c>
      <c r="B132" s="48">
        <v>7503039738539</v>
      </c>
      <c r="C132" s="47" t="s">
        <v>196</v>
      </c>
      <c r="D132" s="47" t="s">
        <v>696</v>
      </c>
      <c r="E132" t="s">
        <v>588</v>
      </c>
    </row>
    <row r="133" spans="1:5" ht="16" hidden="1" x14ac:dyDescent="0.35">
      <c r="A133" s="47">
        <v>100026300</v>
      </c>
      <c r="B133" s="48">
        <v>7503039738539</v>
      </c>
      <c r="C133" s="47" t="s">
        <v>196</v>
      </c>
      <c r="D133" s="47" t="s">
        <v>697</v>
      </c>
      <c r="E133" t="s">
        <v>588</v>
      </c>
    </row>
    <row r="134" spans="1:5" ht="16" hidden="1" x14ac:dyDescent="0.35">
      <c r="A134" s="47">
        <v>100026300</v>
      </c>
      <c r="B134" s="48">
        <v>7503039738539</v>
      </c>
      <c r="C134" s="47" t="s">
        <v>196</v>
      </c>
      <c r="D134" s="47" t="s">
        <v>698</v>
      </c>
      <c r="E134" t="s">
        <v>588</v>
      </c>
    </row>
    <row r="135" spans="1:5" ht="16" hidden="1" x14ac:dyDescent="0.35">
      <c r="A135" s="47">
        <v>100026300</v>
      </c>
      <c r="B135" s="48">
        <v>7503039738539</v>
      </c>
      <c r="C135" s="47" t="s">
        <v>196</v>
      </c>
      <c r="D135" s="47" t="s">
        <v>657</v>
      </c>
      <c r="E135" t="s">
        <v>588</v>
      </c>
    </row>
    <row r="136" spans="1:5" ht="16" hidden="1" x14ac:dyDescent="0.35">
      <c r="A136" s="47">
        <v>100026300</v>
      </c>
      <c r="B136" s="48">
        <v>7503039738539</v>
      </c>
      <c r="C136" s="47" t="s">
        <v>196</v>
      </c>
      <c r="D136" s="47" t="s">
        <v>699</v>
      </c>
      <c r="E136" t="s">
        <v>588</v>
      </c>
    </row>
    <row r="137" spans="1:5" ht="16" hidden="1" x14ac:dyDescent="0.35">
      <c r="A137" s="47">
        <v>100026307</v>
      </c>
      <c r="B137" s="48">
        <v>7503039738591</v>
      </c>
      <c r="C137" s="47" t="s">
        <v>199</v>
      </c>
      <c r="D137" s="47" t="s">
        <v>687</v>
      </c>
      <c r="E137" t="s">
        <v>588</v>
      </c>
    </row>
    <row r="138" spans="1:5" ht="16" hidden="1" x14ac:dyDescent="0.35">
      <c r="A138" s="47">
        <v>100026307</v>
      </c>
      <c r="B138" s="48">
        <v>7503039738591</v>
      </c>
      <c r="C138" s="47" t="s">
        <v>199</v>
      </c>
      <c r="D138" s="47" t="s">
        <v>688</v>
      </c>
      <c r="E138" t="s">
        <v>588</v>
      </c>
    </row>
    <row r="139" spans="1:5" ht="16" hidden="1" x14ac:dyDescent="0.35">
      <c r="A139" s="47">
        <v>100026307</v>
      </c>
      <c r="B139" s="48">
        <v>7503039738591</v>
      </c>
      <c r="C139" s="47" t="s">
        <v>199</v>
      </c>
      <c r="D139" s="47" t="s">
        <v>656</v>
      </c>
      <c r="E139" t="s">
        <v>588</v>
      </c>
    </row>
    <row r="140" spans="1:5" ht="16" hidden="1" x14ac:dyDescent="0.35">
      <c r="A140" s="47">
        <v>100026307</v>
      </c>
      <c r="B140" s="48">
        <v>7503039738591</v>
      </c>
      <c r="C140" s="47" t="s">
        <v>199</v>
      </c>
      <c r="D140" s="47" t="s">
        <v>689</v>
      </c>
      <c r="E140" t="s">
        <v>588</v>
      </c>
    </row>
    <row r="141" spans="1:5" ht="16" hidden="1" x14ac:dyDescent="0.35">
      <c r="A141" s="47">
        <v>100026307</v>
      </c>
      <c r="B141" s="48">
        <v>7503039738591</v>
      </c>
      <c r="C141" s="47" t="s">
        <v>199</v>
      </c>
      <c r="D141" s="47" t="s">
        <v>690</v>
      </c>
      <c r="E141" t="s">
        <v>588</v>
      </c>
    </row>
    <row r="142" spans="1:5" ht="16" hidden="1" x14ac:dyDescent="0.35">
      <c r="A142" s="47">
        <v>100026307</v>
      </c>
      <c r="B142" s="48">
        <v>7503039738591</v>
      </c>
      <c r="C142" s="47" t="s">
        <v>199</v>
      </c>
      <c r="D142" s="47" t="s">
        <v>691</v>
      </c>
      <c r="E142" t="s">
        <v>588</v>
      </c>
    </row>
    <row r="143" spans="1:5" ht="16" hidden="1" x14ac:dyDescent="0.35">
      <c r="A143" s="47">
        <v>100026307</v>
      </c>
      <c r="B143" s="48">
        <v>7503039738591</v>
      </c>
      <c r="C143" s="47" t="s">
        <v>199</v>
      </c>
      <c r="D143" s="47" t="s">
        <v>692</v>
      </c>
      <c r="E143" t="s">
        <v>588</v>
      </c>
    </row>
    <row r="144" spans="1:5" ht="16" hidden="1" x14ac:dyDescent="0.35">
      <c r="A144" s="47">
        <v>100026307</v>
      </c>
      <c r="B144" s="48">
        <v>7503039738591</v>
      </c>
      <c r="C144" s="47" t="s">
        <v>199</v>
      </c>
      <c r="D144" s="47" t="s">
        <v>693</v>
      </c>
      <c r="E144" t="s">
        <v>588</v>
      </c>
    </row>
    <row r="145" spans="1:5" ht="16" hidden="1" x14ac:dyDescent="0.35">
      <c r="A145" s="47">
        <v>100026307</v>
      </c>
      <c r="B145" s="48">
        <v>7503039738591</v>
      </c>
      <c r="C145" s="47" t="s">
        <v>199</v>
      </c>
      <c r="D145" s="47" t="s">
        <v>694</v>
      </c>
      <c r="E145" t="s">
        <v>588</v>
      </c>
    </row>
    <row r="146" spans="1:5" ht="16" hidden="1" x14ac:dyDescent="0.35">
      <c r="A146" s="47">
        <v>100026307</v>
      </c>
      <c r="B146" s="48">
        <v>7503039738591</v>
      </c>
      <c r="C146" s="47" t="s">
        <v>199</v>
      </c>
      <c r="D146" s="47" t="s">
        <v>695</v>
      </c>
      <c r="E146" t="s">
        <v>588</v>
      </c>
    </row>
    <row r="147" spans="1:5" ht="16" hidden="1" x14ac:dyDescent="0.35">
      <c r="A147" s="47">
        <v>100026307</v>
      </c>
      <c r="B147" s="48">
        <v>7503039738591</v>
      </c>
      <c r="C147" s="47" t="s">
        <v>199</v>
      </c>
      <c r="D147" s="47" t="s">
        <v>696</v>
      </c>
      <c r="E147" t="s">
        <v>588</v>
      </c>
    </row>
    <row r="148" spans="1:5" ht="16" hidden="1" x14ac:dyDescent="0.35">
      <c r="A148" s="47">
        <v>100026307</v>
      </c>
      <c r="B148" s="48">
        <v>7503039738591</v>
      </c>
      <c r="C148" s="47" t="s">
        <v>199</v>
      </c>
      <c r="D148" s="47" t="s">
        <v>697</v>
      </c>
      <c r="E148" t="s">
        <v>588</v>
      </c>
    </row>
    <row r="149" spans="1:5" ht="16" hidden="1" x14ac:dyDescent="0.35">
      <c r="A149" s="47">
        <v>100026307</v>
      </c>
      <c r="B149" s="48">
        <v>7503039738591</v>
      </c>
      <c r="C149" s="47" t="s">
        <v>199</v>
      </c>
      <c r="D149" s="47" t="s">
        <v>698</v>
      </c>
      <c r="E149" t="s">
        <v>588</v>
      </c>
    </row>
    <row r="150" spans="1:5" ht="16" hidden="1" x14ac:dyDescent="0.35">
      <c r="A150" s="47">
        <v>100026307</v>
      </c>
      <c r="B150" s="48">
        <v>7503039738591</v>
      </c>
      <c r="C150" s="47" t="s">
        <v>199</v>
      </c>
      <c r="D150" s="47" t="s">
        <v>657</v>
      </c>
      <c r="E150" t="s">
        <v>588</v>
      </c>
    </row>
    <row r="151" spans="1:5" ht="16" hidden="1" x14ac:dyDescent="0.35">
      <c r="A151" s="47">
        <v>100026307</v>
      </c>
      <c r="B151" s="48">
        <v>7503039738591</v>
      </c>
      <c r="C151" s="47" t="s">
        <v>199</v>
      </c>
      <c r="D151" s="47" t="s">
        <v>699</v>
      </c>
      <c r="E151" t="s">
        <v>588</v>
      </c>
    </row>
    <row r="152" spans="1:5" ht="16" hidden="1" x14ac:dyDescent="0.35">
      <c r="A152" s="47">
        <v>100026304</v>
      </c>
      <c r="B152" s="48">
        <v>7503039738560</v>
      </c>
      <c r="C152" s="47" t="s">
        <v>561</v>
      </c>
      <c r="D152" s="47" t="s">
        <v>687</v>
      </c>
      <c r="E152" t="s">
        <v>588</v>
      </c>
    </row>
    <row r="153" spans="1:5" ht="16" hidden="1" x14ac:dyDescent="0.35">
      <c r="A153" s="47">
        <v>100026304</v>
      </c>
      <c r="B153" s="48">
        <v>7503039738560</v>
      </c>
      <c r="C153" s="47" t="s">
        <v>561</v>
      </c>
      <c r="D153" s="47" t="s">
        <v>688</v>
      </c>
      <c r="E153" t="s">
        <v>588</v>
      </c>
    </row>
    <row r="154" spans="1:5" ht="16" hidden="1" x14ac:dyDescent="0.35">
      <c r="A154" s="47">
        <v>100026304</v>
      </c>
      <c r="B154" s="48">
        <v>7503039738560</v>
      </c>
      <c r="C154" s="47" t="s">
        <v>561</v>
      </c>
      <c r="D154" s="47" t="s">
        <v>656</v>
      </c>
      <c r="E154" t="s">
        <v>588</v>
      </c>
    </row>
    <row r="155" spans="1:5" ht="16" hidden="1" x14ac:dyDescent="0.35">
      <c r="A155" s="47">
        <v>100026304</v>
      </c>
      <c r="B155" s="48">
        <v>7503039738560</v>
      </c>
      <c r="C155" s="47" t="s">
        <v>561</v>
      </c>
      <c r="D155" s="47" t="s">
        <v>689</v>
      </c>
      <c r="E155" t="s">
        <v>588</v>
      </c>
    </row>
    <row r="156" spans="1:5" ht="16" hidden="1" x14ac:dyDescent="0.35">
      <c r="A156" s="47">
        <v>100026304</v>
      </c>
      <c r="B156" s="48">
        <v>7503039738560</v>
      </c>
      <c r="C156" s="47" t="s">
        <v>561</v>
      </c>
      <c r="D156" s="47" t="s">
        <v>690</v>
      </c>
      <c r="E156" t="s">
        <v>588</v>
      </c>
    </row>
    <row r="157" spans="1:5" ht="16" hidden="1" x14ac:dyDescent="0.35">
      <c r="A157" s="47">
        <v>100026304</v>
      </c>
      <c r="B157" s="48">
        <v>7503039738560</v>
      </c>
      <c r="C157" s="47" t="s">
        <v>561</v>
      </c>
      <c r="D157" s="47" t="s">
        <v>691</v>
      </c>
      <c r="E157" t="s">
        <v>588</v>
      </c>
    </row>
    <row r="158" spans="1:5" ht="16" hidden="1" x14ac:dyDescent="0.35">
      <c r="A158" s="47">
        <v>100026304</v>
      </c>
      <c r="B158" s="48">
        <v>7503039738560</v>
      </c>
      <c r="C158" s="47" t="s">
        <v>561</v>
      </c>
      <c r="D158" s="47" t="s">
        <v>692</v>
      </c>
      <c r="E158" t="s">
        <v>588</v>
      </c>
    </row>
    <row r="159" spans="1:5" ht="16" hidden="1" x14ac:dyDescent="0.35">
      <c r="A159" s="47">
        <v>100026304</v>
      </c>
      <c r="B159" s="48">
        <v>7503039738560</v>
      </c>
      <c r="C159" s="47" t="s">
        <v>561</v>
      </c>
      <c r="D159" s="47" t="s">
        <v>693</v>
      </c>
      <c r="E159" t="s">
        <v>588</v>
      </c>
    </row>
    <row r="160" spans="1:5" ht="16" hidden="1" x14ac:dyDescent="0.35">
      <c r="A160" s="47">
        <v>100026304</v>
      </c>
      <c r="B160" s="48">
        <v>7503039738560</v>
      </c>
      <c r="C160" s="47" t="s">
        <v>561</v>
      </c>
      <c r="D160" s="47" t="s">
        <v>694</v>
      </c>
      <c r="E160" t="s">
        <v>588</v>
      </c>
    </row>
    <row r="161" spans="1:5" ht="16" hidden="1" x14ac:dyDescent="0.35">
      <c r="A161" s="47">
        <v>100026304</v>
      </c>
      <c r="B161" s="48">
        <v>7503039738560</v>
      </c>
      <c r="C161" s="47" t="s">
        <v>561</v>
      </c>
      <c r="D161" s="47" t="s">
        <v>695</v>
      </c>
      <c r="E161" t="s">
        <v>588</v>
      </c>
    </row>
    <row r="162" spans="1:5" ht="16" hidden="1" x14ac:dyDescent="0.35">
      <c r="A162" s="47">
        <v>100026304</v>
      </c>
      <c r="B162" s="48">
        <v>7503039738560</v>
      </c>
      <c r="C162" s="47" t="s">
        <v>561</v>
      </c>
      <c r="D162" s="47" t="s">
        <v>696</v>
      </c>
      <c r="E162" t="s">
        <v>588</v>
      </c>
    </row>
    <row r="163" spans="1:5" ht="16" hidden="1" x14ac:dyDescent="0.35">
      <c r="A163" s="47">
        <v>100026304</v>
      </c>
      <c r="B163" s="48">
        <v>7503039738560</v>
      </c>
      <c r="C163" s="47" t="s">
        <v>561</v>
      </c>
      <c r="D163" s="47" t="s">
        <v>697</v>
      </c>
      <c r="E163" t="s">
        <v>588</v>
      </c>
    </row>
    <row r="164" spans="1:5" ht="16" hidden="1" x14ac:dyDescent="0.35">
      <c r="A164" s="47">
        <v>100026304</v>
      </c>
      <c r="B164" s="48">
        <v>7503039738560</v>
      </c>
      <c r="C164" s="47" t="s">
        <v>561</v>
      </c>
      <c r="D164" s="47" t="s">
        <v>698</v>
      </c>
      <c r="E164" t="s">
        <v>588</v>
      </c>
    </row>
    <row r="165" spans="1:5" ht="16" hidden="1" x14ac:dyDescent="0.35">
      <c r="A165" s="47">
        <v>100026304</v>
      </c>
      <c r="B165" s="48">
        <v>7503039738560</v>
      </c>
      <c r="C165" s="47" t="s">
        <v>561</v>
      </c>
      <c r="D165" s="47" t="s">
        <v>657</v>
      </c>
      <c r="E165" t="s">
        <v>588</v>
      </c>
    </row>
    <row r="166" spans="1:5" ht="16" hidden="1" x14ac:dyDescent="0.35">
      <c r="A166" s="47">
        <v>100026304</v>
      </c>
      <c r="B166" s="48">
        <v>7503039738560</v>
      </c>
      <c r="C166" s="47" t="s">
        <v>561</v>
      </c>
      <c r="D166" s="47" t="s">
        <v>699</v>
      </c>
      <c r="E166" t="s">
        <v>588</v>
      </c>
    </row>
    <row r="167" spans="1:5" ht="16" hidden="1" x14ac:dyDescent="0.35">
      <c r="A167" s="47">
        <v>100025292</v>
      </c>
      <c r="B167" s="48">
        <v>7503039738386</v>
      </c>
      <c r="C167" s="47" t="s">
        <v>563</v>
      </c>
      <c r="D167" s="47" t="s">
        <v>687</v>
      </c>
      <c r="E167" t="s">
        <v>588</v>
      </c>
    </row>
    <row r="168" spans="1:5" ht="16" hidden="1" x14ac:dyDescent="0.35">
      <c r="A168" s="47">
        <v>100025292</v>
      </c>
      <c r="B168" s="48">
        <v>7503039738386</v>
      </c>
      <c r="C168" s="47" t="s">
        <v>563</v>
      </c>
      <c r="D168" s="47" t="s">
        <v>688</v>
      </c>
      <c r="E168" t="s">
        <v>588</v>
      </c>
    </row>
    <row r="169" spans="1:5" ht="16" hidden="1" x14ac:dyDescent="0.35">
      <c r="A169" s="47">
        <v>100025292</v>
      </c>
      <c r="B169" s="48">
        <v>7503039738386</v>
      </c>
      <c r="C169" s="47" t="s">
        <v>563</v>
      </c>
      <c r="D169" s="47" t="s">
        <v>656</v>
      </c>
      <c r="E169" t="s">
        <v>588</v>
      </c>
    </row>
    <row r="170" spans="1:5" ht="16" hidden="1" x14ac:dyDescent="0.35">
      <c r="A170" s="47">
        <v>100025292</v>
      </c>
      <c r="B170" s="48">
        <v>7503039738386</v>
      </c>
      <c r="C170" s="47" t="s">
        <v>563</v>
      </c>
      <c r="D170" s="47" t="s">
        <v>689</v>
      </c>
      <c r="E170" t="s">
        <v>588</v>
      </c>
    </row>
    <row r="171" spans="1:5" ht="16" hidden="1" x14ac:dyDescent="0.35">
      <c r="A171" s="47">
        <v>100025292</v>
      </c>
      <c r="B171" s="48">
        <v>7503039738386</v>
      </c>
      <c r="C171" s="47" t="s">
        <v>563</v>
      </c>
      <c r="D171" s="47" t="s">
        <v>690</v>
      </c>
      <c r="E171" t="s">
        <v>588</v>
      </c>
    </row>
    <row r="172" spans="1:5" ht="16" hidden="1" x14ac:dyDescent="0.35">
      <c r="A172" s="47">
        <v>100025292</v>
      </c>
      <c r="B172" s="48">
        <v>7503039738386</v>
      </c>
      <c r="C172" s="47" t="s">
        <v>563</v>
      </c>
      <c r="D172" s="47" t="s">
        <v>691</v>
      </c>
      <c r="E172" t="s">
        <v>588</v>
      </c>
    </row>
    <row r="173" spans="1:5" ht="16" hidden="1" x14ac:dyDescent="0.35">
      <c r="A173" s="47">
        <v>100025292</v>
      </c>
      <c r="B173" s="48">
        <v>7503039738386</v>
      </c>
      <c r="C173" s="47" t="s">
        <v>563</v>
      </c>
      <c r="D173" s="47" t="s">
        <v>692</v>
      </c>
      <c r="E173" t="s">
        <v>588</v>
      </c>
    </row>
    <row r="174" spans="1:5" ht="16" hidden="1" x14ac:dyDescent="0.35">
      <c r="A174" s="47">
        <v>100025292</v>
      </c>
      <c r="B174" s="48">
        <v>7503039738386</v>
      </c>
      <c r="C174" s="47" t="s">
        <v>563</v>
      </c>
      <c r="D174" s="47" t="s">
        <v>693</v>
      </c>
      <c r="E174" t="s">
        <v>588</v>
      </c>
    </row>
    <row r="175" spans="1:5" ht="16" hidden="1" x14ac:dyDescent="0.35">
      <c r="A175" s="47">
        <v>100025292</v>
      </c>
      <c r="B175" s="48">
        <v>7503039738386</v>
      </c>
      <c r="C175" s="47" t="s">
        <v>563</v>
      </c>
      <c r="D175" s="47" t="s">
        <v>694</v>
      </c>
      <c r="E175" t="s">
        <v>588</v>
      </c>
    </row>
    <row r="176" spans="1:5" ht="16" hidden="1" x14ac:dyDescent="0.35">
      <c r="A176" s="47">
        <v>100025292</v>
      </c>
      <c r="B176" s="48">
        <v>7503039738386</v>
      </c>
      <c r="C176" s="47" t="s">
        <v>563</v>
      </c>
      <c r="D176" s="47" t="s">
        <v>695</v>
      </c>
      <c r="E176" t="s">
        <v>588</v>
      </c>
    </row>
    <row r="177" spans="1:5" ht="16" hidden="1" x14ac:dyDescent="0.35">
      <c r="A177" s="47">
        <v>100025292</v>
      </c>
      <c r="B177" s="48">
        <v>7503039738386</v>
      </c>
      <c r="C177" s="47" t="s">
        <v>563</v>
      </c>
      <c r="D177" s="47" t="s">
        <v>696</v>
      </c>
      <c r="E177" t="s">
        <v>588</v>
      </c>
    </row>
    <row r="178" spans="1:5" ht="16" hidden="1" x14ac:dyDescent="0.35">
      <c r="A178" s="47">
        <v>100025292</v>
      </c>
      <c r="B178" s="48">
        <v>7503039738386</v>
      </c>
      <c r="C178" s="47" t="s">
        <v>563</v>
      </c>
      <c r="D178" s="47" t="s">
        <v>697</v>
      </c>
      <c r="E178" t="s">
        <v>588</v>
      </c>
    </row>
    <row r="179" spans="1:5" ht="16" hidden="1" x14ac:dyDescent="0.35">
      <c r="A179" s="47">
        <v>100025292</v>
      </c>
      <c r="B179" s="48">
        <v>7503039738386</v>
      </c>
      <c r="C179" s="47" t="s">
        <v>563</v>
      </c>
      <c r="D179" s="47" t="s">
        <v>698</v>
      </c>
      <c r="E179" t="s">
        <v>588</v>
      </c>
    </row>
    <row r="180" spans="1:5" ht="16" hidden="1" x14ac:dyDescent="0.35">
      <c r="A180" s="47">
        <v>100025292</v>
      </c>
      <c r="B180" s="48">
        <v>7503039738386</v>
      </c>
      <c r="C180" s="47" t="s">
        <v>563</v>
      </c>
      <c r="D180" s="47" t="s">
        <v>657</v>
      </c>
      <c r="E180" t="s">
        <v>588</v>
      </c>
    </row>
    <row r="181" spans="1:5" ht="16" hidden="1" x14ac:dyDescent="0.35">
      <c r="A181" s="47">
        <v>100025292</v>
      </c>
      <c r="B181" s="48">
        <v>7503039738386</v>
      </c>
      <c r="C181" s="47" t="s">
        <v>563</v>
      </c>
      <c r="D181" s="47" t="s">
        <v>699</v>
      </c>
      <c r="E181" t="s">
        <v>588</v>
      </c>
    </row>
    <row r="182" spans="1:5" ht="16" hidden="1" x14ac:dyDescent="0.35">
      <c r="A182" s="47">
        <v>100025297</v>
      </c>
      <c r="B182" s="48">
        <v>7503039738393</v>
      </c>
      <c r="C182" s="47" t="s">
        <v>192</v>
      </c>
      <c r="D182" s="47" t="s">
        <v>687</v>
      </c>
      <c r="E182" t="s">
        <v>588</v>
      </c>
    </row>
    <row r="183" spans="1:5" ht="16" hidden="1" x14ac:dyDescent="0.35">
      <c r="A183" s="47">
        <v>100025297</v>
      </c>
      <c r="B183" s="48">
        <v>7503039738393</v>
      </c>
      <c r="C183" s="47" t="s">
        <v>192</v>
      </c>
      <c r="D183" s="47" t="s">
        <v>688</v>
      </c>
      <c r="E183" t="s">
        <v>588</v>
      </c>
    </row>
    <row r="184" spans="1:5" ht="16" hidden="1" x14ac:dyDescent="0.35">
      <c r="A184" s="47">
        <v>100025297</v>
      </c>
      <c r="B184" s="48">
        <v>7503039738393</v>
      </c>
      <c r="C184" s="47" t="s">
        <v>192</v>
      </c>
      <c r="D184" s="47" t="s">
        <v>656</v>
      </c>
      <c r="E184" t="s">
        <v>588</v>
      </c>
    </row>
    <row r="185" spans="1:5" ht="16" hidden="1" x14ac:dyDescent="0.35">
      <c r="A185" s="47">
        <v>100025297</v>
      </c>
      <c r="B185" s="48">
        <v>7503039738393</v>
      </c>
      <c r="C185" s="47" t="s">
        <v>192</v>
      </c>
      <c r="D185" s="47" t="s">
        <v>689</v>
      </c>
      <c r="E185" t="s">
        <v>588</v>
      </c>
    </row>
    <row r="186" spans="1:5" ht="16" hidden="1" x14ac:dyDescent="0.35">
      <c r="A186" s="47">
        <v>100025297</v>
      </c>
      <c r="B186" s="48">
        <v>7503039738393</v>
      </c>
      <c r="C186" s="47" t="s">
        <v>192</v>
      </c>
      <c r="D186" s="47" t="s">
        <v>690</v>
      </c>
      <c r="E186" t="s">
        <v>588</v>
      </c>
    </row>
    <row r="187" spans="1:5" ht="16" hidden="1" x14ac:dyDescent="0.35">
      <c r="A187" s="47">
        <v>100025297</v>
      </c>
      <c r="B187" s="48">
        <v>7503039738393</v>
      </c>
      <c r="C187" s="47" t="s">
        <v>192</v>
      </c>
      <c r="D187" s="47" t="s">
        <v>691</v>
      </c>
      <c r="E187" t="s">
        <v>588</v>
      </c>
    </row>
    <row r="188" spans="1:5" ht="16" hidden="1" x14ac:dyDescent="0.35">
      <c r="A188" s="47">
        <v>100025297</v>
      </c>
      <c r="B188" s="48">
        <v>7503039738393</v>
      </c>
      <c r="C188" s="47" t="s">
        <v>192</v>
      </c>
      <c r="D188" s="47" t="s">
        <v>692</v>
      </c>
      <c r="E188" t="s">
        <v>588</v>
      </c>
    </row>
    <row r="189" spans="1:5" ht="16" hidden="1" x14ac:dyDescent="0.35">
      <c r="A189" s="47">
        <v>100025297</v>
      </c>
      <c r="B189" s="48">
        <v>7503039738393</v>
      </c>
      <c r="C189" s="47" t="s">
        <v>192</v>
      </c>
      <c r="D189" s="47" t="s">
        <v>693</v>
      </c>
      <c r="E189" t="s">
        <v>588</v>
      </c>
    </row>
    <row r="190" spans="1:5" ht="16" hidden="1" x14ac:dyDescent="0.35">
      <c r="A190" s="47">
        <v>100025297</v>
      </c>
      <c r="B190" s="48">
        <v>7503039738393</v>
      </c>
      <c r="C190" s="47" t="s">
        <v>192</v>
      </c>
      <c r="D190" s="47" t="s">
        <v>694</v>
      </c>
      <c r="E190" t="s">
        <v>588</v>
      </c>
    </row>
    <row r="191" spans="1:5" ht="16" hidden="1" x14ac:dyDescent="0.35">
      <c r="A191" s="47">
        <v>100025297</v>
      </c>
      <c r="B191" s="48">
        <v>7503039738393</v>
      </c>
      <c r="C191" s="47" t="s">
        <v>192</v>
      </c>
      <c r="D191" s="47" t="s">
        <v>695</v>
      </c>
      <c r="E191" t="s">
        <v>588</v>
      </c>
    </row>
    <row r="192" spans="1:5" ht="16" hidden="1" x14ac:dyDescent="0.35">
      <c r="A192" s="47">
        <v>100025297</v>
      </c>
      <c r="B192" s="48">
        <v>7503039738393</v>
      </c>
      <c r="C192" s="47" t="s">
        <v>192</v>
      </c>
      <c r="D192" s="47" t="s">
        <v>696</v>
      </c>
      <c r="E192" t="s">
        <v>588</v>
      </c>
    </row>
    <row r="193" spans="1:5" ht="16" hidden="1" x14ac:dyDescent="0.35">
      <c r="A193" s="47">
        <v>100025297</v>
      </c>
      <c r="B193" s="48">
        <v>7503039738393</v>
      </c>
      <c r="C193" s="47" t="s">
        <v>192</v>
      </c>
      <c r="D193" s="47" t="s">
        <v>697</v>
      </c>
      <c r="E193" t="s">
        <v>588</v>
      </c>
    </row>
    <row r="194" spans="1:5" ht="16" hidden="1" x14ac:dyDescent="0.35">
      <c r="A194" s="47">
        <v>100025297</v>
      </c>
      <c r="B194" s="48">
        <v>7503039738393</v>
      </c>
      <c r="C194" s="47" t="s">
        <v>192</v>
      </c>
      <c r="D194" s="47" t="s">
        <v>698</v>
      </c>
      <c r="E194" t="s">
        <v>588</v>
      </c>
    </row>
    <row r="195" spans="1:5" ht="16" hidden="1" x14ac:dyDescent="0.35">
      <c r="A195" s="47">
        <v>100025297</v>
      </c>
      <c r="B195" s="48">
        <v>7503039738393</v>
      </c>
      <c r="C195" s="47" t="s">
        <v>192</v>
      </c>
      <c r="D195" s="47" t="s">
        <v>657</v>
      </c>
      <c r="E195" t="s">
        <v>588</v>
      </c>
    </row>
    <row r="196" spans="1:5" ht="16" hidden="1" x14ac:dyDescent="0.35">
      <c r="A196" s="47">
        <v>100025297</v>
      </c>
      <c r="B196" s="48">
        <v>7503039738393</v>
      </c>
      <c r="C196" s="47" t="s">
        <v>192</v>
      </c>
      <c r="D196" s="47" t="s">
        <v>699</v>
      </c>
      <c r="E196" t="s">
        <v>588</v>
      </c>
    </row>
    <row r="197" spans="1:5" ht="16" hidden="1" x14ac:dyDescent="0.35">
      <c r="A197" s="47">
        <v>100025298</v>
      </c>
      <c r="B197" s="48">
        <v>7503039738416</v>
      </c>
      <c r="C197" s="47" t="s">
        <v>197</v>
      </c>
      <c r="D197" s="47" t="s">
        <v>687</v>
      </c>
      <c r="E197" t="s">
        <v>588</v>
      </c>
    </row>
    <row r="198" spans="1:5" ht="16" hidden="1" x14ac:dyDescent="0.35">
      <c r="A198" s="47">
        <v>100025298</v>
      </c>
      <c r="B198" s="48">
        <v>7503039738416</v>
      </c>
      <c r="C198" s="47" t="s">
        <v>197</v>
      </c>
      <c r="D198" s="47" t="s">
        <v>688</v>
      </c>
      <c r="E198" t="s">
        <v>588</v>
      </c>
    </row>
    <row r="199" spans="1:5" ht="16" hidden="1" x14ac:dyDescent="0.35">
      <c r="A199" s="47">
        <v>100025298</v>
      </c>
      <c r="B199" s="48">
        <v>7503039738416</v>
      </c>
      <c r="C199" s="47" t="s">
        <v>197</v>
      </c>
      <c r="D199" s="47" t="s">
        <v>656</v>
      </c>
      <c r="E199" t="s">
        <v>588</v>
      </c>
    </row>
    <row r="200" spans="1:5" ht="16" hidden="1" x14ac:dyDescent="0.35">
      <c r="A200" s="47">
        <v>100025298</v>
      </c>
      <c r="B200" s="48">
        <v>7503039738416</v>
      </c>
      <c r="C200" s="47" t="s">
        <v>197</v>
      </c>
      <c r="D200" s="47" t="s">
        <v>689</v>
      </c>
      <c r="E200" t="s">
        <v>588</v>
      </c>
    </row>
    <row r="201" spans="1:5" ht="16" hidden="1" x14ac:dyDescent="0.35">
      <c r="A201" s="47">
        <v>100025298</v>
      </c>
      <c r="B201" s="48">
        <v>7503039738416</v>
      </c>
      <c r="C201" s="47" t="s">
        <v>197</v>
      </c>
      <c r="D201" s="47" t="s">
        <v>690</v>
      </c>
      <c r="E201" t="s">
        <v>588</v>
      </c>
    </row>
    <row r="202" spans="1:5" ht="16" hidden="1" x14ac:dyDescent="0.35">
      <c r="A202" s="47">
        <v>100025298</v>
      </c>
      <c r="B202" s="48">
        <v>7503039738416</v>
      </c>
      <c r="C202" s="47" t="s">
        <v>197</v>
      </c>
      <c r="D202" s="47" t="s">
        <v>691</v>
      </c>
      <c r="E202" t="s">
        <v>588</v>
      </c>
    </row>
    <row r="203" spans="1:5" ht="16" hidden="1" x14ac:dyDescent="0.35">
      <c r="A203" s="47">
        <v>100025298</v>
      </c>
      <c r="B203" s="48">
        <v>7503039738416</v>
      </c>
      <c r="C203" s="47" t="s">
        <v>197</v>
      </c>
      <c r="D203" s="47" t="s">
        <v>692</v>
      </c>
      <c r="E203" t="s">
        <v>588</v>
      </c>
    </row>
    <row r="204" spans="1:5" ht="16" hidden="1" x14ac:dyDescent="0.35">
      <c r="A204" s="47">
        <v>100025298</v>
      </c>
      <c r="B204" s="48">
        <v>7503039738416</v>
      </c>
      <c r="C204" s="47" t="s">
        <v>197</v>
      </c>
      <c r="D204" s="47" t="s">
        <v>693</v>
      </c>
      <c r="E204" t="s">
        <v>588</v>
      </c>
    </row>
    <row r="205" spans="1:5" ht="16" hidden="1" x14ac:dyDescent="0.35">
      <c r="A205" s="47">
        <v>100025298</v>
      </c>
      <c r="B205" s="48">
        <v>7503039738416</v>
      </c>
      <c r="C205" s="47" t="s">
        <v>197</v>
      </c>
      <c r="D205" s="47" t="s">
        <v>694</v>
      </c>
      <c r="E205" t="s">
        <v>588</v>
      </c>
    </row>
    <row r="206" spans="1:5" ht="16" hidden="1" x14ac:dyDescent="0.35">
      <c r="A206" s="47">
        <v>100025298</v>
      </c>
      <c r="B206" s="48">
        <v>7503039738416</v>
      </c>
      <c r="C206" s="47" t="s">
        <v>197</v>
      </c>
      <c r="D206" s="47" t="s">
        <v>695</v>
      </c>
      <c r="E206" t="s">
        <v>588</v>
      </c>
    </row>
    <row r="207" spans="1:5" ht="16" hidden="1" x14ac:dyDescent="0.35">
      <c r="A207" s="47">
        <v>100025298</v>
      </c>
      <c r="B207" s="48">
        <v>7503039738416</v>
      </c>
      <c r="C207" s="47" t="s">
        <v>197</v>
      </c>
      <c r="D207" s="47" t="s">
        <v>696</v>
      </c>
      <c r="E207" t="s">
        <v>588</v>
      </c>
    </row>
    <row r="208" spans="1:5" ht="16" hidden="1" x14ac:dyDescent="0.35">
      <c r="A208" s="47">
        <v>100025298</v>
      </c>
      <c r="B208" s="48">
        <v>7503039738416</v>
      </c>
      <c r="C208" s="47" t="s">
        <v>197</v>
      </c>
      <c r="D208" s="47" t="s">
        <v>697</v>
      </c>
      <c r="E208" t="s">
        <v>588</v>
      </c>
    </row>
    <row r="209" spans="1:5" ht="16" hidden="1" x14ac:dyDescent="0.35">
      <c r="A209" s="47">
        <v>100025298</v>
      </c>
      <c r="B209" s="48">
        <v>7503039738416</v>
      </c>
      <c r="C209" s="47" t="s">
        <v>197</v>
      </c>
      <c r="D209" s="47" t="s">
        <v>698</v>
      </c>
      <c r="E209" t="s">
        <v>588</v>
      </c>
    </row>
    <row r="210" spans="1:5" ht="16" hidden="1" x14ac:dyDescent="0.35">
      <c r="A210" s="47">
        <v>100025298</v>
      </c>
      <c r="B210" s="48">
        <v>7503039738416</v>
      </c>
      <c r="C210" s="47" t="s">
        <v>197</v>
      </c>
      <c r="D210" s="47" t="s">
        <v>657</v>
      </c>
      <c r="E210" t="s">
        <v>588</v>
      </c>
    </row>
    <row r="211" spans="1:5" ht="16" hidden="1" x14ac:dyDescent="0.35">
      <c r="A211" s="47">
        <v>100025298</v>
      </c>
      <c r="B211" s="48">
        <v>7503039738416</v>
      </c>
      <c r="C211" s="47" t="s">
        <v>197</v>
      </c>
      <c r="D211" s="47" t="s">
        <v>699</v>
      </c>
      <c r="E211" t="s">
        <v>588</v>
      </c>
    </row>
    <row r="212" spans="1:5" ht="16" hidden="1" x14ac:dyDescent="0.35">
      <c r="A212" s="47">
        <v>100025296</v>
      </c>
      <c r="B212" s="48">
        <v>7503039738409</v>
      </c>
      <c r="C212" s="47" t="s">
        <v>556</v>
      </c>
      <c r="D212" s="47" t="s">
        <v>687</v>
      </c>
      <c r="E212" t="s">
        <v>588</v>
      </c>
    </row>
    <row r="213" spans="1:5" ht="16" hidden="1" x14ac:dyDescent="0.35">
      <c r="A213" s="47">
        <v>100025296</v>
      </c>
      <c r="B213" s="48">
        <v>7503039738409</v>
      </c>
      <c r="C213" s="47" t="s">
        <v>556</v>
      </c>
      <c r="D213" s="47" t="s">
        <v>688</v>
      </c>
      <c r="E213" t="s">
        <v>588</v>
      </c>
    </row>
    <row r="214" spans="1:5" ht="16" hidden="1" x14ac:dyDescent="0.35">
      <c r="A214" s="47">
        <v>100025296</v>
      </c>
      <c r="B214" s="48">
        <v>7503039738409</v>
      </c>
      <c r="C214" s="47" t="s">
        <v>556</v>
      </c>
      <c r="D214" s="47" t="s">
        <v>656</v>
      </c>
      <c r="E214" t="s">
        <v>588</v>
      </c>
    </row>
    <row r="215" spans="1:5" ht="16" hidden="1" x14ac:dyDescent="0.35">
      <c r="A215" s="47">
        <v>100025296</v>
      </c>
      <c r="B215" s="48">
        <v>7503039738409</v>
      </c>
      <c r="C215" s="47" t="s">
        <v>556</v>
      </c>
      <c r="D215" s="47" t="s">
        <v>689</v>
      </c>
      <c r="E215" t="s">
        <v>588</v>
      </c>
    </row>
    <row r="216" spans="1:5" ht="16" hidden="1" x14ac:dyDescent="0.35">
      <c r="A216" s="47">
        <v>100025296</v>
      </c>
      <c r="B216" s="48">
        <v>7503039738409</v>
      </c>
      <c r="C216" s="47" t="s">
        <v>556</v>
      </c>
      <c r="D216" s="47" t="s">
        <v>690</v>
      </c>
      <c r="E216" t="s">
        <v>588</v>
      </c>
    </row>
    <row r="217" spans="1:5" ht="16" hidden="1" x14ac:dyDescent="0.35">
      <c r="A217" s="47">
        <v>100025296</v>
      </c>
      <c r="B217" s="48">
        <v>7503039738409</v>
      </c>
      <c r="C217" s="47" t="s">
        <v>556</v>
      </c>
      <c r="D217" s="47" t="s">
        <v>691</v>
      </c>
      <c r="E217" t="s">
        <v>588</v>
      </c>
    </row>
    <row r="218" spans="1:5" ht="16" hidden="1" x14ac:dyDescent="0.35">
      <c r="A218" s="47">
        <v>100025296</v>
      </c>
      <c r="B218" s="48">
        <v>7503039738409</v>
      </c>
      <c r="C218" s="47" t="s">
        <v>556</v>
      </c>
      <c r="D218" s="47" t="s">
        <v>692</v>
      </c>
      <c r="E218" t="s">
        <v>588</v>
      </c>
    </row>
    <row r="219" spans="1:5" ht="16" hidden="1" x14ac:dyDescent="0.35">
      <c r="A219" s="47">
        <v>100025296</v>
      </c>
      <c r="B219" s="48">
        <v>7503039738409</v>
      </c>
      <c r="C219" s="47" t="s">
        <v>556</v>
      </c>
      <c r="D219" s="47" t="s">
        <v>693</v>
      </c>
      <c r="E219" t="s">
        <v>588</v>
      </c>
    </row>
    <row r="220" spans="1:5" ht="16" hidden="1" x14ac:dyDescent="0.35">
      <c r="A220" s="47">
        <v>100025296</v>
      </c>
      <c r="B220" s="48">
        <v>7503039738409</v>
      </c>
      <c r="C220" s="47" t="s">
        <v>556</v>
      </c>
      <c r="D220" s="47" t="s">
        <v>694</v>
      </c>
      <c r="E220" t="s">
        <v>588</v>
      </c>
    </row>
    <row r="221" spans="1:5" ht="16" hidden="1" x14ac:dyDescent="0.35">
      <c r="A221" s="47">
        <v>100025296</v>
      </c>
      <c r="B221" s="48">
        <v>7503039738409</v>
      </c>
      <c r="C221" s="47" t="s">
        <v>556</v>
      </c>
      <c r="D221" s="47" t="s">
        <v>695</v>
      </c>
      <c r="E221" t="s">
        <v>588</v>
      </c>
    </row>
    <row r="222" spans="1:5" ht="16" hidden="1" x14ac:dyDescent="0.35">
      <c r="A222" s="47">
        <v>100025296</v>
      </c>
      <c r="B222" s="48">
        <v>7503039738409</v>
      </c>
      <c r="C222" s="47" t="s">
        <v>556</v>
      </c>
      <c r="D222" s="47" t="s">
        <v>696</v>
      </c>
      <c r="E222" t="s">
        <v>588</v>
      </c>
    </row>
    <row r="223" spans="1:5" ht="16" hidden="1" x14ac:dyDescent="0.35">
      <c r="A223" s="47">
        <v>100025296</v>
      </c>
      <c r="B223" s="48">
        <v>7503039738409</v>
      </c>
      <c r="C223" s="47" t="s">
        <v>556</v>
      </c>
      <c r="D223" s="47" t="s">
        <v>697</v>
      </c>
      <c r="E223" t="s">
        <v>588</v>
      </c>
    </row>
    <row r="224" spans="1:5" ht="16" hidden="1" x14ac:dyDescent="0.35">
      <c r="A224" s="47">
        <v>100025296</v>
      </c>
      <c r="B224" s="48">
        <v>7503039738409</v>
      </c>
      <c r="C224" s="47" t="s">
        <v>556</v>
      </c>
      <c r="D224" s="47" t="s">
        <v>698</v>
      </c>
      <c r="E224" t="s">
        <v>588</v>
      </c>
    </row>
    <row r="225" spans="1:5" ht="16" hidden="1" x14ac:dyDescent="0.35">
      <c r="A225" s="47">
        <v>100025296</v>
      </c>
      <c r="B225" s="48">
        <v>7503039738409</v>
      </c>
      <c r="C225" s="47" t="s">
        <v>556</v>
      </c>
      <c r="D225" s="47" t="s">
        <v>657</v>
      </c>
      <c r="E225" t="s">
        <v>588</v>
      </c>
    </row>
    <row r="226" spans="1:5" ht="16" hidden="1" x14ac:dyDescent="0.35">
      <c r="A226" s="47">
        <v>100025296</v>
      </c>
      <c r="B226" s="48">
        <v>7503039738409</v>
      </c>
      <c r="C226" s="47" t="s">
        <v>556</v>
      </c>
      <c r="D226" s="47" t="s">
        <v>699</v>
      </c>
      <c r="E226" t="s">
        <v>588</v>
      </c>
    </row>
    <row r="227" spans="1:5" ht="16" hidden="1" x14ac:dyDescent="0.35">
      <c r="A227" s="48">
        <v>7311250044441</v>
      </c>
      <c r="B227" s="48">
        <v>100024400</v>
      </c>
      <c r="C227" s="48" t="s">
        <v>21</v>
      </c>
      <c r="D227" s="47" t="s">
        <v>687</v>
      </c>
      <c r="E227" t="s">
        <v>588</v>
      </c>
    </row>
    <row r="228" spans="1:5" ht="16" hidden="1" x14ac:dyDescent="0.35">
      <c r="A228" s="48">
        <v>7311250044441</v>
      </c>
      <c r="B228" s="48">
        <v>100024400</v>
      </c>
      <c r="C228" s="48" t="s">
        <v>21</v>
      </c>
      <c r="D228" s="47" t="s">
        <v>688</v>
      </c>
      <c r="E228" t="s">
        <v>588</v>
      </c>
    </row>
    <row r="229" spans="1:5" ht="16" hidden="1" x14ac:dyDescent="0.35">
      <c r="A229" s="48">
        <v>7311250044441</v>
      </c>
      <c r="B229" s="48">
        <v>100024400</v>
      </c>
      <c r="C229" s="48" t="s">
        <v>21</v>
      </c>
      <c r="D229" s="47" t="s">
        <v>656</v>
      </c>
      <c r="E229" t="s">
        <v>588</v>
      </c>
    </row>
    <row r="230" spans="1:5" ht="16" hidden="1" x14ac:dyDescent="0.35">
      <c r="A230" s="48">
        <v>7311250044441</v>
      </c>
      <c r="B230" s="48">
        <v>100024400</v>
      </c>
      <c r="C230" s="48" t="s">
        <v>21</v>
      </c>
      <c r="D230" s="47" t="s">
        <v>689</v>
      </c>
      <c r="E230" t="s">
        <v>588</v>
      </c>
    </row>
    <row r="231" spans="1:5" ht="16" hidden="1" x14ac:dyDescent="0.35">
      <c r="A231" s="48">
        <v>7311250044441</v>
      </c>
      <c r="B231" s="48">
        <v>100024400</v>
      </c>
      <c r="C231" s="48" t="s">
        <v>21</v>
      </c>
      <c r="D231" s="47" t="s">
        <v>690</v>
      </c>
      <c r="E231" t="s">
        <v>588</v>
      </c>
    </row>
    <row r="232" spans="1:5" ht="16" hidden="1" x14ac:dyDescent="0.35">
      <c r="A232" s="48">
        <v>7311250044441</v>
      </c>
      <c r="B232" s="48">
        <v>100024400</v>
      </c>
      <c r="C232" s="48" t="s">
        <v>21</v>
      </c>
      <c r="D232" s="47" t="s">
        <v>691</v>
      </c>
      <c r="E232" t="s">
        <v>588</v>
      </c>
    </row>
    <row r="233" spans="1:5" ht="16" hidden="1" x14ac:dyDescent="0.35">
      <c r="A233" s="48">
        <v>7311250044441</v>
      </c>
      <c r="B233" s="48">
        <v>100024400</v>
      </c>
      <c r="C233" s="48" t="s">
        <v>21</v>
      </c>
      <c r="D233" s="47" t="s">
        <v>692</v>
      </c>
      <c r="E233" t="s">
        <v>588</v>
      </c>
    </row>
    <row r="234" spans="1:5" ht="16" hidden="1" x14ac:dyDescent="0.35">
      <c r="A234" s="48">
        <v>7311250044441</v>
      </c>
      <c r="B234" s="48">
        <v>100024400</v>
      </c>
      <c r="C234" s="48" t="s">
        <v>21</v>
      </c>
      <c r="D234" s="47" t="s">
        <v>693</v>
      </c>
      <c r="E234" t="s">
        <v>588</v>
      </c>
    </row>
    <row r="235" spans="1:5" ht="16" hidden="1" x14ac:dyDescent="0.35">
      <c r="A235" s="48">
        <v>7311250044441</v>
      </c>
      <c r="B235" s="48">
        <v>100024400</v>
      </c>
      <c r="C235" s="48" t="s">
        <v>21</v>
      </c>
      <c r="D235" s="47" t="s">
        <v>694</v>
      </c>
      <c r="E235" t="s">
        <v>588</v>
      </c>
    </row>
    <row r="236" spans="1:5" ht="16" hidden="1" x14ac:dyDescent="0.35">
      <c r="A236" s="48">
        <v>7311250044441</v>
      </c>
      <c r="B236" s="48">
        <v>100024400</v>
      </c>
      <c r="C236" s="48" t="s">
        <v>21</v>
      </c>
      <c r="D236" s="47" t="s">
        <v>695</v>
      </c>
      <c r="E236" t="s">
        <v>588</v>
      </c>
    </row>
    <row r="237" spans="1:5" ht="16" hidden="1" x14ac:dyDescent="0.35">
      <c r="A237" s="48">
        <v>7311250044441</v>
      </c>
      <c r="B237" s="48">
        <v>100024400</v>
      </c>
      <c r="C237" s="48" t="s">
        <v>21</v>
      </c>
      <c r="D237" s="47" t="s">
        <v>696</v>
      </c>
      <c r="E237" t="s">
        <v>588</v>
      </c>
    </row>
    <row r="238" spans="1:5" ht="16" hidden="1" x14ac:dyDescent="0.35">
      <c r="A238" s="48">
        <v>7311250044441</v>
      </c>
      <c r="B238" s="48">
        <v>100024400</v>
      </c>
      <c r="C238" s="48" t="s">
        <v>21</v>
      </c>
      <c r="D238" s="47" t="s">
        <v>697</v>
      </c>
      <c r="E238" t="s">
        <v>588</v>
      </c>
    </row>
    <row r="239" spans="1:5" ht="16" hidden="1" x14ac:dyDescent="0.35">
      <c r="A239" s="48">
        <v>7311250044441</v>
      </c>
      <c r="B239" s="48">
        <v>100024400</v>
      </c>
      <c r="C239" s="48" t="s">
        <v>21</v>
      </c>
      <c r="D239" s="47" t="s">
        <v>698</v>
      </c>
      <c r="E239" t="s">
        <v>588</v>
      </c>
    </row>
    <row r="240" spans="1:5" ht="16" hidden="1" x14ac:dyDescent="0.35">
      <c r="A240" s="48">
        <v>7311250044441</v>
      </c>
      <c r="B240" s="48">
        <v>100024400</v>
      </c>
      <c r="C240" s="48" t="s">
        <v>21</v>
      </c>
      <c r="D240" s="47" t="s">
        <v>657</v>
      </c>
      <c r="E240" t="s">
        <v>588</v>
      </c>
    </row>
    <row r="241" spans="1:5" ht="16" hidden="1" x14ac:dyDescent="0.35">
      <c r="A241" s="48">
        <v>7311250044441</v>
      </c>
      <c r="B241" s="48">
        <v>100024400</v>
      </c>
      <c r="C241" s="48" t="s">
        <v>21</v>
      </c>
      <c r="D241" s="47" t="s">
        <v>699</v>
      </c>
      <c r="E241" t="s">
        <v>588</v>
      </c>
    </row>
    <row r="242" spans="1:5" ht="16" hidden="1" x14ac:dyDescent="0.35">
      <c r="A242" s="48">
        <v>7311250044434</v>
      </c>
      <c r="B242" s="48">
        <v>100024295</v>
      </c>
      <c r="C242" s="48" t="s">
        <v>22</v>
      </c>
      <c r="D242" s="47" t="s">
        <v>687</v>
      </c>
      <c r="E242" t="s">
        <v>588</v>
      </c>
    </row>
    <row r="243" spans="1:5" ht="16" hidden="1" x14ac:dyDescent="0.35">
      <c r="A243" s="48">
        <v>7311250044434</v>
      </c>
      <c r="B243" s="48">
        <v>100024295</v>
      </c>
      <c r="C243" s="48" t="s">
        <v>22</v>
      </c>
      <c r="D243" s="47" t="s">
        <v>688</v>
      </c>
      <c r="E243" t="s">
        <v>588</v>
      </c>
    </row>
    <row r="244" spans="1:5" ht="16" hidden="1" x14ac:dyDescent="0.35">
      <c r="A244" s="48">
        <v>7311250044434</v>
      </c>
      <c r="B244" s="48">
        <v>100024295</v>
      </c>
      <c r="C244" s="48" t="s">
        <v>22</v>
      </c>
      <c r="D244" s="47" t="s">
        <v>656</v>
      </c>
      <c r="E244" t="s">
        <v>588</v>
      </c>
    </row>
    <row r="245" spans="1:5" ht="16" hidden="1" x14ac:dyDescent="0.35">
      <c r="A245" s="48">
        <v>7311250044434</v>
      </c>
      <c r="B245" s="48">
        <v>100024295</v>
      </c>
      <c r="C245" s="48" t="s">
        <v>22</v>
      </c>
      <c r="D245" s="47" t="s">
        <v>689</v>
      </c>
      <c r="E245" t="s">
        <v>588</v>
      </c>
    </row>
    <row r="246" spans="1:5" ht="16" hidden="1" x14ac:dyDescent="0.35">
      <c r="A246" s="48">
        <v>7311250044434</v>
      </c>
      <c r="B246" s="48">
        <v>100024295</v>
      </c>
      <c r="C246" s="48" t="s">
        <v>22</v>
      </c>
      <c r="D246" s="47" t="s">
        <v>690</v>
      </c>
      <c r="E246" t="s">
        <v>588</v>
      </c>
    </row>
    <row r="247" spans="1:5" ht="16" hidden="1" x14ac:dyDescent="0.35">
      <c r="A247" s="48">
        <v>7311250044434</v>
      </c>
      <c r="B247" s="48">
        <v>100024295</v>
      </c>
      <c r="C247" s="48" t="s">
        <v>22</v>
      </c>
      <c r="D247" s="47" t="s">
        <v>691</v>
      </c>
      <c r="E247" t="s">
        <v>588</v>
      </c>
    </row>
    <row r="248" spans="1:5" ht="16" hidden="1" x14ac:dyDescent="0.35">
      <c r="A248" s="48">
        <v>7311250044434</v>
      </c>
      <c r="B248" s="48">
        <v>100024295</v>
      </c>
      <c r="C248" s="48" t="s">
        <v>22</v>
      </c>
      <c r="D248" s="47" t="s">
        <v>692</v>
      </c>
      <c r="E248" t="s">
        <v>588</v>
      </c>
    </row>
    <row r="249" spans="1:5" ht="16" hidden="1" x14ac:dyDescent="0.35">
      <c r="A249" s="48">
        <v>7311250044434</v>
      </c>
      <c r="B249" s="48">
        <v>100024295</v>
      </c>
      <c r="C249" s="48" t="s">
        <v>22</v>
      </c>
      <c r="D249" s="47" t="s">
        <v>693</v>
      </c>
      <c r="E249" t="s">
        <v>588</v>
      </c>
    </row>
    <row r="250" spans="1:5" ht="16" hidden="1" x14ac:dyDescent="0.35">
      <c r="A250" s="48">
        <v>7311250044434</v>
      </c>
      <c r="B250" s="48">
        <v>100024295</v>
      </c>
      <c r="C250" s="48" t="s">
        <v>22</v>
      </c>
      <c r="D250" s="47" t="s">
        <v>694</v>
      </c>
      <c r="E250" t="s">
        <v>588</v>
      </c>
    </row>
    <row r="251" spans="1:5" ht="16" hidden="1" x14ac:dyDescent="0.35">
      <c r="A251" s="48">
        <v>7311250044434</v>
      </c>
      <c r="B251" s="48">
        <v>100024295</v>
      </c>
      <c r="C251" s="48" t="s">
        <v>22</v>
      </c>
      <c r="D251" s="47" t="s">
        <v>695</v>
      </c>
      <c r="E251" t="s">
        <v>588</v>
      </c>
    </row>
    <row r="252" spans="1:5" ht="16" hidden="1" x14ac:dyDescent="0.35">
      <c r="A252" s="48">
        <v>7311250044434</v>
      </c>
      <c r="B252" s="48">
        <v>100024295</v>
      </c>
      <c r="C252" s="48" t="s">
        <v>22</v>
      </c>
      <c r="D252" s="47" t="s">
        <v>696</v>
      </c>
      <c r="E252" t="s">
        <v>588</v>
      </c>
    </row>
    <row r="253" spans="1:5" ht="16" hidden="1" x14ac:dyDescent="0.35">
      <c r="A253" s="48">
        <v>7311250044434</v>
      </c>
      <c r="B253" s="48">
        <v>100024295</v>
      </c>
      <c r="C253" s="48" t="s">
        <v>22</v>
      </c>
      <c r="D253" s="47" t="s">
        <v>697</v>
      </c>
      <c r="E253" t="s">
        <v>588</v>
      </c>
    </row>
    <row r="254" spans="1:5" ht="16" hidden="1" x14ac:dyDescent="0.35">
      <c r="A254" s="48">
        <v>7311250044434</v>
      </c>
      <c r="B254" s="48">
        <v>100024295</v>
      </c>
      <c r="C254" s="48" t="s">
        <v>22</v>
      </c>
      <c r="D254" s="47" t="s">
        <v>698</v>
      </c>
      <c r="E254" t="s">
        <v>588</v>
      </c>
    </row>
    <row r="255" spans="1:5" ht="16" hidden="1" x14ac:dyDescent="0.35">
      <c r="A255" s="48">
        <v>7311250044434</v>
      </c>
      <c r="B255" s="48">
        <v>100024295</v>
      </c>
      <c r="C255" s="48" t="s">
        <v>22</v>
      </c>
      <c r="D255" s="47" t="s">
        <v>657</v>
      </c>
      <c r="E255" t="s">
        <v>588</v>
      </c>
    </row>
    <row r="256" spans="1:5" ht="16" hidden="1" x14ac:dyDescent="0.35">
      <c r="A256" s="48">
        <v>7311250044434</v>
      </c>
      <c r="B256" s="48">
        <v>100024295</v>
      </c>
      <c r="C256" s="48" t="s">
        <v>22</v>
      </c>
      <c r="D256" s="47" t="s">
        <v>699</v>
      </c>
      <c r="E256" t="s">
        <v>588</v>
      </c>
    </row>
    <row r="257" spans="1:5" ht="16" hidden="1" x14ac:dyDescent="0.35">
      <c r="A257" s="48">
        <v>75006372</v>
      </c>
      <c r="B257" s="48">
        <v>101000062</v>
      </c>
      <c r="C257" s="48" t="s">
        <v>176</v>
      </c>
      <c r="D257" s="47" t="s">
        <v>687</v>
      </c>
      <c r="E257" t="s">
        <v>588</v>
      </c>
    </row>
    <row r="258" spans="1:5" ht="16" hidden="1" x14ac:dyDescent="0.35">
      <c r="A258" s="48">
        <v>75006372</v>
      </c>
      <c r="B258" s="48">
        <v>101000062</v>
      </c>
      <c r="C258" s="48" t="s">
        <v>176</v>
      </c>
      <c r="D258" s="47" t="s">
        <v>688</v>
      </c>
      <c r="E258" t="s">
        <v>588</v>
      </c>
    </row>
    <row r="259" spans="1:5" ht="16" hidden="1" x14ac:dyDescent="0.35">
      <c r="A259" s="48">
        <v>75006372</v>
      </c>
      <c r="B259" s="48">
        <v>101000062</v>
      </c>
      <c r="C259" s="48" t="s">
        <v>176</v>
      </c>
      <c r="D259" s="47" t="s">
        <v>656</v>
      </c>
      <c r="E259" t="s">
        <v>588</v>
      </c>
    </row>
    <row r="260" spans="1:5" ht="16" hidden="1" x14ac:dyDescent="0.35">
      <c r="A260" s="48">
        <v>75006372</v>
      </c>
      <c r="B260" s="48">
        <v>101000062</v>
      </c>
      <c r="C260" s="48" t="s">
        <v>176</v>
      </c>
      <c r="D260" s="47" t="s">
        <v>689</v>
      </c>
      <c r="E260" t="s">
        <v>588</v>
      </c>
    </row>
    <row r="261" spans="1:5" ht="16" hidden="1" x14ac:dyDescent="0.35">
      <c r="A261" s="48">
        <v>75006372</v>
      </c>
      <c r="B261" s="48">
        <v>101000062</v>
      </c>
      <c r="C261" s="48" t="s">
        <v>176</v>
      </c>
      <c r="D261" s="47" t="s">
        <v>690</v>
      </c>
      <c r="E261" t="s">
        <v>588</v>
      </c>
    </row>
    <row r="262" spans="1:5" ht="16" hidden="1" x14ac:dyDescent="0.35">
      <c r="A262" s="48">
        <v>75006372</v>
      </c>
      <c r="B262" s="48">
        <v>101000062</v>
      </c>
      <c r="C262" s="48" t="s">
        <v>176</v>
      </c>
      <c r="D262" s="47" t="s">
        <v>691</v>
      </c>
      <c r="E262" t="s">
        <v>588</v>
      </c>
    </row>
    <row r="263" spans="1:5" ht="16" hidden="1" x14ac:dyDescent="0.35">
      <c r="A263" s="48">
        <v>75006372</v>
      </c>
      <c r="B263" s="48">
        <v>101000062</v>
      </c>
      <c r="C263" s="48" t="s">
        <v>176</v>
      </c>
      <c r="D263" s="47" t="s">
        <v>692</v>
      </c>
      <c r="E263" t="s">
        <v>588</v>
      </c>
    </row>
    <row r="264" spans="1:5" ht="16" hidden="1" x14ac:dyDescent="0.35">
      <c r="A264" s="48">
        <v>75006372</v>
      </c>
      <c r="B264" s="48">
        <v>101000062</v>
      </c>
      <c r="C264" s="48" t="s">
        <v>176</v>
      </c>
      <c r="D264" s="47" t="s">
        <v>693</v>
      </c>
      <c r="E264" t="s">
        <v>588</v>
      </c>
    </row>
    <row r="265" spans="1:5" ht="16" hidden="1" x14ac:dyDescent="0.35">
      <c r="A265" s="48">
        <v>75006372</v>
      </c>
      <c r="B265" s="48">
        <v>101000062</v>
      </c>
      <c r="C265" s="48" t="s">
        <v>176</v>
      </c>
      <c r="D265" s="47" t="s">
        <v>694</v>
      </c>
      <c r="E265" t="s">
        <v>588</v>
      </c>
    </row>
    <row r="266" spans="1:5" ht="16" hidden="1" x14ac:dyDescent="0.35">
      <c r="A266" s="48">
        <v>75006372</v>
      </c>
      <c r="B266" s="48">
        <v>101000062</v>
      </c>
      <c r="C266" s="48" t="s">
        <v>176</v>
      </c>
      <c r="D266" s="47" t="s">
        <v>695</v>
      </c>
      <c r="E266" t="s">
        <v>588</v>
      </c>
    </row>
    <row r="267" spans="1:5" ht="16" hidden="1" x14ac:dyDescent="0.35">
      <c r="A267" s="48">
        <v>75006372</v>
      </c>
      <c r="B267" s="48">
        <v>101000062</v>
      </c>
      <c r="C267" s="48" t="s">
        <v>176</v>
      </c>
      <c r="D267" s="47" t="s">
        <v>696</v>
      </c>
      <c r="E267" t="s">
        <v>588</v>
      </c>
    </row>
    <row r="268" spans="1:5" ht="16" hidden="1" x14ac:dyDescent="0.35">
      <c r="A268" s="48">
        <v>75006372</v>
      </c>
      <c r="B268" s="48">
        <v>101000062</v>
      </c>
      <c r="C268" s="48" t="s">
        <v>176</v>
      </c>
      <c r="D268" s="47" t="s">
        <v>697</v>
      </c>
      <c r="E268" t="s">
        <v>588</v>
      </c>
    </row>
    <row r="269" spans="1:5" ht="16" hidden="1" x14ac:dyDescent="0.35">
      <c r="A269" s="48">
        <v>75006372</v>
      </c>
      <c r="B269" s="48">
        <v>101000062</v>
      </c>
      <c r="C269" s="48" t="s">
        <v>176</v>
      </c>
      <c r="D269" s="47" t="s">
        <v>698</v>
      </c>
      <c r="E269" t="s">
        <v>588</v>
      </c>
    </row>
    <row r="270" spans="1:5" ht="16" hidden="1" x14ac:dyDescent="0.35">
      <c r="A270" s="48">
        <v>75006372</v>
      </c>
      <c r="B270" s="48">
        <v>101000062</v>
      </c>
      <c r="C270" s="48" t="s">
        <v>176</v>
      </c>
      <c r="D270" s="47" t="s">
        <v>657</v>
      </c>
      <c r="E270" t="s">
        <v>588</v>
      </c>
    </row>
    <row r="271" spans="1:5" ht="16" hidden="1" x14ac:dyDescent="0.35">
      <c r="A271" s="48">
        <v>75006372</v>
      </c>
      <c r="B271" s="48">
        <v>101000062</v>
      </c>
      <c r="C271" s="48" t="s">
        <v>176</v>
      </c>
      <c r="D271" s="47" t="s">
        <v>699</v>
      </c>
      <c r="E271" t="s">
        <v>588</v>
      </c>
    </row>
    <row r="272" spans="1:5" ht="16" hidden="1" x14ac:dyDescent="0.35">
      <c r="A272" s="48">
        <v>75001476</v>
      </c>
      <c r="B272" s="48">
        <v>100080034</v>
      </c>
      <c r="C272" s="48" t="s">
        <v>216</v>
      </c>
      <c r="D272" s="47" t="s">
        <v>687</v>
      </c>
      <c r="E272" t="s">
        <v>588</v>
      </c>
    </row>
    <row r="273" spans="1:5" ht="16" hidden="1" x14ac:dyDescent="0.35">
      <c r="A273" s="48">
        <v>75001476</v>
      </c>
      <c r="B273" s="48">
        <v>100080034</v>
      </c>
      <c r="C273" s="48" t="s">
        <v>216</v>
      </c>
      <c r="D273" s="47" t="s">
        <v>688</v>
      </c>
      <c r="E273" t="s">
        <v>588</v>
      </c>
    </row>
    <row r="274" spans="1:5" ht="16" hidden="1" x14ac:dyDescent="0.35">
      <c r="A274" s="48">
        <v>75001476</v>
      </c>
      <c r="B274" s="48">
        <v>100080034</v>
      </c>
      <c r="C274" s="48" t="s">
        <v>216</v>
      </c>
      <c r="D274" s="47" t="s">
        <v>656</v>
      </c>
      <c r="E274" t="s">
        <v>588</v>
      </c>
    </row>
    <row r="275" spans="1:5" ht="16" hidden="1" x14ac:dyDescent="0.35">
      <c r="A275" s="48">
        <v>75001476</v>
      </c>
      <c r="B275" s="48">
        <v>100080034</v>
      </c>
      <c r="C275" s="48" t="s">
        <v>216</v>
      </c>
      <c r="D275" s="47" t="s">
        <v>689</v>
      </c>
      <c r="E275" t="s">
        <v>588</v>
      </c>
    </row>
    <row r="276" spans="1:5" ht="16" hidden="1" x14ac:dyDescent="0.35">
      <c r="A276" s="48">
        <v>75001476</v>
      </c>
      <c r="B276" s="48">
        <v>100080034</v>
      </c>
      <c r="C276" s="48" t="s">
        <v>216</v>
      </c>
      <c r="D276" s="65535" t="s">
        <v>690</v>
      </c>
      <c r="E276" s="15" t="s">
        <v>588</v>
      </c>
    </row>
    <row r="277" spans="1:5" s="15" ht="16" hidden="1" x14ac:dyDescent="0.35">
      <c r="A277" s="65535">
        <v>75001476</v>
      </c>
      <c r="B277" s="65535">
        <v>100080034</v>
      </c>
      <c r="C277" s="65535" t="s">
        <v>216</v>
      </c>
      <c r="D277" s="65535" t="s">
        <v>691</v>
      </c>
      <c r="E277" s="15" t="s">
        <v>588</v>
      </c>
    </row>
    <row r="278" spans="1:5" s="15" ht="16" hidden="1" x14ac:dyDescent="0.35">
      <c r="A278" s="65535">
        <v>75001476</v>
      </c>
      <c r="B278" s="65535">
        <v>100080034</v>
      </c>
      <c r="C278" s="65535" t="s">
        <v>216</v>
      </c>
      <c r="D278" s="65535" t="s">
        <v>692</v>
      </c>
      <c r="E278" s="15" t="s">
        <v>588</v>
      </c>
    </row>
    <row r="279" spans="1:5" s="15" ht="16" hidden="1" x14ac:dyDescent="0.35">
      <c r="A279" s="65535">
        <v>75001476</v>
      </c>
      <c r="B279" s="65535">
        <v>100080034</v>
      </c>
      <c r="C279" s="65535" t="s">
        <v>216</v>
      </c>
      <c r="D279" s="65535" t="s">
        <v>693</v>
      </c>
      <c r="E279" s="15" t="s">
        <v>588</v>
      </c>
    </row>
    <row r="280" spans="1:5" s="15" ht="16" hidden="1" x14ac:dyDescent="0.35">
      <c r="A280" s="65535">
        <v>75001476</v>
      </c>
      <c r="B280" s="65535">
        <v>100080034</v>
      </c>
      <c r="C280" s="65535" t="s">
        <v>216</v>
      </c>
      <c r="D280" s="65535" t="s">
        <v>694</v>
      </c>
      <c r="E280" s="15" t="s">
        <v>588</v>
      </c>
    </row>
    <row r="281" spans="1:5" s="15" ht="16" hidden="1" x14ac:dyDescent="0.35">
      <c r="A281" s="65535">
        <v>75001476</v>
      </c>
      <c r="B281" s="65535">
        <v>100080034</v>
      </c>
      <c r="C281" s="65535" t="s">
        <v>216</v>
      </c>
      <c r="D281" s="65535" t="s">
        <v>695</v>
      </c>
      <c r="E281" s="15" t="s">
        <v>588</v>
      </c>
    </row>
    <row r="282" spans="1:5" s="15" ht="16" hidden="1" x14ac:dyDescent="0.35">
      <c r="A282" s="65535">
        <v>75001476</v>
      </c>
      <c r="B282" s="65535">
        <v>100080034</v>
      </c>
      <c r="C282" s="65535" t="s">
        <v>216</v>
      </c>
      <c r="D282" s="65535" t="s">
        <v>696</v>
      </c>
      <c r="E282" s="15" t="s">
        <v>588</v>
      </c>
    </row>
    <row r="283" spans="1:5" s="15" ht="16" hidden="1" x14ac:dyDescent="0.35">
      <c r="A283" s="65535">
        <v>75001476</v>
      </c>
      <c r="B283" s="65535">
        <v>100080034</v>
      </c>
      <c r="C283" s="65535" t="s">
        <v>216</v>
      </c>
      <c r="D283" s="65535" t="s">
        <v>697</v>
      </c>
      <c r="E283" s="15" t="s">
        <v>588</v>
      </c>
    </row>
    <row r="284" spans="1:5" s="15" ht="16" hidden="1" x14ac:dyDescent="0.35">
      <c r="A284" s="65535">
        <v>75001476</v>
      </c>
      <c r="B284" s="65535">
        <v>100080034</v>
      </c>
      <c r="C284" s="65535" t="s">
        <v>216</v>
      </c>
      <c r="D284" s="65535" t="s">
        <v>698</v>
      </c>
      <c r="E284" s="15" t="s">
        <v>588</v>
      </c>
    </row>
    <row r="285" spans="1:5" s="15" ht="16" hidden="1" x14ac:dyDescent="0.35">
      <c r="A285" s="65535">
        <v>75001476</v>
      </c>
      <c r="B285" s="65535">
        <v>100080034</v>
      </c>
      <c r="C285" s="65535" t="s">
        <v>216</v>
      </c>
      <c r="D285" s="65535" t="s">
        <v>657</v>
      </c>
      <c r="E285" s="15" t="s">
        <v>588</v>
      </c>
    </row>
    <row r="286" spans="1:5" s="15" ht="16" hidden="1" x14ac:dyDescent="0.35">
      <c r="A286" s="65535">
        <v>75001476</v>
      </c>
      <c r="B286" s="65535">
        <v>100080034</v>
      </c>
      <c r="C286" s="65535" t="s">
        <v>216</v>
      </c>
      <c r="D286" s="65535" t="s">
        <v>699</v>
      </c>
      <c r="E286" s="15" t="s">
        <v>588</v>
      </c>
    </row>
    <row r="287" spans="1:5" s="15" ht="16" hidden="1" x14ac:dyDescent="0.35">
      <c r="A287" s="65535">
        <v>75022266</v>
      </c>
      <c r="B287" s="65535">
        <v>100020945</v>
      </c>
      <c r="C287" s="65535" t="s">
        <v>204</v>
      </c>
      <c r="D287" s="65535" t="s">
        <v>687</v>
      </c>
      <c r="E287" s="15" t="s">
        <v>588</v>
      </c>
    </row>
    <row r="288" spans="1:5" s="15" ht="16" hidden="1" x14ac:dyDescent="0.35">
      <c r="A288" s="65535">
        <v>75022266</v>
      </c>
      <c r="B288" s="65535">
        <v>100020945</v>
      </c>
      <c r="C288" s="65535" t="s">
        <v>204</v>
      </c>
      <c r="D288" s="65535" t="s">
        <v>688</v>
      </c>
      <c r="E288" s="15" t="s">
        <v>588</v>
      </c>
    </row>
    <row r="289" spans="1:5" s="15" ht="16" hidden="1" x14ac:dyDescent="0.35">
      <c r="A289" s="65535">
        <v>75022266</v>
      </c>
      <c r="B289" s="65535">
        <v>100020945</v>
      </c>
      <c r="C289" s="65535" t="s">
        <v>204</v>
      </c>
      <c r="D289" s="65535" t="s">
        <v>656</v>
      </c>
      <c r="E289" s="15" t="s">
        <v>588</v>
      </c>
    </row>
    <row r="290" spans="1:5" s="15" ht="16" hidden="1" x14ac:dyDescent="0.35">
      <c r="A290" s="65535">
        <v>75022266</v>
      </c>
      <c r="B290" s="65535">
        <v>100020945</v>
      </c>
      <c r="C290" s="65535" t="s">
        <v>204</v>
      </c>
      <c r="D290" s="65535" t="s">
        <v>689</v>
      </c>
      <c r="E290" s="15" t="s">
        <v>588</v>
      </c>
    </row>
    <row r="291" spans="1:5" s="15" ht="16" hidden="1" x14ac:dyDescent="0.35">
      <c r="A291" s="65535">
        <v>75022266</v>
      </c>
      <c r="B291" s="65535">
        <v>100020945</v>
      </c>
      <c r="C291" s="65535" t="s">
        <v>204</v>
      </c>
      <c r="D291" s="65535" t="s">
        <v>690</v>
      </c>
      <c r="E291" s="15" t="s">
        <v>588</v>
      </c>
    </row>
    <row r="292" spans="1:5" s="15" ht="16" hidden="1" x14ac:dyDescent="0.35">
      <c r="A292" s="65535">
        <v>75022266</v>
      </c>
      <c r="B292" s="65535">
        <v>100020945</v>
      </c>
      <c r="C292" s="65535" t="s">
        <v>204</v>
      </c>
      <c r="D292" s="65535" t="s">
        <v>691</v>
      </c>
      <c r="E292" s="15" t="s">
        <v>588</v>
      </c>
    </row>
    <row r="293" spans="1:5" s="15" ht="16" hidden="1" x14ac:dyDescent="0.35">
      <c r="A293" s="65535">
        <v>75022266</v>
      </c>
      <c r="B293" s="65535">
        <v>100020945</v>
      </c>
      <c r="C293" s="65535" t="s">
        <v>204</v>
      </c>
      <c r="D293" s="65535" t="s">
        <v>692</v>
      </c>
      <c r="E293" s="15" t="s">
        <v>588</v>
      </c>
    </row>
    <row r="294" spans="1:5" s="15" ht="16" hidden="1" x14ac:dyDescent="0.35">
      <c r="A294" s="65535">
        <v>75022266</v>
      </c>
      <c r="B294" s="65535">
        <v>100020945</v>
      </c>
      <c r="C294" s="65535" t="s">
        <v>204</v>
      </c>
      <c r="D294" s="65535" t="s">
        <v>693</v>
      </c>
      <c r="E294" s="15" t="s">
        <v>588</v>
      </c>
    </row>
    <row r="295" spans="1:5" s="15" ht="16" hidden="1" x14ac:dyDescent="0.35">
      <c r="A295" s="65535">
        <v>75022266</v>
      </c>
      <c r="B295" s="65535">
        <v>100020945</v>
      </c>
      <c r="C295" s="65535" t="s">
        <v>204</v>
      </c>
      <c r="D295" s="65535" t="s">
        <v>694</v>
      </c>
      <c r="E295" s="15" t="s">
        <v>588</v>
      </c>
    </row>
    <row r="296" spans="1:5" s="15" ht="16" hidden="1" x14ac:dyDescent="0.35">
      <c r="A296" s="65535">
        <v>75022266</v>
      </c>
      <c r="B296" s="65535">
        <v>100020945</v>
      </c>
      <c r="C296" s="65535" t="s">
        <v>204</v>
      </c>
      <c r="D296" s="65535" t="s">
        <v>695</v>
      </c>
      <c r="E296" s="15" t="s">
        <v>588</v>
      </c>
    </row>
    <row r="297" spans="1:5" s="15" ht="16" hidden="1" x14ac:dyDescent="0.35">
      <c r="A297" s="65535">
        <v>75022266</v>
      </c>
      <c r="B297" s="65535">
        <v>100020945</v>
      </c>
      <c r="C297" s="65535" t="s">
        <v>204</v>
      </c>
      <c r="D297" s="65535" t="s">
        <v>696</v>
      </c>
      <c r="E297" s="15" t="s">
        <v>588</v>
      </c>
    </row>
    <row r="298" spans="1:5" s="15" ht="16" hidden="1" x14ac:dyDescent="0.35">
      <c r="A298" s="65535">
        <v>75022266</v>
      </c>
      <c r="B298" s="65535">
        <v>100020945</v>
      </c>
      <c r="C298" s="65535" t="s">
        <v>204</v>
      </c>
      <c r="D298" s="65535" t="s">
        <v>697</v>
      </c>
      <c r="E298" s="15" t="s">
        <v>588</v>
      </c>
    </row>
    <row r="299" spans="1:5" s="15" ht="16" hidden="1" x14ac:dyDescent="0.35">
      <c r="A299" s="65535">
        <v>75022266</v>
      </c>
      <c r="B299" s="65535">
        <v>100020945</v>
      </c>
      <c r="C299" s="65535" t="s">
        <v>204</v>
      </c>
      <c r="D299" s="65535" t="s">
        <v>698</v>
      </c>
      <c r="E299" s="15" t="s">
        <v>588</v>
      </c>
    </row>
    <row r="300" spans="1:5" s="15" ht="16" hidden="1" x14ac:dyDescent="0.35">
      <c r="A300" s="65535">
        <v>75022266</v>
      </c>
      <c r="B300" s="65535">
        <v>100020945</v>
      </c>
      <c r="C300" s="65535" t="s">
        <v>204</v>
      </c>
      <c r="D300" s="65535" t="s">
        <v>657</v>
      </c>
      <c r="E300" s="15" t="s">
        <v>588</v>
      </c>
    </row>
    <row r="301" spans="1:5" s="15" ht="16" hidden="1" x14ac:dyDescent="0.35">
      <c r="A301" s="65535">
        <v>75022266</v>
      </c>
      <c r="B301" s="65535">
        <v>100020945</v>
      </c>
      <c r="C301" s="65535" t="s">
        <v>204</v>
      </c>
      <c r="D301" s="65535" t="s">
        <v>699</v>
      </c>
      <c r="E301" s="15" t="s">
        <v>588</v>
      </c>
    </row>
    <row r="302" spans="1:5" s="15" ht="16" hidden="1" x14ac:dyDescent="0.35">
      <c r="A302" s="65535">
        <f>+_xlfn.XLOOKUP(C302,[1]master!C:C,[1]master!A:A)</f>
        <v>100019232</v>
      </c>
      <c r="B302" s="65535">
        <f>+_xlfn.XLOOKUP(C302,[1]master!C:C,[1]master!B:B)</f>
        <v>75074876</v>
      </c>
      <c r="C302" s="65535" t="s">
        <v>326</v>
      </c>
      <c r="D302" s="65535" t="s">
        <v>656</v>
      </c>
      <c r="E302" s="15" t="s">
        <v>588</v>
      </c>
    </row>
    <row r="303" spans="1:5" s="15" ht="16" hidden="1" x14ac:dyDescent="0.35">
      <c r="A303" s="65535">
        <f>+_xlfn.XLOOKUP(C303,[1]master!C:C,[1]master!A:A)</f>
        <v>100019228</v>
      </c>
      <c r="B303" s="65535">
        <f>+_xlfn.XLOOKUP(C303,[1]master!C:C,[1]master!B:B)</f>
        <v>75074883</v>
      </c>
      <c r="C303" s="65535" t="s">
        <v>323</v>
      </c>
      <c r="D303" s="65535" t="s">
        <v>656</v>
      </c>
      <c r="E303" s="15" t="s">
        <v>588</v>
      </c>
    </row>
    <row r="304" spans="1:5" s="15" ht="16" hidden="1" x14ac:dyDescent="0.35">
      <c r="A304" s="65535">
        <f>+_xlfn.XLOOKUP(C304,[1]master!C:C,[1]master!A:A)</f>
        <v>100080892</v>
      </c>
      <c r="B304" s="65535">
        <f>+_xlfn.XLOOKUP(C304,[1]master!C:C,[1]master!B:B)</f>
        <v>75042943</v>
      </c>
      <c r="C304" s="65535" t="s">
        <v>338</v>
      </c>
      <c r="D304" s="65535" t="s">
        <v>656</v>
      </c>
      <c r="E304" s="15" t="s">
        <v>588</v>
      </c>
    </row>
    <row r="305" spans="1:5" s="15" ht="16" hidden="1" x14ac:dyDescent="0.35">
      <c r="A305" s="65535">
        <f>+_xlfn.XLOOKUP(C305,[1]master!C:C,[1]master!A:A)</f>
        <v>100080878</v>
      </c>
      <c r="B305" s="65535">
        <f>+_xlfn.XLOOKUP(C305,[1]master!C:C,[1]master!B:B)</f>
        <v>75039875</v>
      </c>
      <c r="C305" s="65535" t="s">
        <v>335</v>
      </c>
      <c r="D305" s="65535" t="s">
        <v>656</v>
      </c>
      <c r="E305" s="15" t="s">
        <v>588</v>
      </c>
    </row>
    <row r="306" spans="1:5" s="15" ht="16" x14ac:dyDescent="0.35">
      <c r="A306" s="65535">
        <f>+_xlfn.XLOOKUP(C306,[1]master!C:C,[1]master!A:A)</f>
        <v>100020970</v>
      </c>
      <c r="B306" s="65535">
        <f>+_xlfn.XLOOKUP(C306,[1]master!C:C,[1]master!B:B)</f>
        <v>75076405</v>
      </c>
      <c r="C306" s="65535" t="s">
        <v>60</v>
      </c>
      <c r="D306" s="65535" t="s">
        <v>698</v>
      </c>
      <c r="E306" s="15" t="s">
        <v>588</v>
      </c>
    </row>
    <row r="307" spans="1:5" s="15" ht="16" hidden="1" x14ac:dyDescent="0.35">
      <c r="A307" s="65535">
        <f>+_xlfn.XLOOKUP(C307,[1]master!C:C,[1]master!A:A)</f>
        <v>100020969</v>
      </c>
      <c r="B307" s="65535">
        <f>+_xlfn.XLOOKUP(C307,[1]master!C:C,[1]master!B:B)</f>
        <v>75076740</v>
      </c>
      <c r="C307" s="65535" t="s">
        <v>62</v>
      </c>
      <c r="D307" s="65535" t="s">
        <v>698</v>
      </c>
      <c r="E307" s="15" t="s">
        <v>588</v>
      </c>
    </row>
    <row r="308" spans="1:5" s="15" ht="16" hidden="1" x14ac:dyDescent="0.35">
      <c r="A308" s="65535">
        <f>+_xlfn.XLOOKUP(C308,[1]master!C:C,[1]master!A:A)</f>
        <v>100023317</v>
      </c>
      <c r="B308" s="65535">
        <f>+_xlfn.XLOOKUP(C308,[1]master!C:C,[1]master!B:B)</f>
        <v>75078843</v>
      </c>
      <c r="C308" s="65535" t="s">
        <v>65</v>
      </c>
      <c r="D308" s="65535" t="s">
        <v>698</v>
      </c>
      <c r="E308" s="15" t="s">
        <v>588</v>
      </c>
    </row>
    <row r="309" spans="1:5" s="15" ht="16" hidden="1" x14ac:dyDescent="0.35">
      <c r="A309" s="65535">
        <f>+_xlfn.XLOOKUP(C309,[1]master!C:C,[1]master!A:A)</f>
        <v>100019232</v>
      </c>
      <c r="B309" s="65535">
        <f>+_xlfn.XLOOKUP(C309,[1]master!C:C,[1]master!B:B)</f>
        <v>75074876</v>
      </c>
      <c r="C309" s="65535" t="s">
        <v>326</v>
      </c>
      <c r="D309" s="65535" t="s">
        <v>698</v>
      </c>
      <c r="E309" s="15" t="s">
        <v>588</v>
      </c>
    </row>
    <row r="310" spans="1:5" s="15" ht="16" hidden="1" x14ac:dyDescent="0.35">
      <c r="A310" s="65535">
        <f>+_xlfn.XLOOKUP(C310,[1]master!C:C,[1]master!A:A)</f>
        <v>100019228</v>
      </c>
      <c r="B310" s="65535">
        <f>+_xlfn.XLOOKUP(C310,[1]master!C:C,[1]master!B:B)</f>
        <v>75074883</v>
      </c>
      <c r="C310" s="65535" t="s">
        <v>323</v>
      </c>
      <c r="D310" s="65535" t="s">
        <v>698</v>
      </c>
      <c r="E310" s="15" t="s">
        <v>588</v>
      </c>
    </row>
    <row r="311" spans="1:5" s="15" ht="16" hidden="1" x14ac:dyDescent="0.35">
      <c r="A311" s="65535">
        <f>+_xlfn.XLOOKUP(C311,[1]master!C:C,[1]master!A:A)</f>
        <v>100019232</v>
      </c>
      <c r="B311" s="65535">
        <f>+_xlfn.XLOOKUP(C311,[1]master!C:C,[1]master!B:B)</f>
        <v>75074876</v>
      </c>
      <c r="C311" s="65535" t="s">
        <v>326</v>
      </c>
      <c r="D311" s="65535" t="s">
        <v>699</v>
      </c>
      <c r="E311" s="15" t="s">
        <v>588</v>
      </c>
    </row>
    <row r="312" spans="1:5" s="15" ht="16" hidden="1" x14ac:dyDescent="0.35">
      <c r="A312" s="65535">
        <f>+_xlfn.XLOOKUP(C312,[1]master!C:C,[1]master!A:A)</f>
        <v>100019228</v>
      </c>
      <c r="B312" s="65535">
        <f>+_xlfn.XLOOKUP(C312,[1]master!C:C,[1]master!B:B)</f>
        <v>75074883</v>
      </c>
      <c r="C312" s="65535" t="s">
        <v>323</v>
      </c>
      <c r="D312" s="65535" t="s">
        <v>699</v>
      </c>
      <c r="E312" s="15" t="s">
        <v>588</v>
      </c>
    </row>
    <row r="313" spans="1:5" s="15" ht="16" hidden="1" x14ac:dyDescent="0.35">
      <c r="A313" s="65535">
        <f>+_xlfn.XLOOKUP(C313,[1]master!C:C,[1]master!A:A)</f>
        <v>100080892</v>
      </c>
      <c r="B313" s="65535">
        <f>+_xlfn.XLOOKUP(C313,[1]master!C:C,[1]master!B:B)</f>
        <v>75042943</v>
      </c>
      <c r="C313" s="65535" t="s">
        <v>338</v>
      </c>
      <c r="D313" s="65535" t="s">
        <v>699</v>
      </c>
      <c r="E313" s="15" t="s">
        <v>588</v>
      </c>
    </row>
    <row r="314" spans="1:5" s="15" ht="16" hidden="1" x14ac:dyDescent="0.35">
      <c r="A314" s="65535">
        <f>+_xlfn.XLOOKUP(C314,[1]master!C:C,[1]master!A:A)</f>
        <v>100080878</v>
      </c>
      <c r="B314" s="65535">
        <f>+_xlfn.XLOOKUP(C314,[1]master!C:C,[1]master!B:B)</f>
        <v>75039875</v>
      </c>
      <c r="C314" s="65535" t="s">
        <v>335</v>
      </c>
      <c r="D314" s="65535" t="s">
        <v>699</v>
      </c>
      <c r="E314" s="15" t="s">
        <v>588</v>
      </c>
    </row>
    <row r="315" spans="1:5" s="15" ht="16" x14ac:dyDescent="0.35">
      <c r="A315" s="65535">
        <f>+_xlfn.XLOOKUP(C315,[1]master!C:C,[1]master!A:A)</f>
        <v>100020970</v>
      </c>
      <c r="B315" s="65535">
        <f>+_xlfn.XLOOKUP(C315,[1]master!C:C,[1]master!B:B)</f>
        <v>75076405</v>
      </c>
      <c r="C315" s="65535" t="s">
        <v>60</v>
      </c>
      <c r="D315" s="65535" t="s">
        <v>692</v>
      </c>
      <c r="E315" s="15" t="s">
        <v>588</v>
      </c>
    </row>
    <row r="316" spans="1:5" s="15" ht="16" hidden="1" x14ac:dyDescent="0.35">
      <c r="A316" s="65535">
        <f>+_xlfn.XLOOKUP(C316,[1]master!C:C,[1]master!A:A)</f>
        <v>100020969</v>
      </c>
      <c r="B316" s="65535">
        <f>+_xlfn.XLOOKUP(C316,[1]master!C:C,[1]master!B:B)</f>
        <v>75076740</v>
      </c>
      <c r="C316" s="65535" t="s">
        <v>62</v>
      </c>
      <c r="D316" s="65535" t="s">
        <v>692</v>
      </c>
      <c r="E316" s="15" t="s">
        <v>588</v>
      </c>
    </row>
    <row r="317" spans="1:5" s="15" ht="16" hidden="1" x14ac:dyDescent="0.35">
      <c r="A317" s="65535">
        <f>+_xlfn.XLOOKUP(C317,[1]master!C:C,[1]master!A:A)</f>
        <v>100019232</v>
      </c>
      <c r="B317" s="65535">
        <f>+_xlfn.XLOOKUP(C317,[1]master!C:C,[1]master!B:B)</f>
        <v>75074876</v>
      </c>
      <c r="C317" s="65535" t="s">
        <v>326</v>
      </c>
      <c r="D317" s="65535" t="s">
        <v>692</v>
      </c>
      <c r="E317" s="15" t="s">
        <v>588</v>
      </c>
    </row>
    <row r="318" spans="1:5" s="15" ht="16" hidden="1" x14ac:dyDescent="0.35">
      <c r="A318" s="65535">
        <f>+_xlfn.XLOOKUP(C318,[1]master!C:C,[1]master!A:A)</f>
        <v>100019228</v>
      </c>
      <c r="B318" s="65535">
        <f>+_xlfn.XLOOKUP(C318,[1]master!C:C,[1]master!B:B)</f>
        <v>75074883</v>
      </c>
      <c r="C318" s="65535" t="s">
        <v>323</v>
      </c>
      <c r="D318" s="65535" t="s">
        <v>692</v>
      </c>
      <c r="E318" s="15" t="s">
        <v>588</v>
      </c>
    </row>
    <row r="319" spans="1:5" s="15" ht="16" hidden="1" x14ac:dyDescent="0.35">
      <c r="A319" s="65535">
        <f>+_xlfn.XLOOKUP(C319,[1]master!C:C,[1]master!A:A)</f>
        <v>100080892</v>
      </c>
      <c r="B319" s="65535">
        <f>+_xlfn.XLOOKUP(C319,[1]master!C:C,[1]master!B:B)</f>
        <v>75042943</v>
      </c>
      <c r="C319" s="65535" t="s">
        <v>338</v>
      </c>
      <c r="D319" s="65535" t="s">
        <v>692</v>
      </c>
      <c r="E319" s="15" t="s">
        <v>588</v>
      </c>
    </row>
    <row r="320" spans="1:5" s="15" ht="16" hidden="1" x14ac:dyDescent="0.35">
      <c r="A320" s="65535">
        <f>+_xlfn.XLOOKUP(C320,[1]master!C:C,[1]master!A:A)</f>
        <v>100080878</v>
      </c>
      <c r="B320" s="65535">
        <f>+_xlfn.XLOOKUP(C320,[1]master!C:C,[1]master!B:B)</f>
        <v>75039875</v>
      </c>
      <c r="C320" s="65535" t="s">
        <v>335</v>
      </c>
      <c r="D320" s="65535" t="s">
        <v>692</v>
      </c>
      <c r="E320" s="15" t="s">
        <v>588</v>
      </c>
    </row>
    <row r="321" spans="1:5" s="15" ht="16" hidden="1" x14ac:dyDescent="0.35">
      <c r="A321" s="65535">
        <f>+_xlfn.XLOOKUP(C321,[1]master!C:C,[1]master!A:A)</f>
        <v>100019232</v>
      </c>
      <c r="B321" s="65535">
        <f>+_xlfn.XLOOKUP(C321,[1]master!C:C,[1]master!B:B)</f>
        <v>75074876</v>
      </c>
      <c r="C321" s="65535" t="s">
        <v>326</v>
      </c>
      <c r="D321" s="65535" t="s">
        <v>694</v>
      </c>
      <c r="E321" s="15" t="s">
        <v>588</v>
      </c>
    </row>
    <row r="322" spans="1:5" s="15" ht="16" hidden="1" x14ac:dyDescent="0.35">
      <c r="A322" s="65535">
        <f>+_xlfn.XLOOKUP(C322,[1]master!C:C,[1]master!A:A)</f>
        <v>100019228</v>
      </c>
      <c r="B322" s="65535">
        <f>+_xlfn.XLOOKUP(C322,[1]master!C:C,[1]master!B:B)</f>
        <v>75074883</v>
      </c>
      <c r="C322" s="65535" t="s">
        <v>323</v>
      </c>
      <c r="D322" s="65535" t="s">
        <v>694</v>
      </c>
      <c r="E322" s="15" t="s">
        <v>588</v>
      </c>
    </row>
    <row r="323" spans="1:5" s="15" ht="16" hidden="1" x14ac:dyDescent="0.35">
      <c r="A323" s="65535">
        <f>+_xlfn.XLOOKUP(C323,[1]master!C:C,[1]master!A:A)</f>
        <v>100080892</v>
      </c>
      <c r="B323" s="65535">
        <f>+_xlfn.XLOOKUP(C323,[1]master!C:C,[1]master!B:B)</f>
        <v>75042943</v>
      </c>
      <c r="C323" s="65535" t="s">
        <v>338</v>
      </c>
      <c r="D323" s="65535" t="s">
        <v>694</v>
      </c>
      <c r="E323" s="15" t="s">
        <v>588</v>
      </c>
    </row>
    <row r="324" spans="1:5" s="15" ht="16" hidden="1" x14ac:dyDescent="0.35">
      <c r="A324" s="65535">
        <f>+_xlfn.XLOOKUP(C324,[1]master!C:C,[1]master!A:A)</f>
        <v>100080878</v>
      </c>
      <c r="B324" s="65535">
        <f>+_xlfn.XLOOKUP(C324,[1]master!C:C,[1]master!B:B)</f>
        <v>75039875</v>
      </c>
      <c r="C324" s="65535" t="s">
        <v>335</v>
      </c>
      <c r="D324" s="65535" t="s">
        <v>694</v>
      </c>
      <c r="E324" s="15" t="s">
        <v>588</v>
      </c>
    </row>
    <row r="325" spans="1:5" s="15" ht="16" hidden="1" x14ac:dyDescent="0.35">
      <c r="A325" s="65535">
        <f>+_xlfn.XLOOKUP(C325,[1]master!C:C,[1]master!A:A)</f>
        <v>100019232</v>
      </c>
      <c r="B325" s="65535">
        <f>+_xlfn.XLOOKUP(C325,[1]master!C:C,[1]master!B:B)</f>
        <v>75074876</v>
      </c>
      <c r="C325" s="65535" t="s">
        <v>326</v>
      </c>
      <c r="D325" s="65535" t="s">
        <v>696</v>
      </c>
      <c r="E325" s="15" t="s">
        <v>588</v>
      </c>
    </row>
    <row r="326" spans="1:5" s="15" ht="16" hidden="1" x14ac:dyDescent="0.35">
      <c r="A326" s="65535">
        <f>+_xlfn.XLOOKUP(C326,[1]master!C:C,[1]master!A:A)</f>
        <v>100080892</v>
      </c>
      <c r="B326" s="65535">
        <f>+_xlfn.XLOOKUP(C326,[1]master!C:C,[1]master!B:B)</f>
        <v>75042943</v>
      </c>
      <c r="C326" s="65535" t="s">
        <v>338</v>
      </c>
      <c r="D326" s="65535" t="s">
        <v>696</v>
      </c>
      <c r="E326" s="15" t="s">
        <v>588</v>
      </c>
    </row>
    <row r="327" spans="1:5" s="15" ht="16" hidden="1" x14ac:dyDescent="0.35">
      <c r="A327" s="65535">
        <f>+_xlfn.XLOOKUP(C327,[1]master!C:C,[1]master!A:A)</f>
        <v>100019232</v>
      </c>
      <c r="B327" s="65535">
        <f>+_xlfn.XLOOKUP(C327,[1]master!C:C,[1]master!B:B)</f>
        <v>75074876</v>
      </c>
      <c r="C327" s="65535" t="s">
        <v>326</v>
      </c>
      <c r="D327" s="65535" t="s">
        <v>689</v>
      </c>
      <c r="E327" s="15" t="s">
        <v>588</v>
      </c>
    </row>
    <row r="328" spans="1:5" s="15" ht="16" hidden="1" x14ac:dyDescent="0.35">
      <c r="A328" s="65535">
        <f>+_xlfn.XLOOKUP(C328,[1]master!C:C,[1]master!A:A)</f>
        <v>100019228</v>
      </c>
      <c r="B328" s="65535">
        <f>+_xlfn.XLOOKUP(C328,[1]master!C:C,[1]master!B:B)</f>
        <v>75074883</v>
      </c>
      <c r="C328" s="65535" t="s">
        <v>323</v>
      </c>
      <c r="D328" s="65535" t="s">
        <v>689</v>
      </c>
      <c r="E328" s="15" t="s">
        <v>588</v>
      </c>
    </row>
    <row r="329" spans="1:5" s="15" ht="16" hidden="1" x14ac:dyDescent="0.35">
      <c r="A329" s="65535">
        <f>+_xlfn.XLOOKUP(C329,[1]master!C:C,[1]master!A:A)</f>
        <v>100019232</v>
      </c>
      <c r="B329" s="65535">
        <f>+_xlfn.XLOOKUP(C329,[1]master!C:C,[1]master!B:B)</f>
        <v>75074876</v>
      </c>
      <c r="C329" s="65535" t="s">
        <v>326</v>
      </c>
      <c r="D329" s="65535" t="s">
        <v>695</v>
      </c>
      <c r="E329" s="15" t="s">
        <v>588</v>
      </c>
    </row>
    <row r="330" spans="1:5" s="15" ht="16" hidden="1" x14ac:dyDescent="0.35">
      <c r="A330" s="65535">
        <f>+_xlfn.XLOOKUP(C330,[1]master!C:C,[1]master!A:A)</f>
        <v>100019228</v>
      </c>
      <c r="B330" s="65535">
        <f>+_xlfn.XLOOKUP(C330,[1]master!C:C,[1]master!B:B)</f>
        <v>75074883</v>
      </c>
      <c r="C330" s="65535" t="s">
        <v>323</v>
      </c>
      <c r="D330" s="65535" t="s">
        <v>695</v>
      </c>
      <c r="E330" s="15" t="s">
        <v>588</v>
      </c>
    </row>
    <row r="331" spans="1:5" s="15" ht="16" hidden="1" x14ac:dyDescent="0.35">
      <c r="A331" s="65535">
        <f>+_xlfn.XLOOKUP(C331,[1]master!C:C,[1]master!A:A)</f>
        <v>100080892</v>
      </c>
      <c r="B331" s="65535">
        <f>+_xlfn.XLOOKUP(C331,[1]master!C:C,[1]master!B:B)</f>
        <v>75042943</v>
      </c>
      <c r="C331" s="65535" t="s">
        <v>338</v>
      </c>
      <c r="D331" s="65535" t="s">
        <v>695</v>
      </c>
      <c r="E331" s="15" t="s">
        <v>588</v>
      </c>
    </row>
    <row r="332" spans="1:5" s="15" ht="16" hidden="1" x14ac:dyDescent="0.35">
      <c r="A332" s="65535">
        <f>+_xlfn.XLOOKUP(C332,[1]master!C:C,[1]master!A:A)</f>
        <v>100080878</v>
      </c>
      <c r="B332" s="65535">
        <f>+_xlfn.XLOOKUP(C332,[1]master!C:C,[1]master!B:B)</f>
        <v>75039875</v>
      </c>
      <c r="C332" s="65535" t="s">
        <v>335</v>
      </c>
      <c r="D332" s="65535" t="s">
        <v>695</v>
      </c>
      <c r="E332" s="15" t="s">
        <v>588</v>
      </c>
    </row>
    <row r="333" spans="1:5" s="15" ht="16" x14ac:dyDescent="0.35">
      <c r="A333" s="65535">
        <f>+_xlfn.XLOOKUP(C333,[1]master!C:C,[1]master!A:A)</f>
        <v>100020970</v>
      </c>
      <c r="B333" s="65535">
        <f>+_xlfn.XLOOKUP(C333,[1]master!C:C,[1]master!B:B)</f>
        <v>75076405</v>
      </c>
      <c r="C333" s="65535" t="s">
        <v>60</v>
      </c>
      <c r="D333" s="65535" t="s">
        <v>693</v>
      </c>
      <c r="E333" s="15" t="s">
        <v>588</v>
      </c>
    </row>
    <row r="334" spans="1:5" s="15" ht="16" hidden="1" x14ac:dyDescent="0.35">
      <c r="A334" s="65535">
        <f>+_xlfn.XLOOKUP(C334,[1]master!C:C,[1]master!A:A)</f>
        <v>100019232</v>
      </c>
      <c r="B334" s="65535">
        <f>+_xlfn.XLOOKUP(C334,[1]master!C:C,[1]master!B:B)</f>
        <v>75074876</v>
      </c>
      <c r="C334" s="65535" t="s">
        <v>326</v>
      </c>
      <c r="D334" s="65535" t="s">
        <v>693</v>
      </c>
      <c r="E334" s="15" t="s">
        <v>588</v>
      </c>
    </row>
    <row r="335" spans="1:5" s="15" ht="16" hidden="1" x14ac:dyDescent="0.35">
      <c r="A335" s="65535">
        <f>+_xlfn.XLOOKUP(C335,[1]master!C:C,[1]master!A:A)</f>
        <v>100019228</v>
      </c>
      <c r="B335" s="65535">
        <f>+_xlfn.XLOOKUP(C335,[1]master!C:C,[1]master!B:B)</f>
        <v>75074883</v>
      </c>
      <c r="C335" s="65535" t="s">
        <v>323</v>
      </c>
      <c r="D335" s="65535" t="s">
        <v>693</v>
      </c>
      <c r="E335" s="15" t="s">
        <v>588</v>
      </c>
    </row>
    <row r="336" spans="1:5" s="15" ht="16" hidden="1" x14ac:dyDescent="0.35">
      <c r="A336" s="65535">
        <f>+_xlfn.XLOOKUP(C336,[1]master!C:C,[1]master!A:A)</f>
        <v>100080892</v>
      </c>
      <c r="B336" s="65535">
        <f>+_xlfn.XLOOKUP(C336,[1]master!C:C,[1]master!B:B)</f>
        <v>75042943</v>
      </c>
      <c r="C336" s="65535" t="s">
        <v>338</v>
      </c>
      <c r="D336" s="65535" t="s">
        <v>693</v>
      </c>
      <c r="E336" s="15" t="s">
        <v>588</v>
      </c>
    </row>
    <row r="337" spans="1:5" s="15" ht="16" hidden="1" x14ac:dyDescent="0.35">
      <c r="A337" s="65535">
        <f>+_xlfn.XLOOKUP(C337,[1]master!C:C,[1]master!A:A)</f>
        <v>100080878</v>
      </c>
      <c r="B337" s="65535">
        <f>+_xlfn.XLOOKUP(C337,[1]master!C:C,[1]master!B:B)</f>
        <v>75039875</v>
      </c>
      <c r="C337" s="65535" t="s">
        <v>335</v>
      </c>
      <c r="D337" s="65535" t="s">
        <v>693</v>
      </c>
      <c r="E337" s="15" t="s">
        <v>588</v>
      </c>
    </row>
    <row r="338" spans="1:5" s="15" ht="16" hidden="1" x14ac:dyDescent="0.35">
      <c r="A338" s="65535">
        <f>+_xlfn.XLOOKUP(C338,[1]master!C:C,[1]master!A:A)</f>
        <v>100019232</v>
      </c>
      <c r="B338" s="65535">
        <f>+_xlfn.XLOOKUP(C338,[1]master!C:C,[1]master!B:B)</f>
        <v>75074876</v>
      </c>
      <c r="C338" s="65535" t="s">
        <v>326</v>
      </c>
      <c r="D338" s="65535" t="s">
        <v>688</v>
      </c>
      <c r="E338" s="15" t="s">
        <v>588</v>
      </c>
    </row>
    <row r="339" spans="1:5" s="15" ht="16" hidden="1" x14ac:dyDescent="0.35">
      <c r="A339" s="65535">
        <f>+_xlfn.XLOOKUP(C339,[1]master!C:C,[1]master!A:A)</f>
        <v>100080892</v>
      </c>
      <c r="B339" s="65535">
        <f>+_xlfn.XLOOKUP(C339,[1]master!C:C,[1]master!B:B)</f>
        <v>75042943</v>
      </c>
      <c r="C339" s="65535" t="s">
        <v>338</v>
      </c>
      <c r="D339" s="65535" t="s">
        <v>688</v>
      </c>
      <c r="E339" s="15" t="s">
        <v>588</v>
      </c>
    </row>
    <row r="340" spans="1:5" s="15" ht="16" hidden="1" x14ac:dyDescent="0.35">
      <c r="A340" s="65535">
        <f>+_xlfn.XLOOKUP(C340,[1]master!C:C,[1]master!A:A)</f>
        <v>100080878</v>
      </c>
      <c r="B340" s="65535">
        <f>+_xlfn.XLOOKUP(C340,[1]master!C:C,[1]master!B:B)</f>
        <v>75039875</v>
      </c>
      <c r="C340" s="65535" t="s">
        <v>335</v>
      </c>
      <c r="D340" s="65535" t="s">
        <v>688</v>
      </c>
      <c r="E340" s="15" t="s">
        <v>588</v>
      </c>
    </row>
    <row r="341" spans="1:5" s="15" ht="16" x14ac:dyDescent="0.35">
      <c r="A341" s="65535">
        <f>+_xlfn.XLOOKUP(C341,[1]master!C:C,[1]master!A:A)</f>
        <v>100020970</v>
      </c>
      <c r="B341" s="65535">
        <f>+_xlfn.XLOOKUP(C341,[1]master!C:C,[1]master!B:B)</f>
        <v>75076405</v>
      </c>
      <c r="C341" s="65535" t="s">
        <v>60</v>
      </c>
      <c r="D341" s="65535" t="s">
        <v>687</v>
      </c>
      <c r="E341" s="15" t="s">
        <v>588</v>
      </c>
    </row>
    <row r="342" spans="1:5" s="15" ht="16" hidden="1" x14ac:dyDescent="0.35">
      <c r="A342" s="65535">
        <f>+_xlfn.XLOOKUP(C342,[1]master!C:C,[1]master!A:A)</f>
        <v>100020969</v>
      </c>
      <c r="B342" s="65535">
        <f>+_xlfn.XLOOKUP(C342,[1]master!C:C,[1]master!B:B)</f>
        <v>75076740</v>
      </c>
      <c r="C342" s="65535" t="s">
        <v>62</v>
      </c>
      <c r="D342" s="65535" t="s">
        <v>687</v>
      </c>
      <c r="E342" s="15" t="s">
        <v>588</v>
      </c>
    </row>
    <row r="343" spans="1:5" s="15" ht="16" hidden="1" x14ac:dyDescent="0.35">
      <c r="A343" s="65535">
        <f>+_xlfn.XLOOKUP(C343,[1]master!C:C,[1]master!A:A)</f>
        <v>100019232</v>
      </c>
      <c r="B343" s="65535">
        <f>+_xlfn.XLOOKUP(C343,[1]master!C:C,[1]master!B:B)</f>
        <v>75074876</v>
      </c>
      <c r="C343" s="65535" t="s">
        <v>326</v>
      </c>
      <c r="D343" s="65535" t="s">
        <v>687</v>
      </c>
      <c r="E343" s="15" t="s">
        <v>588</v>
      </c>
    </row>
    <row r="344" spans="1:5" s="15" ht="16" hidden="1" x14ac:dyDescent="0.35">
      <c r="A344" s="65535">
        <f>+_xlfn.XLOOKUP(C344,[1]master!C:C,[1]master!A:A)</f>
        <v>100080892</v>
      </c>
      <c r="B344" s="65535">
        <f>+_xlfn.XLOOKUP(C344,[1]master!C:C,[1]master!B:B)</f>
        <v>75042943</v>
      </c>
      <c r="C344" s="65535" t="s">
        <v>338</v>
      </c>
      <c r="D344" s="65535" t="s">
        <v>687</v>
      </c>
      <c r="E344" s="15" t="s">
        <v>588</v>
      </c>
    </row>
    <row r="345" spans="1:5" s="15" ht="16" hidden="1" x14ac:dyDescent="0.35">
      <c r="A345" s="65535">
        <f>+_xlfn.XLOOKUP(C345,[1]master!C:C,[1]master!A:A)</f>
        <v>100080878</v>
      </c>
      <c r="B345" s="65535">
        <f>+_xlfn.XLOOKUP(C345,[1]master!C:C,[1]master!B:B)</f>
        <v>75039875</v>
      </c>
      <c r="C345" s="65535" t="s">
        <v>335</v>
      </c>
      <c r="D345" s="65535" t="s">
        <v>687</v>
      </c>
      <c r="E345" s="15" t="s">
        <v>588</v>
      </c>
    </row>
    <row r="346" spans="1:5" s="15" ht="16" x14ac:dyDescent="0.35">
      <c r="A346" s="65535">
        <f>+_xlfn.XLOOKUP(C346,[1]master!C:C,[1]master!A:A)</f>
        <v>100020970</v>
      </c>
      <c r="B346" s="65535">
        <f>+_xlfn.XLOOKUP(C346,[1]master!C:C,[1]master!B:B)</f>
        <v>75076405</v>
      </c>
      <c r="C346" s="65535" t="s">
        <v>60</v>
      </c>
      <c r="D346" s="65535" t="s">
        <v>690</v>
      </c>
      <c r="E346" s="15" t="s">
        <v>588</v>
      </c>
    </row>
    <row r="347" spans="1:5" s="15" ht="16" hidden="1" x14ac:dyDescent="0.35">
      <c r="A347" s="65535">
        <f>+_xlfn.XLOOKUP(C347,[1]master!C:C,[1]master!A:A)</f>
        <v>100020969</v>
      </c>
      <c r="B347" s="65535">
        <f>+_xlfn.XLOOKUP(C347,[1]master!C:C,[1]master!B:B)</f>
        <v>75076740</v>
      </c>
      <c r="C347" s="65535" t="s">
        <v>62</v>
      </c>
      <c r="D347" s="65535" t="s">
        <v>690</v>
      </c>
      <c r="E347" s="15" t="s">
        <v>588</v>
      </c>
    </row>
    <row r="348" spans="1:5" s="15" ht="16" hidden="1" x14ac:dyDescent="0.35">
      <c r="A348" s="65535">
        <f>+_xlfn.XLOOKUP(C348,[1]master!C:C,[1]master!A:A)</f>
        <v>100023317</v>
      </c>
      <c r="B348" s="65535">
        <f>+_xlfn.XLOOKUP(C348,[1]master!C:C,[1]master!B:B)</f>
        <v>75078843</v>
      </c>
      <c r="C348" s="65535" t="s">
        <v>65</v>
      </c>
      <c r="D348" s="65535" t="s">
        <v>690</v>
      </c>
      <c r="E348" s="15" t="s">
        <v>588</v>
      </c>
    </row>
    <row r="349" spans="1:5" s="15" ht="16" hidden="1" x14ac:dyDescent="0.35">
      <c r="A349" s="65535">
        <f>+_xlfn.XLOOKUP(C349,[1]master!C:C,[1]master!A:A)</f>
        <v>100019232</v>
      </c>
      <c r="B349" s="65535">
        <f>+_xlfn.XLOOKUP(C349,[1]master!C:C,[1]master!B:B)</f>
        <v>75074876</v>
      </c>
      <c r="C349" s="65535" t="s">
        <v>326</v>
      </c>
      <c r="D349" s="65535" t="s">
        <v>690</v>
      </c>
      <c r="E349" s="15" t="s">
        <v>588</v>
      </c>
    </row>
    <row r="350" spans="1:5" s="15" ht="16" hidden="1" x14ac:dyDescent="0.35">
      <c r="A350" s="65535">
        <f>+_xlfn.XLOOKUP(C350,[1]master!C:C,[1]master!A:A)</f>
        <v>100019228</v>
      </c>
      <c r="B350" s="65535">
        <f>+_xlfn.XLOOKUP(C350,[1]master!C:C,[1]master!B:B)</f>
        <v>75074883</v>
      </c>
      <c r="C350" s="65535" t="s">
        <v>323</v>
      </c>
      <c r="D350" s="65535" t="s">
        <v>690</v>
      </c>
      <c r="E350" s="15" t="s">
        <v>588</v>
      </c>
    </row>
    <row r="351" spans="1:5" s="15" ht="16" hidden="1" x14ac:dyDescent="0.35">
      <c r="A351" s="65535">
        <f>+_xlfn.XLOOKUP(C351,[1]master!C:C,[1]master!A:A)</f>
        <v>100080892</v>
      </c>
      <c r="B351" s="65535">
        <f>+_xlfn.XLOOKUP(C351,[1]master!C:C,[1]master!B:B)</f>
        <v>75042943</v>
      </c>
      <c r="C351" s="65535" t="s">
        <v>338</v>
      </c>
      <c r="D351" s="65535" t="s">
        <v>690</v>
      </c>
      <c r="E351" s="15" t="s">
        <v>588</v>
      </c>
    </row>
    <row r="352" spans="1:5" s="15" ht="16" hidden="1" x14ac:dyDescent="0.35">
      <c r="A352" s="65535">
        <f>+_xlfn.XLOOKUP(C352,[1]master!C:C,[1]master!A:A)</f>
        <v>100080878</v>
      </c>
      <c r="B352" s="65535">
        <f>+_xlfn.XLOOKUP(C352,[1]master!C:C,[1]master!B:B)</f>
        <v>75039875</v>
      </c>
      <c r="C352" s="65535" t="s">
        <v>335</v>
      </c>
      <c r="D352" s="65535" t="s">
        <v>690</v>
      </c>
      <c r="E352" s="15" t="s">
        <v>588</v>
      </c>
    </row>
    <row r="353" spans="1:5" s="15" ht="16" x14ac:dyDescent="0.35">
      <c r="A353" s="65535">
        <f>+_xlfn.XLOOKUP(C353,[1]master!C:C,[1]master!A:A)</f>
        <v>100020970</v>
      </c>
      <c r="B353" s="65535">
        <f>+_xlfn.XLOOKUP(C353,[1]master!C:C,[1]master!B:B)</f>
        <v>75076405</v>
      </c>
      <c r="C353" s="65535" t="s">
        <v>60</v>
      </c>
      <c r="D353" s="65535" t="s">
        <v>691</v>
      </c>
      <c r="E353" s="15" t="s">
        <v>588</v>
      </c>
    </row>
    <row r="354" spans="1:5" s="15" ht="16" hidden="1" x14ac:dyDescent="0.35">
      <c r="A354" s="65535">
        <f>+_xlfn.XLOOKUP(C354,[1]master!C:C,[1]master!A:A)</f>
        <v>100020969</v>
      </c>
      <c r="B354" s="65535">
        <f>+_xlfn.XLOOKUP(C354,[1]master!C:C,[1]master!B:B)</f>
        <v>75076740</v>
      </c>
      <c r="C354" s="65535" t="s">
        <v>62</v>
      </c>
      <c r="D354" s="65535" t="s">
        <v>691</v>
      </c>
      <c r="E354" s="15" t="s">
        <v>588</v>
      </c>
    </row>
    <row r="355" spans="1:5" s="15" ht="16" hidden="1" x14ac:dyDescent="0.35">
      <c r="A355" s="65535">
        <f>+_xlfn.XLOOKUP(C355,[1]master!C:C,[1]master!A:A)</f>
        <v>100023317</v>
      </c>
      <c r="B355" s="65535">
        <f>+_xlfn.XLOOKUP(C355,[1]master!C:C,[1]master!B:B)</f>
        <v>75078843</v>
      </c>
      <c r="C355" s="65535" t="s">
        <v>65</v>
      </c>
      <c r="D355" s="65535" t="s">
        <v>691</v>
      </c>
      <c r="E355" s="15" t="s">
        <v>588</v>
      </c>
    </row>
    <row r="356" spans="1:5" s="15" ht="16" hidden="1" x14ac:dyDescent="0.35">
      <c r="A356" s="65535">
        <f>+_xlfn.XLOOKUP(C356,[1]master!C:C,[1]master!A:A)</f>
        <v>100019232</v>
      </c>
      <c r="B356" s="65535">
        <f>+_xlfn.XLOOKUP(C356,[1]master!C:C,[1]master!B:B)</f>
        <v>75074876</v>
      </c>
      <c r="C356" s="65535" t="s">
        <v>326</v>
      </c>
      <c r="D356" s="65535" t="s">
        <v>691</v>
      </c>
      <c r="E356" s="15" t="s">
        <v>588</v>
      </c>
    </row>
    <row r="357" spans="1:5" s="15" ht="16" hidden="1" x14ac:dyDescent="0.35">
      <c r="A357" s="65535">
        <f>+_xlfn.XLOOKUP(C357,[1]master!C:C,[1]master!A:A)</f>
        <v>100019228</v>
      </c>
      <c r="B357" s="65535">
        <f>+_xlfn.XLOOKUP(C357,[1]master!C:C,[1]master!B:B)</f>
        <v>75074883</v>
      </c>
      <c r="C357" s="65535" t="s">
        <v>323</v>
      </c>
      <c r="D357" s="65535" t="s">
        <v>691</v>
      </c>
      <c r="E357" s="15" t="s">
        <v>588</v>
      </c>
    </row>
    <row r="358" spans="1:5" s="15" ht="16" hidden="1" x14ac:dyDescent="0.35">
      <c r="A358" s="65535">
        <f>+_xlfn.XLOOKUP(C358,[1]master!C:C,[1]master!A:A)</f>
        <v>100080892</v>
      </c>
      <c r="B358" s="65535">
        <f>+_xlfn.XLOOKUP(C358,[1]master!C:C,[1]master!B:B)</f>
        <v>75042943</v>
      </c>
      <c r="C358" s="65535" t="s">
        <v>338</v>
      </c>
      <c r="D358" s="65535" t="s">
        <v>691</v>
      </c>
      <c r="E358" s="15" t="s">
        <v>588</v>
      </c>
    </row>
    <row r="359" spans="1:5" s="15" ht="16" hidden="1" x14ac:dyDescent="0.35">
      <c r="A359" s="65535">
        <f>+_xlfn.XLOOKUP(C359,[1]master!C:C,[1]master!A:A)</f>
        <v>100080878</v>
      </c>
      <c r="B359" s="65535">
        <f>+_xlfn.XLOOKUP(C359,[1]master!C:C,[1]master!B:B)</f>
        <v>75039875</v>
      </c>
      <c r="C359" s="65535" t="s">
        <v>335</v>
      </c>
      <c r="D359" s="65535" t="s">
        <v>691</v>
      </c>
      <c r="E359" s="15" t="s">
        <v>588</v>
      </c>
    </row>
    <row r="360" spans="1:5" s="15" ht="16" x14ac:dyDescent="0.35">
      <c r="A360" s="65535">
        <f>+_xlfn.XLOOKUP(C360,[1]master!C:C,[1]master!A:A)</f>
        <v>100020970</v>
      </c>
      <c r="B360" s="65535">
        <f>+_xlfn.XLOOKUP(C360,[1]master!C:C,[1]master!B:B)</f>
        <v>75076405</v>
      </c>
      <c r="C360" s="65535" t="s">
        <v>60</v>
      </c>
      <c r="D360" s="65535" t="s">
        <v>697</v>
      </c>
      <c r="E360" s="15" t="s">
        <v>588</v>
      </c>
    </row>
    <row r="361" spans="1:5" s="15" ht="16" hidden="1" x14ac:dyDescent="0.35">
      <c r="A361" s="65535">
        <f>+_xlfn.XLOOKUP(C361,[1]master!C:C,[1]master!A:A)</f>
        <v>100020969</v>
      </c>
      <c r="B361" s="65535">
        <f>+_xlfn.XLOOKUP(C361,[1]master!C:C,[1]master!B:B)</f>
        <v>75076740</v>
      </c>
      <c r="C361" s="65535" t="s">
        <v>62</v>
      </c>
      <c r="D361" s="65535" t="s">
        <v>697</v>
      </c>
      <c r="E361" s="15" t="s">
        <v>588</v>
      </c>
    </row>
    <row r="362" spans="1:5" s="15" ht="16" hidden="1" x14ac:dyDescent="0.35">
      <c r="A362" s="65535">
        <f>+_xlfn.XLOOKUP(C362,[1]master!C:C,[1]master!A:A)</f>
        <v>100023317</v>
      </c>
      <c r="B362" s="65535">
        <f>+_xlfn.XLOOKUP(C362,[1]master!C:C,[1]master!B:B)</f>
        <v>75078843</v>
      </c>
      <c r="C362" s="65535" t="s">
        <v>65</v>
      </c>
      <c r="D362" s="65535" t="s">
        <v>697</v>
      </c>
      <c r="E362" s="15" t="s">
        <v>588</v>
      </c>
    </row>
    <row r="363" spans="1:5" s="15" ht="16" hidden="1" x14ac:dyDescent="0.35">
      <c r="A363" s="65535">
        <f>+_xlfn.XLOOKUP(C363,[1]master!C:C,[1]master!A:A)</f>
        <v>100019232</v>
      </c>
      <c r="B363" s="65535">
        <f>+_xlfn.XLOOKUP(C363,[1]master!C:C,[1]master!B:B)</f>
        <v>75074876</v>
      </c>
      <c r="C363" s="65535" t="s">
        <v>326</v>
      </c>
      <c r="D363" s="65535" t="s">
        <v>697</v>
      </c>
      <c r="E363" s="15" t="s">
        <v>588</v>
      </c>
    </row>
    <row r="364" spans="1:5" s="15" ht="16" hidden="1" x14ac:dyDescent="0.35">
      <c r="A364" s="65535">
        <f>+_xlfn.XLOOKUP(C364,[1]master!C:C,[1]master!A:A)</f>
        <v>100019228</v>
      </c>
      <c r="B364" s="65535">
        <f>+_xlfn.XLOOKUP(C364,[1]master!C:C,[1]master!B:B)</f>
        <v>75074883</v>
      </c>
      <c r="C364" s="65535" t="s">
        <v>323</v>
      </c>
      <c r="D364" s="65535" t="s">
        <v>697</v>
      </c>
      <c r="E364" s="15" t="s">
        <v>588</v>
      </c>
    </row>
    <row r="365" spans="1:5" s="15" ht="16" hidden="1" x14ac:dyDescent="0.35">
      <c r="A365" s="65535">
        <f>+_xlfn.XLOOKUP(C365,[1]master!C:C,[1]master!A:A)</f>
        <v>100080892</v>
      </c>
      <c r="B365" s="65535">
        <f>+_xlfn.XLOOKUP(C365,[1]master!C:C,[1]master!B:B)</f>
        <v>75042943</v>
      </c>
      <c r="C365" s="65535" t="s">
        <v>338</v>
      </c>
      <c r="D365" s="65535" t="s">
        <v>697</v>
      </c>
      <c r="E365" s="15" t="s">
        <v>588</v>
      </c>
    </row>
    <row r="366" spans="1:5" s="15" ht="16" hidden="1" x14ac:dyDescent="0.35">
      <c r="A366" s="65535">
        <f>+_xlfn.XLOOKUP(C366,[1]master!C:C,[1]master!A:A)</f>
        <v>100080878</v>
      </c>
      <c r="B366" s="65535">
        <f>+_xlfn.XLOOKUP(C366,[1]master!C:C,[1]master!B:B)</f>
        <v>75039875</v>
      </c>
      <c r="C366" s="65535" t="s">
        <v>335</v>
      </c>
      <c r="D366" s="65535" t="s">
        <v>697</v>
      </c>
      <c r="E366" s="15" t="s">
        <v>588</v>
      </c>
    </row>
    <row r="367" spans="1:5" s="15" ht="16" hidden="1" x14ac:dyDescent="0.35">
      <c r="A367" s="65535">
        <f>+_xlfn.XLOOKUP(C367,[1]master!C:C,[1]master!A:A)</f>
        <v>100019232</v>
      </c>
      <c r="B367" s="65535">
        <f>+_xlfn.XLOOKUP(C367,[1]master!C:C,[1]master!B:B)</f>
        <v>75074876</v>
      </c>
      <c r="C367" s="65535" t="s">
        <v>326</v>
      </c>
      <c r="D367" s="65535" t="s">
        <v>657</v>
      </c>
      <c r="E367" s="15" t="s">
        <v>588</v>
      </c>
    </row>
    <row r="368" spans="1:5" s="15" ht="16" hidden="1" x14ac:dyDescent="0.35">
      <c r="A368" s="65535">
        <f>+_xlfn.XLOOKUP(C368,[1]master!C:C,[1]master!A:A)</f>
        <v>100019228</v>
      </c>
      <c r="B368" s="65535">
        <f>+_xlfn.XLOOKUP(C368,[1]master!C:C,[1]master!B:B)</f>
        <v>75074883</v>
      </c>
      <c r="C368" s="65535" t="s">
        <v>323</v>
      </c>
      <c r="D368" s="65535" t="s">
        <v>657</v>
      </c>
      <c r="E368" s="15" t="s">
        <v>588</v>
      </c>
    </row>
    <row r="369" spans="1:5" s="15" ht="16" hidden="1" x14ac:dyDescent="0.35">
      <c r="A369" s="65535">
        <f>+_xlfn.XLOOKUP(C369,[1]master!C:C,[1]master!A:A)</f>
        <v>100080892</v>
      </c>
      <c r="B369" s="65535">
        <f>+_xlfn.XLOOKUP(C369,[1]master!C:C,[1]master!B:B)</f>
        <v>75042943</v>
      </c>
      <c r="C369" s="65535" t="s">
        <v>338</v>
      </c>
      <c r="D369" s="65535" t="s">
        <v>657</v>
      </c>
      <c r="E369" s="15" t="s">
        <v>588</v>
      </c>
    </row>
    <row r="370" spans="1:5" s="15" ht="16" hidden="1" x14ac:dyDescent="0.35">
      <c r="A370" s="65535">
        <f>+_xlfn.XLOOKUP(C370,[1]master!C:C,[1]master!A:A)</f>
        <v>100080878</v>
      </c>
      <c r="B370" s="65535">
        <f>+_xlfn.XLOOKUP(C370,[1]master!C:C,[1]master!B:B)</f>
        <v>75039875</v>
      </c>
      <c r="C370" s="65535" t="s">
        <v>335</v>
      </c>
      <c r="D370" s="65535" t="s">
        <v>657</v>
      </c>
      <c r="E370" s="15" t="s">
        <v>588</v>
      </c>
    </row>
  </sheetData>
  <autoFilter ref="A1:E370" xr:uid="{BCD06FBB-ED11-41C0-A6F6-FFE4FABC37FF}">
    <filterColumn colId="2">
      <filters>
        <filter val="MONTANA CLASSI 14S 1 CAJETILLA"/>
      </filters>
    </filterColumn>
  </autoFilter>
  <conditionalFormatting sqref="A17:A31">
    <cfRule type="duplicateValues" dxfId="8" priority="1"/>
    <cfRule type="duplicateValues" dxfId="7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1EF5-5225-4129-A9CE-E6DF9EB260B3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D44"/>
  <sheetViews>
    <sheetView topLeftCell="A7" zoomScale="90" zoomScaleNormal="90" workbookViewId="0">
      <selection activeCell="C2" sqref="C2:C37"/>
    </sheetView>
  </sheetViews>
  <sheetFormatPr baseColWidth="10" defaultColWidth="11.453125" defaultRowHeight="14.5" x14ac:dyDescent="0.35"/>
  <cols>
    <col min="1" max="1" width="16.453125" style="15" bestFit="1" customWidth="1"/>
    <col min="3" max="3" width="50.81640625" style="15" bestFit="1" customWidth="1"/>
  </cols>
  <sheetData>
    <row r="1" spans="1:4" s="15" x14ac:dyDescent="0.35">
      <c r="A1" s="15" t="s">
        <v>1</v>
      </c>
      <c r="B1" s="15" t="s">
        <v>9</v>
      </c>
    </row>
    <row r="2" spans="1:4" s="15" x14ac:dyDescent="0.35">
      <c r="A2" s="65535">
        <v>7503023959148</v>
      </c>
      <c r="B2" s="15" t="s">
        <v>588</v>
      </c>
      <c r="C2" s="65535" t="s">
        <v>672</v>
      </c>
      <c r="D2" s="15" t="str">
        <f>+_xlfn.XLOOKUP(A2,MASTER!B:B,MASTER!C:C)</f>
        <v xml:space="preserve">CAMEL NATURAL FLAVOR 20						</v>
      </c>
    </row>
    <row r="3" spans="1:4" s="15" x14ac:dyDescent="0.35">
      <c r="A3" s="65535">
        <v>7503023959438</v>
      </c>
      <c r="B3" s="15" t="s">
        <v>588</v>
      </c>
      <c r="C3" s="65535" t="s">
        <v>679</v>
      </c>
      <c r="D3" s="15" t="str">
        <f>+_xlfn.XLOOKUP(A3,MASTER!B:B,MASTER!C:C)</f>
        <v xml:space="preserve"> WINSTON OASIS FRES 27.4 G	</v>
      </c>
    </row>
    <row r="4" spans="1:4" s="15" x14ac:dyDescent="0.35">
      <c r="A4" s="65535">
        <v>75083762</v>
      </c>
      <c r="B4" s="15" t="s">
        <v>588</v>
      </c>
      <c r="C4" s="65535" t="s">
        <v>120</v>
      </c>
      <c r="D4" s="15" t="str">
        <f>+_xlfn.XLOOKUP(A4,MASTER!B:B,MASTER!C:C)</f>
        <v>PALL MALL PALL MALL SELECT 14 PZ</v>
      </c>
    </row>
    <row r="5" spans="1:4" s="15" x14ac:dyDescent="0.35">
      <c r="A5" s="65535">
        <v>75083755</v>
      </c>
      <c r="B5" s="15" t="s">
        <v>588</v>
      </c>
      <c r="C5" s="65535" t="s">
        <v>121</v>
      </c>
      <c r="D5" s="15" t="str">
        <f>+_xlfn.XLOOKUP(A5,MASTER!B:B,MASTER!C:C)</f>
        <v>PALL MALL PALL MALL SELECT 20 PZ</v>
      </c>
    </row>
    <row r="6" spans="1:4" s="15" x14ac:dyDescent="0.35">
      <c r="A6" s="65535">
        <v>75087142</v>
      </c>
      <c r="B6" s="15" t="s">
        <v>588</v>
      </c>
      <c r="C6" s="65535" t="s">
        <v>597</v>
      </c>
      <c r="D6" s="15" t="str">
        <f>+_xlfn.XLOOKUP(A6,MASTER!B:B,MASTER!C:C)</f>
        <v>PALL MALL SUMMER ALASKA 20 PZ</v>
      </c>
    </row>
    <row r="7" spans="1:4" s="15" x14ac:dyDescent="0.35">
      <c r="A7" s="65535">
        <v>75087159</v>
      </c>
      <c r="B7" s="15" t="s">
        <v>588</v>
      </c>
      <c r="C7" s="65535" t="s">
        <v>598</v>
      </c>
      <c r="D7" s="15" t="str">
        <f>+_xlfn.XLOOKUP(A7,MASTER!B:B,MASTER!C:C)</f>
        <v>PALL MALL SUMMER TOKYO 20 PZ</v>
      </c>
    </row>
    <row r="8" spans="1:4" s="15" x14ac:dyDescent="0.35">
      <c r="A8" s="65535">
        <v>75087166</v>
      </c>
      <c r="B8" s="15" t="s">
        <v>588</v>
      </c>
      <c r="C8" s="65535" t="s">
        <v>599</v>
      </c>
      <c r="D8" s="15" t="str">
        <f>+_xlfn.XLOOKUP(A8,MASTER!B:B,MASTER!C:C)</f>
        <v>PALL MALL SUMMER MYKONOS 20 PZ</v>
      </c>
    </row>
    <row r="9" spans="1:4" s="15" x14ac:dyDescent="0.35">
      <c r="A9" s="65535">
        <v>75087173</v>
      </c>
      <c r="B9" s="15" t="s">
        <v>588</v>
      </c>
      <c r="C9" s="65535" t="s">
        <v>600</v>
      </c>
      <c r="D9" s="15" t="str">
        <f>+_xlfn.XLOOKUP(A9,MASTER!B:B,MASTER!C:C)</f>
        <v>PALL MALL SUMMER HAWAII 20 PZ</v>
      </c>
    </row>
    <row r="10" spans="1:4" s="15" x14ac:dyDescent="0.35">
      <c r="A10" s="65535">
        <v>75087180</v>
      </c>
      <c r="B10" s="15" t="s">
        <v>588</v>
      </c>
      <c r="C10" s="65535" t="s">
        <v>601</v>
      </c>
      <c r="D10" s="15" t="str">
        <f>+_xlfn.XLOOKUP(A10,MASTER!B:B,MASTER!C:C)</f>
        <v>PALL MALL SUMMER MANILA 20 PZ</v>
      </c>
    </row>
    <row r="11" spans="1:4" s="15" x14ac:dyDescent="0.35">
      <c r="A11" s="65535">
        <v>75087197</v>
      </c>
      <c r="B11" s="15" t="s">
        <v>588</v>
      </c>
      <c r="C11" s="65535" t="s">
        <v>603</v>
      </c>
      <c r="D11" s="15" t="str">
        <f>+_xlfn.XLOOKUP(A11,MASTER!B:B,MASTER!C:C)</f>
        <v>PALL MALL SUMMER SELECT RED 25 PZ</v>
      </c>
    </row>
    <row r="12" spans="1:4" s="15" x14ac:dyDescent="0.35">
      <c r="A12" s="65535">
        <v>75087203</v>
      </c>
      <c r="B12" s="15" t="s">
        <v>588</v>
      </c>
      <c r="C12" s="65535" t="s">
        <v>604</v>
      </c>
      <c r="D12" s="15" t="str">
        <f>+_xlfn.XLOOKUP(A12,MASTER!B:B,MASTER!C:C)</f>
        <v>PALL MALL SUMMER SELECT GOLD 14 PZ</v>
      </c>
    </row>
    <row r="13" spans="1:4" s="15" x14ac:dyDescent="0.35">
      <c r="A13" s="65535">
        <v>75087210</v>
      </c>
      <c r="B13" s="15" t="s">
        <v>588</v>
      </c>
      <c r="C13" s="65535" t="s">
        <v>605</v>
      </c>
      <c r="D13" s="15" t="str">
        <f>+_xlfn.XLOOKUP(A13,MASTER!B:B,MASTER!C:C)</f>
        <v>SHOTS CLASSICS SUMMER 25 PZ</v>
      </c>
    </row>
    <row r="14" spans="1:4" s="15" x14ac:dyDescent="0.35">
      <c r="A14" s="65535">
        <v>75084493</v>
      </c>
      <c r="B14" s="15" t="s">
        <v>588</v>
      </c>
      <c r="C14" s="65535" t="s">
        <v>602</v>
      </c>
      <c r="D14" s="15" t="str">
        <f>+_xlfn.XLOOKUP(A14,MASTER!B:B,MASTER!C:C)</f>
        <v>PALL MALL AMALFI 20 PZ</v>
      </c>
    </row>
    <row r="15" spans="1:4" s="15" x14ac:dyDescent="0.35">
      <c r="A15" s="65535">
        <v>75087586</v>
      </c>
      <c r="B15" s="15" t="s">
        <v>588</v>
      </c>
      <c r="C15" s="65535" t="s">
        <v>665</v>
      </c>
      <c r="D15" s="15" t="str">
        <f>+_xlfn.XLOOKUP(A15,MASTER!B:B,MASTER!C:C)</f>
        <v>MARLBORO CRAFTED POLAR MIX 100 BOX 20  CAJETILLA PZ</v>
      </c>
    </row>
    <row r="16" spans="1:4" s="15" x14ac:dyDescent="0.35">
      <c r="A16" s="65535">
        <v>7311250035586</v>
      </c>
      <c r="B16" s="15" t="s">
        <v>588</v>
      </c>
      <c r="C16" s="65535" t="s">
        <v>611</v>
      </c>
      <c r="D16" s="15" t="str">
        <f>+_xlfn.XLOOKUP(A16,MASTER!B:B,MASTER!C:C)</f>
        <v>ZYN APPLE MINT 3MG CAJETILLA PZ</v>
      </c>
    </row>
    <row r="17" spans="1:4" s="15" x14ac:dyDescent="0.35">
      <c r="A17" s="65535">
        <v>7311250035609</v>
      </c>
      <c r="B17" s="15" t="s">
        <v>588</v>
      </c>
      <c r="C17" s="65535" t="s">
        <v>612</v>
      </c>
      <c r="D17" s="15" t="str">
        <f>+_xlfn.XLOOKUP(A17,MASTER!B:B,MASTER!C:C)</f>
        <v>ZYN APPLE MINT 6MG CAJETILLA PZ</v>
      </c>
    </row>
    <row r="18" spans="1:4" s="15" x14ac:dyDescent="0.35">
      <c r="A18" s="65535">
        <v>7503039738843</v>
      </c>
      <c r="B18" s="15" t="s">
        <v>588</v>
      </c>
      <c r="C18" s="65535" t="s">
        <v>667</v>
      </c>
      <c r="D18" s="15" t="str">
        <f>+_xlfn.XLOOKUP(A18,MASTER!B:B,MASTER!C:C)</f>
        <v>VELO MANGO ICE 4MG  15 PZ</v>
      </c>
    </row>
    <row r="19" spans="1:4" s="15" x14ac:dyDescent="0.35">
      <c r="A19" s="65535">
        <v>7503039738867</v>
      </c>
      <c r="B19" s="15" t="s">
        <v>588</v>
      </c>
      <c r="C19" s="65535" t="s">
        <v>618</v>
      </c>
      <c r="D19" s="15" t="str">
        <f>+_xlfn.XLOOKUP(A19,MASTER!B:B,MASTER!C:C)</f>
        <v>VELO MANGO FLAME 10MG 15 PZ</v>
      </c>
    </row>
    <row r="20" spans="1:4" s="15" x14ac:dyDescent="0.35">
      <c r="A20" s="65535">
        <v>7503039738874</v>
      </c>
      <c r="B20" s="15" t="s">
        <v>588</v>
      </c>
      <c r="C20" s="65535" t="s">
        <v>669</v>
      </c>
      <c r="D20" s="15" t="str">
        <f>+_xlfn.XLOOKUP(A20,MASTER!B:B,MASTER!C:C)</f>
        <v>VELO PEPPERMINT STORM 10.9 MG 15 PZ</v>
      </c>
    </row>
    <row r="21" spans="1:4" s="15" x14ac:dyDescent="0.35">
      <c r="A21" s="65535">
        <v>75086176</v>
      </c>
      <c r="B21" s="15" t="s">
        <v>588</v>
      </c>
      <c r="C21" s="65535" t="s">
        <v>668</v>
      </c>
      <c r="D21" s="15" t="str">
        <f>+_xlfn.XLOOKUP(A21,MASTER!B:B,MASTER!C:C)</f>
        <v>PALL MALL HONOLULU 14 PZ</v>
      </c>
    </row>
    <row r="22" spans="1:4" s="15" x14ac:dyDescent="0.35">
      <c r="A22" s="65535">
        <v>75086145</v>
      </c>
      <c r="B22" s="15" t="s">
        <v>588</v>
      </c>
      <c r="C22" s="65535" t="s">
        <v>660</v>
      </c>
      <c r="D22" s="15" t="str">
        <f>+_xlfn.XLOOKUP(A22,MASTER!B:B,MASTER!C:C)</f>
        <v>PALL MALL ICELAND 14 PZ</v>
      </c>
    </row>
    <row r="23" spans="1:4" s="15" x14ac:dyDescent="0.35">
      <c r="A23" s="65535">
        <v>7503039738911</v>
      </c>
      <c r="B23" s="15" t="s">
        <v>588</v>
      </c>
      <c r="C23" s="65535" t="s">
        <v>671</v>
      </c>
      <c r="D23" s="15" t="str">
        <f>+_xlfn.XLOOKUP(A23,MASTER!B:B,MASTER!C:C)</f>
        <v>VELO PEACH ICE 8MG 15 PZ</v>
      </c>
    </row>
    <row r="24" spans="1:4" s="15" x14ac:dyDescent="0.35">
      <c r="A24" s="65535">
        <v>7503039738904</v>
      </c>
      <c r="B24" s="15" t="s">
        <v>588</v>
      </c>
      <c r="C24" s="65535" t="s">
        <v>670</v>
      </c>
      <c r="D24" s="15" t="str">
        <f>+_xlfn.XLOOKUP(A24,MASTER!B:B,MASTER!C:C)</f>
        <v>VELO PURPLE GRAPE 8MG 15 PZ</v>
      </c>
    </row>
    <row r="25" spans="1:4" s="15" x14ac:dyDescent="0.35">
      <c r="A25" s="65535">
        <v>7503039738966</v>
      </c>
      <c r="B25" s="15" t="s">
        <v>588</v>
      </c>
      <c r="C25" s="65535" t="s">
        <v>680</v>
      </c>
      <c r="D25" s="15" t="str">
        <f>+_xlfn.XLOOKUP(A25,MASTER!B:B,MASTER!C:C)</f>
        <v>VELO SPICY PAPAYA 8MG 15 PZ</v>
      </c>
    </row>
    <row r="26" spans="1:4" s="15" x14ac:dyDescent="0.35">
      <c r="A26" s="65535">
        <v>75086152</v>
      </c>
      <c r="B26" s="15" t="s">
        <v>588</v>
      </c>
      <c r="C26" s="65535" t="s">
        <v>681</v>
      </c>
      <c r="D26" s="15" t="e">
        <f>+_xlfn.XLOOKUP(A26,MASTER!B:B,MASTER!C:C)</f>
        <v>#N/A</v>
      </c>
    </row>
    <row r="27" spans="1:4" s="15" x14ac:dyDescent="0.35">
      <c r="A27" s="65535">
        <v>75087517</v>
      </c>
      <c r="B27" s="15" t="s">
        <v>588</v>
      </c>
      <c r="C27" s="65535" t="s">
        <v>682</v>
      </c>
      <c r="D27" s="15" t="e">
        <f>+_xlfn.XLOOKUP(A27,MASTER!B:B,MASTER!C:C)</f>
        <v>#N/A</v>
      </c>
    </row>
    <row r="28" spans="1:4" s="15" x14ac:dyDescent="0.35">
      <c r="A28" s="65535">
        <v>75087524</v>
      </c>
      <c r="B28" s="15" t="s">
        <v>588</v>
      </c>
      <c r="C28" s="65535" t="s">
        <v>683</v>
      </c>
      <c r="D28" s="15" t="e">
        <f>+_xlfn.XLOOKUP(A28,MASTER!B:B,MASTER!C:C)</f>
        <v>#N/A</v>
      </c>
    </row>
    <row r="29" spans="1:4" s="15" x14ac:dyDescent="0.35">
      <c r="A29" s="65535">
        <v>75088347</v>
      </c>
      <c r="B29" s="15" t="s">
        <v>588</v>
      </c>
      <c r="C29" s="65535" t="s">
        <v>684</v>
      </c>
      <c r="D29" s="15" t="e">
        <f>+_xlfn.XLOOKUP(A29,MASTER!B:B,MASTER!C:C)</f>
        <v>#N/A</v>
      </c>
    </row>
    <row r="30" spans="1:4" s="15" x14ac:dyDescent="0.35">
      <c r="A30" s="65535">
        <v>75088354</v>
      </c>
      <c r="B30" s="15" t="s">
        <v>588</v>
      </c>
      <c r="C30" s="65535" t="s">
        <v>685</v>
      </c>
      <c r="D30" s="15" t="e">
        <f>+_xlfn.XLOOKUP(A30,MASTER!B:B,MASTER!C:C)</f>
        <v>#N/A</v>
      </c>
    </row>
    <row r="31" spans="1:4" s="15" x14ac:dyDescent="0.35">
      <c r="A31" s="65535">
        <v>7502274777471</v>
      </c>
      <c r="B31" s="15" t="s">
        <v>588</v>
      </c>
      <c r="C31" s="65535" t="s">
        <v>641</v>
      </c>
      <c r="D31" s="15" t="str">
        <f>+_xlfn.XLOOKUP(A31,MASTER!B:B,MASTER!C:C)</f>
        <v>SESH MINT 10 2MG 1 PZ</v>
      </c>
    </row>
    <row r="32" spans="1:4" s="15" x14ac:dyDescent="0.35">
      <c r="A32" s="65535">
        <v>7502274777471</v>
      </c>
      <c r="B32" s="15" t="s">
        <v>588</v>
      </c>
      <c r="C32" s="65535" t="s">
        <v>641</v>
      </c>
      <c r="D32" s="15" t="str">
        <f>+_xlfn.XLOOKUP(A32,MASTER!B:B,MASTER!C:C)</f>
        <v>SESH MINT 10 2MG 1 PZ</v>
      </c>
    </row>
    <row r="33" spans="1:4" s="15" x14ac:dyDescent="0.35">
      <c r="A33" s="65535">
        <v>7502274777501</v>
      </c>
      <c r="B33" s="15" t="s">
        <v>588</v>
      </c>
      <c r="C33" s="65535" t="s">
        <v>644</v>
      </c>
      <c r="D33" s="15" t="str">
        <f>+_xlfn.XLOOKUP(A33,MASTER!B:B,MASTER!C:C)</f>
        <v>SESH MINT 10 4MG 1 PZ</v>
      </c>
    </row>
    <row r="34" spans="1:4" s="15" x14ac:dyDescent="0.35">
      <c r="A34" s="65535">
        <v>7502274777488</v>
      </c>
      <c r="B34" s="15" t="s">
        <v>588</v>
      </c>
      <c r="C34" s="65535" t="s">
        <v>645</v>
      </c>
      <c r="D34" s="15" t="str">
        <f>+_xlfn.XLOOKUP(A34,MASTER!B:B,MASTER!C:C)</f>
        <v>SESH MANGO 10S 2MG 1 PZ</v>
      </c>
    </row>
    <row r="35" spans="1:4" s="15" x14ac:dyDescent="0.35">
      <c r="A35" s="65535">
        <v>7502274777488</v>
      </c>
      <c r="B35" s="15" t="s">
        <v>588</v>
      </c>
      <c r="C35" s="65535" t="s">
        <v>645</v>
      </c>
      <c r="D35" s="15" t="str">
        <f>+_xlfn.XLOOKUP(A35,MASTER!B:B,MASTER!C:C)</f>
        <v>SESH MANGO 10S 2MG 1 PZ</v>
      </c>
    </row>
    <row r="36" spans="1:4" s="15" x14ac:dyDescent="0.35">
      <c r="A36" s="65535">
        <v>7502274777464</v>
      </c>
      <c r="B36" s="15" t="s">
        <v>588</v>
      </c>
      <c r="C36" s="65535" t="s">
        <v>646</v>
      </c>
      <c r="D36" s="15" t="str">
        <f>+_xlfn.XLOOKUP(A36,MASTER!B:B,MASTER!C:C)</f>
        <v>SESH CLEAR 10S 2MG 1 PZ</v>
      </c>
    </row>
    <row r="37" spans="1:4" s="15" x14ac:dyDescent="0.35">
      <c r="A37" s="65535">
        <v>7502274777464</v>
      </c>
      <c r="B37" s="15" t="s">
        <v>588</v>
      </c>
      <c r="C37" s="65535" t="s">
        <v>646</v>
      </c>
      <c r="D37" s="15" t="str">
        <f>+_xlfn.XLOOKUP(A37,MASTER!B:B,MASTER!C:C)</f>
        <v>SESH CLEAR 10S 2MG 1 PZ</v>
      </c>
    </row>
    <row r="38" spans="1:4" s="15" x14ac:dyDescent="0.35">
      <c r="A38" s="65535"/>
      <c r="C38" s="65535"/>
    </row>
    <row r="39" spans="1:4" s="15" x14ac:dyDescent="0.35">
      <c r="A39" s="65535"/>
      <c r="C39" s="65535"/>
    </row>
    <row r="40" spans="1:4" s="15" x14ac:dyDescent="0.35">
      <c r="A40" s="65535"/>
      <c r="C40" s="65535"/>
    </row>
    <row r="41" spans="1:4" s="15" x14ac:dyDescent="0.35">
      <c r="A41" s="65535"/>
      <c r="C41" s="65535"/>
    </row>
    <row r="42" spans="1:4" s="15" x14ac:dyDescent="0.35">
      <c r="A42" s="65535"/>
      <c r="C42" s="65535"/>
    </row>
    <row r="43" spans="1:4" s="15" x14ac:dyDescent="0.35">
      <c r="A43" s="65535"/>
      <c r="C43" s="65535"/>
    </row>
    <row r="44" spans="1:4" s="15" x14ac:dyDescent="0.35">
      <c r="A44" s="65535"/>
      <c r="C44" s="65535"/>
    </row>
  </sheetData>
  <autoFilter ref="A1:D44" xr:uid="{B4A8CEA0-0626-4FB4-8112-AC8F739EFD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topLeftCell="A74" workbookViewId="0"/>
  </sheetViews>
  <sheetFormatPr baseColWidth="10" defaultRowHeight="14.5" x14ac:dyDescent="0.35"/>
  <cols>
    <col min="1" max="1" width="34" style="15" bestFit="1" customWidth="1"/>
    <col min="5" max="5" width="34" style="15" bestFit="1" customWidth="1"/>
  </cols>
  <sheetData>
    <row r="1" spans="1:7" s="15" x14ac:dyDescent="0.35">
      <c r="A1" s="15" t="s">
        <v>662</v>
      </c>
      <c r="B1" s="15" t="s">
        <v>663</v>
      </c>
      <c r="C1" s="15" t="s">
        <v>664</v>
      </c>
      <c r="E1" s="15" t="s">
        <v>662</v>
      </c>
      <c r="F1" s="15" t="s">
        <v>663</v>
      </c>
      <c r="G1" s="15" t="s">
        <v>664</v>
      </c>
    </row>
    <row r="2" spans="1:7" s="15" hidden="1" x14ac:dyDescent="0.35">
      <c r="A2" s="15" t="str">
        <f>+_xlfn.XLOOKUP(B2,MASTER!B:B,MASTER!C:C)</f>
        <v>LUCKY STRIKE ORIGINS BRIGHT 20 PZ</v>
      </c>
      <c r="B2" s="65535">
        <v>75079895</v>
      </c>
      <c r="C2" s="15" t="str">
        <f>+_xlfn.XLOOKUP(B2,MASTER!B:B,MASTER!I:I)</f>
        <v>Descontinuado (con stock)</v>
      </c>
      <c r="E2" s="15" t="str">
        <f>+_xlfn.XLOOKUP(F2,MASTER!B:B,MASTER!C:C)</f>
        <v>LUCKY STRIKE ORIGINS BRIGHT 20 PZ</v>
      </c>
      <c r="F2" s="15" cm="1">
        <f t="array" ref="F2:F47">+_xlfn.UNIQUE(B2:B88)</f>
        <v>75079895</v>
      </c>
      <c r="G2" s="15" t="str">
        <f>+_xlfn.XLOOKUP(F2,MASTER!B:B,MASTER!I:I)</f>
        <v>Descontinuado (con stock)</v>
      </c>
    </row>
    <row r="3" spans="1:7" s="15" hidden="1" x14ac:dyDescent="0.35">
      <c r="A3" s="15" t="str">
        <f>+_xlfn.XLOOKUP(B3,MASTER!B:B,MASTER!C:C)</f>
        <v>LUCKY STRIKE ORIGINS BRIGHT 20 PZ</v>
      </c>
      <c r="B3" s="65535">
        <v>75079895</v>
      </c>
      <c r="C3" s="15" t="str">
        <f>+_xlfn.XLOOKUP(B3,MASTER!B:B,MASTER!I:I)</f>
        <v>Descontinuado (con stock)</v>
      </c>
      <c r="E3" s="15" t="str">
        <f>+_xlfn.XLOOKUP(F3,MASTER!B:B,MASTER!C:C)</f>
        <v>LUCKY STRIKE ORIGINS DARK 20 PZ</v>
      </c>
      <c r="F3" s="15">
        <v>75079901</v>
      </c>
      <c r="G3" s="15" t="str">
        <f>+_xlfn.XLOOKUP(F3,MASTER!B:B,MASTER!I:I)</f>
        <v>Descontinuado (con stock)</v>
      </c>
    </row>
    <row r="4" spans="1:7" s="15" hidden="1" x14ac:dyDescent="0.35">
      <c r="A4" s="15" t="str">
        <f>+_xlfn.XLOOKUP(B4,MASTER!B:B,MASTER!C:C)</f>
        <v>LUCKY STRIKE ORIGINS DARK 20 PZ</v>
      </c>
      <c r="B4" s="65535">
        <v>75079901</v>
      </c>
      <c r="C4" s="15" t="str">
        <f>+_xlfn.XLOOKUP(B4,MASTER!B:B,MASTER!I:I)</f>
        <v>Descontinuado (con stock)</v>
      </c>
      <c r="E4" s="15" t="str">
        <f>+_xlfn.XLOOKUP(F4,MASTER!B:B,MASTER!C:C)</f>
        <v>LUCKY STRIKE ORIGINS RICH 20 PZ</v>
      </c>
      <c r="F4" s="15">
        <v>75079888</v>
      </c>
      <c r="G4" s="15" t="str">
        <f>+_xlfn.XLOOKUP(F4,MASTER!B:B,MASTER!I:I)</f>
        <v>Descontinuado (con stock)</v>
      </c>
    </row>
    <row r="5" spans="1:7" s="15" hidden="1" x14ac:dyDescent="0.35">
      <c r="A5" s="15" t="str">
        <f>+_xlfn.XLOOKUP(B5,MASTER!B:B,MASTER!C:C)</f>
        <v>LUCKY STRIKE ORIGINS DARK 20 PZ</v>
      </c>
      <c r="B5" s="65535">
        <v>75079901</v>
      </c>
      <c r="C5" s="15" t="str">
        <f>+_xlfn.XLOOKUP(B5,MASTER!B:B,MASTER!I:I)</f>
        <v>Descontinuado (con stock)</v>
      </c>
      <c r="E5" s="15" t="str">
        <f>+_xlfn.XLOOKUP(F5,MASTER!B:B,MASTER!C:C)</f>
        <v>LUCKY STRIKE ORIGINAL RED 20 PZ</v>
      </c>
      <c r="F5" s="15">
        <v>75079956</v>
      </c>
      <c r="G5" s="15" t="str">
        <f>+_xlfn.XLOOKUP(F5,MASTER!B:B,MASTER!I:I)</f>
        <v>Descontinuado (con stock)</v>
      </c>
    </row>
    <row r="6" spans="1:7" s="15" x14ac:dyDescent="0.35">
      <c r="A6" s="15" t="str">
        <f>+_xlfn.XLOOKUP(B6,MASTER!B:B,MASTER!C:C)</f>
        <v>LUCKY STRIKE ORIGINS RICH 20 PZ</v>
      </c>
      <c r="B6" s="65535">
        <v>75079888</v>
      </c>
      <c r="C6" s="15" t="str">
        <f>+_xlfn.XLOOKUP(B6,MASTER!B:B,MASTER!I:I)</f>
        <v>Descontinuado (con stock)</v>
      </c>
      <c r="E6" s="15" t="str">
        <f>+_xlfn.XLOOKUP(F6,MASTER!B:B,MASTER!C:C)</f>
        <v>LUCKY STRIKE AMARILLOS 20S</v>
      </c>
      <c r="F6" s="15">
        <v>75046521</v>
      </c>
      <c r="G6" s="15" t="str">
        <f>+_xlfn.XLOOKUP(F6,MASTER!B:B,MASTER!I:I)</f>
        <v>Activo</v>
      </c>
    </row>
    <row r="7" spans="1:7" s="15" x14ac:dyDescent="0.35">
      <c r="A7" s="15" t="str">
        <f>+_xlfn.XLOOKUP(B7,MASTER!B:B,MASTER!C:C)</f>
        <v>LUCKY STRIKE ORIGINS RICH 20 PZ</v>
      </c>
      <c r="B7" s="65535">
        <v>75079888</v>
      </c>
      <c r="C7" s="15" t="str">
        <f>+_xlfn.XLOOKUP(B7,MASTER!B:B,MASTER!I:I)</f>
        <v>Descontinuado (con stock)</v>
      </c>
      <c r="E7" s="15" t="str">
        <f>+_xlfn.XLOOKUP(F7,MASTER!B:B,MASTER!C:C)</f>
        <v>LUCKY STRIKE CLICK 4 MIX</v>
      </c>
      <c r="F7" s="15">
        <v>75051785</v>
      </c>
      <c r="G7" s="15" t="str">
        <f>+_xlfn.XLOOKUP(F7,MASTER!B:B,MASTER!I:I)</f>
        <v>Activo</v>
      </c>
    </row>
    <row r="8" spans="1:7" s="15" x14ac:dyDescent="0.35">
      <c r="A8" s="15" t="str">
        <f>+_xlfn.XLOOKUP(B8,MASTER!B:B,MASTER!C:C)</f>
        <v>LUCKY STRIKE ORIGINAL RED 20 PZ</v>
      </c>
      <c r="B8" s="65535">
        <v>75079956</v>
      </c>
      <c r="C8" s="15" t="str">
        <f>+_xlfn.XLOOKUP(B8,MASTER!B:B,MASTER!I:I)</f>
        <v>Descontinuado (con stock)</v>
      </c>
      <c r="E8" s="15" t="str">
        <f>+_xlfn.XLOOKUP(F8,MASTER!B:B,MASTER!C:C)</f>
        <v>LUCKY STRIKE COMET 20S 1 CAJETILLA</v>
      </c>
      <c r="F8" s="15">
        <v>75074227</v>
      </c>
      <c r="G8" s="15" t="str">
        <f>+_xlfn.XLOOKUP(F8,MASTER!B:B,MASTER!I:I)</f>
        <v>Activo</v>
      </c>
    </row>
    <row r="9" spans="1:7" s="15" x14ac:dyDescent="0.35">
      <c r="A9" s="15" t="str">
        <f>+_xlfn.XLOOKUP(B9,MASTER!B:B,MASTER!C:C)</f>
        <v>LUCKY STRIKE AMARILLOS 20S</v>
      </c>
      <c r="B9" s="65535">
        <v>75046521</v>
      </c>
      <c r="C9" s="15" t="str">
        <f>+_xlfn.XLOOKUP(B9,MASTER!B:B,MASTER!I:I)</f>
        <v>Activo</v>
      </c>
      <c r="E9" s="15" t="str">
        <f>+_xlfn.XLOOKUP(F9,MASTER!B:B,MASTER!C:C)</f>
        <v>LUCKY STRIKE ENIGMA 100S 1PZ</v>
      </c>
      <c r="F9" s="15">
        <v>75064716</v>
      </c>
      <c r="G9" s="15" t="str">
        <f>+_xlfn.XLOOKUP(F9,MASTER!B:B,MASTER!I:I)</f>
        <v>Activo</v>
      </c>
    </row>
    <row r="10" spans="1:7" s="15" x14ac:dyDescent="0.35">
      <c r="A10" s="15" t="str">
        <f>+_xlfn.XLOOKUP(B10,MASTER!B:B,MASTER!C:C)</f>
        <v>LUCKY STRIKE AMARILLOS 20S</v>
      </c>
      <c r="B10" s="65535">
        <v>75046521</v>
      </c>
      <c r="C10" s="15" t="str">
        <f>+_xlfn.XLOOKUP(B10,MASTER!B:B,MASTER!I:I)</f>
        <v>Activo</v>
      </c>
      <c r="E10" s="15" t="str">
        <f>+_xlfn.XLOOKUP(F10,MASTER!B:B,MASTER!C:C)</f>
        <v>LUCKY STRIKE ORIGINAL FF 20S TUBE</v>
      </c>
      <c r="F10" s="15">
        <v>75048129</v>
      </c>
      <c r="G10" s="15" t="str">
        <f>+_xlfn.XLOOKUP(F10,MASTER!B:B,MASTER!I:I)</f>
        <v>Activo</v>
      </c>
    </row>
    <row r="11" spans="1:7" s="15" x14ac:dyDescent="0.35">
      <c r="A11" s="15" t="str">
        <f>+_xlfn.XLOOKUP(B11,MASTER!B:B,MASTER!C:C)</f>
        <v>LUCKY STRIKE CLICK 4 MIX</v>
      </c>
      <c r="B11" s="65535">
        <v>75051785</v>
      </c>
      <c r="C11" s="15" t="str">
        <f>+_xlfn.XLOOKUP(B11,MASTER!B:B,MASTER!I:I)</f>
        <v>Activo</v>
      </c>
      <c r="E11" s="15" t="str">
        <f>+_xlfn.XLOOKUP(F11,MASTER!B:B,MASTER!C:C)</f>
        <v>LUCKY STRIKE AMARILLOS 25S</v>
      </c>
      <c r="F11" s="15">
        <v>75046545</v>
      </c>
      <c r="G11" s="15" t="str">
        <f>+_xlfn.XLOOKUP(F11,MASTER!B:B,MASTER!I:I)</f>
        <v>Activo</v>
      </c>
    </row>
    <row r="12" spans="1:7" s="15" x14ac:dyDescent="0.35">
      <c r="A12" s="15" t="str">
        <f>+_xlfn.XLOOKUP(B12,MASTER!B:B,MASTER!C:C)</f>
        <v>LUCKY STRIKE CLICK 4 MIX</v>
      </c>
      <c r="B12" s="65535">
        <v>75051785</v>
      </c>
      <c r="C12" s="15" t="str">
        <f>+_xlfn.XLOOKUP(B12,MASTER!B:B,MASTER!I:I)</f>
        <v>Activo</v>
      </c>
      <c r="E12" s="15" t="str">
        <f>+_xlfn.XLOOKUP(F12,MASTER!B:B,MASTER!C:C)</f>
        <v>LUCKY STRIKE 20S ME TDC 1PZ</v>
      </c>
      <c r="F12" s="15">
        <v>75063504</v>
      </c>
      <c r="G12" s="15" t="str">
        <f>+_xlfn.XLOOKUP(F12,MASTER!B:B,MASTER!I:I)</f>
        <v>Activo</v>
      </c>
    </row>
    <row r="13" spans="1:7" s="15" x14ac:dyDescent="0.35">
      <c r="A13" s="15" t="str">
        <f>+_xlfn.XLOOKUP(B13,MASTER!B:B,MASTER!C:C)</f>
        <v>LUCKY STRIKE COMET 20S 1 CAJETILLA</v>
      </c>
      <c r="B13" s="65535">
        <v>75074227</v>
      </c>
      <c r="C13" s="15" t="str">
        <f>+_xlfn.XLOOKUP(B13,MASTER!B:B,MASTER!I:I)</f>
        <v>Activo</v>
      </c>
      <c r="E13" s="15" t="str">
        <f>+_xlfn.XLOOKUP(F13,MASTER!B:B,MASTER!C:C)</f>
        <v>MONTANA SHOTS 15S 1PZ</v>
      </c>
      <c r="F13" s="15">
        <v>75064747</v>
      </c>
      <c r="G13" s="15" t="str">
        <f>+_xlfn.XLOOKUP(F13,MASTER!B:B,MASTER!I:I)</f>
        <v>Activo</v>
      </c>
    </row>
    <row r="14" spans="1:7" s="15" x14ac:dyDescent="0.35">
      <c r="A14" s="15" t="str">
        <f>+_xlfn.XLOOKUP(B14,MASTER!B:B,MASTER!C:C)</f>
        <v>LUCKY STRIKE COMET 20S 1 CAJETILLA</v>
      </c>
      <c r="B14" s="65535">
        <v>75074227</v>
      </c>
      <c r="C14" s="15" t="str">
        <f>+_xlfn.XLOOKUP(B14,MASTER!B:B,MASTER!I:I)</f>
        <v>Activo</v>
      </c>
      <c r="E14" s="15" t="str">
        <f>+_xlfn.XLOOKUP(F14,MASTER!B:B,MASTER!C:C)</f>
        <v>PALL MALL XL ALASKA 15S 1 CAJETILLA</v>
      </c>
      <c r="F14" s="15">
        <v>75074975</v>
      </c>
      <c r="G14" s="15" t="str">
        <f>+_xlfn.XLOOKUP(F14,MASTER!B:B,MASTER!I:I)</f>
        <v>Activo</v>
      </c>
    </row>
    <row r="15" spans="1:7" s="15" x14ac:dyDescent="0.35">
      <c r="A15" s="15" t="str">
        <f>+_xlfn.XLOOKUP(B15,MASTER!B:B,MASTER!C:C)</f>
        <v>LUCKY STRIKE ENIGMA 100S 1PZ</v>
      </c>
      <c r="B15" s="65535">
        <v>75064716</v>
      </c>
      <c r="C15" s="15" t="str">
        <f>+_xlfn.XLOOKUP(B15,MASTER!B:B,MASTER!I:I)</f>
        <v>Activo</v>
      </c>
      <c r="E15" s="15" t="str">
        <f>+_xlfn.XLOOKUP(F15,MASTER!B:B,MASTER!C:C)</f>
        <v>PALL MALL BORA BORA SUNBREAK 20 PZ</v>
      </c>
      <c r="F15" s="15">
        <v>75079017</v>
      </c>
      <c r="G15" s="15" t="str">
        <f>+_xlfn.XLOOKUP(F15,MASTER!B:B,MASTER!I:I)</f>
        <v>Activo</v>
      </c>
    </row>
    <row r="16" spans="1:7" s="15" x14ac:dyDescent="0.35">
      <c r="A16" s="15" t="str">
        <f>+_xlfn.XLOOKUP(B16,MASTER!B:B,MASTER!C:C)</f>
        <v>LUCKY STRIKE ENIGMA 100S 1PZ</v>
      </c>
      <c r="B16" s="65535">
        <v>75064716</v>
      </c>
      <c r="C16" s="15" t="str">
        <f>+_xlfn.XLOOKUP(B16,MASTER!B:B,MASTER!I:I)</f>
        <v>Activo</v>
      </c>
      <c r="E16" s="15" t="str">
        <f>+_xlfn.XLOOKUP(F16,MASTER!B:B,MASTER!C:C)</f>
        <v>PALL MALL EX CLASSI 14S 1 CAJETILLA</v>
      </c>
      <c r="F16" s="15">
        <v>75074081</v>
      </c>
      <c r="G16" s="15" t="str">
        <f>+_xlfn.XLOOKUP(F16,MASTER!B:B,MASTER!I:I)</f>
        <v>Activo</v>
      </c>
    </row>
    <row r="17" spans="1:7" s="15" x14ac:dyDescent="0.35">
      <c r="A17" s="15" t="str">
        <f>+_xlfn.XLOOKUP(B17,MASTER!B:B,MASTER!C:C)</f>
        <v>LUCKY STRIKE ORIGINAL FF 20S TUBE</v>
      </c>
      <c r="B17" s="65535">
        <v>75048129</v>
      </c>
      <c r="C17" s="15" t="str">
        <f>+_xlfn.XLOOKUP(B17,MASTER!B:B,MASTER!I:I)</f>
        <v>Activo</v>
      </c>
      <c r="E17" s="15" t="str">
        <f>+_xlfn.XLOOKUP(F17,MASTER!B:B,MASTER!C:C)</f>
        <v>PALL MALL CLASSICS 25 PZ</v>
      </c>
      <c r="F17" s="15">
        <v>75079963</v>
      </c>
      <c r="G17" s="15" t="str">
        <f>+_xlfn.XLOOKUP(F17,MASTER!B:B,MASTER!I:I)</f>
        <v>Activo</v>
      </c>
    </row>
    <row r="18" spans="1:7" s="15" hidden="1" x14ac:dyDescent="0.35">
      <c r="A18" s="15" t="str">
        <f>+_xlfn.XLOOKUP(B18,MASTER!B:B,MASTER!C:C)</f>
        <v>LUCKY STRIKE ORIGINAL FF 20S TUBE</v>
      </c>
      <c r="B18" s="65535">
        <v>75048129</v>
      </c>
      <c r="C18" s="15" t="str">
        <f>+_xlfn.XLOOKUP(B18,MASTER!B:B,MASTER!I:I)</f>
        <v>Activo</v>
      </c>
      <c r="E18" s="15" t="str">
        <f>+_xlfn.XLOOKUP(F18,MASTER!B:B,MASTER!C:C)</f>
        <v>PALL MALL EX RED 15 1 CAJETILLA</v>
      </c>
      <c r="F18" s="15">
        <v>75073534</v>
      </c>
      <c r="G18" s="15" t="str">
        <f>+_xlfn.XLOOKUP(F18,MASTER!B:B,MASTER!I:I)</f>
        <v>Descontinuado (con stock)</v>
      </c>
    </row>
    <row r="19" spans="1:7" s="15" x14ac:dyDescent="0.35">
      <c r="A19" s="15" t="str">
        <f>+_xlfn.XLOOKUP(B19,MASTER!B:B,MASTER!C:C)</f>
        <v>LUCKY STRIKE AMARILLOS 25S</v>
      </c>
      <c r="B19" s="65535">
        <v>75046545</v>
      </c>
      <c r="C19" s="15" t="str">
        <f>+_xlfn.XLOOKUP(B19,MASTER!B:B,MASTER!I:I)</f>
        <v>Activo</v>
      </c>
      <c r="E19" s="15" t="str">
        <f>+_xlfn.XLOOKUP(F19,MASTER!B:B,MASTER!C:C)</f>
        <v>PALL MALL EX WHITE 15 1 CAJETILLA</v>
      </c>
      <c r="F19" s="15">
        <v>75073541</v>
      </c>
      <c r="G19" s="15" t="str">
        <f>+_xlfn.XLOOKUP(F19,MASTER!B:B,MASTER!I:I)</f>
        <v>Activo</v>
      </c>
    </row>
    <row r="20" spans="1:7" s="15" x14ac:dyDescent="0.35">
      <c r="A20" s="15" t="str">
        <f>+_xlfn.XLOOKUP(B20,MASTER!B:B,MASTER!C:C)</f>
        <v>LUCKY STRIKE 20S ME TDC 1PZ</v>
      </c>
      <c r="B20" s="65535">
        <v>75063504</v>
      </c>
      <c r="C20" s="15" t="str">
        <f>+_xlfn.XLOOKUP(B20,MASTER!B:B,MASTER!I:I)</f>
        <v>Activo</v>
      </c>
      <c r="E20" s="15" t="str">
        <f>+_xlfn.XLOOKUP(F20,MASTER!B:B,MASTER!C:C)</f>
        <v>PALL MALL CLASSICS 20</v>
      </c>
      <c r="F20" s="15">
        <v>75071776</v>
      </c>
      <c r="G20" s="15" t="str">
        <f>+_xlfn.XLOOKUP(F20,MASTER!B:B,MASTER!I:I)</f>
        <v>Activo</v>
      </c>
    </row>
    <row r="21" spans="1:7" s="15" x14ac:dyDescent="0.35">
      <c r="A21" s="15" t="str">
        <f>+_xlfn.XLOOKUP(B21,MASTER!B:B,MASTER!C:C)</f>
        <v>LUCKY STRIKE 20S ME TDC 1PZ</v>
      </c>
      <c r="B21" s="65535">
        <v>75063504</v>
      </c>
      <c r="C21" s="15" t="str">
        <f>+_xlfn.XLOOKUP(B21,MASTER!B:B,MASTER!I:I)</f>
        <v>Activo</v>
      </c>
      <c r="E21" s="15" t="str">
        <f>+_xlfn.XLOOKUP(F21,MASTER!B:B,MASTER!C:C)</f>
        <v>PALL MALL RED 20</v>
      </c>
      <c r="F21" s="15">
        <v>75071455</v>
      </c>
      <c r="G21" s="15" t="str">
        <f>+_xlfn.XLOOKUP(F21,MASTER!B:B,MASTER!I:I)</f>
        <v>Activo</v>
      </c>
    </row>
    <row r="22" spans="1:7" s="15" x14ac:dyDescent="0.35">
      <c r="A22" s="15" t="str">
        <f>+_xlfn.XLOOKUP(B22,MASTER!B:B,MASTER!C:C)</f>
        <v>MONTANA SHOTS 15S 1PZ</v>
      </c>
      <c r="B22" s="65535">
        <v>75064747</v>
      </c>
      <c r="C22" s="15" t="str">
        <f>+_xlfn.XLOOKUP(B22,MASTER!B:B,MASTER!I:I)</f>
        <v>Activo</v>
      </c>
      <c r="E22" s="15" t="str">
        <f>+_xlfn.XLOOKUP(F22,MASTER!B:B,MASTER!C:C)</f>
        <v>PALL MALL WHITE 20</v>
      </c>
      <c r="F22" s="15">
        <v>75071479</v>
      </c>
      <c r="G22" s="15" t="str">
        <f>+_xlfn.XLOOKUP(F22,MASTER!B:B,MASTER!I:I)</f>
        <v>Activo</v>
      </c>
    </row>
    <row r="23" spans="1:7" s="15" x14ac:dyDescent="0.35">
      <c r="A23" s="15" t="str">
        <f>+_xlfn.XLOOKUP(B23,MASTER!B:B,MASTER!C:C)</f>
        <v>MONTANA SHOTS 15S 1PZ</v>
      </c>
      <c r="B23" s="65535">
        <v>75064747</v>
      </c>
      <c r="C23" s="15" t="str">
        <f>+_xlfn.XLOOKUP(B23,MASTER!B:B,MASTER!I:I)</f>
        <v>Activo</v>
      </c>
      <c r="E23" s="15" t="str">
        <f>+_xlfn.XLOOKUP(F23,MASTER!B:B,MASTER!C:C)</f>
        <v>PALL MALL HAWAII 20S 1 CAJETILLA</v>
      </c>
      <c r="F23" s="15">
        <v>75076429</v>
      </c>
      <c r="G23" s="15" t="str">
        <f>+_xlfn.XLOOKUP(F23,MASTER!B:B,MASTER!I:I)</f>
        <v>Activo</v>
      </c>
    </row>
    <row r="24" spans="1:7" s="15" hidden="1" x14ac:dyDescent="0.35">
      <c r="A24" s="15" t="str">
        <f>+_xlfn.XLOOKUP(B24,MASTER!B:B,MASTER!C:C)</f>
        <v>PALL MALL XL ALASKA 15S 1 CAJETILLA</v>
      </c>
      <c r="B24" s="65535">
        <v>75074975</v>
      </c>
      <c r="C24" s="15" t="str">
        <f>+_xlfn.XLOOKUP(B24,MASTER!B:B,MASTER!I:I)</f>
        <v>Activo</v>
      </c>
      <c r="E24" s="15" t="str">
        <f>+_xlfn.XLOOKUP(F24,MASTER!B:B,MASTER!C:C)</f>
        <v>PALL MALL RED 25 1PZ</v>
      </c>
      <c r="F24" s="15">
        <v>75064778</v>
      </c>
      <c r="G24" s="15" t="str">
        <f>+_xlfn.XLOOKUP(F24,MASTER!B:B,MASTER!I:I)</f>
        <v>Descontinuado (con stock)</v>
      </c>
    </row>
    <row r="25" spans="1:7" s="15" x14ac:dyDescent="0.35">
      <c r="A25" s="15" t="str">
        <f>+_xlfn.XLOOKUP(B25,MASTER!B:B,MASTER!C:C)</f>
        <v>PALL MALL XL ALASKA 15S 1 CAJETILLA</v>
      </c>
      <c r="B25" s="65535">
        <v>75074975</v>
      </c>
      <c r="C25" s="15" t="str">
        <f>+_xlfn.XLOOKUP(B25,MASTER!B:B,MASTER!I:I)</f>
        <v>Activo</v>
      </c>
      <c r="E25" s="15" t="str">
        <f>+_xlfn.XLOOKUP(F25,MASTER!B:B,MASTER!C:C)</f>
        <v>PALL MALL LONDON 20S 1 CAJETILLA</v>
      </c>
      <c r="F25" s="15">
        <v>75076412</v>
      </c>
      <c r="G25" s="15" t="str">
        <f>+_xlfn.XLOOKUP(F25,MASTER!B:B,MASTER!I:I)</f>
        <v>Activo</v>
      </c>
    </row>
    <row r="26" spans="1:7" s="15" x14ac:dyDescent="0.35">
      <c r="A26" s="15" t="str">
        <f>+_xlfn.XLOOKUP(B26,MASTER!B:B,MASTER!C:C)</f>
        <v>PALL MALL BORA BORA SUNBREAK 20 PZ</v>
      </c>
      <c r="B26" s="65535">
        <v>75079017</v>
      </c>
      <c r="C26" s="15" t="str">
        <f>+_xlfn.XLOOKUP(B26,MASTER!B:B,MASTER!I:I)</f>
        <v>Activo</v>
      </c>
      <c r="E26" s="15" t="str">
        <f>+_xlfn.XLOOKUP(F26,MASTER!B:B,MASTER!C:C)</f>
        <v>PALL MALL XL MYKONO 15S 1 CAJETILLA</v>
      </c>
      <c r="F26" s="15">
        <v>75074999</v>
      </c>
      <c r="G26" s="15" t="str">
        <f>+_xlfn.XLOOKUP(F26,MASTER!B:B,MASTER!I:I)</f>
        <v>Activo</v>
      </c>
    </row>
    <row r="27" spans="1:7" s="15" hidden="1" x14ac:dyDescent="0.35">
      <c r="A27" s="15" t="str">
        <f>+_xlfn.XLOOKUP(B27,MASTER!B:B,MASTER!C:C)</f>
        <v>PALL MALL BORA BORA SUNBREAK 20 PZ</v>
      </c>
      <c r="B27" s="65535">
        <v>75079017</v>
      </c>
      <c r="C27" s="15" t="str">
        <f>+_xlfn.XLOOKUP(B27,MASTER!B:B,MASTER!I:I)</f>
        <v>Activo</v>
      </c>
      <c r="E27" s="15" t="str">
        <f>+_xlfn.XLOOKUP(F27,MASTER!B:B,MASTER!C:C)</f>
        <v>PALL MALL XL RÍO SU 20S 1 CAJETILLA</v>
      </c>
      <c r="F27" s="15">
        <v>75074944</v>
      </c>
      <c r="G27" s="15" t="str">
        <f>+_xlfn.XLOOKUP(F27,MASTER!B:B,MASTER!I:I)</f>
        <v>Descontinuado (con stock)</v>
      </c>
    </row>
    <row r="28" spans="1:7" s="15" x14ac:dyDescent="0.35">
      <c r="A28" s="15" t="str">
        <f>+_xlfn.XLOOKUP(B28,MASTER!B:B,MASTER!C:C)</f>
        <v>PALL MALL EX CLASSI 14S 1 CAJETILLA</v>
      </c>
      <c r="B28" s="65535">
        <v>75074081</v>
      </c>
      <c r="C28" s="15" t="str">
        <f>+_xlfn.XLOOKUP(B28,MASTER!B:B,MASTER!I:I)</f>
        <v>Activo</v>
      </c>
      <c r="E28" s="15" t="str">
        <f>+_xlfn.XLOOKUP(F28,MASTER!B:B,MASTER!C:C)</f>
        <v>PALL MALL XL TOKYO 15S 1 CAJETILLA</v>
      </c>
      <c r="F28" s="15">
        <v>75074982</v>
      </c>
      <c r="G28" s="15" t="str">
        <f>+_xlfn.XLOOKUP(F28,MASTER!B:B,MASTER!I:I)</f>
        <v>Activo</v>
      </c>
    </row>
    <row r="29" spans="1:7" s="15" x14ac:dyDescent="0.35">
      <c r="A29" s="15" t="str">
        <f>+_xlfn.XLOOKUP(B29,MASTER!B:B,MASTER!C:C)</f>
        <v>PALL MALL CLASSICS 25 PZ</v>
      </c>
      <c r="B29" s="65535">
        <v>75079963</v>
      </c>
      <c r="C29" s="15" t="str">
        <f>+_xlfn.XLOOKUP(B29,MASTER!B:B,MASTER!I:I)</f>
        <v>Activo</v>
      </c>
      <c r="E29" s="15" t="str">
        <f>+_xlfn.XLOOKUP(F29,MASTER!B:B,MASTER!C:C)</f>
        <v>PALL MALL ALASKA DUSK 20</v>
      </c>
      <c r="F29" s="15">
        <v>75071295</v>
      </c>
      <c r="G29" s="15" t="str">
        <f>+_xlfn.XLOOKUP(F29,MASTER!B:B,MASTER!I:I)</f>
        <v>Activo</v>
      </c>
    </row>
    <row r="30" spans="1:7" s="15" hidden="1" x14ac:dyDescent="0.35">
      <c r="A30" s="15" t="str">
        <f>+_xlfn.XLOOKUP(B30,MASTER!B:B,MASTER!C:C)</f>
        <v>PALL MALL CLASSICS 25 PZ</v>
      </c>
      <c r="B30" s="65535">
        <v>75079963</v>
      </c>
      <c r="C30" s="15" t="str">
        <f>+_xlfn.XLOOKUP(B30,MASTER!B:B,MASTER!I:I)</f>
        <v>Activo</v>
      </c>
      <c r="E30" s="15" t="str">
        <f>+_xlfn.XLOOKUP(F30,MASTER!B:B,MASTER!C:C)</f>
        <v>PALL MALL XL ATHENS 20S 1 CAJETILLA</v>
      </c>
      <c r="F30" s="15">
        <v>75074913</v>
      </c>
      <c r="G30" s="15" t="str">
        <f>+_xlfn.XLOOKUP(F30,MASTER!B:B,MASTER!I:I)</f>
        <v>Descontinuado (con stock)</v>
      </c>
    </row>
    <row r="31" spans="1:7" s="15" x14ac:dyDescent="0.35">
      <c r="A31" s="15" t="str">
        <f>+_xlfn.XLOOKUP(B31,MASTER!B:B,MASTER!C:C)</f>
        <v>PALL MALL EX RED 15 1 CAJETILLA</v>
      </c>
      <c r="B31" s="65535">
        <v>75073534</v>
      </c>
      <c r="C31" s="15" t="str">
        <f>+_xlfn.XLOOKUP(B31,MASTER!B:B,MASTER!I:I)</f>
        <v>Descontinuado (con stock)</v>
      </c>
      <c r="E31" s="15" t="str">
        <f>+_xlfn.XLOOKUP(F31,MASTER!B:B,MASTER!C:C)</f>
        <v>PALL MALL RED AND CLICK 20</v>
      </c>
      <c r="F31" s="15">
        <v>75027766</v>
      </c>
      <c r="G31" s="15" t="str">
        <f>+_xlfn.XLOOKUP(F31,MASTER!B:B,MASTER!I:I)</f>
        <v>Activo</v>
      </c>
    </row>
    <row r="32" spans="1:7" s="15" hidden="1" x14ac:dyDescent="0.35">
      <c r="A32" s="15" t="str">
        <f>+_xlfn.XLOOKUP(B32,MASTER!B:B,MASTER!C:C)</f>
        <v>PALL MALL EX RED 15 1 CAJETILLA</v>
      </c>
      <c r="B32" s="65535">
        <v>75073534</v>
      </c>
      <c r="C32" s="15" t="str">
        <f>+_xlfn.XLOOKUP(B32,MASTER!B:B,MASTER!I:I)</f>
        <v>Descontinuado (con stock)</v>
      </c>
      <c r="E32" s="15" t="str">
        <f>+_xlfn.XLOOKUP(F32,MASTER!B:B,MASTER!C:C)</f>
        <v>PALL MALL XL FUJI 20S 1 CAJETILLA</v>
      </c>
      <c r="F32" s="15">
        <v>75074937</v>
      </c>
      <c r="G32" s="15" t="str">
        <f>+_xlfn.XLOOKUP(F32,MASTER!B:B,MASTER!I:I)</f>
        <v>Descontinuado (con stock)</v>
      </c>
    </row>
    <row r="33" spans="1:7" s="15" x14ac:dyDescent="0.35">
      <c r="A33" s="15" t="str">
        <f>+_xlfn.XLOOKUP(B33,MASTER!B:B,MASTER!C:C)</f>
        <v>PALL MALL EX WHITE 15 1 CAJETILLA</v>
      </c>
      <c r="B33" s="65535">
        <v>75073541</v>
      </c>
      <c r="C33" s="15" t="str">
        <f>+_xlfn.XLOOKUP(B33,MASTER!B:B,MASTER!I:I)</f>
        <v>Activo</v>
      </c>
      <c r="E33" s="15" t="str">
        <f>+_xlfn.XLOOKUP(F33,MASTER!B:B,MASTER!C:C)</f>
        <v>PALL MALL WHITE AND CLICK 20</v>
      </c>
      <c r="F33" s="15">
        <v>8346917</v>
      </c>
      <c r="G33" s="15" t="str">
        <f>+_xlfn.XLOOKUP(F33,MASTER!B:B,MASTER!I:I)</f>
        <v>Activo</v>
      </c>
    </row>
    <row r="34" spans="1:7" s="15" hidden="1" x14ac:dyDescent="0.35">
      <c r="A34" s="15" t="str">
        <f>+_xlfn.XLOOKUP(B34,MASTER!B:B,MASTER!C:C)</f>
        <v>PALL MALL EX WHITE 15 1 CAJETILLA</v>
      </c>
      <c r="B34" s="65535">
        <v>75073541</v>
      </c>
      <c r="C34" s="15" t="str">
        <f>+_xlfn.XLOOKUP(B34,MASTER!B:B,MASTER!I:I)</f>
        <v>Activo</v>
      </c>
      <c r="E34" s="15" t="str">
        <f>+_xlfn.XLOOKUP(F34,MASTER!B:B,MASTER!C:C)</f>
        <v>PALL MALL MIX PACK 20</v>
      </c>
      <c r="F34" s="15">
        <v>75070090</v>
      </c>
      <c r="G34" s="15" t="str">
        <f>+_xlfn.XLOOKUP(F34,MASTER!B:B,MASTER!I:I)</f>
        <v>Descontinuado (con stock)</v>
      </c>
    </row>
    <row r="35" spans="1:7" s="15" x14ac:dyDescent="0.35">
      <c r="A35" s="15" t="str">
        <f>+_xlfn.XLOOKUP(B35,MASTER!B:B,MASTER!C:C)</f>
        <v>PALL MALL CLASSICS 20</v>
      </c>
      <c r="B35" s="65535">
        <v>75071776</v>
      </c>
      <c r="C35" s="15" t="str">
        <f>+_xlfn.XLOOKUP(B35,MASTER!B:B,MASTER!I:I)</f>
        <v>Activo</v>
      </c>
      <c r="E35" s="15" t="str">
        <f>+_xlfn.XLOOKUP(F35,MASTER!B:B,MASTER!C:C)</f>
        <v>PALL MALL MYKONOS NIGHTFALL 20</v>
      </c>
      <c r="F35" s="15">
        <v>75064648</v>
      </c>
      <c r="G35" s="15" t="str">
        <f>+_xlfn.XLOOKUP(F35,MASTER!B:B,MASTER!I:I)</f>
        <v>Activo</v>
      </c>
    </row>
    <row r="36" spans="1:7" s="15" x14ac:dyDescent="0.35">
      <c r="A36" s="15" t="str">
        <f>+_xlfn.XLOOKUP(B36,MASTER!B:B,MASTER!C:C)</f>
        <v>PALL MALL CLASSICS 20</v>
      </c>
      <c r="B36" s="65535">
        <v>75071776</v>
      </c>
      <c r="C36" s="15" t="str">
        <f>+_xlfn.XLOOKUP(B36,MASTER!B:B,MASTER!I:I)</f>
        <v>Activo</v>
      </c>
      <c r="E36" s="15" t="str">
        <f>+_xlfn.XLOOKUP(F36,MASTER!B:B,MASTER!C:C)</f>
        <v>PALL MALL NEW YORK 20</v>
      </c>
      <c r="F36" s="15">
        <v>75068363</v>
      </c>
      <c r="G36" s="15" t="str">
        <f>+_xlfn.XLOOKUP(F36,MASTER!B:B,MASTER!I:I)</f>
        <v>Activo</v>
      </c>
    </row>
    <row r="37" spans="1:7" s="15" x14ac:dyDescent="0.35">
      <c r="A37" s="15" t="str">
        <f>+_xlfn.XLOOKUP(B37,MASTER!B:B,MASTER!C:C)</f>
        <v>PALL MALL RED 20</v>
      </c>
      <c r="B37" s="65535">
        <v>75071455</v>
      </c>
      <c r="C37" s="15" t="str">
        <f>+_xlfn.XLOOKUP(B37,MASTER!B:B,MASTER!I:I)</f>
        <v>Activo</v>
      </c>
      <c r="E37" s="15" t="str">
        <f>+_xlfn.XLOOKUP(F37,MASTER!B:B,MASTER!C:C)</f>
        <v>PALL MALL TOKYO MIDNIGHT 20</v>
      </c>
      <c r="F37" s="15">
        <v>75052836</v>
      </c>
      <c r="G37" s="15" t="str">
        <f>+_xlfn.XLOOKUP(F37,MASTER!B:B,MASTER!I:I)</f>
        <v>Activo</v>
      </c>
    </row>
    <row r="38" spans="1:7" s="15" x14ac:dyDescent="0.35">
      <c r="A38" s="15" t="str">
        <f>+_xlfn.XLOOKUP(B38,MASTER!B:B,MASTER!C:C)</f>
        <v>PALL MALL RED 20</v>
      </c>
      <c r="B38" s="65535">
        <v>75071455</v>
      </c>
      <c r="C38" s="15" t="str">
        <f>+_xlfn.XLOOKUP(B38,MASTER!B:B,MASTER!I:I)</f>
        <v>Activo</v>
      </c>
      <c r="E38" s="15" t="str">
        <f>+_xlfn.XLOOKUP(F38,MASTER!B:B,MASTER!C:C)</f>
        <v>MONTANA CLASSI 14S 1 CAJETILLA</v>
      </c>
      <c r="F38" s="15">
        <v>75076405</v>
      </c>
      <c r="G38" s="15" t="str">
        <f>+_xlfn.XLOOKUP(F38,MASTER!B:B,MASTER!I:I)</f>
        <v>Activo</v>
      </c>
    </row>
    <row r="39" spans="1:7" s="15" x14ac:dyDescent="0.35">
      <c r="A39" s="15" t="str">
        <f>+_xlfn.XLOOKUP(B39,MASTER!B:B,MASTER!C:C)</f>
        <v>PALL MALL WHITE 20</v>
      </c>
      <c r="B39" s="65535">
        <v>75071479</v>
      </c>
      <c r="C39" s="15" t="str">
        <f>+_xlfn.XLOOKUP(B39,MASTER!B:B,MASTER!I:I)</f>
        <v>Activo</v>
      </c>
      <c r="E39" s="15" t="str">
        <f>+_xlfn.XLOOKUP(F39,MASTER!B:B,MASTER!C:C)</f>
        <v>MONTANA CLASSI 20S 1 CAJETILLA</v>
      </c>
      <c r="F39" s="15">
        <v>75076740</v>
      </c>
      <c r="G39" s="15" t="str">
        <f>+_xlfn.XLOOKUP(F39,MASTER!B:B,MASTER!I:I)</f>
        <v>Activo</v>
      </c>
    </row>
    <row r="40" spans="1:7" s="15" x14ac:dyDescent="0.35">
      <c r="A40" s="15" t="str">
        <f>+_xlfn.XLOOKUP(B40,MASTER!B:B,MASTER!C:C)</f>
        <v>PALL MALL WHITE 20</v>
      </c>
      <c r="B40" s="65535">
        <v>75071479</v>
      </c>
      <c r="C40" s="15" t="str">
        <f>+_xlfn.XLOOKUP(B40,MASTER!B:B,MASTER!I:I)</f>
        <v>Activo</v>
      </c>
      <c r="E40" s="15" t="str">
        <f>+_xlfn.XLOOKUP(F40,MASTER!B:B,MASTER!C:C)</f>
        <v>MONTANA SHOTS CLASSICS 25 PZ</v>
      </c>
      <c r="F40" s="15">
        <v>75078843</v>
      </c>
      <c r="G40" s="15" t="str">
        <f>+_xlfn.XLOOKUP(F40,MASTER!B:B,MASTER!I:I)</f>
        <v>Activo</v>
      </c>
    </row>
    <row r="41" spans="1:7" s="15" x14ac:dyDescent="0.35">
      <c r="A41" s="15" t="str">
        <f>+_xlfn.XLOOKUP(B41,MASTER!B:B,MASTER!C:C)</f>
        <v>PALL MALL HAWAII 20S 1 CAJETILLA</v>
      </c>
      <c r="B41" s="65535">
        <v>75076429</v>
      </c>
      <c r="C41" s="15" t="str">
        <f>+_xlfn.XLOOKUP(B41,MASTER!B:B,MASTER!I:I)</f>
        <v>Activo</v>
      </c>
      <c r="E41" s="15" t="str">
        <f>+_xlfn.XLOOKUP(F41,MASTER!B:B,MASTER!C:C)</f>
        <v>MONTANA SHOTS 1PZ</v>
      </c>
      <c r="F41" s="15">
        <v>75064754</v>
      </c>
      <c r="G41" s="15" t="str">
        <f>+_xlfn.XLOOKUP(F41,MASTER!B:B,MASTER!I:I)</f>
        <v>Activo</v>
      </c>
    </row>
    <row r="42" spans="1:7" s="15" hidden="1" x14ac:dyDescent="0.35">
      <c r="A42" s="15" t="str">
        <f>+_xlfn.XLOOKUP(B42,MASTER!B:B,MASTER!C:C)</f>
        <v>PALL MALL HAWAII 20S 1 CAJETILLA</v>
      </c>
      <c r="B42" s="65535">
        <v>75076429</v>
      </c>
      <c r="C42" s="15" t="str">
        <f>+_xlfn.XLOOKUP(B42,MASTER!B:B,MASTER!I:I)</f>
        <v>Activo</v>
      </c>
      <c r="E42" s="15" t="str">
        <f>+_xlfn.XLOOKUP(F42,MASTER!B:B,MASTER!C:C)</f>
        <v>LUCKIES 25S</v>
      </c>
      <c r="F42" s="15">
        <v>75080679</v>
      </c>
      <c r="G42" s="15" t="str">
        <f>+_xlfn.XLOOKUP(F42,MASTER!B:B,MASTER!I:I)</f>
        <v>Descontinuado (con stock)</v>
      </c>
    </row>
    <row r="43" spans="1:7" s="15" x14ac:dyDescent="0.35">
      <c r="A43" s="15" t="str">
        <f>+_xlfn.XLOOKUP(B43,MASTER!B:B,MASTER!C:C)</f>
        <v>PALL MALL RED 25 1PZ</v>
      </c>
      <c r="B43" s="65535">
        <v>75064778</v>
      </c>
      <c r="C43" s="15" t="str">
        <f>+_xlfn.XLOOKUP(B43,MASTER!B:B,MASTER!I:I)</f>
        <v>Descontinuado (con stock)</v>
      </c>
      <c r="E43" s="15" t="str">
        <f>+_xlfn.XLOOKUP(F43,MASTER!B:B,MASTER!C:C)</f>
        <v>PALL MALL XL MIAMI PARADISE 20S 20 PZ</v>
      </c>
      <c r="F43" s="15">
        <v>75081058</v>
      </c>
      <c r="G43" s="15" t="str">
        <f>+_xlfn.XLOOKUP(F43,MASTER!B:B,MASTER!I:I)</f>
        <v>Activo</v>
      </c>
    </row>
    <row r="44" spans="1:7" s="15" hidden="1" x14ac:dyDescent="0.35">
      <c r="A44" s="15" t="str">
        <f>+_xlfn.XLOOKUP(B44,MASTER!B:B,MASTER!C:C)</f>
        <v>PALL MALL RED 25 1PZ</v>
      </c>
      <c r="B44" s="65535">
        <v>75064778</v>
      </c>
      <c r="C44" s="15" t="str">
        <f>+_xlfn.XLOOKUP(B44,MASTER!B:B,MASTER!I:I)</f>
        <v>Descontinuado (con stock)</v>
      </c>
      <c r="E44" s="15" t="str">
        <f>+_xlfn.XLOOKUP(F44,MASTER!B:B,MASTER!C:C)</f>
        <v>LUCKIES 20S</v>
      </c>
      <c r="F44" s="15">
        <v>75081942</v>
      </c>
      <c r="G44" s="15" t="str">
        <f>+_xlfn.XLOOKUP(F44,MASTER!B:B,MASTER!I:I)</f>
        <v>Descontinuado (con stock)</v>
      </c>
    </row>
    <row r="45" spans="1:7" s="15" x14ac:dyDescent="0.35">
      <c r="A45" s="15" t="str">
        <f>+_xlfn.XLOOKUP(B45,MASTER!B:B,MASTER!C:C)</f>
        <v>PALL MALL LONDON 20S 1 CAJETILLA</v>
      </c>
      <c r="B45" s="65535">
        <v>75076412</v>
      </c>
      <c r="C45" s="15" t="str">
        <f>+_xlfn.XLOOKUP(B45,MASTER!B:B,MASTER!I:I)</f>
        <v>Activo</v>
      </c>
      <c r="E45" s="15" t="str">
        <f>+_xlfn.XLOOKUP(F45,MASTER!B:B,MASTER!C:C)</f>
        <v>PALL MALL HAWAII SUNLIGHT 15 PZ</v>
      </c>
      <c r="F45" s="15">
        <v>75082543</v>
      </c>
      <c r="G45" s="15" t="str">
        <f>+_xlfn.XLOOKUP(F45,MASTER!B:B,MASTER!I:I)</f>
        <v>Activo</v>
      </c>
    </row>
    <row r="46" spans="1:7" s="15" x14ac:dyDescent="0.35">
      <c r="A46" s="15" t="str">
        <f>+_xlfn.XLOOKUP(B46,MASTER!B:B,MASTER!C:C)</f>
        <v>PALL MALL LONDON 20S 1 CAJETILLA</v>
      </c>
      <c r="B46" s="65535">
        <v>75076412</v>
      </c>
      <c r="C46" s="15" t="str">
        <f>+_xlfn.XLOOKUP(B46,MASTER!B:B,MASTER!I:I)</f>
        <v>Activo</v>
      </c>
      <c r="E46" s="15" t="str">
        <f>+_xlfn.XLOOKUP(F46,MASTER!B:B,MASTER!C:C)</f>
        <v>PALL MALL PM MANILA DAYLIGHT 20 PZ</v>
      </c>
      <c r="F46" s="15">
        <v>75083632</v>
      </c>
      <c r="G46" s="15" t="str">
        <f>+_xlfn.XLOOKUP(F46,MASTER!B:B,MASTER!I:I)</f>
        <v>Activo</v>
      </c>
    </row>
    <row r="47" spans="1:7" s="15" hidden="1" x14ac:dyDescent="0.35">
      <c r="A47" s="15" t="str">
        <f>+_xlfn.XLOOKUP(B47,MASTER!B:B,MASTER!C:C)</f>
        <v>PALL MALL XL MYKONO 15S 1 CAJETILLA</v>
      </c>
      <c r="B47" s="65535">
        <v>75074999</v>
      </c>
      <c r="C47" s="15" t="str">
        <f>+_xlfn.XLOOKUP(B47,MASTER!B:B,MASTER!I:I)</f>
        <v>Activo</v>
      </c>
      <c r="E47" s="15" t="e">
        <f>+_xlfn.XLOOKUP(F47,MASTER!B:B,MASTER!C:C)</f>
        <v>#N/A</v>
      </c>
      <c r="F47" s="15" t="str">
        <v>75084332</v>
      </c>
      <c r="G47" s="15" t="e">
        <f>+_xlfn.XLOOKUP(F47,MASTER!B:B,MASTER!I:I)</f>
        <v>#N/A</v>
      </c>
    </row>
    <row r="48" spans="1:7" s="15" x14ac:dyDescent="0.35">
      <c r="A48" s="15" t="str">
        <f>+_xlfn.XLOOKUP(B48,MASTER!B:B,MASTER!C:C)</f>
        <v>PALL MALL XL MYKONO 15S 1 CAJETILLA</v>
      </c>
      <c r="B48" s="65535">
        <v>75074999</v>
      </c>
      <c r="C48" s="15" t="str">
        <f>+_xlfn.XLOOKUP(B48,MASTER!B:B,MASTER!I:I)</f>
        <v>Activo</v>
      </c>
    </row>
    <row r="49" spans="1:3" s="15" x14ac:dyDescent="0.35">
      <c r="A49" s="15" t="str">
        <f>+_xlfn.XLOOKUP(B49,MASTER!B:B,MASTER!C:C)</f>
        <v>PALL MALL XL RÍO SU 20S 1 CAJETILLA</v>
      </c>
      <c r="B49" s="65535">
        <v>75074944</v>
      </c>
      <c r="C49" s="15" t="str">
        <f>+_xlfn.XLOOKUP(B49,MASTER!B:B,MASTER!I:I)</f>
        <v>Descontinuado (con stock)</v>
      </c>
    </row>
    <row r="50" spans="1:3" s="15" x14ac:dyDescent="0.35">
      <c r="A50" s="15" t="str">
        <f>+_xlfn.XLOOKUP(B50,MASTER!B:B,MASTER!C:C)</f>
        <v>PALL MALL XL RÍO SU 20S 1 CAJETILLA</v>
      </c>
      <c r="B50" s="65535">
        <v>75074944</v>
      </c>
      <c r="C50" s="15" t="str">
        <f>+_xlfn.XLOOKUP(B50,MASTER!B:B,MASTER!I:I)</f>
        <v>Descontinuado (con stock)</v>
      </c>
    </row>
    <row r="51" spans="1:3" s="15" x14ac:dyDescent="0.35">
      <c r="A51" s="15" t="str">
        <f>+_xlfn.XLOOKUP(B51,MASTER!B:B,MASTER!C:C)</f>
        <v>PALL MALL XL TOKYO 15S 1 CAJETILLA</v>
      </c>
      <c r="B51" s="65535">
        <v>75074982</v>
      </c>
      <c r="C51" s="15" t="str">
        <f>+_xlfn.XLOOKUP(B51,MASTER!B:B,MASTER!I:I)</f>
        <v>Activo</v>
      </c>
    </row>
    <row r="52" spans="1:3" s="15" x14ac:dyDescent="0.35">
      <c r="A52" s="15" t="str">
        <f>+_xlfn.XLOOKUP(B52,MASTER!B:B,MASTER!C:C)</f>
        <v>PALL MALL XL TOKYO 15S 1 CAJETILLA</v>
      </c>
      <c r="B52" s="65535">
        <v>75074982</v>
      </c>
      <c r="C52" s="15" t="str">
        <f>+_xlfn.XLOOKUP(B52,MASTER!B:B,MASTER!I:I)</f>
        <v>Activo</v>
      </c>
    </row>
    <row r="53" spans="1:3" s="15" x14ac:dyDescent="0.35">
      <c r="A53" s="15" t="str">
        <f>+_xlfn.XLOOKUP(B53,MASTER!B:B,MASTER!C:C)</f>
        <v>PALL MALL ALASKA DUSK 20</v>
      </c>
      <c r="B53" s="65535">
        <v>75071295</v>
      </c>
      <c r="C53" s="15" t="str">
        <f>+_xlfn.XLOOKUP(B53,MASTER!B:B,MASTER!I:I)</f>
        <v>Activo</v>
      </c>
    </row>
    <row r="54" spans="1:3" s="15" x14ac:dyDescent="0.35">
      <c r="A54" s="15" t="str">
        <f>+_xlfn.XLOOKUP(B54,MASTER!B:B,MASTER!C:C)</f>
        <v>PALL MALL ALASKA DUSK 20</v>
      </c>
      <c r="B54" s="65535">
        <v>75071295</v>
      </c>
      <c r="C54" s="15" t="str">
        <f>+_xlfn.XLOOKUP(B54,MASTER!B:B,MASTER!I:I)</f>
        <v>Activo</v>
      </c>
    </row>
    <row r="55" spans="1:3" s="15" x14ac:dyDescent="0.35">
      <c r="A55" s="15" t="str">
        <f>+_xlfn.XLOOKUP(B55,MASTER!B:B,MASTER!C:C)</f>
        <v>PALL MALL XL ATHENS 20S 1 CAJETILLA</v>
      </c>
      <c r="B55" s="65535">
        <v>75074913</v>
      </c>
      <c r="C55" s="15" t="str">
        <f>+_xlfn.XLOOKUP(B55,MASTER!B:B,MASTER!I:I)</f>
        <v>Descontinuado (con stock)</v>
      </c>
    </row>
    <row r="56" spans="1:3" s="15" x14ac:dyDescent="0.35">
      <c r="A56" s="15" t="str">
        <f>+_xlfn.XLOOKUP(B56,MASTER!B:B,MASTER!C:C)</f>
        <v>PALL MALL RED AND CLICK 20</v>
      </c>
      <c r="B56" s="65535">
        <v>75027766</v>
      </c>
      <c r="C56" s="15" t="str">
        <f>+_xlfn.XLOOKUP(B56,MASTER!B:B,MASTER!I:I)</f>
        <v>Activo</v>
      </c>
    </row>
    <row r="57" spans="1:3" s="15" x14ac:dyDescent="0.35">
      <c r="A57" s="15" t="str">
        <f>+_xlfn.XLOOKUP(B57,MASTER!B:B,MASTER!C:C)</f>
        <v>PALL MALL RED AND CLICK 20</v>
      </c>
      <c r="B57" s="65535">
        <v>75027766</v>
      </c>
      <c r="C57" s="15" t="str">
        <f>+_xlfn.XLOOKUP(B57,MASTER!B:B,MASTER!I:I)</f>
        <v>Activo</v>
      </c>
    </row>
    <row r="58" spans="1:3" s="15" x14ac:dyDescent="0.35">
      <c r="A58" s="15" t="str">
        <f>+_xlfn.XLOOKUP(B58,MASTER!B:B,MASTER!C:C)</f>
        <v>PALL MALL XL FUJI 20S 1 CAJETILLA</v>
      </c>
      <c r="B58" s="65535">
        <v>75074937</v>
      </c>
      <c r="C58" s="15" t="str">
        <f>+_xlfn.XLOOKUP(B58,MASTER!B:B,MASTER!I:I)</f>
        <v>Descontinuado (con stock)</v>
      </c>
    </row>
    <row r="59" spans="1:3" s="15" x14ac:dyDescent="0.35">
      <c r="A59" s="15" t="str">
        <f>+_xlfn.XLOOKUP(B59,MASTER!B:B,MASTER!C:C)</f>
        <v>PALL MALL XL FUJI 20S 1 CAJETILLA</v>
      </c>
      <c r="B59" s="65535">
        <v>75074937</v>
      </c>
      <c r="C59" s="15" t="str">
        <f>+_xlfn.XLOOKUP(B59,MASTER!B:B,MASTER!I:I)</f>
        <v>Descontinuado (con stock)</v>
      </c>
    </row>
    <row r="60" spans="1:3" s="15" x14ac:dyDescent="0.35">
      <c r="A60" s="15" t="str">
        <f>+_xlfn.XLOOKUP(B60,MASTER!B:B,MASTER!C:C)</f>
        <v>PALL MALL WHITE AND CLICK 20</v>
      </c>
      <c r="B60" s="65535">
        <v>8346917</v>
      </c>
      <c r="C60" s="15" t="str">
        <f>+_xlfn.XLOOKUP(B60,MASTER!B:B,MASTER!I:I)</f>
        <v>Activo</v>
      </c>
    </row>
    <row r="61" spans="1:3" s="15" x14ac:dyDescent="0.35">
      <c r="A61" s="15" t="str">
        <f>+_xlfn.XLOOKUP(B61,MASTER!B:B,MASTER!C:C)</f>
        <v>PALL MALL WHITE AND CLICK 20</v>
      </c>
      <c r="B61" s="65535">
        <v>8346917</v>
      </c>
      <c r="C61" s="15" t="str">
        <f>+_xlfn.XLOOKUP(B61,MASTER!B:B,MASTER!I:I)</f>
        <v>Activo</v>
      </c>
    </row>
    <row r="62" spans="1:3" s="15" x14ac:dyDescent="0.35">
      <c r="A62" s="15" t="str">
        <f>+_xlfn.XLOOKUP(B62,MASTER!B:B,MASTER!C:C)</f>
        <v>PALL MALL MIX PACK 20</v>
      </c>
      <c r="B62" s="65535">
        <v>75070090</v>
      </c>
      <c r="C62" s="15" t="str">
        <f>+_xlfn.XLOOKUP(B62,MASTER!B:B,MASTER!I:I)</f>
        <v>Descontinuado (con stock)</v>
      </c>
    </row>
    <row r="63" spans="1:3" s="15" x14ac:dyDescent="0.35">
      <c r="A63" s="15" t="str">
        <f>+_xlfn.XLOOKUP(B63,MASTER!B:B,MASTER!C:C)</f>
        <v>PALL MALL MIX PACK 20</v>
      </c>
      <c r="B63" s="65535">
        <v>75070090</v>
      </c>
      <c r="C63" s="15" t="str">
        <f>+_xlfn.XLOOKUP(B63,MASTER!B:B,MASTER!I:I)</f>
        <v>Descontinuado (con stock)</v>
      </c>
    </row>
    <row r="64" spans="1:3" s="15" x14ac:dyDescent="0.35">
      <c r="A64" s="15" t="str">
        <f>+_xlfn.XLOOKUP(B64,MASTER!B:B,MASTER!C:C)</f>
        <v>PALL MALL MYKONOS NIGHTFALL 20</v>
      </c>
      <c r="B64" s="65535">
        <v>75064648</v>
      </c>
      <c r="C64" s="15" t="str">
        <f>+_xlfn.XLOOKUP(B64,MASTER!B:B,MASTER!I:I)</f>
        <v>Activo</v>
      </c>
    </row>
    <row r="65" spans="1:3" s="15" x14ac:dyDescent="0.35">
      <c r="A65" s="15" t="str">
        <f>+_xlfn.XLOOKUP(B65,MASTER!B:B,MASTER!C:C)</f>
        <v>PALL MALL MYKONOS NIGHTFALL 20</v>
      </c>
      <c r="B65" s="65535">
        <v>75064648</v>
      </c>
      <c r="C65" s="15" t="str">
        <f>+_xlfn.XLOOKUP(B65,MASTER!B:B,MASTER!I:I)</f>
        <v>Activo</v>
      </c>
    </row>
    <row r="66" spans="1:3" s="15" x14ac:dyDescent="0.35">
      <c r="A66" s="15" t="str">
        <f>+_xlfn.XLOOKUP(B66,MASTER!B:B,MASTER!C:C)</f>
        <v>PALL MALL NEW YORK 20</v>
      </c>
      <c r="B66" s="65535">
        <v>75068363</v>
      </c>
      <c r="C66" s="15" t="str">
        <f>+_xlfn.XLOOKUP(B66,MASTER!B:B,MASTER!I:I)</f>
        <v>Activo</v>
      </c>
    </row>
    <row r="67" spans="1:3" s="15" x14ac:dyDescent="0.35">
      <c r="A67" s="15" t="str">
        <f>+_xlfn.XLOOKUP(B67,MASTER!B:B,MASTER!C:C)</f>
        <v>PALL MALL NEW YORK 20</v>
      </c>
      <c r="B67" s="65535">
        <v>75068363</v>
      </c>
      <c r="C67" s="15" t="str">
        <f>+_xlfn.XLOOKUP(B67,MASTER!B:B,MASTER!I:I)</f>
        <v>Activo</v>
      </c>
    </row>
    <row r="68" spans="1:3" s="15" x14ac:dyDescent="0.35">
      <c r="A68" s="15" t="str">
        <f>+_xlfn.XLOOKUP(B68,MASTER!B:B,MASTER!C:C)</f>
        <v>PALL MALL TOKYO MIDNIGHT 20</v>
      </c>
      <c r="B68" s="65535">
        <v>75052836</v>
      </c>
      <c r="C68" s="15" t="str">
        <f>+_xlfn.XLOOKUP(B68,MASTER!B:B,MASTER!I:I)</f>
        <v>Activo</v>
      </c>
    </row>
    <row r="69" spans="1:3" s="15" x14ac:dyDescent="0.35">
      <c r="A69" s="15" t="str">
        <f>+_xlfn.XLOOKUP(B69,MASTER!B:B,MASTER!C:C)</f>
        <v>PALL MALL TOKYO MIDNIGHT 20</v>
      </c>
      <c r="B69" s="65535">
        <v>75052836</v>
      </c>
      <c r="C69" s="15" t="str">
        <f>+_xlfn.XLOOKUP(B69,MASTER!B:B,MASTER!I:I)</f>
        <v>Activo</v>
      </c>
    </row>
    <row r="70" spans="1:3" s="15" x14ac:dyDescent="0.35">
      <c r="A70" s="15" t="str">
        <f>+_xlfn.XLOOKUP(B70,MASTER!B:B,MASTER!C:C)</f>
        <v>MONTANA CLASSI 14S 1 CAJETILLA</v>
      </c>
      <c r="B70" s="65535">
        <v>75076405</v>
      </c>
      <c r="C70" s="15" t="str">
        <f>+_xlfn.XLOOKUP(B70,MASTER!B:B,MASTER!I:I)</f>
        <v>Activo</v>
      </c>
    </row>
    <row r="71" spans="1:3" s="15" x14ac:dyDescent="0.35">
      <c r="A71" s="15" t="str">
        <f>+_xlfn.XLOOKUP(B71,MASTER!B:B,MASTER!C:C)</f>
        <v>MONTANA CLASSI 14S 1 CAJETILLA</v>
      </c>
      <c r="B71" s="65535">
        <v>75076405</v>
      </c>
      <c r="C71" s="15" t="str">
        <f>+_xlfn.XLOOKUP(B71,MASTER!B:B,MASTER!I:I)</f>
        <v>Activo</v>
      </c>
    </row>
    <row r="72" spans="1:3" s="15" x14ac:dyDescent="0.35">
      <c r="A72" s="15" t="str">
        <f>+_xlfn.XLOOKUP(B72,MASTER!B:B,MASTER!C:C)</f>
        <v>MONTANA CLASSI 20S 1 CAJETILLA</v>
      </c>
      <c r="B72" s="65535">
        <v>75076740</v>
      </c>
      <c r="C72" s="15" t="str">
        <f>+_xlfn.XLOOKUP(B72,MASTER!B:B,MASTER!I:I)</f>
        <v>Activo</v>
      </c>
    </row>
    <row r="73" spans="1:3" s="15" x14ac:dyDescent="0.35">
      <c r="A73" s="15" t="str">
        <f>+_xlfn.XLOOKUP(B73,MASTER!B:B,MASTER!C:C)</f>
        <v>MONTANA CLASSI 20S 1 CAJETILLA</v>
      </c>
      <c r="B73" s="65535">
        <v>75076740</v>
      </c>
      <c r="C73" s="15" t="str">
        <f>+_xlfn.XLOOKUP(B73,MASTER!B:B,MASTER!I:I)</f>
        <v>Activo</v>
      </c>
    </row>
    <row r="74" spans="1:3" s="15" x14ac:dyDescent="0.35">
      <c r="A74" s="15" t="str">
        <f>+_xlfn.XLOOKUP(B74,MASTER!B:B,MASTER!C:C)</f>
        <v>MONTANA SHOTS CLASSICS 25 PZ</v>
      </c>
      <c r="B74" s="65535">
        <v>75078843</v>
      </c>
      <c r="C74" s="15" t="str">
        <f>+_xlfn.XLOOKUP(B74,MASTER!B:B,MASTER!I:I)</f>
        <v>Activo</v>
      </c>
    </row>
    <row r="75" spans="1:3" s="15" x14ac:dyDescent="0.35">
      <c r="A75" s="15" t="str">
        <f>+_xlfn.XLOOKUP(B75,MASTER!B:B,MASTER!C:C)</f>
        <v>MONTANA SHOTS CLASSICS 25 PZ</v>
      </c>
      <c r="B75" s="65535">
        <v>75078843</v>
      </c>
      <c r="C75" s="15" t="str">
        <f>+_xlfn.XLOOKUP(B75,MASTER!B:B,MASTER!I:I)</f>
        <v>Activo</v>
      </c>
    </row>
    <row r="76" spans="1:3" s="15" x14ac:dyDescent="0.35">
      <c r="A76" s="15" t="str">
        <f>+_xlfn.XLOOKUP(B76,MASTER!B:B,MASTER!C:C)</f>
        <v>MONTANA SHOTS 1PZ</v>
      </c>
      <c r="B76" s="65535">
        <v>75064754</v>
      </c>
      <c r="C76" s="15" t="str">
        <f>+_xlfn.XLOOKUP(B76,MASTER!B:B,MASTER!I:I)</f>
        <v>Activo</v>
      </c>
    </row>
    <row r="77" spans="1:3" s="15" x14ac:dyDescent="0.35">
      <c r="A77" s="15" t="str">
        <f>+_xlfn.XLOOKUP(B77,MASTER!B:B,MASTER!C:C)</f>
        <v>MONTANA SHOTS 1PZ</v>
      </c>
      <c r="B77" s="65535">
        <v>75064754</v>
      </c>
      <c r="C77" s="15" t="str">
        <f>+_xlfn.XLOOKUP(B77,MASTER!B:B,MASTER!I:I)</f>
        <v>Activo</v>
      </c>
    </row>
    <row r="78" spans="1:3" s="15" x14ac:dyDescent="0.35">
      <c r="A78" s="15" t="str">
        <f>+_xlfn.XLOOKUP(B78,MASTER!B:B,MASTER!C:C)</f>
        <v>LUCKIES 25S</v>
      </c>
      <c r="B78" s="65535">
        <v>75080679</v>
      </c>
      <c r="C78" s="15" t="str">
        <f>+_xlfn.XLOOKUP(B78,MASTER!B:B,MASTER!I:I)</f>
        <v>Descontinuado (con stock)</v>
      </c>
    </row>
    <row r="79" spans="1:3" s="15" x14ac:dyDescent="0.35">
      <c r="A79" s="15" t="str">
        <f>+_xlfn.XLOOKUP(B79,MASTER!B:B,MASTER!C:C)</f>
        <v>LUCKIES 25S</v>
      </c>
      <c r="B79" s="65535">
        <v>75080679</v>
      </c>
      <c r="C79" s="15" t="str">
        <f>+_xlfn.XLOOKUP(B79,MASTER!B:B,MASTER!I:I)</f>
        <v>Descontinuado (con stock)</v>
      </c>
    </row>
    <row r="80" spans="1:3" s="15" x14ac:dyDescent="0.35">
      <c r="A80" s="15" t="str">
        <f>+_xlfn.XLOOKUP(B80,MASTER!B:B,MASTER!C:C)</f>
        <v>PALL MALL XL MIAMI PARADISE 20S 20 PZ</v>
      </c>
      <c r="B80" s="65535">
        <v>75081058</v>
      </c>
      <c r="C80" s="15" t="str">
        <f>+_xlfn.XLOOKUP(B80,MASTER!B:B,MASTER!I:I)</f>
        <v>Activo</v>
      </c>
    </row>
    <row r="81" spans="1:3" s="15" x14ac:dyDescent="0.35">
      <c r="A81" s="15" t="str">
        <f>+_xlfn.XLOOKUP(B81,MASTER!B:B,MASTER!C:C)</f>
        <v>PALL MALL XL MIAMI PARADISE 20S 20 PZ</v>
      </c>
      <c r="B81" s="65535">
        <v>75081058</v>
      </c>
      <c r="C81" s="15" t="str">
        <f>+_xlfn.XLOOKUP(B81,MASTER!B:B,MASTER!I:I)</f>
        <v>Activo</v>
      </c>
    </row>
    <row r="82" spans="1:3" s="15" x14ac:dyDescent="0.35">
      <c r="A82" s="15" t="str">
        <f>+_xlfn.XLOOKUP(B82,MASTER!B:B,MASTER!C:C)</f>
        <v>LUCKIES 20S</v>
      </c>
      <c r="B82" s="65535">
        <v>75081942</v>
      </c>
      <c r="C82" s="15" t="str">
        <f>+_xlfn.XLOOKUP(B82,MASTER!B:B,MASTER!I:I)</f>
        <v>Descontinuado (con stock)</v>
      </c>
    </row>
    <row r="83" spans="1:3" s="15" x14ac:dyDescent="0.35">
      <c r="A83" s="15" t="str">
        <f>+_xlfn.XLOOKUP(B83,MASTER!B:B,MASTER!C:C)</f>
        <v>LUCKIES 20S</v>
      </c>
      <c r="B83" s="65535">
        <v>75081942</v>
      </c>
      <c r="C83" s="15" t="str">
        <f>+_xlfn.XLOOKUP(B83,MASTER!B:B,MASTER!I:I)</f>
        <v>Descontinuado (con stock)</v>
      </c>
    </row>
    <row r="84" spans="1:3" s="15" x14ac:dyDescent="0.35">
      <c r="A84" s="15" t="str">
        <f>+_xlfn.XLOOKUP(B84,MASTER!B:B,MASTER!C:C)</f>
        <v>PALL MALL HAWAII SUNLIGHT 15 PZ</v>
      </c>
      <c r="B84" s="65535">
        <v>75082543</v>
      </c>
      <c r="C84" s="15" t="str">
        <f>+_xlfn.XLOOKUP(B84,MASTER!B:B,MASTER!I:I)</f>
        <v>Activo</v>
      </c>
    </row>
    <row r="85" spans="1:3" s="15" x14ac:dyDescent="0.35">
      <c r="A85" s="15" t="str">
        <f>+_xlfn.XLOOKUP(B85,MASTER!B:B,MASTER!C:C)</f>
        <v>PALL MALL HAWAII SUNLIGHT 15 PZ</v>
      </c>
      <c r="B85" s="65535">
        <v>75082543</v>
      </c>
      <c r="C85" s="15" t="str">
        <f>+_xlfn.XLOOKUP(B85,MASTER!B:B,MASTER!I:I)</f>
        <v>Activo</v>
      </c>
    </row>
    <row r="86" spans="1:3" s="15" x14ac:dyDescent="0.35">
      <c r="A86" s="15" t="str">
        <f>+_xlfn.XLOOKUP(B86,MASTER!B:B,MASTER!C:C)</f>
        <v>PALL MALL PM MANILA DAYLIGHT 20 PZ</v>
      </c>
      <c r="B86" s="65535">
        <v>75083632</v>
      </c>
      <c r="C86" s="15" t="str">
        <f>+_xlfn.XLOOKUP(B86,MASTER!B:B,MASTER!I:I)</f>
        <v>Activo</v>
      </c>
    </row>
    <row r="87" spans="1:3" s="15" x14ac:dyDescent="0.35">
      <c r="A87" s="15" t="str">
        <f>+_xlfn.XLOOKUP(B87,MASTER!B:B,MASTER!C:C)</f>
        <v>PALL MALL PM MANILA DAYLIGHT 20 PZ</v>
      </c>
      <c r="B87" s="65535">
        <v>75083632</v>
      </c>
      <c r="C87" s="15" t="str">
        <f>+_xlfn.XLOOKUP(B87,MASTER!B:B,MASTER!I:I)</f>
        <v>Activo</v>
      </c>
    </row>
    <row r="88" spans="1:3" s="15" x14ac:dyDescent="0.35">
      <c r="A88" s="15" t="e">
        <f>+_xlfn.XLOOKUP(B88,MASTER!B:B,MASTER!C:C)</f>
        <v>#N/A</v>
      </c>
      <c r="B88" s="65535" t="s">
        <v>661</v>
      </c>
      <c r="C88" s="15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sheetPr filterMode="1"/>
  <dimension ref="A1:M585"/>
  <sheetViews>
    <sheetView topLeftCell="C1" workbookViewId="0">
      <selection sqref="A1:XFD1048576"/>
    </sheetView>
  </sheetViews>
  <sheetFormatPr baseColWidth="10" defaultColWidth="11.453125" defaultRowHeight="14.5" x14ac:dyDescent="0.35"/>
  <cols>
    <col min="2" max="2" width="16.453125" style="15" bestFit="1" customWidth="1"/>
    <col min="3" max="3" width="50.26953125" style="15" customWidth="1"/>
    <col min="4" max="4" width="13.453125" style="15" customWidth="1"/>
    <col min="5" max="5" width="12" style="15" customWidth="1"/>
    <col min="6" max="7" width="10.81640625" style="15" customWidth="1"/>
    <col min="8" max="8" width="18.453125" style="15" customWidth="1"/>
    <col min="9" max="9" width="23.453125" style="15" customWidth="1"/>
    <col min="10" max="10" width="12" style="15" bestFit="1" customWidth="1"/>
  </cols>
  <sheetData>
    <row r="1" spans="1:13" s="15" ht="23.25" customHeight="1" x14ac:dyDescent="0.35">
      <c r="A1" s="65535" t="s">
        <v>0</v>
      </c>
      <c r="B1" s="65535" t="s">
        <v>1</v>
      </c>
      <c r="C1" s="65535" t="s">
        <v>2</v>
      </c>
      <c r="D1" s="65535" t="s">
        <v>3</v>
      </c>
      <c r="E1" s="65535" t="s">
        <v>4</v>
      </c>
      <c r="F1" s="65535" t="s">
        <v>5</v>
      </c>
      <c r="G1" s="65535" t="s">
        <v>6</v>
      </c>
      <c r="H1" s="65535" t="s">
        <v>7</v>
      </c>
      <c r="I1" s="65535" t="s">
        <v>8</v>
      </c>
      <c r="J1" s="65535" t="s">
        <v>9</v>
      </c>
      <c r="K1" s="65535" t="s">
        <v>647</v>
      </c>
      <c r="L1" s="65535" t="s">
        <v>648</v>
      </c>
      <c r="M1" s="65535" t="s">
        <v>649</v>
      </c>
    </row>
    <row r="2" spans="1:13" s="15" hidden="1" x14ac:dyDescent="0.35">
      <c r="A2" s="15">
        <v>100024998</v>
      </c>
      <c r="B2" s="506">
        <v>7311250046988</v>
      </c>
      <c r="C2" s="15" t="s">
        <v>10</v>
      </c>
      <c r="D2" s="503" t="s">
        <v>11</v>
      </c>
      <c r="E2" s="15" t="s">
        <v>12</v>
      </c>
      <c r="F2" s="502" t="s">
        <v>13</v>
      </c>
      <c r="G2" s="502" t="s">
        <v>14</v>
      </c>
      <c r="H2" s="502" t="s">
        <v>15</v>
      </c>
      <c r="I2" s="502" t="s">
        <v>16</v>
      </c>
      <c r="J2" s="15" t="str">
        <f>+_xlfn.XLOOKUP(B2,INNOVACIÓN!A:A,INNOVACIÓN!B:B,"NO")</f>
        <v>NO</v>
      </c>
      <c r="K2" s="15" t="str">
        <f>+_xlfn.XLOOKUP(B2,MERMA!B:B,MERMA!C:C,"No")</f>
        <v>No</v>
      </c>
      <c r="L2" s="15" t="str">
        <f>+_xlfn.XLOOKUP(B2,MERMA!B:B,MERMA!D:D,"No es merma")</f>
        <v>No es merma</v>
      </c>
    </row>
    <row r="3" spans="1:13" s="15" hidden="1" x14ac:dyDescent="0.35">
      <c r="A3" s="15">
        <v>100024997</v>
      </c>
      <c r="B3" s="506">
        <v>7311250046971</v>
      </c>
      <c r="C3" s="15" t="s">
        <v>17</v>
      </c>
      <c r="D3" s="503" t="s">
        <v>11</v>
      </c>
      <c r="E3" s="15" t="s">
        <v>12</v>
      </c>
      <c r="F3" s="502" t="s">
        <v>13</v>
      </c>
      <c r="G3" s="502" t="s">
        <v>14</v>
      </c>
      <c r="H3" s="502" t="s">
        <v>15</v>
      </c>
      <c r="I3" s="502" t="s">
        <v>16</v>
      </c>
      <c r="J3" s="15" t="str">
        <f>+_xlfn.XLOOKUP(B3,INNOVACIÓN!A:A,INNOVACIÓN!B:B,"NO")</f>
        <v>NO</v>
      </c>
      <c r="K3" s="15" t="str">
        <f>+_xlfn.XLOOKUP(B3,MERMA!B:B,MERMA!C:C,"No")</f>
        <v>No</v>
      </c>
      <c r="L3" s="15" t="str">
        <f>+_xlfn.XLOOKUP(B3,MERMA!B:B,MERMA!D:D,"No es merma")</f>
        <v>No es merma</v>
      </c>
    </row>
    <row r="4" spans="1:13" s="15" hidden="1" x14ac:dyDescent="0.35">
      <c r="A4" s="15">
        <v>100025304</v>
      </c>
      <c r="B4" s="506">
        <v>7311250048388</v>
      </c>
      <c r="C4" s="15" t="s">
        <v>18</v>
      </c>
      <c r="D4" s="503" t="s">
        <v>11</v>
      </c>
      <c r="E4" s="15" t="s">
        <v>12</v>
      </c>
      <c r="F4" s="502" t="s">
        <v>13</v>
      </c>
      <c r="G4" s="502" t="s">
        <v>14</v>
      </c>
      <c r="H4" s="502" t="s">
        <v>15</v>
      </c>
      <c r="I4" s="502" t="s">
        <v>16</v>
      </c>
      <c r="J4" s="15" t="str">
        <f>+_xlfn.XLOOKUP(B4,INNOVACIÓN!A:A,INNOVACIÓN!B:B,"NO")</f>
        <v>NO</v>
      </c>
      <c r="K4" s="15" t="str">
        <f>+_xlfn.XLOOKUP(B4,MERMA!B:B,MERMA!C:C,"No")</f>
        <v>No</v>
      </c>
      <c r="L4" s="15" t="str">
        <f>+_xlfn.XLOOKUP(B4,MERMA!B:B,MERMA!D:D,"No es merma")</f>
        <v>No es merma</v>
      </c>
    </row>
    <row r="5" spans="1:13" s="15" hidden="1" x14ac:dyDescent="0.35">
      <c r="A5" s="15">
        <v>100026067</v>
      </c>
      <c r="B5" s="506">
        <v>7311250035579</v>
      </c>
      <c r="C5" s="15" t="s">
        <v>19</v>
      </c>
      <c r="D5" s="503" t="s">
        <v>11</v>
      </c>
      <c r="E5" s="503" t="s">
        <v>12</v>
      </c>
      <c r="F5" s="502" t="s">
        <v>13</v>
      </c>
      <c r="G5" s="502" t="s">
        <v>14</v>
      </c>
      <c r="H5" s="503" t="s">
        <v>15</v>
      </c>
      <c r="I5" s="502" t="s">
        <v>16</v>
      </c>
      <c r="J5" s="15" t="str">
        <f>+_xlfn.XLOOKUP(B5,INNOVACIÓN!A:A,INNOVACIÓN!B:B,"NO")</f>
        <v>NO</v>
      </c>
      <c r="K5" s="15" t="str">
        <f>+_xlfn.XLOOKUP(B5,MERMA!B:B,MERMA!C:C,"No")</f>
        <v>No</v>
      </c>
      <c r="L5" s="15" t="str">
        <f>+_xlfn.XLOOKUP(B5,MERMA!B:B,MERMA!D:D,"No es merma")</f>
        <v>No es merma</v>
      </c>
    </row>
    <row r="6" spans="1:13" s="15" hidden="1" x14ac:dyDescent="0.35">
      <c r="A6" s="15">
        <v>100026065</v>
      </c>
      <c r="B6" s="506">
        <v>7311250035593</v>
      </c>
      <c r="C6" s="15" t="s">
        <v>20</v>
      </c>
      <c r="D6" s="503" t="s">
        <v>11</v>
      </c>
      <c r="E6" s="503" t="s">
        <v>12</v>
      </c>
      <c r="F6" s="502" t="s">
        <v>13</v>
      </c>
      <c r="G6" s="502" t="s">
        <v>14</v>
      </c>
      <c r="H6" s="503" t="s">
        <v>15</v>
      </c>
      <c r="I6" s="502" t="s">
        <v>16</v>
      </c>
      <c r="J6" s="15" t="str">
        <f>+_xlfn.XLOOKUP(B6,INNOVACIÓN!A:A,INNOVACIÓN!B:B,"NO")</f>
        <v>NO</v>
      </c>
      <c r="K6" s="15" t="str">
        <f>+_xlfn.XLOOKUP(B6,MERMA!B:B,MERMA!C:C,"No")</f>
        <v>No</v>
      </c>
      <c r="L6" s="15" t="str">
        <f>+_xlfn.XLOOKUP(B6,MERMA!B:B,MERMA!D:D,"No es merma")</f>
        <v>No es merma</v>
      </c>
    </row>
    <row r="7" spans="1:13" s="15" hidden="1" x14ac:dyDescent="0.35">
      <c r="A7" s="15">
        <v>100024400</v>
      </c>
      <c r="B7" s="505">
        <v>7311250044441</v>
      </c>
      <c r="C7" s="15" t="s">
        <v>21</v>
      </c>
      <c r="D7" s="502" t="s">
        <v>11</v>
      </c>
      <c r="E7" s="502" t="s">
        <v>33</v>
      </c>
      <c r="F7" s="502" t="s">
        <v>13</v>
      </c>
      <c r="G7" s="502" t="s">
        <v>14</v>
      </c>
      <c r="H7" s="502" t="s">
        <v>15</v>
      </c>
      <c r="I7" s="502" t="s">
        <v>109</v>
      </c>
      <c r="J7" s="15" t="str">
        <f>+_xlfn.XLOOKUP(B7,INNOVACIÓN!A:A,INNOVACIÓN!B:B,"NO")</f>
        <v>NO</v>
      </c>
      <c r="K7" s="15" t="str">
        <f>+_xlfn.XLOOKUP(B7,MERMA!B:B,MERMA!C:C,"No")</f>
        <v>No</v>
      </c>
      <c r="L7" s="15" t="str">
        <f>+_xlfn.XLOOKUP(B7,MERMA!B:B,MERMA!D:D,"No es merma")</f>
        <v>No es merma</v>
      </c>
    </row>
    <row r="8" spans="1:13" s="15" hidden="1" x14ac:dyDescent="0.35">
      <c r="A8" s="502">
        <v>100024295</v>
      </c>
      <c r="B8" s="505">
        <v>7311250044434</v>
      </c>
      <c r="C8" s="502" t="s">
        <v>22</v>
      </c>
      <c r="D8" s="503" t="s">
        <v>11</v>
      </c>
      <c r="E8" s="503" t="s">
        <v>33</v>
      </c>
      <c r="F8" s="502" t="s">
        <v>13</v>
      </c>
      <c r="G8" s="502" t="s">
        <v>14</v>
      </c>
      <c r="H8" s="502" t="s">
        <v>15</v>
      </c>
      <c r="I8" s="502" t="s">
        <v>109</v>
      </c>
      <c r="J8" s="15" t="str">
        <f>+_xlfn.XLOOKUP(B8,INNOVACIÓN!A:A,INNOVACIÓN!B:B,"NO")</f>
        <v>NO</v>
      </c>
      <c r="K8" s="15" t="str">
        <f>+_xlfn.XLOOKUP(B8,MERMA!B:B,MERMA!C:C,"No")</f>
        <v>No</v>
      </c>
      <c r="L8" s="15" t="str">
        <f>+_xlfn.XLOOKUP(B8,MERMA!B:B,MERMA!D:D,"No es merma")</f>
        <v>No es merma</v>
      </c>
    </row>
    <row r="9" spans="1:13" s="15" hidden="1" x14ac:dyDescent="0.35">
      <c r="A9" s="15">
        <v>100024399</v>
      </c>
      <c r="B9" s="505">
        <v>7311250044403</v>
      </c>
      <c r="C9" s="15" t="s">
        <v>23</v>
      </c>
      <c r="D9" s="502" t="s">
        <v>11</v>
      </c>
      <c r="E9" s="502" t="s">
        <v>12</v>
      </c>
      <c r="F9" s="502" t="s">
        <v>13</v>
      </c>
      <c r="G9" s="502" t="s">
        <v>14</v>
      </c>
      <c r="H9" s="502" t="s">
        <v>15</v>
      </c>
      <c r="I9" s="502" t="s">
        <v>16</v>
      </c>
      <c r="J9" s="15" t="str">
        <f>+_xlfn.XLOOKUP(B9,INNOVACIÓN!A:A,INNOVACIÓN!B:B,"NO")</f>
        <v>NO</v>
      </c>
      <c r="K9" s="15" t="str">
        <f>+_xlfn.XLOOKUP(B9,MERMA!B:B,MERMA!C:C,"No")</f>
        <v>No</v>
      </c>
      <c r="L9" s="15" t="str">
        <f>+_xlfn.XLOOKUP(B9,MERMA!B:B,MERMA!D:D,"No es merma")</f>
        <v>No es merma</v>
      </c>
    </row>
    <row r="10" spans="1:13" s="15" hidden="1" x14ac:dyDescent="0.35">
      <c r="A10" s="502">
        <v>100024294</v>
      </c>
      <c r="B10" s="505">
        <v>7311250044397</v>
      </c>
      <c r="C10" s="502" t="s">
        <v>24</v>
      </c>
      <c r="D10" s="503" t="s">
        <v>11</v>
      </c>
      <c r="E10" s="503" t="s">
        <v>12</v>
      </c>
      <c r="F10" s="502" t="s">
        <v>13</v>
      </c>
      <c r="G10" s="502" t="s">
        <v>14</v>
      </c>
      <c r="H10" s="502" t="s">
        <v>15</v>
      </c>
      <c r="I10" s="502" t="s">
        <v>16</v>
      </c>
      <c r="J10" s="15" t="str">
        <f>+_xlfn.XLOOKUP(B10,INNOVACIÓN!A:A,INNOVACIÓN!B:B,"NO")</f>
        <v>NO</v>
      </c>
      <c r="K10" s="15" t="str">
        <f>+_xlfn.XLOOKUP(B10,MERMA!B:B,MERMA!C:C,"No")</f>
        <v>No</v>
      </c>
      <c r="L10" s="15" t="str">
        <f>+_xlfn.XLOOKUP(B10,MERMA!B:B,MERMA!D:D,"No es merma")</f>
        <v>No es merma</v>
      </c>
    </row>
    <row r="11" spans="1:13" s="15" hidden="1" x14ac:dyDescent="0.35">
      <c r="A11" s="15">
        <v>100026064</v>
      </c>
      <c r="B11" s="506">
        <v>7311250035562</v>
      </c>
      <c r="C11" s="15" t="s">
        <v>25</v>
      </c>
      <c r="D11" s="503" t="s">
        <v>11</v>
      </c>
      <c r="E11" s="503" t="s">
        <v>12</v>
      </c>
      <c r="F11" s="502" t="s">
        <v>13</v>
      </c>
      <c r="G11" s="502" t="s">
        <v>14</v>
      </c>
      <c r="H11" s="503" t="s">
        <v>15</v>
      </c>
      <c r="I11" s="502" t="s">
        <v>16</v>
      </c>
      <c r="J11" s="15" t="str">
        <f>+_xlfn.XLOOKUP(B11,INNOVACIÓN!A:A,INNOVACIÓN!B:B,"NO")</f>
        <v>NO</v>
      </c>
      <c r="K11" s="15" t="str">
        <f>+_xlfn.XLOOKUP(B11,MERMA!B:B,MERMA!C:C,"No")</f>
        <v>No</v>
      </c>
      <c r="L11" s="15" t="str">
        <f>+_xlfn.XLOOKUP(B11,MERMA!B:B,MERMA!D:D,"No es merma")</f>
        <v>No es merma</v>
      </c>
    </row>
    <row r="12" spans="1:13" s="15" hidden="1" x14ac:dyDescent="0.35">
      <c r="A12" s="15">
        <v>100024398</v>
      </c>
      <c r="B12" s="505">
        <v>7311250044427</v>
      </c>
      <c r="C12" s="15" t="s">
        <v>26</v>
      </c>
      <c r="D12" s="502" t="s">
        <v>11</v>
      </c>
      <c r="E12" s="502" t="s">
        <v>12</v>
      </c>
      <c r="F12" s="502" t="s">
        <v>13</v>
      </c>
      <c r="G12" s="502" t="s">
        <v>14</v>
      </c>
      <c r="H12" s="502" t="s">
        <v>15</v>
      </c>
      <c r="I12" s="502" t="s">
        <v>16</v>
      </c>
      <c r="J12" s="15" t="str">
        <f>+_xlfn.XLOOKUP(B12,INNOVACIÓN!A:A,INNOVACIÓN!B:B,"NO")</f>
        <v>NO</v>
      </c>
      <c r="K12" s="15" t="str">
        <f>+_xlfn.XLOOKUP(B12,MERMA!B:B,MERMA!C:C,"No")</f>
        <v>No</v>
      </c>
      <c r="L12" s="15" t="str">
        <f>+_xlfn.XLOOKUP(B12,MERMA!B:B,MERMA!D:D,"No es merma")</f>
        <v>No es merma</v>
      </c>
    </row>
    <row r="13" spans="1:13" s="15" hidden="1" x14ac:dyDescent="0.35">
      <c r="A13" s="502">
        <v>100024293</v>
      </c>
      <c r="B13" s="505">
        <v>7311250044410</v>
      </c>
      <c r="C13" s="502" t="s">
        <v>27</v>
      </c>
      <c r="D13" s="503" t="s">
        <v>11</v>
      </c>
      <c r="E13" s="503" t="s">
        <v>12</v>
      </c>
      <c r="F13" s="502" t="s">
        <v>13</v>
      </c>
      <c r="G13" s="502" t="s">
        <v>14</v>
      </c>
      <c r="H13" s="502" t="s">
        <v>15</v>
      </c>
      <c r="I13" s="502" t="s">
        <v>16</v>
      </c>
      <c r="J13" s="15" t="str">
        <f>+_xlfn.XLOOKUP(B13,INNOVACIÓN!A:A,INNOVACIÓN!B:B,"NO")</f>
        <v>NO</v>
      </c>
      <c r="K13" s="15" t="str">
        <f>+_xlfn.XLOOKUP(B13,MERMA!B:B,MERMA!C:C,"No")</f>
        <v>No</v>
      </c>
      <c r="L13" s="15" t="str">
        <f>+_xlfn.XLOOKUP(B13,MERMA!B:B,MERMA!D:D,"No es merma")</f>
        <v>No es merma</v>
      </c>
    </row>
    <row r="14" spans="1:13" s="15" hidden="1" x14ac:dyDescent="0.35">
      <c r="A14" s="15">
        <v>100024397</v>
      </c>
      <c r="B14" s="505">
        <v>7311250044380</v>
      </c>
      <c r="C14" s="15" t="s">
        <v>28</v>
      </c>
      <c r="D14" s="502" t="s">
        <v>11</v>
      </c>
      <c r="E14" s="502" t="s">
        <v>12</v>
      </c>
      <c r="F14" s="502" t="s">
        <v>13</v>
      </c>
      <c r="G14" s="502" t="s">
        <v>14</v>
      </c>
      <c r="H14" s="502" t="s">
        <v>15</v>
      </c>
      <c r="I14" s="502" t="s">
        <v>16</v>
      </c>
      <c r="J14" s="15" t="str">
        <f>+_xlfn.XLOOKUP(B14,INNOVACIÓN!A:A,INNOVACIÓN!B:B,"NO")</f>
        <v>NO</v>
      </c>
      <c r="K14" s="15" t="str">
        <f>+_xlfn.XLOOKUP(B14,MERMA!B:B,MERMA!C:C,"No")</f>
        <v>No</v>
      </c>
      <c r="L14" s="15" t="str">
        <f>+_xlfn.XLOOKUP(B14,MERMA!B:B,MERMA!D:D,"No es merma")</f>
        <v>No es merma</v>
      </c>
    </row>
    <row r="15" spans="1:13" s="15" hidden="1" x14ac:dyDescent="0.35">
      <c r="A15" s="502">
        <v>100024289</v>
      </c>
      <c r="B15" s="505">
        <v>7311250044373</v>
      </c>
      <c r="C15" s="502" t="s">
        <v>29</v>
      </c>
      <c r="D15" s="503" t="s">
        <v>11</v>
      </c>
      <c r="E15" s="503" t="s">
        <v>12</v>
      </c>
      <c r="F15" s="502" t="s">
        <v>13</v>
      </c>
      <c r="G15" s="502" t="s">
        <v>14</v>
      </c>
      <c r="H15" s="502" t="s">
        <v>15</v>
      </c>
      <c r="I15" s="502" t="s">
        <v>16</v>
      </c>
      <c r="J15" s="15" t="str">
        <f>+_xlfn.XLOOKUP(B15,INNOVACIÓN!A:A,INNOVACIÓN!B:B,"NO")</f>
        <v>NO</v>
      </c>
      <c r="K15" s="15" t="str">
        <f>+_xlfn.XLOOKUP(B15,MERMA!B:B,MERMA!C:C,"No")</f>
        <v>No</v>
      </c>
      <c r="L15" s="15" t="str">
        <f>+_xlfn.XLOOKUP(B15,MERMA!B:B,MERMA!D:D,"No es merma")</f>
        <v>No es merma</v>
      </c>
    </row>
    <row r="16" spans="1:13" s="15" hidden="1" x14ac:dyDescent="0.35">
      <c r="A16" s="15">
        <v>100026062</v>
      </c>
      <c r="B16" s="506">
        <v>7311250035555</v>
      </c>
      <c r="C16" s="15" t="s">
        <v>30</v>
      </c>
      <c r="D16" s="503" t="s">
        <v>11</v>
      </c>
      <c r="E16" s="503" t="s">
        <v>12</v>
      </c>
      <c r="F16" s="502" t="s">
        <v>13</v>
      </c>
      <c r="G16" s="502" t="s">
        <v>14</v>
      </c>
      <c r="H16" s="503" t="s">
        <v>15</v>
      </c>
      <c r="I16" s="502" t="s">
        <v>16</v>
      </c>
      <c r="J16" s="15" t="str">
        <f>+_xlfn.XLOOKUP(B16,INNOVACIÓN!A:A,INNOVACIÓN!B:B,"NO")</f>
        <v>NO</v>
      </c>
      <c r="K16" s="15" t="str">
        <f>+_xlfn.XLOOKUP(B16,MERMA!B:B,MERMA!C:C,"No")</f>
        <v>No</v>
      </c>
      <c r="L16" s="15" t="str">
        <f>+_xlfn.XLOOKUP(B16,MERMA!B:B,MERMA!D:D,"No es merma")</f>
        <v>No es merma</v>
      </c>
    </row>
    <row r="17" spans="1:12" s="15" hidden="1" x14ac:dyDescent="0.35">
      <c r="A17" s="502">
        <v>100022995</v>
      </c>
      <c r="B17" s="505">
        <v>7503023959520</v>
      </c>
      <c r="C17" s="502" t="s">
        <v>31</v>
      </c>
      <c r="D17" s="503" t="s">
        <v>32</v>
      </c>
      <c r="E17" s="503" t="s">
        <v>589</v>
      </c>
      <c r="F17" s="503" t="s">
        <v>609</v>
      </c>
      <c r="G17" s="503" t="s">
        <v>35</v>
      </c>
      <c r="H17" s="502" t="s">
        <v>36</v>
      </c>
      <c r="I17" s="502" t="s">
        <v>16</v>
      </c>
      <c r="J17" s="15" t="str">
        <f>+_xlfn.XLOOKUP(B17,INNOVACIÓN!A:A,INNOVACIÓN!B:B,"NO")</f>
        <v>NO</v>
      </c>
      <c r="K17" s="15" t="str">
        <f>+_xlfn.XLOOKUP(B17,MERMA!B:B,MERMA!C:C,"No")</f>
        <v>No</v>
      </c>
      <c r="L17" s="15" t="str">
        <f>+_xlfn.XLOOKUP(B17,MERMA!B:B,MERMA!D:D,"No es merma")</f>
        <v>No es merma</v>
      </c>
    </row>
    <row r="18" spans="1:12" s="15" hidden="1" x14ac:dyDescent="0.35">
      <c r="A18" s="502">
        <v>100022996</v>
      </c>
      <c r="B18" s="505">
        <v>7503023959513</v>
      </c>
      <c r="C18" s="502" t="s">
        <v>37</v>
      </c>
      <c r="D18" s="503" t="s">
        <v>32</v>
      </c>
      <c r="E18" s="503" t="s">
        <v>589</v>
      </c>
      <c r="F18" s="503" t="s">
        <v>609</v>
      </c>
      <c r="G18" s="503" t="s">
        <v>35</v>
      </c>
      <c r="H18" s="502" t="s">
        <v>36</v>
      </c>
      <c r="I18" s="502" t="s">
        <v>16</v>
      </c>
      <c r="J18" s="15" t="str">
        <f>+_xlfn.XLOOKUP(B18,INNOVACIÓN!A:A,INNOVACIÓN!B:B,"NO")</f>
        <v>NO</v>
      </c>
      <c r="K18" s="15" t="str">
        <f>+_xlfn.XLOOKUP(B18,MERMA!B:B,MERMA!C:C,"No")</f>
        <v>No</v>
      </c>
      <c r="L18" s="15" t="str">
        <f>+_xlfn.XLOOKUP(B18,MERMA!B:B,MERMA!D:D,"No es merma")</f>
        <v>No es merma</v>
      </c>
    </row>
    <row r="19" spans="1:12" s="15" hidden="1" x14ac:dyDescent="0.35">
      <c r="A19" s="15">
        <v>100025162</v>
      </c>
      <c r="B19" s="506">
        <v>7503023959452</v>
      </c>
      <c r="C19" s="15" t="s">
        <v>38</v>
      </c>
      <c r="D19" s="502" t="s">
        <v>32</v>
      </c>
      <c r="E19" s="503" t="s">
        <v>589</v>
      </c>
      <c r="F19" s="503" t="s">
        <v>41</v>
      </c>
      <c r="G19" s="503" t="s">
        <v>35</v>
      </c>
      <c r="H19" s="502" t="s">
        <v>36</v>
      </c>
      <c r="I19" s="502" t="s">
        <v>16</v>
      </c>
      <c r="J19" s="15" t="str">
        <f>+_xlfn.XLOOKUP(B19,INNOVACIÓN!A:A,INNOVACIÓN!B:B,"NO")</f>
        <v>NO</v>
      </c>
      <c r="K19" s="15" t="str">
        <f>+_xlfn.XLOOKUP(B19,MERMA!B:B,MERMA!C:C,"No")</f>
        <v>No</v>
      </c>
      <c r="L19" s="15" t="str">
        <f>+_xlfn.XLOOKUP(B19,MERMA!B:B,MERMA!D:D,"No es merma")</f>
        <v>No es merma</v>
      </c>
    </row>
    <row r="20" spans="1:12" s="15" hidden="1" x14ac:dyDescent="0.35">
      <c r="A20" s="503">
        <v>100080896</v>
      </c>
      <c r="B20" s="504">
        <v>40331362</v>
      </c>
      <c r="C20" s="503" t="s">
        <v>40</v>
      </c>
      <c r="D20" s="503" t="s">
        <v>32</v>
      </c>
      <c r="E20" s="503" t="s">
        <v>589</v>
      </c>
      <c r="F20" s="503" t="s">
        <v>41</v>
      </c>
      <c r="G20" s="503" t="s">
        <v>35</v>
      </c>
      <c r="H20" s="502" t="s">
        <v>36</v>
      </c>
      <c r="I20" s="502" t="s">
        <v>16</v>
      </c>
      <c r="J20" s="15" t="str">
        <f>+_xlfn.XLOOKUP(B20,INNOVACIÓN!A:A,INNOVACIÓN!B:B,"NO")</f>
        <v>NO</v>
      </c>
      <c r="K20" s="15" t="str">
        <f>+_xlfn.XLOOKUP(B20,MERMA!B:B,MERMA!C:C,"No")</f>
        <v>No</v>
      </c>
      <c r="L20" s="15" t="str">
        <f>+_xlfn.XLOOKUP(B20,MERMA!B:B,MERMA!D:D,"No es merma")</f>
        <v>No es merma</v>
      </c>
    </row>
    <row r="21" spans="1:12" s="15" hidden="1" x14ac:dyDescent="0.35">
      <c r="A21" s="502">
        <v>100080898</v>
      </c>
      <c r="B21" s="502">
        <v>42138051</v>
      </c>
      <c r="C21" s="502" t="s">
        <v>42</v>
      </c>
      <c r="D21" s="502" t="s">
        <v>32</v>
      </c>
      <c r="E21" s="503" t="s">
        <v>589</v>
      </c>
      <c r="F21" s="503" t="s">
        <v>41</v>
      </c>
      <c r="G21" s="502" t="s">
        <v>35</v>
      </c>
      <c r="H21" s="502" t="s">
        <v>36</v>
      </c>
      <c r="I21" s="502" t="s">
        <v>16</v>
      </c>
      <c r="J21" s="15" t="str">
        <f>+_xlfn.XLOOKUP(B21,INNOVACIÓN!A:A,INNOVACIÓN!B:B,"NO")</f>
        <v>NO</v>
      </c>
      <c r="K21" s="15" t="str">
        <f>+_xlfn.XLOOKUP(B21,MERMA!B:B,MERMA!C:C,"No")</f>
        <v>No</v>
      </c>
      <c r="L21" s="15" t="str">
        <f>+_xlfn.XLOOKUP(B21,MERMA!B:B,MERMA!D:D,"No es merma")</f>
        <v>No es merma</v>
      </c>
    </row>
    <row r="22" spans="1:12" s="15" hidden="1" x14ac:dyDescent="0.35">
      <c r="A22" s="15">
        <v>100025053</v>
      </c>
      <c r="B22" s="506">
        <v>75081942</v>
      </c>
      <c r="C22" s="15" t="s">
        <v>43</v>
      </c>
      <c r="D22" s="503" t="s">
        <v>44</v>
      </c>
      <c r="E22" s="502" t="s">
        <v>33</v>
      </c>
      <c r="F22" s="502" t="s">
        <v>46</v>
      </c>
      <c r="G22" s="502" t="s">
        <v>14</v>
      </c>
      <c r="H22" s="502" t="s">
        <v>36</v>
      </c>
      <c r="I22" s="502" t="s">
        <v>109</v>
      </c>
      <c r="J22" s="15" t="str">
        <f>+_xlfn.XLOOKUP(B22,INNOVACIÓN!A:A,INNOVACIÓN!B:B,"NO")</f>
        <v>NO</v>
      </c>
      <c r="K22" s="15" t="str">
        <f>+_xlfn.XLOOKUP(B22,MERMA!B:B,MERMA!C:C,"No")</f>
        <v>SI</v>
      </c>
      <c r="L22" s="15" t="str">
        <f>+_xlfn.XLOOKUP(B22,MERMA!B:B,MERMA!D:D,"No es merma")</f>
        <v>2026 H1</v>
      </c>
    </row>
    <row r="23" spans="1:12" s="15" hidden="1" x14ac:dyDescent="0.35">
      <c r="A23" s="15">
        <v>100024321</v>
      </c>
      <c r="B23" s="15">
        <v>75080679</v>
      </c>
      <c r="C23" s="15" t="s">
        <v>47</v>
      </c>
      <c r="D23" s="502" t="s">
        <v>44</v>
      </c>
      <c r="E23" s="502" t="s">
        <v>33</v>
      </c>
      <c r="F23" s="502" t="s">
        <v>41</v>
      </c>
      <c r="G23" s="502" t="s">
        <v>35</v>
      </c>
      <c r="H23" s="502" t="s">
        <v>36</v>
      </c>
      <c r="I23" s="502" t="s">
        <v>109</v>
      </c>
      <c r="J23" s="15" t="str">
        <f>+_xlfn.XLOOKUP(B23,INNOVACIÓN!A:A,INNOVACIÓN!B:B,"NO")</f>
        <v>NO</v>
      </c>
      <c r="K23" s="15" t="str">
        <f>+_xlfn.XLOOKUP(B23,MERMA!B:B,MERMA!C:C,"No")</f>
        <v>SI</v>
      </c>
      <c r="L23" s="15" t="str">
        <f>+_xlfn.XLOOKUP(B23,MERMA!B:B,MERMA!D:D,"No es merma")</f>
        <v>2026 H1</v>
      </c>
    </row>
    <row r="24" spans="1:12" s="15" hidden="1" x14ac:dyDescent="0.35">
      <c r="A24" s="503">
        <v>100012153</v>
      </c>
      <c r="B24" s="504">
        <v>75063504</v>
      </c>
      <c r="C24" s="503" t="s">
        <v>48</v>
      </c>
      <c r="D24" s="503" t="s">
        <v>44</v>
      </c>
      <c r="E24" s="503" t="s">
        <v>45</v>
      </c>
      <c r="F24" s="503" t="s">
        <v>39</v>
      </c>
      <c r="G24" s="503" t="s">
        <v>14</v>
      </c>
      <c r="H24" s="502" t="s">
        <v>36</v>
      </c>
      <c r="I24" s="502" t="s">
        <v>16</v>
      </c>
      <c r="J24" s="15" t="str">
        <f>+_xlfn.XLOOKUP(B24,INNOVACIÓN!A:A,INNOVACIÓN!B:B,"NO")</f>
        <v>NO</v>
      </c>
      <c r="K24" s="15" t="str">
        <f>+_xlfn.XLOOKUP(B24,MERMA!B:B,MERMA!C:C,"No")</f>
        <v>No</v>
      </c>
      <c r="L24" s="15" t="str">
        <f>+_xlfn.XLOOKUP(B24,MERMA!B:B,MERMA!D:D,"No es merma")</f>
        <v>No es merma</v>
      </c>
    </row>
    <row r="25" spans="1:12" s="15" hidden="1" x14ac:dyDescent="0.35">
      <c r="A25" s="503">
        <v>100080955</v>
      </c>
      <c r="B25" s="504">
        <v>75046521</v>
      </c>
      <c r="C25" s="503" t="s">
        <v>49</v>
      </c>
      <c r="D25" s="503" t="s">
        <v>44</v>
      </c>
      <c r="E25" s="503" t="s">
        <v>45</v>
      </c>
      <c r="F25" s="503" t="s">
        <v>46</v>
      </c>
      <c r="G25" s="503" t="s">
        <v>35</v>
      </c>
      <c r="H25" s="502" t="s">
        <v>36</v>
      </c>
      <c r="I25" s="502" t="s">
        <v>16</v>
      </c>
      <c r="J25" s="15" t="str">
        <f>+_xlfn.XLOOKUP(B25,INNOVACIÓN!A:A,INNOVACIÓN!B:B,"NO")</f>
        <v>NO</v>
      </c>
      <c r="K25" s="15" t="str">
        <f>+_xlfn.XLOOKUP(B25,MERMA!B:B,MERMA!C:C,"No")</f>
        <v>No</v>
      </c>
      <c r="L25" s="15" t="str">
        <f>+_xlfn.XLOOKUP(B25,MERMA!B:B,MERMA!D:D,"No es merma")</f>
        <v>No es merma</v>
      </c>
    </row>
    <row r="26" spans="1:12" s="15" hidden="1" x14ac:dyDescent="0.35">
      <c r="A26" s="503">
        <v>100080952</v>
      </c>
      <c r="B26" s="504">
        <v>75046545</v>
      </c>
      <c r="C26" s="503" t="s">
        <v>50</v>
      </c>
      <c r="D26" s="503" t="s">
        <v>44</v>
      </c>
      <c r="E26" s="503" t="s">
        <v>45</v>
      </c>
      <c r="F26" s="503" t="s">
        <v>46</v>
      </c>
      <c r="G26" s="503" t="s">
        <v>35</v>
      </c>
      <c r="H26" s="502" t="s">
        <v>36</v>
      </c>
      <c r="I26" s="502" t="s">
        <v>16</v>
      </c>
      <c r="J26" s="15" t="str">
        <f>+_xlfn.XLOOKUP(B26,INNOVACIÓN!A:A,INNOVACIÓN!B:B,"NO")</f>
        <v>NO</v>
      </c>
      <c r="K26" s="15" t="str">
        <f>+_xlfn.XLOOKUP(B26,MERMA!B:B,MERMA!C:C,"No")</f>
        <v>No</v>
      </c>
      <c r="L26" s="15" t="str">
        <f>+_xlfn.XLOOKUP(B26,MERMA!B:B,MERMA!D:D,"No es merma")</f>
        <v>No es merma</v>
      </c>
    </row>
    <row r="27" spans="1:12" s="15" hidden="1" x14ac:dyDescent="0.35">
      <c r="A27" s="502">
        <v>100004788</v>
      </c>
      <c r="B27" s="502">
        <v>75051785</v>
      </c>
      <c r="C27" s="502" t="s">
        <v>51</v>
      </c>
      <c r="D27" s="502" t="s">
        <v>44</v>
      </c>
      <c r="E27" s="502" t="s">
        <v>45</v>
      </c>
      <c r="F27" s="502" t="s">
        <v>39</v>
      </c>
      <c r="G27" s="502" t="s">
        <v>52</v>
      </c>
      <c r="H27" s="502" t="s">
        <v>36</v>
      </c>
      <c r="I27" s="502" t="s">
        <v>16</v>
      </c>
      <c r="J27" s="15" t="str">
        <f>+_xlfn.XLOOKUP(B27,INNOVACIÓN!A:A,INNOVACIÓN!B:B,"NO")</f>
        <v>NO</v>
      </c>
      <c r="K27" s="15" t="str">
        <f>+_xlfn.XLOOKUP(B27,MERMA!B:B,MERMA!C:C,"No")</f>
        <v>No</v>
      </c>
      <c r="L27" s="15" t="str">
        <f>+_xlfn.XLOOKUP(B27,MERMA!B:B,MERMA!D:D,"No es merma")</f>
        <v>No es merma</v>
      </c>
    </row>
    <row r="28" spans="1:12" s="15" hidden="1" x14ac:dyDescent="0.35">
      <c r="A28" s="503">
        <v>100019550</v>
      </c>
      <c r="B28" s="504">
        <v>75074227</v>
      </c>
      <c r="C28" s="503" t="s">
        <v>53</v>
      </c>
      <c r="D28" s="503" t="s">
        <v>44</v>
      </c>
      <c r="E28" s="503" t="s">
        <v>45</v>
      </c>
      <c r="F28" s="503" t="s">
        <v>46</v>
      </c>
      <c r="G28" s="503" t="s">
        <v>54</v>
      </c>
      <c r="H28" s="502" t="s">
        <v>36</v>
      </c>
      <c r="I28" s="502" t="s">
        <v>16</v>
      </c>
      <c r="J28" s="15" t="str">
        <f>+_xlfn.XLOOKUP(B28,INNOVACIÓN!A:A,INNOVACIÓN!B:B,"NO")</f>
        <v>NO</v>
      </c>
      <c r="K28" s="15" t="str">
        <f>+_xlfn.XLOOKUP(B28,MERMA!B:B,MERMA!C:C,"No")</f>
        <v>No</v>
      </c>
      <c r="L28" s="15" t="str">
        <f>+_xlfn.XLOOKUP(B28,MERMA!B:B,MERMA!D:D,"No es merma")</f>
        <v>No es merma</v>
      </c>
    </row>
    <row r="29" spans="1:12" s="15" hidden="1" x14ac:dyDescent="0.35">
      <c r="A29" s="503">
        <v>100012997</v>
      </c>
      <c r="B29" s="504">
        <v>75064716</v>
      </c>
      <c r="C29" s="503" t="s">
        <v>55</v>
      </c>
      <c r="D29" s="503" t="s">
        <v>44</v>
      </c>
      <c r="E29" s="503" t="s">
        <v>45</v>
      </c>
      <c r="F29" s="503" t="s">
        <v>46</v>
      </c>
      <c r="G29" s="503" t="s">
        <v>14</v>
      </c>
      <c r="H29" s="502" t="s">
        <v>36</v>
      </c>
      <c r="I29" s="502" t="s">
        <v>16</v>
      </c>
      <c r="J29" s="15" t="str">
        <f>+_xlfn.XLOOKUP(B29,INNOVACIÓN!A:A,INNOVACIÓN!B:B,"NO")</f>
        <v>NO</v>
      </c>
      <c r="K29" s="15" t="str">
        <f>+_xlfn.XLOOKUP(B29,MERMA!B:B,MERMA!C:C,"No")</f>
        <v>No</v>
      </c>
      <c r="L29" s="15" t="str">
        <f>+_xlfn.XLOOKUP(B29,MERMA!B:B,MERMA!D:D,"No es merma")</f>
        <v>No es merma</v>
      </c>
    </row>
    <row r="30" spans="1:12" s="15" hidden="1" x14ac:dyDescent="0.35">
      <c r="A30" s="15">
        <v>100026068</v>
      </c>
      <c r="B30" s="506">
        <v>75084332</v>
      </c>
      <c r="C30" s="15" t="s">
        <v>56</v>
      </c>
      <c r="D30" s="503" t="s">
        <v>44</v>
      </c>
      <c r="E30" s="503" t="s">
        <v>33</v>
      </c>
      <c r="F30" s="65535" t="s">
        <v>46</v>
      </c>
      <c r="H30" s="503" t="s">
        <v>36</v>
      </c>
      <c r="I30" s="502" t="s">
        <v>109</v>
      </c>
      <c r="J30" s="15" t="str">
        <f>+_xlfn.XLOOKUP(B30,INNOVACIÓN!A:A,INNOVACIÓN!B:B,"NO")</f>
        <v>NO</v>
      </c>
      <c r="K30" s="15" t="str">
        <f>+_xlfn.XLOOKUP(B30,MERMA!B:B,MERMA!C:C,"No")</f>
        <v>SI</v>
      </c>
      <c r="L30" s="15" t="str">
        <f>+_xlfn.XLOOKUP(B30,MERMA!B:B,MERMA!D:D,"No es merma")</f>
        <v>2026 H1</v>
      </c>
    </row>
    <row r="31" spans="1:12" s="15" hidden="1" x14ac:dyDescent="0.35">
      <c r="A31" s="502">
        <v>100011590</v>
      </c>
      <c r="B31" s="505">
        <v>7501031700028</v>
      </c>
      <c r="C31" s="502" t="s">
        <v>57</v>
      </c>
      <c r="D31" s="502" t="s">
        <v>44</v>
      </c>
      <c r="E31" s="503" t="s">
        <v>45</v>
      </c>
      <c r="F31" s="502" t="s">
        <v>39</v>
      </c>
      <c r="G31" s="502" t="s">
        <v>58</v>
      </c>
      <c r="H31" s="502" t="s">
        <v>36</v>
      </c>
      <c r="I31" s="502" t="s">
        <v>16</v>
      </c>
      <c r="J31" s="15" t="str">
        <f>+_xlfn.XLOOKUP(B31,INNOVACIÓN!A:A,INNOVACIÓN!B:B,"NO")</f>
        <v>NO</v>
      </c>
      <c r="K31" s="15" t="str">
        <f>+_xlfn.XLOOKUP(B31,MERMA!B:B,MERMA!C:C,"No")</f>
        <v>No</v>
      </c>
      <c r="L31" s="15" t="str">
        <f>+_xlfn.XLOOKUP(B31,MERMA!B:B,MERMA!D:D,"No es merma")</f>
        <v>No es merma</v>
      </c>
    </row>
    <row r="32" spans="1:12" s="15" hidden="1" x14ac:dyDescent="0.35">
      <c r="A32" s="503">
        <v>100080975</v>
      </c>
      <c r="B32" s="504">
        <v>75048129</v>
      </c>
      <c r="C32" s="503" t="s">
        <v>59</v>
      </c>
      <c r="D32" s="503" t="s">
        <v>44</v>
      </c>
      <c r="E32" s="503" t="s">
        <v>45</v>
      </c>
      <c r="F32" s="503" t="s">
        <v>46</v>
      </c>
      <c r="G32" s="503" t="s">
        <v>35</v>
      </c>
      <c r="H32" s="502" t="s">
        <v>36</v>
      </c>
      <c r="I32" s="502" t="s">
        <v>16</v>
      </c>
      <c r="J32" s="15" t="str">
        <f>+_xlfn.XLOOKUP(B32,INNOVACIÓN!A:A,INNOVACIÓN!B:B,"NO")</f>
        <v>NO</v>
      </c>
      <c r="K32" s="15" t="str">
        <f>+_xlfn.XLOOKUP(B32,MERMA!B:B,MERMA!C:C,"No")</f>
        <v>No</v>
      </c>
      <c r="L32" s="15" t="str">
        <f>+_xlfn.XLOOKUP(B32,MERMA!B:B,MERMA!D:D,"No es merma")</f>
        <v>No es merma</v>
      </c>
    </row>
    <row r="33" spans="1:12" s="15" hidden="1" x14ac:dyDescent="0.35">
      <c r="A33" s="503">
        <v>100020970</v>
      </c>
      <c r="B33" s="504">
        <v>75076405</v>
      </c>
      <c r="C33" s="503" t="s">
        <v>60</v>
      </c>
      <c r="D33" s="503" t="s">
        <v>44</v>
      </c>
      <c r="E33" s="503" t="s">
        <v>61</v>
      </c>
      <c r="F33" s="503" t="s">
        <v>609</v>
      </c>
      <c r="G33" s="503" t="s">
        <v>35</v>
      </c>
      <c r="H33" s="502" t="s">
        <v>36</v>
      </c>
      <c r="I33" s="502" t="s">
        <v>16</v>
      </c>
      <c r="J33" s="15" t="str">
        <f>+_xlfn.XLOOKUP(B33,INNOVACIÓN!A:A,INNOVACIÓN!B:B,"NO")</f>
        <v>NO</v>
      </c>
      <c r="K33" s="15" t="str">
        <f>+_xlfn.XLOOKUP(B33,MERMA!B:B,MERMA!C:C,"No")</f>
        <v>No</v>
      </c>
      <c r="L33" s="15" t="str">
        <f>+_xlfn.XLOOKUP(B33,MERMA!B:B,MERMA!D:D,"No es merma")</f>
        <v>No es merma</v>
      </c>
    </row>
    <row r="34" spans="1:12" s="15" hidden="1" x14ac:dyDescent="0.35">
      <c r="A34" s="503">
        <v>100020969</v>
      </c>
      <c r="B34" s="504">
        <v>75076740</v>
      </c>
      <c r="C34" s="503" t="s">
        <v>62</v>
      </c>
      <c r="D34" s="503" t="s">
        <v>44</v>
      </c>
      <c r="E34" s="503" t="s">
        <v>61</v>
      </c>
      <c r="F34" s="503" t="s">
        <v>609</v>
      </c>
      <c r="G34" s="503" t="s">
        <v>35</v>
      </c>
      <c r="H34" s="502" t="s">
        <v>36</v>
      </c>
      <c r="I34" s="502" t="s">
        <v>16</v>
      </c>
      <c r="J34" s="15" t="str">
        <f>+_xlfn.XLOOKUP(B34,INNOVACIÓN!A:A,INNOVACIÓN!B:B,"NO")</f>
        <v>NO</v>
      </c>
      <c r="K34" s="15" t="str">
        <f>+_xlfn.XLOOKUP(B34,MERMA!B:B,MERMA!C:C,"No")</f>
        <v>No</v>
      </c>
      <c r="L34" s="15" t="str">
        <f>+_xlfn.XLOOKUP(B34,MERMA!B:B,MERMA!D:D,"No es merma")</f>
        <v>No es merma</v>
      </c>
    </row>
    <row r="35" spans="1:12" s="15" hidden="1" x14ac:dyDescent="0.35">
      <c r="A35" s="503">
        <v>100013075</v>
      </c>
      <c r="B35" s="504">
        <v>75064747</v>
      </c>
      <c r="C35" s="503" t="s">
        <v>63</v>
      </c>
      <c r="D35" s="503" t="s">
        <v>44</v>
      </c>
      <c r="E35" s="503" t="s">
        <v>61</v>
      </c>
      <c r="F35" s="503" t="s">
        <v>41</v>
      </c>
      <c r="G35" s="503" t="s">
        <v>35</v>
      </c>
      <c r="H35" s="502" t="s">
        <v>36</v>
      </c>
      <c r="I35" s="502" t="s">
        <v>16</v>
      </c>
      <c r="J35" s="15" t="str">
        <f>+_xlfn.XLOOKUP(B35,INNOVACIÓN!A:A,INNOVACIÓN!B:B,"NO")</f>
        <v>NO</v>
      </c>
      <c r="K35" s="15" t="str">
        <f>+_xlfn.XLOOKUP(B35,MERMA!B:B,MERMA!C:C,"No")</f>
        <v>No</v>
      </c>
      <c r="L35" s="15" t="str">
        <f>+_xlfn.XLOOKUP(B35,MERMA!B:B,MERMA!D:D,"No es merma")</f>
        <v>No es merma</v>
      </c>
    </row>
    <row r="36" spans="1:12" s="15" hidden="1" x14ac:dyDescent="0.35">
      <c r="A36" s="503">
        <v>100013892</v>
      </c>
      <c r="B36" s="504">
        <v>75064754</v>
      </c>
      <c r="C36" s="503" t="s">
        <v>64</v>
      </c>
      <c r="D36" s="503" t="s">
        <v>44</v>
      </c>
      <c r="E36" s="503" t="s">
        <v>61</v>
      </c>
      <c r="F36" s="503" t="s">
        <v>41</v>
      </c>
      <c r="G36" s="503" t="s">
        <v>35</v>
      </c>
      <c r="H36" s="502" t="s">
        <v>36</v>
      </c>
      <c r="I36" s="502" t="s">
        <v>16</v>
      </c>
      <c r="J36" s="15" t="str">
        <f>+_xlfn.XLOOKUP(B36,INNOVACIÓN!A:A,INNOVACIÓN!B:B,"NO")</f>
        <v>NO</v>
      </c>
      <c r="K36" s="15" t="str">
        <f>+_xlfn.XLOOKUP(B36,MERMA!B:B,MERMA!C:C,"No")</f>
        <v>No</v>
      </c>
      <c r="L36" s="15" t="str">
        <f>+_xlfn.XLOOKUP(B36,MERMA!B:B,MERMA!D:D,"No es merma")</f>
        <v>No es merma</v>
      </c>
    </row>
    <row r="37" spans="1:12" s="15" hidden="1" x14ac:dyDescent="0.35">
      <c r="A37" s="502">
        <v>100023317</v>
      </c>
      <c r="B37" s="502">
        <v>75078843</v>
      </c>
      <c r="C37" s="502" t="s">
        <v>65</v>
      </c>
      <c r="D37" s="502" t="s">
        <v>44</v>
      </c>
      <c r="E37" s="502" t="s">
        <v>61</v>
      </c>
      <c r="F37" s="503" t="s">
        <v>609</v>
      </c>
      <c r="G37" s="503" t="s">
        <v>35</v>
      </c>
      <c r="H37" s="502" t="s">
        <v>36</v>
      </c>
      <c r="I37" s="502" t="s">
        <v>16</v>
      </c>
      <c r="J37" s="15" t="str">
        <f>+_xlfn.XLOOKUP(B37,INNOVACIÓN!A:A,INNOVACIÓN!B:B,"NO")</f>
        <v>NO</v>
      </c>
      <c r="K37" s="15" t="str">
        <f>+_xlfn.XLOOKUP(B37,MERMA!B:B,MERMA!C:C,"No")</f>
        <v>No</v>
      </c>
      <c r="L37" s="15" t="str">
        <f>+_xlfn.XLOOKUP(B37,MERMA!B:B,MERMA!D:D,"No es merma")</f>
        <v>No es merma</v>
      </c>
    </row>
    <row r="38" spans="1:12" s="15" x14ac:dyDescent="0.35">
      <c r="A38" s="502">
        <v>100016489</v>
      </c>
      <c r="B38" s="502">
        <v>75071301</v>
      </c>
      <c r="C38" s="502" t="s">
        <v>66</v>
      </c>
      <c r="D38" s="503" t="s">
        <v>44</v>
      </c>
      <c r="E38" s="65535" t="s">
        <v>33</v>
      </c>
      <c r="F38" s="65535" t="s">
        <v>46</v>
      </c>
      <c r="G38" s="65535" t="s">
        <v>54</v>
      </c>
      <c r="H38" s="502" t="s">
        <v>36</v>
      </c>
      <c r="I38" s="502" t="s">
        <v>16</v>
      </c>
      <c r="J38" s="15" t="str">
        <f>+_xlfn.XLOOKUP(B38,INNOVACIÓN!A:A,INNOVACIÓN!B:B,"NO")</f>
        <v>NO</v>
      </c>
      <c r="K38" s="15" t="str">
        <f>+_xlfn.XLOOKUP(B38,MERMA!B:B,MERMA!C:C,"No")</f>
        <v>No</v>
      </c>
      <c r="L38" s="15" t="str">
        <f>+_xlfn.XLOOKUP(B38,MERMA!B:B,MERMA!D:D,"No es merma")</f>
        <v>No es merma</v>
      </c>
    </row>
    <row r="39" spans="1:12" s="15" x14ac:dyDescent="0.35">
      <c r="A39" s="503">
        <v>100016443</v>
      </c>
      <c r="B39" s="504">
        <v>75071295</v>
      </c>
      <c r="C39" s="503" t="s">
        <v>68</v>
      </c>
      <c r="D39" s="503" t="s">
        <v>44</v>
      </c>
      <c r="E39" s="503" t="s">
        <v>67</v>
      </c>
      <c r="F39" s="503" t="s">
        <v>46</v>
      </c>
      <c r="G39" s="503" t="s">
        <v>54</v>
      </c>
      <c r="H39" s="502" t="s">
        <v>36</v>
      </c>
      <c r="I39" s="502" t="s">
        <v>16</v>
      </c>
      <c r="J39" s="15" t="str">
        <f>+_xlfn.XLOOKUP(B39,INNOVACIÓN!A:A,INNOVACIÓN!B:B,"NO")</f>
        <v>NO</v>
      </c>
      <c r="K39" s="15" t="str">
        <f>+_xlfn.XLOOKUP(B39,MERMA!B:B,MERMA!C:C,"No")</f>
        <v>No</v>
      </c>
      <c r="L39" s="15" t="str">
        <f>+_xlfn.XLOOKUP(B39,MERMA!B:B,MERMA!D:D,"No es merma")</f>
        <v>No es merma</v>
      </c>
    </row>
    <row r="40" spans="1:12" s="15" hidden="1" x14ac:dyDescent="0.35">
      <c r="A40" s="15">
        <v>100026387</v>
      </c>
      <c r="B40" s="506">
        <v>75080501</v>
      </c>
      <c r="C40" s="15" t="s">
        <v>69</v>
      </c>
      <c r="D40" s="503" t="s">
        <v>44</v>
      </c>
      <c r="E40" s="503" t="s">
        <v>67</v>
      </c>
      <c r="F40" s="503" t="s">
        <v>608</v>
      </c>
      <c r="G40" s="503" t="s">
        <v>71</v>
      </c>
      <c r="H40" s="502" t="s">
        <v>36</v>
      </c>
      <c r="I40" s="502" t="s">
        <v>16</v>
      </c>
      <c r="J40" s="15" t="str">
        <f>+_xlfn.XLOOKUP(B40,INNOVACIÓN!A:A,INNOVACIÓN!B:B,"NO")</f>
        <v>NO</v>
      </c>
      <c r="K40" s="15" t="str">
        <f>+_xlfn.XLOOKUP(B40,MERMA!B:B,MERMA!C:C,"No")</f>
        <v>No</v>
      </c>
      <c r="L40" s="15" t="str">
        <f>+_xlfn.XLOOKUP(B40,MERMA!B:B,MERMA!D:D,"No es merma")</f>
        <v>No es merma</v>
      </c>
    </row>
    <row r="41" spans="1:12" s="15" hidden="1" x14ac:dyDescent="0.35">
      <c r="A41" s="503">
        <v>101000079</v>
      </c>
      <c r="B41" s="504">
        <v>75079017</v>
      </c>
      <c r="C41" s="503" t="s">
        <v>72</v>
      </c>
      <c r="D41" s="503" t="s">
        <v>44</v>
      </c>
      <c r="E41" s="503" t="s">
        <v>67</v>
      </c>
      <c r="F41" s="503" t="s">
        <v>46</v>
      </c>
      <c r="G41" s="503" t="s">
        <v>14</v>
      </c>
      <c r="H41" s="502" t="s">
        <v>36</v>
      </c>
      <c r="I41" s="502" t="s">
        <v>16</v>
      </c>
      <c r="J41" s="15" t="str">
        <f>+_xlfn.XLOOKUP(B41,INNOVACIÓN!A:A,INNOVACIÓN!B:B,"NO")</f>
        <v>NO</v>
      </c>
      <c r="K41" s="15" t="str">
        <f>+_xlfn.XLOOKUP(B41,MERMA!B:B,MERMA!C:C,"No")</f>
        <v>No</v>
      </c>
      <c r="L41" s="15" t="str">
        <f>+_xlfn.XLOOKUP(B41,MERMA!B:B,MERMA!D:D,"No es merma")</f>
        <v>No es merma</v>
      </c>
    </row>
    <row r="42" spans="1:12" s="15" hidden="1" x14ac:dyDescent="0.35">
      <c r="A42" s="15">
        <v>100025311</v>
      </c>
      <c r="B42" s="506">
        <v>75083656</v>
      </c>
      <c r="C42" s="15" t="s">
        <v>73</v>
      </c>
      <c r="D42" s="503" t="s">
        <v>11</v>
      </c>
      <c r="E42" s="15" t="s">
        <v>74</v>
      </c>
      <c r="F42" s="503" t="s">
        <v>41</v>
      </c>
      <c r="G42" s="503" t="s">
        <v>75</v>
      </c>
      <c r="H42" s="502" t="s">
        <v>70</v>
      </c>
      <c r="I42" s="502" t="s">
        <v>16</v>
      </c>
      <c r="J42" s="15" t="str">
        <f>+_xlfn.XLOOKUP(B42,INNOVACIÓN!A:A,INNOVACIÓN!B:B,"NO")</f>
        <v>NO</v>
      </c>
      <c r="K42" s="15" t="str">
        <f>+_xlfn.XLOOKUP(B42,MERMA!B:B,MERMA!C:C,"No")</f>
        <v>No</v>
      </c>
      <c r="L42" s="15" t="str">
        <f>+_xlfn.XLOOKUP(B42,MERMA!B:B,MERMA!D:D,"No es merma")</f>
        <v>No es merma</v>
      </c>
    </row>
    <row r="43" spans="1:12" s="15" hidden="1" x14ac:dyDescent="0.35">
      <c r="A43" s="15">
        <v>100024244</v>
      </c>
      <c r="B43" s="505">
        <v>75006358</v>
      </c>
      <c r="C43" s="15" t="s">
        <v>76</v>
      </c>
      <c r="D43" s="502" t="s">
        <v>11</v>
      </c>
      <c r="E43" s="502" t="s">
        <v>74</v>
      </c>
      <c r="F43" s="503" t="s">
        <v>41</v>
      </c>
      <c r="G43" s="503" t="s">
        <v>75</v>
      </c>
      <c r="H43" s="502" t="s">
        <v>70</v>
      </c>
      <c r="I43" s="502" t="s">
        <v>16</v>
      </c>
      <c r="J43" s="15" t="str">
        <f>+_xlfn.XLOOKUP(B43,INNOVACIÓN!A:A,INNOVACIÓN!B:B,"NO")</f>
        <v>NO</v>
      </c>
      <c r="K43" s="15" t="str">
        <f>+_xlfn.XLOOKUP(B43,MERMA!B:B,MERMA!C:C,"No")</f>
        <v>No</v>
      </c>
      <c r="L43" s="15" t="str">
        <f>+_xlfn.XLOOKUP(B43,MERMA!B:B,MERMA!D:D,"No es merma")</f>
        <v>No es merma</v>
      </c>
    </row>
    <row r="44" spans="1:12" s="15" hidden="1" x14ac:dyDescent="0.35">
      <c r="A44" s="503">
        <v>100023686</v>
      </c>
      <c r="B44" s="505">
        <v>75006938</v>
      </c>
      <c r="C44" s="503" t="s">
        <v>77</v>
      </c>
      <c r="D44" s="503" t="s">
        <v>11</v>
      </c>
      <c r="E44" s="503" t="s">
        <v>74</v>
      </c>
      <c r="F44" s="503" t="s">
        <v>41</v>
      </c>
      <c r="G44" s="503" t="s">
        <v>75</v>
      </c>
      <c r="H44" s="502" t="s">
        <v>70</v>
      </c>
      <c r="I44" s="502" t="s">
        <v>16</v>
      </c>
      <c r="J44" s="15" t="str">
        <f>+_xlfn.XLOOKUP(B44,INNOVACIÓN!A:A,INNOVACIÓN!B:B,"NO")</f>
        <v>NO</v>
      </c>
      <c r="K44" s="15" t="str">
        <f>+_xlfn.XLOOKUP(B44,MERMA!B:B,MERMA!C:C,"No")</f>
        <v>No</v>
      </c>
      <c r="L44" s="15" t="str">
        <f>+_xlfn.XLOOKUP(B44,MERMA!B:B,MERMA!D:D,"No es merma")</f>
        <v>No es merma</v>
      </c>
    </row>
    <row r="45" spans="1:12" s="15" hidden="1" x14ac:dyDescent="0.35">
      <c r="A45" s="503">
        <v>100023685</v>
      </c>
      <c r="B45" s="505">
        <v>75007461</v>
      </c>
      <c r="C45" s="503" t="s">
        <v>78</v>
      </c>
      <c r="D45" s="503" t="s">
        <v>11</v>
      </c>
      <c r="E45" s="503" t="s">
        <v>74</v>
      </c>
      <c r="F45" s="503" t="s">
        <v>41</v>
      </c>
      <c r="G45" s="503" t="s">
        <v>75</v>
      </c>
      <c r="H45" s="502" t="s">
        <v>70</v>
      </c>
      <c r="I45" s="502" t="s">
        <v>16</v>
      </c>
      <c r="J45" s="15" t="str">
        <f>+_xlfn.XLOOKUP(B45,INNOVACIÓN!A:A,INNOVACIÓN!B:B,"NO")</f>
        <v>NO</v>
      </c>
      <c r="K45" s="15" t="str">
        <f>+_xlfn.XLOOKUP(B45,MERMA!B:B,MERMA!C:C,"No")</f>
        <v>No</v>
      </c>
      <c r="L45" s="15" t="str">
        <f>+_xlfn.XLOOKUP(B45,MERMA!B:B,MERMA!D:D,"No es merma")</f>
        <v>No es merma</v>
      </c>
    </row>
    <row r="46" spans="1:12" s="15" hidden="1" x14ac:dyDescent="0.35">
      <c r="A46" s="15">
        <v>100024999</v>
      </c>
      <c r="B46" s="506">
        <v>75081652</v>
      </c>
      <c r="C46" s="15" t="s">
        <v>79</v>
      </c>
      <c r="D46" s="503" t="s">
        <v>11</v>
      </c>
      <c r="E46" s="15" t="s">
        <v>74</v>
      </c>
      <c r="F46" s="503" t="s">
        <v>41</v>
      </c>
      <c r="G46" s="502" t="s">
        <v>70</v>
      </c>
      <c r="H46" s="502" t="s">
        <v>70</v>
      </c>
      <c r="I46" s="502" t="s">
        <v>16</v>
      </c>
      <c r="J46" s="15" t="str">
        <f>+_xlfn.XLOOKUP(B46,INNOVACIÓN!A:A,INNOVACIÓN!B:B,"NO")</f>
        <v>NO</v>
      </c>
      <c r="K46" s="15" t="str">
        <f>+_xlfn.XLOOKUP(B46,MERMA!B:B,MERMA!C:C,"No")</f>
        <v>No</v>
      </c>
      <c r="L46" s="15" t="str">
        <f>+_xlfn.XLOOKUP(B46,MERMA!B:B,MERMA!D:D,"No es merma")</f>
        <v>No es merma</v>
      </c>
    </row>
    <row r="47" spans="1:12" s="15" hidden="1" x14ac:dyDescent="0.35">
      <c r="A47" s="15">
        <v>100025310</v>
      </c>
      <c r="B47" s="506">
        <v>75083649</v>
      </c>
      <c r="C47" s="15" t="s">
        <v>80</v>
      </c>
      <c r="D47" s="503" t="s">
        <v>11</v>
      </c>
      <c r="E47" s="15" t="s">
        <v>74</v>
      </c>
      <c r="F47" s="503" t="s">
        <v>41</v>
      </c>
      <c r="G47" s="503" t="s">
        <v>75</v>
      </c>
      <c r="H47" s="502" t="s">
        <v>70</v>
      </c>
      <c r="I47" s="502" t="s">
        <v>16</v>
      </c>
      <c r="J47" s="15" t="str">
        <f>+_xlfn.XLOOKUP(B47,INNOVACIÓN!A:A,INNOVACIÓN!B:B,"NO")</f>
        <v>NO</v>
      </c>
      <c r="K47" s="15" t="str">
        <f>+_xlfn.XLOOKUP(B47,MERMA!B:B,MERMA!C:C,"No")</f>
        <v>No</v>
      </c>
      <c r="L47" s="15" t="str">
        <f>+_xlfn.XLOOKUP(B47,MERMA!B:B,MERMA!D:D,"No es merma")</f>
        <v>No es merma</v>
      </c>
    </row>
    <row r="48" spans="1:12" s="15" hidden="1" x14ac:dyDescent="0.35">
      <c r="A48" s="503">
        <v>100023682</v>
      </c>
      <c r="B48" s="505">
        <v>75006396</v>
      </c>
      <c r="C48" s="503" t="s">
        <v>81</v>
      </c>
      <c r="D48" s="503" t="s">
        <v>11</v>
      </c>
      <c r="E48" s="503" t="s">
        <v>74</v>
      </c>
      <c r="F48" s="503" t="s">
        <v>41</v>
      </c>
      <c r="G48" s="503" t="s">
        <v>75</v>
      </c>
      <c r="H48" s="502" t="s">
        <v>70</v>
      </c>
      <c r="I48" s="502" t="s">
        <v>16</v>
      </c>
      <c r="J48" s="15" t="str">
        <f>+_xlfn.XLOOKUP(B48,INNOVACIÓN!A:A,INNOVACIÓN!B:B,"NO")</f>
        <v>NO</v>
      </c>
      <c r="K48" s="15" t="str">
        <f>+_xlfn.XLOOKUP(B48,MERMA!B:B,MERMA!C:C,"No")</f>
        <v>No</v>
      </c>
      <c r="L48" s="15" t="str">
        <f>+_xlfn.XLOOKUP(B48,MERMA!B:B,MERMA!D:D,"No es merma")</f>
        <v>No es merma</v>
      </c>
    </row>
    <row r="49" spans="1:12" s="15" hidden="1" x14ac:dyDescent="0.35">
      <c r="A49" s="503">
        <v>100023681</v>
      </c>
      <c r="B49" s="505">
        <v>75006389</v>
      </c>
      <c r="C49" s="503" t="s">
        <v>82</v>
      </c>
      <c r="D49" s="503" t="s">
        <v>11</v>
      </c>
      <c r="E49" s="503" t="s">
        <v>74</v>
      </c>
      <c r="F49" s="503" t="s">
        <v>41</v>
      </c>
      <c r="G49" s="503" t="s">
        <v>75</v>
      </c>
      <c r="H49" s="502" t="s">
        <v>70</v>
      </c>
      <c r="I49" s="502" t="s">
        <v>16</v>
      </c>
      <c r="J49" s="15" t="str">
        <f>+_xlfn.XLOOKUP(B49,INNOVACIÓN!A:A,INNOVACIÓN!B:B,"NO")</f>
        <v>NO</v>
      </c>
      <c r="K49" s="15" t="str">
        <f>+_xlfn.XLOOKUP(B49,MERMA!B:B,MERMA!C:C,"No")</f>
        <v>No</v>
      </c>
      <c r="L49" s="15" t="str">
        <f>+_xlfn.XLOOKUP(B49,MERMA!B:B,MERMA!D:D,"No es merma")</f>
        <v>No es merma</v>
      </c>
    </row>
    <row r="50" spans="1:12" s="15" hidden="1" x14ac:dyDescent="0.35">
      <c r="A50" s="15">
        <v>100024932</v>
      </c>
      <c r="B50" s="506">
        <v>75081362</v>
      </c>
      <c r="C50" s="15" t="s">
        <v>83</v>
      </c>
      <c r="D50" s="503" t="s">
        <v>11</v>
      </c>
      <c r="E50" s="15" t="s">
        <v>74</v>
      </c>
      <c r="F50" s="503" t="s">
        <v>41</v>
      </c>
      <c r="G50" s="502" t="s">
        <v>70</v>
      </c>
      <c r="H50" s="502" t="s">
        <v>70</v>
      </c>
      <c r="I50" s="502" t="s">
        <v>16</v>
      </c>
      <c r="J50" s="15" t="str">
        <f>+_xlfn.XLOOKUP(B50,INNOVACIÓN!A:A,INNOVACIÓN!B:B,"NO")</f>
        <v>NO</v>
      </c>
      <c r="K50" s="15" t="str">
        <f>+_xlfn.XLOOKUP(B50,MERMA!B:B,MERMA!C:C,"No")</f>
        <v>No</v>
      </c>
      <c r="L50" s="15" t="str">
        <f>+_xlfn.XLOOKUP(B50,MERMA!B:B,MERMA!D:D,"No es merma")</f>
        <v>No es merma</v>
      </c>
    </row>
    <row r="51" spans="1:12" s="15" hidden="1" x14ac:dyDescent="0.35">
      <c r="A51" s="15">
        <v>100024246</v>
      </c>
      <c r="B51" s="505">
        <v>75007454</v>
      </c>
      <c r="C51" s="15" t="s">
        <v>84</v>
      </c>
      <c r="D51" s="502" t="s">
        <v>11</v>
      </c>
      <c r="E51" s="502" t="s">
        <v>74</v>
      </c>
      <c r="F51" s="503" t="s">
        <v>41</v>
      </c>
      <c r="G51" s="503" t="s">
        <v>75</v>
      </c>
      <c r="H51" s="502" t="s">
        <v>70</v>
      </c>
      <c r="I51" s="502" t="s">
        <v>16</v>
      </c>
      <c r="J51" s="15" t="str">
        <f>+_xlfn.XLOOKUP(B51,INNOVACIÓN!A:A,INNOVACIÓN!B:B,"NO")</f>
        <v>NO</v>
      </c>
      <c r="K51" s="15" t="str">
        <f>+_xlfn.XLOOKUP(B51,MERMA!B:B,MERMA!C:C,"No")</f>
        <v>No</v>
      </c>
      <c r="L51" s="15" t="str">
        <f>+_xlfn.XLOOKUP(B51,MERMA!B:B,MERMA!D:D,"No es merma")</f>
        <v>No es merma</v>
      </c>
    </row>
    <row r="52" spans="1:12" s="15" hidden="1" x14ac:dyDescent="0.35">
      <c r="A52" s="503">
        <v>100023679</v>
      </c>
      <c r="B52" s="505">
        <v>75032784</v>
      </c>
      <c r="C52" s="503" t="s">
        <v>85</v>
      </c>
      <c r="D52" s="503" t="s">
        <v>11</v>
      </c>
      <c r="E52" s="503" t="s">
        <v>74</v>
      </c>
      <c r="F52" s="503" t="s">
        <v>41</v>
      </c>
      <c r="G52" s="503" t="s">
        <v>75</v>
      </c>
      <c r="H52" s="502" t="s">
        <v>70</v>
      </c>
      <c r="I52" s="502" t="s">
        <v>16</v>
      </c>
      <c r="J52" s="15" t="str">
        <f>+_xlfn.XLOOKUP(B52,INNOVACIÓN!A:A,INNOVACIÓN!B:B,"NO")</f>
        <v>NO</v>
      </c>
      <c r="K52" s="15" t="str">
        <f>+_xlfn.XLOOKUP(B52,MERMA!B:B,MERMA!C:C,"No")</f>
        <v>No</v>
      </c>
      <c r="L52" s="15" t="str">
        <f>+_xlfn.XLOOKUP(B52,MERMA!B:B,MERMA!D:D,"No es merma")</f>
        <v>No es merma</v>
      </c>
    </row>
    <row r="53" spans="1:12" s="15" hidden="1" x14ac:dyDescent="0.35">
      <c r="A53" s="15">
        <v>100080351</v>
      </c>
      <c r="B53" s="506">
        <v>7501609500241</v>
      </c>
      <c r="C53" s="15" t="s">
        <v>86</v>
      </c>
      <c r="D53" s="503" t="s">
        <v>87</v>
      </c>
      <c r="E53" s="503" t="s">
        <v>33</v>
      </c>
      <c r="F53" s="503" t="s">
        <v>87</v>
      </c>
      <c r="G53" s="503" t="s">
        <v>87</v>
      </c>
      <c r="H53" s="503" t="s">
        <v>87</v>
      </c>
      <c r="I53" s="502" t="s">
        <v>16</v>
      </c>
      <c r="J53" s="15" t="str">
        <f>+_xlfn.XLOOKUP(B53,INNOVACIÓN!A:A,INNOVACIÓN!B:B,"NO")</f>
        <v>NO</v>
      </c>
      <c r="K53" s="15" t="str">
        <f>+_xlfn.XLOOKUP(B53,MERMA!B:B,MERMA!C:C,"No")</f>
        <v>No</v>
      </c>
      <c r="L53" s="15" t="str">
        <f>+_xlfn.XLOOKUP(B53,MERMA!B:B,MERMA!D:D,"No es merma")</f>
        <v>No es merma</v>
      </c>
    </row>
    <row r="54" spans="1:12" s="15" hidden="1" x14ac:dyDescent="0.35">
      <c r="A54" s="15">
        <v>100080762</v>
      </c>
      <c r="B54" s="506">
        <v>7501609506939</v>
      </c>
      <c r="C54" s="15" t="s">
        <v>88</v>
      </c>
      <c r="D54" s="503" t="s">
        <v>87</v>
      </c>
      <c r="E54" s="503" t="s">
        <v>33</v>
      </c>
      <c r="F54" s="503" t="s">
        <v>87</v>
      </c>
      <c r="G54" s="503" t="s">
        <v>87</v>
      </c>
      <c r="H54" s="503" t="s">
        <v>87</v>
      </c>
      <c r="I54" s="502" t="s">
        <v>16</v>
      </c>
      <c r="J54" s="15" t="str">
        <f>+_xlfn.XLOOKUP(B54,INNOVACIÓN!A:A,INNOVACIÓN!B:B,"NO")</f>
        <v>NO</v>
      </c>
      <c r="K54" s="15" t="str">
        <f>+_xlfn.XLOOKUP(B54,MERMA!B:B,MERMA!C:C,"No")</f>
        <v>No</v>
      </c>
      <c r="L54" s="15" t="str">
        <f>+_xlfn.XLOOKUP(B54,MERMA!B:B,MERMA!D:D,"No es merma")</f>
        <v>No es merma</v>
      </c>
    </row>
    <row r="55" spans="1:12" s="15" hidden="1" x14ac:dyDescent="0.35">
      <c r="A55" s="15">
        <v>100017182</v>
      </c>
      <c r="B55" s="506">
        <v>8414775013578</v>
      </c>
      <c r="C55" s="15" t="s">
        <v>89</v>
      </c>
      <c r="D55" s="503" t="s">
        <v>87</v>
      </c>
      <c r="E55" s="503" t="s">
        <v>33</v>
      </c>
      <c r="F55" s="503" t="s">
        <v>87</v>
      </c>
      <c r="G55" s="503" t="s">
        <v>87</v>
      </c>
      <c r="H55" s="503" t="s">
        <v>87</v>
      </c>
      <c r="I55" s="502" t="s">
        <v>16</v>
      </c>
      <c r="J55" s="15" t="str">
        <f>+_xlfn.XLOOKUP(B55,INNOVACIÓN!A:A,INNOVACIÓN!B:B,"NO")</f>
        <v>NO</v>
      </c>
      <c r="K55" s="15" t="str">
        <f>+_xlfn.XLOOKUP(B55,MERMA!B:B,MERMA!C:C,"No")</f>
        <v>No</v>
      </c>
      <c r="L55" s="15" t="str">
        <f>+_xlfn.XLOOKUP(B55,MERMA!B:B,MERMA!D:D,"No es merma")</f>
        <v>No es merma</v>
      </c>
    </row>
    <row r="56" spans="1:12" s="15" hidden="1" x14ac:dyDescent="0.35">
      <c r="A56" s="15">
        <v>100080938</v>
      </c>
      <c r="B56" s="506">
        <v>7503006684791</v>
      </c>
      <c r="C56" s="15" t="s">
        <v>90</v>
      </c>
      <c r="D56" s="503" t="s">
        <v>87</v>
      </c>
      <c r="E56" s="503" t="s">
        <v>33</v>
      </c>
      <c r="F56" s="503" t="s">
        <v>87</v>
      </c>
      <c r="G56" s="503" t="s">
        <v>87</v>
      </c>
      <c r="H56" s="503" t="s">
        <v>87</v>
      </c>
      <c r="I56" s="502" t="s">
        <v>16</v>
      </c>
      <c r="J56" s="15" t="str">
        <f>+_xlfn.XLOOKUP(B56,INNOVACIÓN!A:A,INNOVACIÓN!B:B,"NO")</f>
        <v>NO</v>
      </c>
      <c r="K56" s="15" t="str">
        <f>+_xlfn.XLOOKUP(B56,MERMA!B:B,MERMA!C:C,"No")</f>
        <v>No</v>
      </c>
      <c r="L56" s="15" t="str">
        <f>+_xlfn.XLOOKUP(B56,MERMA!B:B,MERMA!D:D,"No es merma")</f>
        <v>No es merma</v>
      </c>
    </row>
    <row r="57" spans="1:12" s="15" hidden="1" x14ac:dyDescent="0.35">
      <c r="A57" s="15">
        <v>100024599</v>
      </c>
      <c r="B57" s="506">
        <v>7501609515894</v>
      </c>
      <c r="C57" s="15" t="s">
        <v>91</v>
      </c>
      <c r="D57" s="503" t="s">
        <v>87</v>
      </c>
      <c r="E57" s="503" t="s">
        <v>33</v>
      </c>
      <c r="F57" s="503" t="s">
        <v>87</v>
      </c>
      <c r="G57" s="503" t="s">
        <v>87</v>
      </c>
      <c r="H57" s="503" t="s">
        <v>87</v>
      </c>
      <c r="I57" s="502" t="s">
        <v>16</v>
      </c>
      <c r="J57" s="15" t="str">
        <f>+_xlfn.XLOOKUP(B57,INNOVACIÓN!A:A,INNOVACIÓN!B:B,"NO")</f>
        <v>NO</v>
      </c>
      <c r="K57" s="15" t="str">
        <f>+_xlfn.XLOOKUP(B57,MERMA!B:B,MERMA!C:C,"No")</f>
        <v>No</v>
      </c>
      <c r="L57" s="15" t="str">
        <f>+_xlfn.XLOOKUP(B57,MERMA!B:B,MERMA!D:D,"No es merma")</f>
        <v>No es merma</v>
      </c>
    </row>
    <row r="58" spans="1:12" s="15" hidden="1" x14ac:dyDescent="0.35">
      <c r="A58" s="15">
        <v>100080942</v>
      </c>
      <c r="B58" s="506">
        <v>7503006684838</v>
      </c>
      <c r="C58" s="15" t="s">
        <v>92</v>
      </c>
      <c r="D58" s="503" t="s">
        <v>87</v>
      </c>
      <c r="E58" s="503" t="s">
        <v>33</v>
      </c>
      <c r="F58" s="503" t="s">
        <v>87</v>
      </c>
      <c r="G58" s="503" t="s">
        <v>87</v>
      </c>
      <c r="H58" s="503" t="s">
        <v>87</v>
      </c>
      <c r="I58" s="502" t="s">
        <v>16</v>
      </c>
      <c r="J58" s="15" t="str">
        <f>+_xlfn.XLOOKUP(B58,INNOVACIÓN!A:A,INNOVACIÓN!B:B,"NO")</f>
        <v>NO</v>
      </c>
      <c r="K58" s="15" t="str">
        <f>+_xlfn.XLOOKUP(B58,MERMA!B:B,MERMA!C:C,"No")</f>
        <v>No</v>
      </c>
      <c r="L58" s="15" t="str">
        <f>+_xlfn.XLOOKUP(B58,MERMA!B:B,MERMA!D:D,"No es merma")</f>
        <v>No es merma</v>
      </c>
    </row>
    <row r="59" spans="1:12" s="15" hidden="1" x14ac:dyDescent="0.35">
      <c r="A59" s="15">
        <v>100080943</v>
      </c>
      <c r="B59" s="506">
        <v>7503006684852</v>
      </c>
      <c r="C59" s="15" t="s">
        <v>92</v>
      </c>
      <c r="D59" s="503" t="s">
        <v>87</v>
      </c>
      <c r="E59" s="503" t="s">
        <v>33</v>
      </c>
      <c r="F59" s="503" t="s">
        <v>87</v>
      </c>
      <c r="G59" s="503" t="s">
        <v>87</v>
      </c>
      <c r="H59" s="503" t="s">
        <v>87</v>
      </c>
      <c r="I59" s="502" t="s">
        <v>16</v>
      </c>
      <c r="J59" s="15" t="str">
        <f>+_xlfn.XLOOKUP(B59,INNOVACIÓN!A:A,INNOVACIÓN!B:B,"NO")</f>
        <v>NO</v>
      </c>
      <c r="K59" s="15" t="str">
        <f>+_xlfn.XLOOKUP(B59,MERMA!B:B,MERMA!C:C,"No")</f>
        <v>No</v>
      </c>
      <c r="L59" s="15" t="str">
        <f>+_xlfn.XLOOKUP(B59,MERMA!B:B,MERMA!D:D,"No es merma")</f>
        <v>No es merma</v>
      </c>
    </row>
    <row r="60" spans="1:12" s="15" hidden="1" x14ac:dyDescent="0.35">
      <c r="A60" s="15">
        <v>100080941</v>
      </c>
      <c r="B60" s="506">
        <v>7503006684043</v>
      </c>
      <c r="C60" s="15" t="s">
        <v>92</v>
      </c>
      <c r="D60" s="503" t="s">
        <v>87</v>
      </c>
      <c r="E60" s="503" t="s">
        <v>33</v>
      </c>
      <c r="F60" s="503" t="s">
        <v>87</v>
      </c>
      <c r="G60" s="503" t="s">
        <v>87</v>
      </c>
      <c r="H60" s="503" t="s">
        <v>87</v>
      </c>
      <c r="I60" s="502" t="s">
        <v>16</v>
      </c>
      <c r="J60" s="15" t="str">
        <f>+_xlfn.XLOOKUP(B60,INNOVACIÓN!A:A,INNOVACIÓN!B:B,"NO")</f>
        <v>NO</v>
      </c>
      <c r="K60" s="15" t="str">
        <f>+_xlfn.XLOOKUP(B60,MERMA!B:B,MERMA!C:C,"No")</f>
        <v>No</v>
      </c>
      <c r="L60" s="15" t="str">
        <f>+_xlfn.XLOOKUP(B60,MERMA!B:B,MERMA!D:D,"No es merma")</f>
        <v>No es merma</v>
      </c>
    </row>
    <row r="61" spans="1:12" s="15" hidden="1" x14ac:dyDescent="0.35">
      <c r="A61" s="15">
        <v>100080939</v>
      </c>
      <c r="B61" s="506">
        <v>7503006684395</v>
      </c>
      <c r="C61" s="15" t="s">
        <v>93</v>
      </c>
      <c r="D61" s="503" t="s">
        <v>87</v>
      </c>
      <c r="E61" s="503" t="s">
        <v>33</v>
      </c>
      <c r="F61" s="503" t="s">
        <v>87</v>
      </c>
      <c r="G61" s="503" t="s">
        <v>87</v>
      </c>
      <c r="H61" s="503" t="s">
        <v>87</v>
      </c>
      <c r="I61" s="502" t="s">
        <v>16</v>
      </c>
      <c r="J61" s="15" t="str">
        <f>+_xlfn.XLOOKUP(B61,INNOVACIÓN!A:A,INNOVACIÓN!B:B,"NO")</f>
        <v>NO</v>
      </c>
      <c r="K61" s="15" t="str">
        <f>+_xlfn.XLOOKUP(B61,MERMA!B:B,MERMA!C:C,"No")</f>
        <v>No</v>
      </c>
      <c r="L61" s="15" t="str">
        <f>+_xlfn.XLOOKUP(B61,MERMA!B:B,MERMA!D:D,"No es merma")</f>
        <v>No es merma</v>
      </c>
    </row>
    <row r="62" spans="1:12" s="15" hidden="1" x14ac:dyDescent="0.35">
      <c r="A62" s="15">
        <v>100080940</v>
      </c>
      <c r="B62" s="506">
        <v>7503006684807</v>
      </c>
      <c r="C62" s="15" t="s">
        <v>94</v>
      </c>
      <c r="D62" s="503" t="s">
        <v>87</v>
      </c>
      <c r="E62" s="503" t="s">
        <v>33</v>
      </c>
      <c r="F62" s="503" t="s">
        <v>87</v>
      </c>
      <c r="G62" s="503" t="s">
        <v>87</v>
      </c>
      <c r="H62" s="503" t="s">
        <v>87</v>
      </c>
      <c r="I62" s="502" t="s">
        <v>16</v>
      </c>
      <c r="J62" s="15" t="str">
        <f>+_xlfn.XLOOKUP(B62,INNOVACIÓN!A:A,INNOVACIÓN!B:B,"NO")</f>
        <v>NO</v>
      </c>
      <c r="K62" s="15" t="str">
        <f>+_xlfn.XLOOKUP(B62,MERMA!B:B,MERMA!C:C,"No")</f>
        <v>No</v>
      </c>
      <c r="L62" s="15" t="str">
        <f>+_xlfn.XLOOKUP(B62,MERMA!B:B,MERMA!D:D,"No es merma")</f>
        <v>No es merma</v>
      </c>
    </row>
    <row r="63" spans="1:12" s="15" hidden="1" x14ac:dyDescent="0.35">
      <c r="A63" s="15">
        <v>100016044</v>
      </c>
      <c r="B63" s="506">
        <v>7465603183667</v>
      </c>
      <c r="C63" s="15" t="s">
        <v>95</v>
      </c>
      <c r="D63" s="503" t="s">
        <v>87</v>
      </c>
      <c r="E63" s="503" t="s">
        <v>33</v>
      </c>
      <c r="F63" s="503" t="s">
        <v>87</v>
      </c>
      <c r="G63" s="503" t="s">
        <v>87</v>
      </c>
      <c r="H63" s="503" t="s">
        <v>87</v>
      </c>
      <c r="I63" s="502" t="s">
        <v>16</v>
      </c>
      <c r="J63" s="15" t="str">
        <f>+_xlfn.XLOOKUP(B63,INNOVACIÓN!A:A,INNOVACIÓN!B:B,"NO")</f>
        <v>NO</v>
      </c>
      <c r="K63" s="15" t="str">
        <f>+_xlfn.XLOOKUP(B63,MERMA!B:B,MERMA!C:C,"No")</f>
        <v>No</v>
      </c>
      <c r="L63" s="15" t="str">
        <f>+_xlfn.XLOOKUP(B63,MERMA!B:B,MERMA!D:D,"No es merma")</f>
        <v>No es merma</v>
      </c>
    </row>
    <row r="64" spans="1:12" s="15" hidden="1" x14ac:dyDescent="0.35">
      <c r="A64" s="15">
        <v>100016043</v>
      </c>
      <c r="B64" s="506">
        <v>7465603183636</v>
      </c>
      <c r="C64" s="15" t="s">
        <v>96</v>
      </c>
      <c r="D64" s="503" t="s">
        <v>87</v>
      </c>
      <c r="E64" s="503" t="s">
        <v>33</v>
      </c>
      <c r="F64" s="503" t="s">
        <v>87</v>
      </c>
      <c r="G64" s="503" t="s">
        <v>87</v>
      </c>
      <c r="H64" s="503" t="s">
        <v>87</v>
      </c>
      <c r="I64" s="502" t="s">
        <v>16</v>
      </c>
      <c r="J64" s="15" t="str">
        <f>+_xlfn.XLOOKUP(B64,INNOVACIÓN!A:A,INNOVACIÓN!B:B,"NO")</f>
        <v>NO</v>
      </c>
      <c r="K64" s="15" t="str">
        <f>+_xlfn.XLOOKUP(B64,MERMA!B:B,MERMA!C:C,"No")</f>
        <v>No</v>
      </c>
      <c r="L64" s="15" t="str">
        <f>+_xlfn.XLOOKUP(B64,MERMA!B:B,MERMA!D:D,"No es merma")</f>
        <v>No es merma</v>
      </c>
    </row>
    <row r="65" spans="1:12" s="15" hidden="1" x14ac:dyDescent="0.35">
      <c r="A65" s="15">
        <v>100016042</v>
      </c>
      <c r="B65" s="506">
        <v>7465603183629</v>
      </c>
      <c r="C65" s="15" t="s">
        <v>97</v>
      </c>
      <c r="D65" s="503" t="s">
        <v>87</v>
      </c>
      <c r="E65" s="503" t="s">
        <v>33</v>
      </c>
      <c r="F65" s="503" t="s">
        <v>87</v>
      </c>
      <c r="G65" s="503" t="s">
        <v>87</v>
      </c>
      <c r="H65" s="503" t="s">
        <v>87</v>
      </c>
      <c r="I65" s="502" t="s">
        <v>16</v>
      </c>
      <c r="J65" s="15" t="str">
        <f>+_xlfn.XLOOKUP(B65,INNOVACIÓN!A:A,INNOVACIÓN!B:B,"NO")</f>
        <v>NO</v>
      </c>
      <c r="K65" s="15" t="str">
        <f>+_xlfn.XLOOKUP(B65,MERMA!B:B,MERMA!C:C,"No")</f>
        <v>No</v>
      </c>
      <c r="L65" s="15" t="str">
        <f>+_xlfn.XLOOKUP(B65,MERMA!B:B,MERMA!D:D,"No es merma")</f>
        <v>No es merma</v>
      </c>
    </row>
    <row r="66" spans="1:12" s="15" hidden="1" x14ac:dyDescent="0.35">
      <c r="A66" s="15">
        <v>100016045</v>
      </c>
      <c r="B66" s="506">
        <v>7465603180529</v>
      </c>
      <c r="C66" s="15" t="s">
        <v>98</v>
      </c>
      <c r="D66" s="503" t="s">
        <v>87</v>
      </c>
      <c r="E66" s="503" t="s">
        <v>33</v>
      </c>
      <c r="F66" s="503" t="s">
        <v>87</v>
      </c>
      <c r="G66" s="503" t="s">
        <v>87</v>
      </c>
      <c r="H66" s="503" t="s">
        <v>87</v>
      </c>
      <c r="I66" s="502" t="s">
        <v>16</v>
      </c>
      <c r="J66" s="15" t="str">
        <f>+_xlfn.XLOOKUP(B66,INNOVACIÓN!A:A,INNOVACIÓN!B:B,"NO")</f>
        <v>NO</v>
      </c>
      <c r="K66" s="15" t="str">
        <f>+_xlfn.XLOOKUP(B66,MERMA!B:B,MERMA!C:C,"No")</f>
        <v>No</v>
      </c>
      <c r="L66" s="15" t="str">
        <f>+_xlfn.XLOOKUP(B66,MERMA!B:B,MERMA!D:D,"No es merma")</f>
        <v>No es merma</v>
      </c>
    </row>
    <row r="67" spans="1:12" s="15" hidden="1" x14ac:dyDescent="0.35">
      <c r="A67" s="502">
        <v>100017982</v>
      </c>
      <c r="B67" s="502">
        <v>75071776</v>
      </c>
      <c r="C67" s="502" t="s">
        <v>99</v>
      </c>
      <c r="D67" s="502" t="s">
        <v>44</v>
      </c>
      <c r="E67" s="502" t="s">
        <v>67</v>
      </c>
      <c r="F67" s="502" t="s">
        <v>100</v>
      </c>
      <c r="G67" s="503" t="s">
        <v>35</v>
      </c>
      <c r="H67" s="502" t="s">
        <v>36</v>
      </c>
      <c r="I67" s="502" t="s">
        <v>16</v>
      </c>
      <c r="J67" s="15" t="str">
        <f>+_xlfn.XLOOKUP(B67,INNOVACIÓN!A:A,INNOVACIÓN!B:B,"NO")</f>
        <v>NO</v>
      </c>
      <c r="K67" s="15" t="str">
        <f>+_xlfn.XLOOKUP(B67,MERMA!B:B,MERMA!C:C,"No")</f>
        <v>SI</v>
      </c>
      <c r="L67" s="15" t="str">
        <f>+_xlfn.XLOOKUP(B67,MERMA!B:B,MERMA!D:D,"No es merma")</f>
        <v>2026 H1</v>
      </c>
    </row>
    <row r="68" spans="1:12" s="15" hidden="1" x14ac:dyDescent="0.35">
      <c r="A68" s="503">
        <v>100023425</v>
      </c>
      <c r="B68" s="504">
        <v>75079963</v>
      </c>
      <c r="C68" s="503" t="s">
        <v>101</v>
      </c>
      <c r="D68" s="503" t="s">
        <v>44</v>
      </c>
      <c r="E68" s="503" t="s">
        <v>67</v>
      </c>
      <c r="F68" s="503" t="s">
        <v>100</v>
      </c>
      <c r="G68" s="503" t="s">
        <v>35</v>
      </c>
      <c r="H68" s="502" t="s">
        <v>36</v>
      </c>
      <c r="I68" s="502" t="s">
        <v>16</v>
      </c>
      <c r="J68" s="15" t="str">
        <f>+_xlfn.XLOOKUP(B68,INNOVACIÓN!A:A,INNOVACIÓN!B:B,"NO")</f>
        <v>NO</v>
      </c>
      <c r="K68" s="15" t="str">
        <f>+_xlfn.XLOOKUP(B68,MERMA!B:B,MERMA!C:C,"No")</f>
        <v>SI</v>
      </c>
      <c r="L68" s="15" t="str">
        <f>+_xlfn.XLOOKUP(B68,MERMA!B:B,MERMA!D:D,"No es merma")</f>
        <v>2026 H1</v>
      </c>
    </row>
    <row r="69" spans="1:12" s="15" hidden="1" x14ac:dyDescent="0.35">
      <c r="A69" s="503">
        <v>100020837</v>
      </c>
      <c r="B69" s="504">
        <v>75074081</v>
      </c>
      <c r="C69" s="503" t="s">
        <v>102</v>
      </c>
      <c r="D69" s="503" t="s">
        <v>44</v>
      </c>
      <c r="E69" s="503" t="s">
        <v>67</v>
      </c>
      <c r="F69" s="503" t="s">
        <v>100</v>
      </c>
      <c r="G69" s="503" t="s">
        <v>35</v>
      </c>
      <c r="H69" s="502" t="s">
        <v>36</v>
      </c>
      <c r="I69" s="502" t="s">
        <v>16</v>
      </c>
      <c r="J69" s="15" t="str">
        <f>+_xlfn.XLOOKUP(B69,INNOVACIÓN!A:A,INNOVACIÓN!B:B,"NO")</f>
        <v>NO</v>
      </c>
      <c r="K69" s="15" t="str">
        <f>+_xlfn.XLOOKUP(B69,MERMA!B:B,MERMA!C:C,"No")</f>
        <v>SI</v>
      </c>
      <c r="L69" s="15" t="str">
        <f>+_xlfn.XLOOKUP(B69,MERMA!B:B,MERMA!D:D,"No es merma")</f>
        <v>2026 H1</v>
      </c>
    </row>
    <row r="70" spans="1:12" s="15" hidden="1" x14ac:dyDescent="0.35">
      <c r="A70" s="503">
        <v>100021658</v>
      </c>
      <c r="B70" s="504">
        <v>75076757</v>
      </c>
      <c r="C70" s="503" t="s">
        <v>103</v>
      </c>
      <c r="D70" s="503" t="s">
        <v>44</v>
      </c>
      <c r="E70" s="503" t="s">
        <v>67</v>
      </c>
      <c r="F70" s="503" t="s">
        <v>100</v>
      </c>
      <c r="G70" s="503" t="s">
        <v>71</v>
      </c>
      <c r="H70" s="502" t="s">
        <v>36</v>
      </c>
      <c r="I70" s="502" t="s">
        <v>16</v>
      </c>
      <c r="J70" s="15" t="str">
        <f>+_xlfn.XLOOKUP(B70,INNOVACIÓN!A:A,INNOVACIÓN!B:B,"NO")</f>
        <v>NO</v>
      </c>
      <c r="K70" s="15" t="str">
        <f>+_xlfn.XLOOKUP(B70,MERMA!B:B,MERMA!C:C,"No")</f>
        <v>No</v>
      </c>
      <c r="L70" s="15" t="str">
        <f>+_xlfn.XLOOKUP(B70,MERMA!B:B,MERMA!D:D,"No es merma")</f>
        <v>No es merma</v>
      </c>
    </row>
    <row r="71" spans="1:12" s="15" hidden="1" x14ac:dyDescent="0.35">
      <c r="A71" s="503">
        <v>100021978</v>
      </c>
      <c r="B71" s="504">
        <v>75078638</v>
      </c>
      <c r="C71" s="503" t="s">
        <v>104</v>
      </c>
      <c r="D71" s="503" t="s">
        <v>44</v>
      </c>
      <c r="E71" s="503" t="s">
        <v>67</v>
      </c>
      <c r="F71" s="503" t="s">
        <v>100</v>
      </c>
      <c r="G71" s="503" t="s">
        <v>71</v>
      </c>
      <c r="H71" s="502" t="s">
        <v>36</v>
      </c>
      <c r="I71" s="502" t="s">
        <v>16</v>
      </c>
      <c r="J71" s="15" t="str">
        <f>+_xlfn.XLOOKUP(B71,INNOVACIÓN!A:A,INNOVACIÓN!B:B,"NO")</f>
        <v>NO</v>
      </c>
      <c r="K71" s="15" t="str">
        <f>+_xlfn.XLOOKUP(B71,MERMA!B:B,MERMA!C:C,"No")</f>
        <v>No</v>
      </c>
      <c r="L71" s="15" t="str">
        <f>+_xlfn.XLOOKUP(B71,MERMA!B:B,MERMA!D:D,"No es merma")</f>
        <v>No es merma</v>
      </c>
    </row>
    <row r="72" spans="1:12" s="15" hidden="1" x14ac:dyDescent="0.35">
      <c r="A72" s="503">
        <v>100018746</v>
      </c>
      <c r="B72" s="504">
        <v>75073534</v>
      </c>
      <c r="C72" s="503" t="s">
        <v>105</v>
      </c>
      <c r="D72" s="503" t="s">
        <v>44</v>
      </c>
      <c r="E72" s="503" t="s">
        <v>33</v>
      </c>
      <c r="F72" s="503" t="s">
        <v>41</v>
      </c>
      <c r="G72" s="503" t="s">
        <v>35</v>
      </c>
      <c r="H72" s="502" t="s">
        <v>36</v>
      </c>
      <c r="I72" s="502" t="s">
        <v>109</v>
      </c>
      <c r="J72" s="15" t="str">
        <f>+_xlfn.XLOOKUP(B72,INNOVACIÓN!A:A,INNOVACIÓN!B:B,"NO")</f>
        <v>NO</v>
      </c>
      <c r="K72" s="15" t="str">
        <f>+_xlfn.XLOOKUP(B72,MERMA!B:B,MERMA!C:C,"No")</f>
        <v>SI</v>
      </c>
      <c r="L72" s="15" t="str">
        <f>+_xlfn.XLOOKUP(B72,MERMA!B:B,MERMA!D:D,"No es merma")</f>
        <v>2026 H1</v>
      </c>
    </row>
    <row r="73" spans="1:12" s="15" hidden="1" x14ac:dyDescent="0.35">
      <c r="A73" s="503">
        <v>100018745</v>
      </c>
      <c r="B73" s="504">
        <v>75073541</v>
      </c>
      <c r="C73" s="503" t="s">
        <v>106</v>
      </c>
      <c r="D73" s="503" t="s">
        <v>44</v>
      </c>
      <c r="E73" s="503" t="s">
        <v>67</v>
      </c>
      <c r="F73" s="503" t="s">
        <v>41</v>
      </c>
      <c r="G73" s="503" t="s">
        <v>71</v>
      </c>
      <c r="H73" s="502" t="s">
        <v>36</v>
      </c>
      <c r="I73" s="502" t="s">
        <v>16</v>
      </c>
      <c r="J73" s="15" t="str">
        <f>+_xlfn.XLOOKUP(B73,INNOVACIÓN!A:A,INNOVACIÓN!B:B,"NO")</f>
        <v>NO</v>
      </c>
      <c r="K73" s="15" t="str">
        <f>+_xlfn.XLOOKUP(B73,MERMA!B:B,MERMA!C:C,"No")</f>
        <v>No</v>
      </c>
      <c r="L73" s="15" t="str">
        <f>+_xlfn.XLOOKUP(B73,MERMA!B:B,MERMA!D:D,"No es merma")</f>
        <v>No es merma</v>
      </c>
    </row>
    <row r="74" spans="1:12" s="15" hidden="1" x14ac:dyDescent="0.35">
      <c r="A74" s="15">
        <v>100025670</v>
      </c>
      <c r="B74" s="506">
        <v>75083786</v>
      </c>
      <c r="C74" s="15" t="s">
        <v>107</v>
      </c>
      <c r="D74" s="503" t="s">
        <v>44</v>
      </c>
      <c r="E74" s="503" t="s">
        <v>67</v>
      </c>
      <c r="F74" s="503" t="s">
        <v>609</v>
      </c>
      <c r="G74" s="503" t="s">
        <v>35</v>
      </c>
      <c r="H74" s="502" t="s">
        <v>36</v>
      </c>
      <c r="I74" s="502" t="s">
        <v>16</v>
      </c>
      <c r="J74" s="15" t="str">
        <f>+_xlfn.XLOOKUP(B74,INNOVACIÓN!A:A,INNOVACIÓN!B:B,"NO")</f>
        <v>NO</v>
      </c>
      <c r="K74" s="15" t="str">
        <f>+_xlfn.XLOOKUP(B74,MERMA!B:B,MERMA!C:C,"No")</f>
        <v>No</v>
      </c>
      <c r="L74" s="15" t="str">
        <f>+_xlfn.XLOOKUP(B74,MERMA!B:B,MERMA!D:D,"No es merma")</f>
        <v>No es merma</v>
      </c>
    </row>
    <row r="75" spans="1:12" s="15" hidden="1" x14ac:dyDescent="0.35">
      <c r="A75" s="15">
        <v>100025843</v>
      </c>
      <c r="B75" s="506">
        <v>75084165</v>
      </c>
      <c r="C75" s="15" t="s">
        <v>108</v>
      </c>
      <c r="D75" s="503" t="s">
        <v>44</v>
      </c>
      <c r="E75" s="503" t="s">
        <v>33</v>
      </c>
      <c r="F75" s="502" t="s">
        <v>46</v>
      </c>
      <c r="G75" s="503" t="s">
        <v>14</v>
      </c>
      <c r="H75" s="502" t="s">
        <v>36</v>
      </c>
      <c r="I75" s="502" t="s">
        <v>109</v>
      </c>
      <c r="J75" s="15" t="str">
        <f>+_xlfn.XLOOKUP(B75,INNOVACIÓN!A:A,INNOVACIÓN!B:B,"NO")</f>
        <v>NO</v>
      </c>
      <c r="K75" s="15" t="str">
        <f>+_xlfn.XLOOKUP(B75,MERMA!B:B,MERMA!C:C,"No")</f>
        <v>No</v>
      </c>
      <c r="L75" s="15" t="str">
        <f>+_xlfn.XLOOKUP(B75,MERMA!B:B,MERMA!D:D,"No es merma")</f>
        <v>No es merma</v>
      </c>
    </row>
    <row r="76" spans="1:12" s="15" hidden="1" x14ac:dyDescent="0.35">
      <c r="A76" s="503">
        <v>100022118</v>
      </c>
      <c r="B76" s="504">
        <v>75076429</v>
      </c>
      <c r="C76" s="503" t="s">
        <v>110</v>
      </c>
      <c r="D76" s="503" t="s">
        <v>44</v>
      </c>
      <c r="E76" s="503" t="s">
        <v>67</v>
      </c>
      <c r="F76" s="503" t="s">
        <v>46</v>
      </c>
      <c r="G76" s="503" t="s">
        <v>14</v>
      </c>
      <c r="H76" s="502" t="s">
        <v>36</v>
      </c>
      <c r="I76" s="502" t="s">
        <v>16</v>
      </c>
      <c r="J76" s="15" t="str">
        <f>+_xlfn.XLOOKUP(B76,INNOVACIÓN!A:A,INNOVACIÓN!B:B,"NO")</f>
        <v>NO</v>
      </c>
      <c r="K76" s="15" t="str">
        <f>+_xlfn.XLOOKUP(B76,MERMA!B:B,MERMA!C:C,"No")</f>
        <v>No</v>
      </c>
      <c r="L76" s="15" t="str">
        <f>+_xlfn.XLOOKUP(B76,MERMA!B:B,MERMA!D:D,"No es merma")</f>
        <v>No es merma</v>
      </c>
    </row>
    <row r="77" spans="1:12" s="15" hidden="1" x14ac:dyDescent="0.35">
      <c r="A77" s="15">
        <v>100025282</v>
      </c>
      <c r="B77" s="506">
        <v>75082543</v>
      </c>
      <c r="C77" s="15" t="s">
        <v>111</v>
      </c>
      <c r="D77" s="503" t="s">
        <v>44</v>
      </c>
      <c r="E77" s="15" t="s">
        <v>67</v>
      </c>
      <c r="F77" s="502" t="s">
        <v>46</v>
      </c>
      <c r="G77" s="502" t="s">
        <v>14</v>
      </c>
      <c r="H77" s="502" t="s">
        <v>36</v>
      </c>
      <c r="I77" s="502" t="s">
        <v>16</v>
      </c>
      <c r="J77" s="15" t="str">
        <f>+_xlfn.XLOOKUP(B77,INNOVACIÓN!A:A,INNOVACIÓN!B:B,"NO")</f>
        <v>NO</v>
      </c>
      <c r="K77" s="15" t="str">
        <f>+_xlfn.XLOOKUP(B77,MERMA!B:B,MERMA!C:C,"No")</f>
        <v>No</v>
      </c>
      <c r="L77" s="15" t="str">
        <f>+_xlfn.XLOOKUP(B77,MERMA!B:B,MERMA!D:D,"No es merma")</f>
        <v>No es merma</v>
      </c>
    </row>
    <row r="78" spans="1:12" s="15" hidden="1" x14ac:dyDescent="0.35">
      <c r="A78" s="15">
        <v>100026385</v>
      </c>
      <c r="B78" s="506">
        <v>75080525</v>
      </c>
      <c r="C78" s="15" t="s">
        <v>112</v>
      </c>
      <c r="D78" s="503" t="s">
        <v>44</v>
      </c>
      <c r="E78" s="503" t="s">
        <v>67</v>
      </c>
      <c r="F78" s="503" t="s">
        <v>608</v>
      </c>
      <c r="G78" s="503" t="s">
        <v>71</v>
      </c>
      <c r="H78" s="502" t="s">
        <v>36</v>
      </c>
      <c r="I78" s="502" t="s">
        <v>16</v>
      </c>
      <c r="J78" s="15" t="str">
        <f>+_xlfn.XLOOKUP(B78,INNOVACIÓN!A:A,INNOVACIÓN!B:B,"NO")</f>
        <v>NO</v>
      </c>
      <c r="K78" s="15" t="str">
        <f>+_xlfn.XLOOKUP(B78,MERMA!B:B,MERMA!C:C,"No")</f>
        <v>No</v>
      </c>
      <c r="L78" s="15" t="str">
        <f>+_xlfn.XLOOKUP(B78,MERMA!B:B,MERMA!D:D,"No es merma")</f>
        <v>No es merma</v>
      </c>
    </row>
    <row r="79" spans="1:12" s="15" hidden="1" x14ac:dyDescent="0.35">
      <c r="A79" s="15">
        <v>100026386</v>
      </c>
      <c r="B79" s="506">
        <v>75080495</v>
      </c>
      <c r="C79" s="15" t="s">
        <v>113</v>
      </c>
      <c r="D79" s="503" t="s">
        <v>44</v>
      </c>
      <c r="E79" s="503" t="s">
        <v>67</v>
      </c>
      <c r="F79" s="503" t="s">
        <v>608</v>
      </c>
      <c r="G79" s="503" t="s">
        <v>71</v>
      </c>
      <c r="H79" s="502" t="s">
        <v>36</v>
      </c>
      <c r="I79" s="502" t="s">
        <v>16</v>
      </c>
      <c r="J79" s="15" t="str">
        <f>+_xlfn.XLOOKUP(B79,INNOVACIÓN!A:A,INNOVACIÓN!B:B,"NO")</f>
        <v>NO</v>
      </c>
      <c r="K79" s="15" t="str">
        <f>+_xlfn.XLOOKUP(B79,MERMA!B:B,MERMA!C:C,"No")</f>
        <v>No</v>
      </c>
      <c r="L79" s="15" t="str">
        <f>+_xlfn.XLOOKUP(B79,MERMA!B:B,MERMA!D:D,"No es merma")</f>
        <v>No es merma</v>
      </c>
    </row>
    <row r="80" spans="1:12" s="15" hidden="1" x14ac:dyDescent="0.35">
      <c r="A80" s="502">
        <v>100022233</v>
      </c>
      <c r="B80" s="502">
        <v>75076412</v>
      </c>
      <c r="C80" s="502" t="s">
        <v>114</v>
      </c>
      <c r="D80" s="502" t="s">
        <v>44</v>
      </c>
      <c r="E80" s="502" t="s">
        <v>67</v>
      </c>
      <c r="F80" s="502" t="s">
        <v>46</v>
      </c>
      <c r="G80" s="502" t="s">
        <v>52</v>
      </c>
      <c r="H80" s="502" t="s">
        <v>36</v>
      </c>
      <c r="I80" s="502" t="s">
        <v>16</v>
      </c>
      <c r="J80" s="15" t="str">
        <f>+_xlfn.XLOOKUP(B80,INNOVACIÓN!A:A,INNOVACIÓN!B:B,"NO")</f>
        <v>NO</v>
      </c>
      <c r="K80" s="15" t="str">
        <f>+_xlfn.XLOOKUP(B80,MERMA!B:B,MERMA!C:C,"No")</f>
        <v>No</v>
      </c>
      <c r="L80" s="15" t="str">
        <f>+_xlfn.XLOOKUP(B80,MERMA!B:B,MERMA!D:D,"No es merma")</f>
        <v>No es merma</v>
      </c>
    </row>
    <row r="81" spans="1:12" s="15" hidden="1" x14ac:dyDescent="0.35">
      <c r="A81" s="503">
        <v>100012746</v>
      </c>
      <c r="B81" s="504">
        <v>75064648</v>
      </c>
      <c r="C81" s="503" t="s">
        <v>115</v>
      </c>
      <c r="D81" s="503" t="s">
        <v>44</v>
      </c>
      <c r="E81" s="503" t="s">
        <v>67</v>
      </c>
      <c r="F81" s="503" t="s">
        <v>46</v>
      </c>
      <c r="G81" s="503" t="s">
        <v>14</v>
      </c>
      <c r="H81" s="502" t="s">
        <v>36</v>
      </c>
      <c r="I81" s="502" t="s">
        <v>16</v>
      </c>
      <c r="J81" s="15" t="str">
        <f>+_xlfn.XLOOKUP(B81,INNOVACIÓN!A:A,INNOVACIÓN!B:B,"NO")</f>
        <v>NO</v>
      </c>
      <c r="K81" s="15" t="str">
        <f>+_xlfn.XLOOKUP(B81,MERMA!B:B,MERMA!C:C,"No")</f>
        <v>No</v>
      </c>
      <c r="L81" s="15" t="str">
        <f>+_xlfn.XLOOKUP(B81,MERMA!B:B,MERMA!D:D,"No es merma")</f>
        <v>No es merma</v>
      </c>
    </row>
    <row r="82" spans="1:12" s="15" hidden="1" x14ac:dyDescent="0.35">
      <c r="A82" s="503">
        <v>100014187</v>
      </c>
      <c r="B82" s="504">
        <v>75068363</v>
      </c>
      <c r="C82" s="503" t="s">
        <v>116</v>
      </c>
      <c r="D82" s="503" t="s">
        <v>44</v>
      </c>
      <c r="E82" s="503" t="s">
        <v>67</v>
      </c>
      <c r="F82" s="503" t="s">
        <v>46</v>
      </c>
      <c r="G82" s="503" t="s">
        <v>14</v>
      </c>
      <c r="H82" s="502" t="s">
        <v>36</v>
      </c>
      <c r="I82" s="502" t="s">
        <v>16</v>
      </c>
      <c r="J82" s="15" t="str">
        <f>+_xlfn.XLOOKUP(B82,INNOVACIÓN!A:A,INNOVACIÓN!B:B,"NO")</f>
        <v>NO</v>
      </c>
      <c r="K82" s="15" t="str">
        <f>+_xlfn.XLOOKUP(B82,MERMA!B:B,MERMA!C:C,"No")</f>
        <v>No</v>
      </c>
      <c r="L82" s="15" t="str">
        <f>+_xlfn.XLOOKUP(B82,MERMA!B:B,MERMA!D:D,"No es merma")</f>
        <v>No es merma</v>
      </c>
    </row>
    <row r="83" spans="1:12" s="15" hidden="1" x14ac:dyDescent="0.35">
      <c r="A83" s="15">
        <v>100026388</v>
      </c>
      <c r="B83" s="506">
        <v>75080518</v>
      </c>
      <c r="C83" s="15" t="s">
        <v>117</v>
      </c>
      <c r="D83" s="503" t="s">
        <v>44</v>
      </c>
      <c r="E83" s="503" t="s">
        <v>67</v>
      </c>
      <c r="F83" s="503" t="s">
        <v>608</v>
      </c>
      <c r="G83" s="503" t="s">
        <v>71</v>
      </c>
      <c r="H83" s="502" t="s">
        <v>36</v>
      </c>
      <c r="I83" s="502" t="s">
        <v>16</v>
      </c>
      <c r="J83" s="15" t="str">
        <f>+_xlfn.XLOOKUP(B83,INNOVACIÓN!A:A,INNOVACIÓN!B:B,"NO")</f>
        <v>NO</v>
      </c>
      <c r="K83" s="15" t="str">
        <f>+_xlfn.XLOOKUP(B83,MERMA!B:B,MERMA!C:C,"No")</f>
        <v>No</v>
      </c>
      <c r="L83" s="15" t="str">
        <f>+_xlfn.XLOOKUP(B83,MERMA!B:B,MERMA!D:D,"No es merma")</f>
        <v>No es merma</v>
      </c>
    </row>
    <row r="84" spans="1:12" s="15" hidden="1" x14ac:dyDescent="0.35">
      <c r="A84" s="15">
        <v>100025673</v>
      </c>
      <c r="B84" s="506">
        <v>75083779</v>
      </c>
      <c r="C84" s="15" t="s">
        <v>118</v>
      </c>
      <c r="D84" s="503" t="s">
        <v>44</v>
      </c>
      <c r="E84" s="503" t="s">
        <v>67</v>
      </c>
      <c r="F84" s="503" t="s">
        <v>609</v>
      </c>
      <c r="G84" s="503" t="s">
        <v>35</v>
      </c>
      <c r="H84" s="502" t="s">
        <v>36</v>
      </c>
      <c r="I84" s="502" t="s">
        <v>16</v>
      </c>
      <c r="J84" s="15" t="str">
        <f>+_xlfn.XLOOKUP(B84,INNOVACIÓN!A:A,INNOVACIÓN!B:B,"NO")</f>
        <v>NO</v>
      </c>
      <c r="K84" s="15" t="str">
        <f>+_xlfn.XLOOKUP(B84,MERMA!B:B,MERMA!C:C,"No")</f>
        <v>No</v>
      </c>
      <c r="L84" s="15" t="str">
        <f>+_xlfn.XLOOKUP(B84,MERMA!B:B,MERMA!D:D,"No es merma")</f>
        <v>No es merma</v>
      </c>
    </row>
    <row r="85" spans="1:12" s="15" hidden="1" x14ac:dyDescent="0.35">
      <c r="A85" s="15">
        <v>100025677</v>
      </c>
      <c r="B85" s="506">
        <v>75083793</v>
      </c>
      <c r="C85" s="15" t="s">
        <v>119</v>
      </c>
      <c r="D85" s="503" t="s">
        <v>44</v>
      </c>
      <c r="E85" s="503" t="s">
        <v>67</v>
      </c>
      <c r="F85" s="503" t="s">
        <v>609</v>
      </c>
      <c r="G85" s="503" t="s">
        <v>35</v>
      </c>
      <c r="H85" s="502" t="s">
        <v>36</v>
      </c>
      <c r="I85" s="502" t="s">
        <v>16</v>
      </c>
      <c r="J85" s="15" t="str">
        <f>+_xlfn.XLOOKUP(B85,INNOVACIÓN!A:A,INNOVACIÓN!B:B,"NO")</f>
        <v>NO</v>
      </c>
      <c r="K85" s="15" t="str">
        <f>+_xlfn.XLOOKUP(B85,MERMA!B:B,MERMA!C:C,"No")</f>
        <v>No</v>
      </c>
      <c r="L85" s="15" t="str">
        <f>+_xlfn.XLOOKUP(B85,MERMA!B:B,MERMA!D:D,"No es merma")</f>
        <v>No es merma</v>
      </c>
    </row>
    <row r="86" spans="1:12" s="15" hidden="1" x14ac:dyDescent="0.35">
      <c r="A86" s="15">
        <v>100025672</v>
      </c>
      <c r="B86" s="506">
        <v>75083762</v>
      </c>
      <c r="C86" s="15" t="s">
        <v>120</v>
      </c>
      <c r="D86" s="503" t="s">
        <v>44</v>
      </c>
      <c r="E86" s="503" t="s">
        <v>67</v>
      </c>
      <c r="F86" s="503" t="s">
        <v>609</v>
      </c>
      <c r="G86" s="503" t="s">
        <v>35</v>
      </c>
      <c r="H86" s="502" t="s">
        <v>36</v>
      </c>
      <c r="I86" s="502" t="s">
        <v>16</v>
      </c>
      <c r="J86" s="15" t="str">
        <f>+_xlfn.XLOOKUP(B86,INNOVACIÓN!A:A,INNOVACIÓN!B:B,"NO")</f>
        <v>SI</v>
      </c>
      <c r="K86" s="15" t="str">
        <f>+_xlfn.XLOOKUP(B86,MERMA!B:B,MERMA!C:C,"No")</f>
        <v>No</v>
      </c>
      <c r="L86" s="15" t="str">
        <f>+_xlfn.XLOOKUP(B86,MERMA!B:B,MERMA!D:D,"No es merma")</f>
        <v>No es merma</v>
      </c>
    </row>
    <row r="87" spans="1:12" s="15" hidden="1" x14ac:dyDescent="0.35">
      <c r="A87" s="15">
        <v>100025675</v>
      </c>
      <c r="B87" s="506">
        <v>75083755</v>
      </c>
      <c r="C87" s="15" t="s">
        <v>121</v>
      </c>
      <c r="D87" s="503" t="s">
        <v>44</v>
      </c>
      <c r="E87" s="503" t="s">
        <v>67</v>
      </c>
      <c r="F87" s="503" t="s">
        <v>609</v>
      </c>
      <c r="G87" s="503" t="s">
        <v>35</v>
      </c>
      <c r="H87" s="502" t="s">
        <v>36</v>
      </c>
      <c r="I87" s="502" t="s">
        <v>16</v>
      </c>
      <c r="J87" s="15" t="str">
        <f>+_xlfn.XLOOKUP(B87,INNOVACIÓN!A:A,INNOVACIÓN!B:B,"NO")</f>
        <v>SI</v>
      </c>
      <c r="K87" s="15" t="str">
        <f>+_xlfn.XLOOKUP(B87,MERMA!B:B,MERMA!C:C,"No")</f>
        <v>No</v>
      </c>
      <c r="L87" s="15" t="str">
        <f>+_xlfn.XLOOKUP(B87,MERMA!B:B,MERMA!D:D,"No es merma")</f>
        <v>No es merma</v>
      </c>
    </row>
    <row r="88" spans="1:12" s="15" hidden="1" x14ac:dyDescent="0.35">
      <c r="A88" s="15">
        <v>100025844</v>
      </c>
      <c r="B88" s="506">
        <v>75084172</v>
      </c>
      <c r="C88" s="15" t="s">
        <v>122</v>
      </c>
      <c r="D88" s="503" t="s">
        <v>44</v>
      </c>
      <c r="E88" s="503" t="s">
        <v>33</v>
      </c>
      <c r="F88" s="502" t="s">
        <v>46</v>
      </c>
      <c r="G88" s="503" t="s">
        <v>14</v>
      </c>
      <c r="H88" s="502" t="s">
        <v>36</v>
      </c>
      <c r="I88" s="502" t="s">
        <v>109</v>
      </c>
      <c r="J88" s="15" t="str">
        <f>+_xlfn.XLOOKUP(B88,INNOVACIÓN!A:A,INNOVACIÓN!B:B,"NO")</f>
        <v>NO</v>
      </c>
      <c r="K88" s="15" t="str">
        <f>+_xlfn.XLOOKUP(B88,MERMA!B:B,MERMA!C:C,"No")</f>
        <v>No</v>
      </c>
      <c r="L88" s="15" t="str">
        <f>+_xlfn.XLOOKUP(B88,MERMA!B:B,MERMA!D:D,"No es merma")</f>
        <v>No es merma</v>
      </c>
    </row>
    <row r="89" spans="1:12" s="15" hidden="1" x14ac:dyDescent="0.35">
      <c r="A89" s="15">
        <v>100025850</v>
      </c>
      <c r="B89" s="506">
        <v>75083632</v>
      </c>
      <c r="C89" s="15" t="s">
        <v>123</v>
      </c>
      <c r="D89" s="503" t="s">
        <v>44</v>
      </c>
      <c r="E89" s="503" t="s">
        <v>67</v>
      </c>
      <c r="F89" s="502" t="s">
        <v>46</v>
      </c>
      <c r="G89" s="503" t="s">
        <v>14</v>
      </c>
      <c r="H89" s="502" t="s">
        <v>36</v>
      </c>
      <c r="I89" s="502" t="s">
        <v>16</v>
      </c>
      <c r="J89" s="15" t="str">
        <f>+_xlfn.XLOOKUP(B89,INNOVACIÓN!A:A,INNOVACIÓN!B:B,"NO")</f>
        <v>NO</v>
      </c>
      <c r="K89" s="15" t="str">
        <f>+_xlfn.XLOOKUP(B89,MERMA!B:B,MERMA!C:C,"No")</f>
        <v>No</v>
      </c>
      <c r="L89" s="15" t="str">
        <f>+_xlfn.XLOOKUP(B89,MERMA!B:B,MERMA!D:D,"No es merma")</f>
        <v>No es merma</v>
      </c>
    </row>
    <row r="90" spans="1:12" s="15" hidden="1" x14ac:dyDescent="0.35">
      <c r="A90" s="15">
        <v>100025847</v>
      </c>
      <c r="B90" s="506">
        <v>75084141</v>
      </c>
      <c r="C90" s="15" t="s">
        <v>124</v>
      </c>
      <c r="D90" s="503" t="s">
        <v>44</v>
      </c>
      <c r="E90" s="503" t="s">
        <v>33</v>
      </c>
      <c r="F90" s="502" t="s">
        <v>46</v>
      </c>
      <c r="G90" s="503" t="s">
        <v>14</v>
      </c>
      <c r="H90" s="502" t="s">
        <v>36</v>
      </c>
      <c r="I90" s="502" t="s">
        <v>109</v>
      </c>
      <c r="J90" s="15" t="str">
        <f>+_xlfn.XLOOKUP(B90,INNOVACIÓN!A:A,INNOVACIÓN!B:B,"NO")</f>
        <v>NO</v>
      </c>
      <c r="K90" s="15" t="str">
        <f>+_xlfn.XLOOKUP(B90,MERMA!B:B,MERMA!C:C,"No")</f>
        <v>No</v>
      </c>
      <c r="L90" s="15" t="str">
        <f>+_xlfn.XLOOKUP(B90,MERMA!B:B,MERMA!D:D,"No es merma")</f>
        <v>No es merma</v>
      </c>
    </row>
    <row r="91" spans="1:12" s="15" hidden="1" x14ac:dyDescent="0.35">
      <c r="A91" s="15">
        <v>100025848</v>
      </c>
      <c r="B91" s="506">
        <v>75084486</v>
      </c>
      <c r="C91" s="15" t="s">
        <v>125</v>
      </c>
      <c r="D91" s="503" t="s">
        <v>44</v>
      </c>
      <c r="E91" s="503" t="s">
        <v>33</v>
      </c>
      <c r="F91" s="502" t="s">
        <v>46</v>
      </c>
      <c r="G91" s="503" t="s">
        <v>14</v>
      </c>
      <c r="H91" s="502" t="s">
        <v>36</v>
      </c>
      <c r="I91" s="502" t="s">
        <v>109</v>
      </c>
      <c r="J91" s="15" t="str">
        <f>+_xlfn.XLOOKUP(B91,INNOVACIÓN!A:A,INNOVACIÓN!B:B,"NO")</f>
        <v>NO</v>
      </c>
      <c r="K91" s="15" t="str">
        <f>+_xlfn.XLOOKUP(B91,MERMA!B:B,MERMA!C:C,"No")</f>
        <v>No</v>
      </c>
      <c r="L91" s="15" t="str">
        <f>+_xlfn.XLOOKUP(B91,MERMA!B:B,MERMA!D:D,"No es merma")</f>
        <v>No es merma</v>
      </c>
    </row>
    <row r="92" spans="1:12" s="15" hidden="1" x14ac:dyDescent="0.35">
      <c r="A92" s="502">
        <v>100013077</v>
      </c>
      <c r="B92" s="502">
        <v>75064761</v>
      </c>
      <c r="C92" s="502" t="s">
        <v>126</v>
      </c>
      <c r="D92" s="503" t="s">
        <v>44</v>
      </c>
      <c r="E92" s="65535" t="s">
        <v>67</v>
      </c>
      <c r="F92" s="65535" t="s">
        <v>41</v>
      </c>
      <c r="G92" s="65535" t="s">
        <v>35</v>
      </c>
      <c r="H92" s="502" t="s">
        <v>36</v>
      </c>
      <c r="I92" s="502" t="s">
        <v>16</v>
      </c>
      <c r="J92" s="15" t="str">
        <f>+_xlfn.XLOOKUP(B92,INNOVACIÓN!A:A,INNOVACIÓN!B:B,"NO")</f>
        <v>NO</v>
      </c>
      <c r="K92" s="15" t="str">
        <f>+_xlfn.XLOOKUP(B92,MERMA!B:B,MERMA!C:C,"No")</f>
        <v>No</v>
      </c>
      <c r="L92" s="15" t="str">
        <f>+_xlfn.XLOOKUP(B92,MERMA!B:B,MERMA!D:D,"No es merma")</f>
        <v>No es merma</v>
      </c>
    </row>
    <row r="93" spans="1:12" s="15" hidden="1" x14ac:dyDescent="0.35">
      <c r="A93" s="503">
        <v>100016413</v>
      </c>
      <c r="B93" s="504">
        <v>75071455</v>
      </c>
      <c r="C93" s="503" t="s">
        <v>127</v>
      </c>
      <c r="D93" s="503" t="s">
        <v>44</v>
      </c>
      <c r="E93" s="503" t="s">
        <v>67</v>
      </c>
      <c r="F93" s="503" t="s">
        <v>41</v>
      </c>
      <c r="G93" s="503" t="s">
        <v>35</v>
      </c>
      <c r="H93" s="502" t="s">
        <v>36</v>
      </c>
      <c r="I93" s="502" t="s">
        <v>16</v>
      </c>
      <c r="J93" s="15" t="str">
        <f>+_xlfn.XLOOKUP(B93,INNOVACIÓN!A:A,INNOVACIÓN!B:B,"NO")</f>
        <v>NO</v>
      </c>
      <c r="K93" s="15" t="str">
        <f>+_xlfn.XLOOKUP(B93,MERMA!B:B,MERMA!C:C,"No")</f>
        <v>No</v>
      </c>
      <c r="L93" s="15" t="str">
        <f>+_xlfn.XLOOKUP(B93,MERMA!B:B,MERMA!D:D,"No es merma")</f>
        <v>No es merma</v>
      </c>
    </row>
    <row r="94" spans="1:12" s="15" hidden="1" x14ac:dyDescent="0.35">
      <c r="A94" s="15">
        <v>100025845</v>
      </c>
      <c r="B94" s="506">
        <v>75084127</v>
      </c>
      <c r="C94" s="15" t="s">
        <v>128</v>
      </c>
      <c r="D94" s="503" t="s">
        <v>44</v>
      </c>
      <c r="E94" s="503" t="s">
        <v>33</v>
      </c>
      <c r="F94" s="502" t="s">
        <v>46</v>
      </c>
      <c r="G94" s="503" t="s">
        <v>14</v>
      </c>
      <c r="H94" s="502" t="s">
        <v>36</v>
      </c>
      <c r="I94" s="502" t="s">
        <v>109</v>
      </c>
      <c r="J94" s="15" t="str">
        <f>+_xlfn.XLOOKUP(B94,INNOVACIÓN!A:A,INNOVACIÓN!B:B,"NO")</f>
        <v>NO</v>
      </c>
      <c r="K94" s="15" t="str">
        <f>+_xlfn.XLOOKUP(B94,MERMA!B:B,MERMA!C:C,"No")</f>
        <v>No</v>
      </c>
      <c r="L94" s="15" t="str">
        <f>+_xlfn.XLOOKUP(B94,MERMA!B:B,MERMA!D:D,"No es merma")</f>
        <v>No es merma</v>
      </c>
    </row>
    <row r="95" spans="1:12" s="15" hidden="1" x14ac:dyDescent="0.35">
      <c r="A95" s="503">
        <v>100013891</v>
      </c>
      <c r="B95" s="504">
        <v>75064778</v>
      </c>
      <c r="C95" s="503" t="s">
        <v>129</v>
      </c>
      <c r="D95" s="503" t="s">
        <v>44</v>
      </c>
      <c r="E95" s="503" t="s">
        <v>33</v>
      </c>
      <c r="F95" s="503" t="s">
        <v>41</v>
      </c>
      <c r="G95" s="503" t="s">
        <v>35</v>
      </c>
      <c r="H95" s="502" t="s">
        <v>36</v>
      </c>
      <c r="I95" s="502" t="s">
        <v>109</v>
      </c>
      <c r="J95" s="15" t="str">
        <f>+_xlfn.XLOOKUP(B95,INNOVACIÓN!A:A,INNOVACIÓN!B:B,"NO")</f>
        <v>NO</v>
      </c>
      <c r="K95" s="15" t="str">
        <f>+_xlfn.XLOOKUP(B95,MERMA!B:B,MERMA!C:C,"No")</f>
        <v>SI</v>
      </c>
      <c r="L95" s="15" t="str">
        <f>+_xlfn.XLOOKUP(B95,MERMA!B:B,MERMA!D:D,"No es merma")</f>
        <v>2026 H1</v>
      </c>
    </row>
    <row r="96" spans="1:12" s="15" hidden="1" x14ac:dyDescent="0.35">
      <c r="A96" s="502">
        <v>100080802</v>
      </c>
      <c r="B96" s="502">
        <v>75027766</v>
      </c>
      <c r="C96" s="502" t="s">
        <v>130</v>
      </c>
      <c r="D96" s="502" t="s">
        <v>44</v>
      </c>
      <c r="E96" s="502" t="s">
        <v>67</v>
      </c>
      <c r="F96" s="502" t="s">
        <v>46</v>
      </c>
      <c r="G96" s="502" t="s">
        <v>58</v>
      </c>
      <c r="H96" s="502" t="s">
        <v>36</v>
      </c>
      <c r="I96" s="502" t="s">
        <v>16</v>
      </c>
      <c r="J96" s="15" t="str">
        <f>+_xlfn.XLOOKUP(B96,INNOVACIÓN!A:A,INNOVACIÓN!B:B,"NO")</f>
        <v>NO</v>
      </c>
      <c r="K96" s="15" t="str">
        <f>+_xlfn.XLOOKUP(B96,MERMA!B:B,MERMA!C:C,"No")</f>
        <v>No</v>
      </c>
      <c r="L96" s="15" t="str">
        <f>+_xlfn.XLOOKUP(B96,MERMA!B:B,MERMA!D:D,"No es merma")</f>
        <v>No es merma</v>
      </c>
    </row>
    <row r="97" spans="1:12" s="15" hidden="1" x14ac:dyDescent="0.35">
      <c r="A97" s="502">
        <v>100010093</v>
      </c>
      <c r="B97" s="502">
        <v>75061777</v>
      </c>
      <c r="C97" s="502" t="s">
        <v>131</v>
      </c>
      <c r="D97" s="503" t="s">
        <v>44</v>
      </c>
      <c r="E97" s="65535" t="s">
        <v>67</v>
      </c>
      <c r="F97" s="65535" t="s">
        <v>46</v>
      </c>
      <c r="G97" s="65535" t="s">
        <v>54</v>
      </c>
      <c r="H97" s="502" t="s">
        <v>36</v>
      </c>
      <c r="I97" s="502" t="s">
        <v>16</v>
      </c>
      <c r="J97" s="15" t="str">
        <f>+_xlfn.XLOOKUP(B97,INNOVACIÓN!A:A,INNOVACIÓN!B:B,"NO")</f>
        <v>NO</v>
      </c>
      <c r="K97" s="15" t="str">
        <f>+_xlfn.XLOOKUP(B97,MERMA!B:B,MERMA!C:C,"No")</f>
        <v>No</v>
      </c>
      <c r="L97" s="15" t="str">
        <f>+_xlfn.XLOOKUP(B97,MERMA!B:B,MERMA!D:D,"No es merma")</f>
        <v>No es merma</v>
      </c>
    </row>
    <row r="98" spans="1:12" s="15" hidden="1" x14ac:dyDescent="0.35">
      <c r="A98" s="503">
        <v>100005585</v>
      </c>
      <c r="B98" s="504">
        <v>75052836</v>
      </c>
      <c r="C98" s="503" t="s">
        <v>132</v>
      </c>
      <c r="D98" s="503" t="s">
        <v>44</v>
      </c>
      <c r="E98" s="503" t="s">
        <v>67</v>
      </c>
      <c r="F98" s="503" t="s">
        <v>46</v>
      </c>
      <c r="G98" s="503" t="s">
        <v>14</v>
      </c>
      <c r="H98" s="502" t="s">
        <v>36</v>
      </c>
      <c r="I98" s="502" t="s">
        <v>16</v>
      </c>
      <c r="J98" s="15" t="str">
        <f>+_xlfn.XLOOKUP(B98,INNOVACIÓN!A:A,INNOVACIÓN!B:B,"NO")</f>
        <v>NO</v>
      </c>
      <c r="K98" s="15" t="str">
        <f>+_xlfn.XLOOKUP(B98,MERMA!B:B,MERMA!C:C,"No")</f>
        <v>No</v>
      </c>
      <c r="L98" s="15" t="str">
        <f>+_xlfn.XLOOKUP(B98,MERMA!B:B,MERMA!D:D,"No es merma")</f>
        <v>No es merma</v>
      </c>
    </row>
    <row r="99" spans="1:12" s="15" hidden="1" x14ac:dyDescent="0.35">
      <c r="A99" s="503">
        <v>100013078</v>
      </c>
      <c r="B99" s="504">
        <v>75064785</v>
      </c>
      <c r="C99" s="503" t="s">
        <v>133</v>
      </c>
      <c r="D99" s="503" t="s">
        <v>44</v>
      </c>
      <c r="E99" s="503" t="s">
        <v>67</v>
      </c>
      <c r="F99" s="503" t="s">
        <v>41</v>
      </c>
      <c r="G99" s="503" t="s">
        <v>71</v>
      </c>
      <c r="H99" s="502" t="s">
        <v>36</v>
      </c>
      <c r="I99" s="502" t="s">
        <v>16</v>
      </c>
      <c r="J99" s="15" t="str">
        <f>+_xlfn.XLOOKUP(B99,INNOVACIÓN!A:A,INNOVACIÓN!B:B,"NO")</f>
        <v>NO</v>
      </c>
      <c r="K99" s="15" t="str">
        <f>+_xlfn.XLOOKUP(B99,MERMA!B:B,MERMA!C:C,"No")</f>
        <v>No</v>
      </c>
      <c r="L99" s="15" t="str">
        <f>+_xlfn.XLOOKUP(B99,MERMA!B:B,MERMA!D:D,"No es merma")</f>
        <v>No es merma</v>
      </c>
    </row>
    <row r="100" spans="1:12" s="15" hidden="1" x14ac:dyDescent="0.35">
      <c r="A100" s="503">
        <v>100016412</v>
      </c>
      <c r="B100" s="504">
        <v>75071479</v>
      </c>
      <c r="C100" s="503" t="s">
        <v>134</v>
      </c>
      <c r="D100" s="503" t="s">
        <v>44</v>
      </c>
      <c r="E100" s="503" t="s">
        <v>67</v>
      </c>
      <c r="F100" s="503" t="s">
        <v>41</v>
      </c>
      <c r="G100" s="503" t="s">
        <v>71</v>
      </c>
      <c r="H100" s="502" t="s">
        <v>36</v>
      </c>
      <c r="I100" s="502" t="s">
        <v>16</v>
      </c>
      <c r="J100" s="15" t="str">
        <f>+_xlfn.XLOOKUP(B100,INNOVACIÓN!A:A,INNOVACIÓN!B:B,"NO")</f>
        <v>NO</v>
      </c>
      <c r="K100" s="15" t="str">
        <f>+_xlfn.XLOOKUP(B100,MERMA!B:B,MERMA!C:C,"No")</f>
        <v>No</v>
      </c>
      <c r="L100" s="15" t="str">
        <f>+_xlfn.XLOOKUP(B100,MERMA!B:B,MERMA!D:D,"No es merma")</f>
        <v>No es merma</v>
      </c>
    </row>
    <row r="101" spans="1:12" s="15" hidden="1" x14ac:dyDescent="0.35">
      <c r="A101" s="502">
        <v>100080644</v>
      </c>
      <c r="B101" s="502">
        <v>8346917</v>
      </c>
      <c r="C101" s="502" t="s">
        <v>135</v>
      </c>
      <c r="D101" s="502" t="s">
        <v>44</v>
      </c>
      <c r="E101" s="502" t="s">
        <v>67</v>
      </c>
      <c r="F101" s="502" t="s">
        <v>46</v>
      </c>
      <c r="G101" s="502" t="s">
        <v>136</v>
      </c>
      <c r="H101" s="502" t="s">
        <v>36</v>
      </c>
      <c r="I101" s="502" t="s">
        <v>16</v>
      </c>
      <c r="J101" s="15" t="str">
        <f>+_xlfn.XLOOKUP(B101,INNOVACIÓN!A:A,INNOVACIÓN!B:B,"NO")</f>
        <v>NO</v>
      </c>
      <c r="K101" s="15" t="str">
        <f>+_xlfn.XLOOKUP(B101,MERMA!B:B,MERMA!C:C,"No")</f>
        <v>No</v>
      </c>
      <c r="L101" s="15" t="str">
        <f>+_xlfn.XLOOKUP(B101,MERMA!B:B,MERMA!D:D,"No es merma")</f>
        <v>No es merma</v>
      </c>
    </row>
    <row r="102" spans="1:12" s="15" x14ac:dyDescent="0.35">
      <c r="A102" s="503">
        <v>100019234</v>
      </c>
      <c r="B102" s="504">
        <v>75074975</v>
      </c>
      <c r="C102" s="503" t="s">
        <v>137</v>
      </c>
      <c r="D102" s="503" t="s">
        <v>44</v>
      </c>
      <c r="E102" s="503" t="s">
        <v>67</v>
      </c>
      <c r="F102" s="503" t="s">
        <v>46</v>
      </c>
      <c r="G102" s="503" t="s">
        <v>54</v>
      </c>
      <c r="H102" s="502" t="s">
        <v>36</v>
      </c>
      <c r="I102" s="502" t="s">
        <v>16</v>
      </c>
      <c r="J102" s="15" t="str">
        <f>+_xlfn.XLOOKUP(B102,INNOVACIÓN!A:A,INNOVACIÓN!B:B,"NO")</f>
        <v>NO</v>
      </c>
      <c r="K102" s="15" t="str">
        <f>+_xlfn.XLOOKUP(B102,MERMA!B:B,MERMA!C:C,"No")</f>
        <v>No</v>
      </c>
      <c r="L102" s="15" t="str">
        <f>+_xlfn.XLOOKUP(B102,MERMA!B:B,MERMA!D:D,"No es merma")</f>
        <v>No es merma</v>
      </c>
    </row>
    <row r="103" spans="1:12" s="15" hidden="1" x14ac:dyDescent="0.35">
      <c r="A103" s="15">
        <v>100024596</v>
      </c>
      <c r="B103" s="506">
        <v>75081058</v>
      </c>
      <c r="C103" s="15" t="s">
        <v>138</v>
      </c>
      <c r="D103" s="502" t="s">
        <v>44</v>
      </c>
      <c r="E103" s="502" t="s">
        <v>67</v>
      </c>
      <c r="F103" s="502" t="s">
        <v>46</v>
      </c>
      <c r="G103" s="502" t="s">
        <v>139</v>
      </c>
      <c r="H103" s="502" t="s">
        <v>36</v>
      </c>
      <c r="I103" s="502" t="s">
        <v>16</v>
      </c>
      <c r="J103" s="15" t="str">
        <f>+_xlfn.XLOOKUP(B103,INNOVACIÓN!A:A,INNOVACIÓN!B:B,"NO")</f>
        <v>NO</v>
      </c>
      <c r="K103" s="15" t="str">
        <f>+_xlfn.XLOOKUP(B103,MERMA!B:B,MERMA!C:C,"No")</f>
        <v>SI</v>
      </c>
      <c r="L103" s="15" t="str">
        <f>+_xlfn.XLOOKUP(B103,MERMA!B:B,MERMA!D:D,"No es merma")</f>
        <v>2026 H1</v>
      </c>
    </row>
    <row r="104" spans="1:12" s="15" hidden="1" x14ac:dyDescent="0.35">
      <c r="A104" s="503">
        <v>100019233</v>
      </c>
      <c r="B104" s="504">
        <v>75074999</v>
      </c>
      <c r="C104" s="503" t="s">
        <v>140</v>
      </c>
      <c r="D104" s="503" t="s">
        <v>44</v>
      </c>
      <c r="E104" s="503" t="s">
        <v>67</v>
      </c>
      <c r="F104" s="503" t="s">
        <v>46</v>
      </c>
      <c r="G104" s="503" t="s">
        <v>14</v>
      </c>
      <c r="H104" s="502" t="s">
        <v>36</v>
      </c>
      <c r="I104" s="502" t="s">
        <v>16</v>
      </c>
      <c r="J104" s="15" t="str">
        <f>+_xlfn.XLOOKUP(B104,INNOVACIÓN!A:A,INNOVACIÓN!B:B,"NO")</f>
        <v>NO</v>
      </c>
      <c r="K104" s="15" t="str">
        <f>+_xlfn.XLOOKUP(B104,MERMA!B:B,MERMA!C:C,"No")</f>
        <v>No</v>
      </c>
      <c r="L104" s="15" t="str">
        <f>+_xlfn.XLOOKUP(B104,MERMA!B:B,MERMA!D:D,"No es merma")</f>
        <v>No es merma</v>
      </c>
    </row>
    <row r="105" spans="1:12" s="15" hidden="1" x14ac:dyDescent="0.35">
      <c r="A105" s="15">
        <v>100025846</v>
      </c>
      <c r="B105" s="506">
        <v>75084134</v>
      </c>
      <c r="C105" s="15" t="s">
        <v>141</v>
      </c>
      <c r="D105" s="503" t="s">
        <v>44</v>
      </c>
      <c r="E105" s="503" t="s">
        <v>33</v>
      </c>
      <c r="F105" s="502" t="s">
        <v>46</v>
      </c>
      <c r="G105" s="503" t="s">
        <v>14</v>
      </c>
      <c r="H105" s="502" t="s">
        <v>36</v>
      </c>
      <c r="I105" s="502" t="s">
        <v>109</v>
      </c>
      <c r="J105" s="15" t="str">
        <f>+_xlfn.XLOOKUP(B105,INNOVACIÓN!A:A,INNOVACIÓN!B:B,"NO")</f>
        <v>NO</v>
      </c>
      <c r="K105" s="15" t="str">
        <f>+_xlfn.XLOOKUP(B105,MERMA!B:B,MERMA!C:C,"No")</f>
        <v>No</v>
      </c>
      <c r="L105" s="15" t="str">
        <f>+_xlfn.XLOOKUP(B105,MERMA!B:B,MERMA!D:D,"No es merma")</f>
        <v>No es merma</v>
      </c>
    </row>
    <row r="106" spans="1:12" s="15" x14ac:dyDescent="0.35">
      <c r="A106" s="15">
        <v>100025842</v>
      </c>
      <c r="B106" s="506">
        <v>75084189</v>
      </c>
      <c r="C106" s="15" t="s">
        <v>142</v>
      </c>
      <c r="D106" s="503" t="s">
        <v>44</v>
      </c>
      <c r="E106" s="503" t="s">
        <v>33</v>
      </c>
      <c r="F106" s="502" t="s">
        <v>46</v>
      </c>
      <c r="G106" s="503" t="s">
        <v>14</v>
      </c>
      <c r="H106" s="502" t="s">
        <v>36</v>
      </c>
      <c r="I106" s="502" t="s">
        <v>109</v>
      </c>
      <c r="J106" s="15" t="str">
        <f>+_xlfn.XLOOKUP(B106,INNOVACIÓN!A:A,INNOVACIÓN!B:B,"NO")</f>
        <v>NO</v>
      </c>
      <c r="K106" s="15" t="str">
        <f>+_xlfn.XLOOKUP(B106,MERMA!B:B,MERMA!C:C,"No")</f>
        <v>No</v>
      </c>
      <c r="L106" s="15" t="str">
        <f>+_xlfn.XLOOKUP(B106,MERMA!B:B,MERMA!D:D,"No es merma")</f>
        <v>No es merma</v>
      </c>
    </row>
    <row r="107" spans="1:12" s="15" hidden="1" x14ac:dyDescent="0.35">
      <c r="A107" s="503">
        <v>100020838</v>
      </c>
      <c r="B107" s="504">
        <v>75074944</v>
      </c>
      <c r="C107" s="503" t="s">
        <v>143</v>
      </c>
      <c r="D107" s="503" t="s">
        <v>44</v>
      </c>
      <c r="E107" s="503" t="s">
        <v>33</v>
      </c>
      <c r="F107" s="503" t="s">
        <v>46</v>
      </c>
      <c r="G107" s="503" t="s">
        <v>14</v>
      </c>
      <c r="H107" s="502" t="s">
        <v>36</v>
      </c>
      <c r="I107" s="502" t="s">
        <v>109</v>
      </c>
      <c r="J107" s="15" t="str">
        <f>+_xlfn.XLOOKUP(B107,INNOVACIÓN!A:A,INNOVACIÓN!B:B,"NO")</f>
        <v>NO</v>
      </c>
      <c r="K107" s="15" t="str">
        <f>+_xlfn.XLOOKUP(B107,MERMA!B:B,MERMA!C:C,"No")</f>
        <v>SI</v>
      </c>
      <c r="L107" s="15" t="str">
        <f>+_xlfn.XLOOKUP(B107,MERMA!B:B,MERMA!D:D,"No es merma")</f>
        <v>2026 H1</v>
      </c>
    </row>
    <row r="108" spans="1:12" s="15" hidden="1" x14ac:dyDescent="0.35">
      <c r="A108" s="503">
        <v>100019230</v>
      </c>
      <c r="B108" s="504">
        <v>75074982</v>
      </c>
      <c r="C108" s="503" t="s">
        <v>144</v>
      </c>
      <c r="D108" s="503" t="s">
        <v>44</v>
      </c>
      <c r="E108" s="503" t="s">
        <v>67</v>
      </c>
      <c r="F108" s="503" t="s">
        <v>46</v>
      </c>
      <c r="G108" s="503" t="s">
        <v>14</v>
      </c>
      <c r="H108" s="502" t="s">
        <v>36</v>
      </c>
      <c r="I108" s="502" t="s">
        <v>16</v>
      </c>
      <c r="J108" s="15" t="str">
        <f>+_xlfn.XLOOKUP(B108,INNOVACIÓN!A:A,INNOVACIÓN!B:B,"NO")</f>
        <v>NO</v>
      </c>
      <c r="K108" s="15" t="str">
        <f>+_xlfn.XLOOKUP(B108,MERMA!B:B,MERMA!C:C,"No")</f>
        <v>No</v>
      </c>
      <c r="L108" s="15" t="str">
        <f>+_xlfn.XLOOKUP(B108,MERMA!B:B,MERMA!D:D,"No es merma")</f>
        <v>No es merma</v>
      </c>
    </row>
    <row r="109" spans="1:12" s="15" hidden="1" x14ac:dyDescent="0.35">
      <c r="A109" s="15">
        <v>100025893</v>
      </c>
      <c r="B109" s="506">
        <v>7503039738447</v>
      </c>
      <c r="C109" s="15" t="s">
        <v>145</v>
      </c>
      <c r="D109" s="503" t="s">
        <v>44</v>
      </c>
      <c r="E109" s="503" t="s">
        <v>146</v>
      </c>
      <c r="F109" s="502" t="s">
        <v>13</v>
      </c>
      <c r="G109" s="503" t="s">
        <v>14</v>
      </c>
      <c r="H109" s="502" t="s">
        <v>15</v>
      </c>
      <c r="I109" s="502" t="s">
        <v>16</v>
      </c>
      <c r="J109" s="15" t="str">
        <f>+_xlfn.XLOOKUP(B109,INNOVACIÓN!A:A,INNOVACIÓN!B:B,"NO")</f>
        <v>NO</v>
      </c>
      <c r="K109" s="15" t="str">
        <f>+_xlfn.XLOOKUP(B109,MERMA!B:B,MERMA!C:C,"No")</f>
        <v>No</v>
      </c>
      <c r="L109" s="15" t="str">
        <f>+_xlfn.XLOOKUP(B109,MERMA!B:B,MERMA!D:D,"No es merma")</f>
        <v>No es merma</v>
      </c>
    </row>
    <row r="110" spans="1:12" s="15" hidden="1" x14ac:dyDescent="0.35">
      <c r="A110" s="15">
        <v>100026306</v>
      </c>
      <c r="B110" s="506">
        <v>7503039738584</v>
      </c>
      <c r="C110" s="15" t="s">
        <v>147</v>
      </c>
      <c r="D110" s="503" t="s">
        <v>44</v>
      </c>
      <c r="E110" s="503" t="s">
        <v>33</v>
      </c>
      <c r="F110" s="503" t="s">
        <v>13</v>
      </c>
      <c r="G110" s="503" t="s">
        <v>14</v>
      </c>
      <c r="H110" s="502" t="s">
        <v>15</v>
      </c>
      <c r="I110" s="502" t="s">
        <v>16</v>
      </c>
      <c r="J110" s="15" t="str">
        <f>+_xlfn.XLOOKUP(B110,INNOVACIÓN!A:A,INNOVACIÓN!B:B,"NO")</f>
        <v>NO</v>
      </c>
      <c r="K110" s="15" t="str">
        <f>+_xlfn.XLOOKUP(B110,MERMA!B:B,MERMA!C:C,"No")</f>
        <v>No</v>
      </c>
      <c r="L110" s="15" t="str">
        <f>+_xlfn.XLOOKUP(B110,MERMA!B:B,MERMA!D:D,"No es merma")</f>
        <v>No es merma</v>
      </c>
    </row>
    <row r="111" spans="1:12" s="15" hidden="1" x14ac:dyDescent="0.35">
      <c r="A111" s="15">
        <v>100024419</v>
      </c>
      <c r="B111" s="506">
        <v>7702303622080</v>
      </c>
      <c r="C111" s="15" t="s">
        <v>148</v>
      </c>
      <c r="D111" s="502" t="s">
        <v>44</v>
      </c>
      <c r="E111" s="502" t="s">
        <v>146</v>
      </c>
      <c r="F111" s="502" t="s">
        <v>13</v>
      </c>
      <c r="G111" s="503" t="s">
        <v>14</v>
      </c>
      <c r="H111" s="502" t="s">
        <v>15</v>
      </c>
      <c r="I111" s="502" t="s">
        <v>16</v>
      </c>
      <c r="J111" s="15" t="str">
        <f>+_xlfn.XLOOKUP(B111,INNOVACIÓN!A:A,INNOVACIÓN!B:B,"NO")</f>
        <v>NO</v>
      </c>
      <c r="K111" s="15" t="str">
        <f>+_xlfn.XLOOKUP(B111,MERMA!B:B,MERMA!C:C,"No")</f>
        <v>No</v>
      </c>
      <c r="L111" s="15" t="str">
        <f>+_xlfn.XLOOKUP(B111,MERMA!B:B,MERMA!D:D,"No es merma")</f>
        <v>No es merma</v>
      </c>
    </row>
    <row r="112" spans="1:12" s="15" hidden="1" x14ac:dyDescent="0.35">
      <c r="A112" s="15">
        <v>100026071</v>
      </c>
      <c r="B112" s="506">
        <v>7503039738508</v>
      </c>
      <c r="C112" s="15" t="s">
        <v>149</v>
      </c>
      <c r="D112" s="503" t="s">
        <v>44</v>
      </c>
      <c r="E112" s="503" t="s">
        <v>146</v>
      </c>
      <c r="F112" s="502" t="s">
        <v>13</v>
      </c>
      <c r="G112" s="503" t="s">
        <v>14</v>
      </c>
      <c r="H112" s="503" t="s">
        <v>15</v>
      </c>
      <c r="I112" s="502" t="s">
        <v>16</v>
      </c>
      <c r="J112" s="15" t="str">
        <f>+_xlfn.XLOOKUP(B112,INNOVACIÓN!A:A,INNOVACIÓN!B:B,"NO")</f>
        <v>NO</v>
      </c>
      <c r="K112" s="15" t="str">
        <f>+_xlfn.XLOOKUP(B112,MERMA!B:B,MERMA!C:C,"No")</f>
        <v>No</v>
      </c>
      <c r="L112" s="15" t="str">
        <f>+_xlfn.XLOOKUP(B112,MERMA!B:B,MERMA!D:D,"No es merma")</f>
        <v>No es merma</v>
      </c>
    </row>
    <row r="113" spans="1:12" s="15" hidden="1" x14ac:dyDescent="0.35">
      <c r="A113" s="15">
        <v>100024420</v>
      </c>
      <c r="B113" s="506">
        <v>7702303121477</v>
      </c>
      <c r="C113" s="15" t="s">
        <v>150</v>
      </c>
      <c r="D113" s="502" t="s">
        <v>44</v>
      </c>
      <c r="E113" s="502" t="s">
        <v>146</v>
      </c>
      <c r="F113" s="502" t="s">
        <v>13</v>
      </c>
      <c r="G113" s="503" t="s">
        <v>14</v>
      </c>
      <c r="H113" s="502" t="s">
        <v>15</v>
      </c>
      <c r="I113" s="502" t="s">
        <v>16</v>
      </c>
      <c r="J113" s="15" t="str">
        <f>+_xlfn.XLOOKUP(B113,INNOVACIÓN!A:A,INNOVACIÓN!B:B,"NO")</f>
        <v>NO</v>
      </c>
      <c r="K113" s="15" t="str">
        <f>+_xlfn.XLOOKUP(B113,MERMA!B:B,MERMA!C:C,"No")</f>
        <v>No</v>
      </c>
      <c r="L113" s="15" t="str">
        <f>+_xlfn.XLOOKUP(B113,MERMA!B:B,MERMA!D:D,"No es merma")</f>
        <v>No es merma</v>
      </c>
    </row>
    <row r="114" spans="1:12" s="15" hidden="1" x14ac:dyDescent="0.35">
      <c r="A114" s="506">
        <v>100016248</v>
      </c>
      <c r="B114" s="506">
        <v>25900000400</v>
      </c>
      <c r="C114" s="15" t="s">
        <v>151</v>
      </c>
      <c r="D114" s="503" t="s">
        <v>87</v>
      </c>
      <c r="E114" s="503" t="s">
        <v>33</v>
      </c>
      <c r="F114" s="503" t="s">
        <v>87</v>
      </c>
      <c r="G114" s="503" t="s">
        <v>87</v>
      </c>
      <c r="H114" s="503" t="s">
        <v>87</v>
      </c>
      <c r="I114" s="502" t="s">
        <v>16</v>
      </c>
      <c r="J114" s="15" t="str">
        <f>+_xlfn.XLOOKUP(B114,INNOVACIÓN!A:A,INNOVACIÓN!B:B,"NO")</f>
        <v>NO</v>
      </c>
      <c r="K114" s="15" t="str">
        <f>+_xlfn.XLOOKUP(B114,MERMA!B:B,MERMA!C:C,"No")</f>
        <v>No</v>
      </c>
      <c r="L114" s="15" t="str">
        <f>+_xlfn.XLOOKUP(B114,MERMA!B:B,MERMA!D:D,"No es merma")</f>
        <v>No es merma</v>
      </c>
    </row>
    <row r="115" spans="1:12" s="15" hidden="1" x14ac:dyDescent="0.35">
      <c r="A115" s="15">
        <v>100009364</v>
      </c>
      <c r="B115" s="506">
        <v>7503023648011</v>
      </c>
      <c r="C115" s="15" t="s">
        <v>152</v>
      </c>
      <c r="D115" s="503" t="s">
        <v>87</v>
      </c>
      <c r="E115" s="503" t="s">
        <v>33</v>
      </c>
      <c r="F115" s="503" t="s">
        <v>87</v>
      </c>
      <c r="G115" s="503" t="s">
        <v>87</v>
      </c>
      <c r="H115" s="503" t="s">
        <v>87</v>
      </c>
      <c r="I115" s="502" t="s">
        <v>16</v>
      </c>
      <c r="J115" s="15" t="str">
        <f>+_xlfn.XLOOKUP(B115,INNOVACIÓN!A:A,INNOVACIÓN!B:B,"NO")</f>
        <v>NO</v>
      </c>
      <c r="K115" s="15" t="str">
        <f>+_xlfn.XLOOKUP(B115,MERMA!B:B,MERMA!C:C,"No")</f>
        <v>No</v>
      </c>
      <c r="L115" s="15" t="str">
        <f>+_xlfn.XLOOKUP(B115,MERMA!B:B,MERMA!D:D,"No es merma")</f>
        <v>No es merma</v>
      </c>
    </row>
    <row r="116" spans="1:12" s="15" hidden="1" x14ac:dyDescent="0.35">
      <c r="A116" s="15">
        <v>100009359</v>
      </c>
      <c r="B116" s="506">
        <v>7503023648042</v>
      </c>
      <c r="C116" s="15" t="s">
        <v>153</v>
      </c>
      <c r="D116" s="503" t="s">
        <v>87</v>
      </c>
      <c r="E116" s="503" t="s">
        <v>33</v>
      </c>
      <c r="F116" s="503" t="s">
        <v>87</v>
      </c>
      <c r="G116" s="503" t="s">
        <v>87</v>
      </c>
      <c r="H116" s="503" t="s">
        <v>87</v>
      </c>
      <c r="I116" s="502" t="s">
        <v>16</v>
      </c>
      <c r="J116" s="15" t="str">
        <f>+_xlfn.XLOOKUP(B116,INNOVACIÓN!A:A,INNOVACIÓN!B:B,"NO")</f>
        <v>NO</v>
      </c>
      <c r="K116" s="15" t="str">
        <f>+_xlfn.XLOOKUP(B116,MERMA!B:B,MERMA!C:C,"No")</f>
        <v>No</v>
      </c>
      <c r="L116" s="15" t="str">
        <f>+_xlfn.XLOOKUP(B116,MERMA!B:B,MERMA!D:D,"No es merma")</f>
        <v>No es merma</v>
      </c>
    </row>
    <row r="117" spans="1:12" s="15" hidden="1" x14ac:dyDescent="0.35">
      <c r="A117" s="15">
        <v>100080381</v>
      </c>
      <c r="B117" s="506">
        <v>7501609501804</v>
      </c>
      <c r="C117" s="15" t="s">
        <v>154</v>
      </c>
      <c r="D117" s="503" t="s">
        <v>87</v>
      </c>
      <c r="E117" s="503" t="s">
        <v>33</v>
      </c>
      <c r="F117" s="503" t="s">
        <v>87</v>
      </c>
      <c r="G117" s="503" t="s">
        <v>87</v>
      </c>
      <c r="H117" s="503" t="s">
        <v>87</v>
      </c>
      <c r="I117" s="502" t="s">
        <v>16</v>
      </c>
      <c r="J117" s="15" t="str">
        <f>+_xlfn.XLOOKUP(B117,INNOVACIÓN!A:A,INNOVACIÓN!B:B,"NO")</f>
        <v>NO</v>
      </c>
      <c r="K117" s="15" t="str">
        <f>+_xlfn.XLOOKUP(B117,MERMA!B:B,MERMA!C:C,"No")</f>
        <v>No</v>
      </c>
      <c r="L117" s="15" t="str">
        <f>+_xlfn.XLOOKUP(B117,MERMA!B:B,MERMA!D:D,"No es merma")</f>
        <v>No es merma</v>
      </c>
    </row>
    <row r="118" spans="1:12" s="15" hidden="1" x14ac:dyDescent="0.35">
      <c r="A118" s="502">
        <v>100020133</v>
      </c>
      <c r="B118" s="505">
        <v>75075217</v>
      </c>
      <c r="C118" s="502" t="s">
        <v>155</v>
      </c>
      <c r="D118" s="503" t="s">
        <v>11</v>
      </c>
      <c r="E118" s="503" t="s">
        <v>156</v>
      </c>
      <c r="F118" s="503" t="s">
        <v>46</v>
      </c>
      <c r="G118" s="503" t="s">
        <v>14</v>
      </c>
      <c r="H118" s="502" t="s">
        <v>36</v>
      </c>
      <c r="I118" s="502" t="s">
        <v>16</v>
      </c>
      <c r="J118" s="15" t="str">
        <f>+_xlfn.XLOOKUP(B118,INNOVACIÓN!A:A,INNOVACIÓN!B:B,"NO")</f>
        <v>NO</v>
      </c>
      <c r="K118" s="15" t="str">
        <f>+_xlfn.XLOOKUP(B118,MERMA!B:B,MERMA!C:C,"No")</f>
        <v>No</v>
      </c>
      <c r="L118" s="15" t="str">
        <f>+_xlfn.XLOOKUP(B118,MERMA!B:B,MERMA!D:D,"No es merma")</f>
        <v>No es merma</v>
      </c>
    </row>
    <row r="119" spans="1:12" s="15" hidden="1" x14ac:dyDescent="0.35">
      <c r="A119" s="502">
        <v>100018656</v>
      </c>
      <c r="B119" s="505">
        <v>75001360</v>
      </c>
      <c r="C119" s="502" t="s">
        <v>157</v>
      </c>
      <c r="D119" s="502" t="s">
        <v>11</v>
      </c>
      <c r="E119" s="502" t="s">
        <v>156</v>
      </c>
      <c r="F119" s="502" t="s">
        <v>46</v>
      </c>
      <c r="G119" s="502" t="s">
        <v>14</v>
      </c>
      <c r="H119" s="502" t="s">
        <v>36</v>
      </c>
      <c r="I119" s="502" t="s">
        <v>16</v>
      </c>
      <c r="J119" s="15" t="str">
        <f>+_xlfn.XLOOKUP(B119,INNOVACIÓN!A:A,INNOVACIÓN!B:B,"NO")</f>
        <v>NO</v>
      </c>
      <c r="K119" s="15" t="str">
        <f>+_xlfn.XLOOKUP(B119,MERMA!B:B,MERMA!C:C,"No")</f>
        <v>No</v>
      </c>
      <c r="L119" s="15" t="str">
        <f>+_xlfn.XLOOKUP(B119,MERMA!B:B,MERMA!D:D,"No es merma")</f>
        <v>No es merma</v>
      </c>
    </row>
    <row r="120" spans="1:12" s="15" hidden="1" x14ac:dyDescent="0.35">
      <c r="A120" s="503">
        <v>100018872</v>
      </c>
      <c r="B120" s="505">
        <v>75001384</v>
      </c>
      <c r="C120" s="503" t="s">
        <v>158</v>
      </c>
      <c r="D120" s="503" t="s">
        <v>11</v>
      </c>
      <c r="E120" s="503" t="s">
        <v>156</v>
      </c>
      <c r="F120" s="503" t="s">
        <v>46</v>
      </c>
      <c r="G120" s="503" t="s">
        <v>54</v>
      </c>
      <c r="H120" s="502" t="s">
        <v>36</v>
      </c>
      <c r="I120" s="502" t="s">
        <v>16</v>
      </c>
      <c r="J120" s="15" t="str">
        <f>+_xlfn.XLOOKUP(B120,INNOVACIÓN!A:A,INNOVACIÓN!B:B,"NO")</f>
        <v>NO</v>
      </c>
      <c r="K120" s="15" t="str">
        <f>+_xlfn.XLOOKUP(B120,MERMA!B:B,MERMA!C:C,"No")</f>
        <v>No</v>
      </c>
      <c r="L120" s="15" t="str">
        <f>+_xlfn.XLOOKUP(B120,MERMA!B:B,MERMA!D:D,"No es merma")</f>
        <v>No es merma</v>
      </c>
    </row>
    <row r="121" spans="1:12" s="15" hidden="1" x14ac:dyDescent="0.35">
      <c r="A121" s="503">
        <v>100021790</v>
      </c>
      <c r="B121" s="505">
        <v>75019006</v>
      </c>
      <c r="C121" s="503" t="s">
        <v>159</v>
      </c>
      <c r="D121" s="503" t="s">
        <v>11</v>
      </c>
      <c r="E121" s="503" t="s">
        <v>156</v>
      </c>
      <c r="F121" s="503" t="s">
        <v>46</v>
      </c>
      <c r="G121" s="503" t="s">
        <v>14</v>
      </c>
      <c r="H121" s="502" t="s">
        <v>36</v>
      </c>
      <c r="I121" s="502" t="s">
        <v>16</v>
      </c>
      <c r="J121" s="15" t="str">
        <f>+_xlfn.XLOOKUP(B121,INNOVACIÓN!A:A,INNOVACIÓN!B:B,"NO")</f>
        <v>NO</v>
      </c>
      <c r="K121" s="15" t="str">
        <f>+_xlfn.XLOOKUP(B121,MERMA!B:B,MERMA!C:C,"No")</f>
        <v>No</v>
      </c>
      <c r="L121" s="15" t="str">
        <f>+_xlfn.XLOOKUP(B121,MERMA!B:B,MERMA!D:D,"No es merma")</f>
        <v>No es merma</v>
      </c>
    </row>
    <row r="122" spans="1:12" s="15" hidden="1" x14ac:dyDescent="0.35">
      <c r="A122" s="503">
        <v>100014868</v>
      </c>
      <c r="B122" s="505">
        <v>75068769</v>
      </c>
      <c r="C122" s="503" t="s">
        <v>160</v>
      </c>
      <c r="D122" s="503" t="s">
        <v>11</v>
      </c>
      <c r="E122" s="503" t="s">
        <v>161</v>
      </c>
      <c r="F122" s="503" t="s">
        <v>39</v>
      </c>
      <c r="G122" s="503" t="s">
        <v>14</v>
      </c>
      <c r="H122" s="502" t="s">
        <v>36</v>
      </c>
      <c r="I122" s="502" t="s">
        <v>16</v>
      </c>
      <c r="J122" s="15" t="str">
        <f>+_xlfn.XLOOKUP(B122,INNOVACIÓN!A:A,INNOVACIÓN!B:B,"NO")</f>
        <v>NO</v>
      </c>
      <c r="K122" s="15" t="str">
        <f>+_xlfn.XLOOKUP(B122,MERMA!B:B,MERMA!C:C,"No")</f>
        <v>No</v>
      </c>
      <c r="L122" s="15" t="str">
        <f>+_xlfn.XLOOKUP(B122,MERMA!B:B,MERMA!D:D,"No es merma")</f>
        <v>No es merma</v>
      </c>
    </row>
    <row r="123" spans="1:12" s="15" hidden="1" x14ac:dyDescent="0.35">
      <c r="A123" s="15">
        <v>100025332</v>
      </c>
      <c r="B123" s="506">
        <v>75032807</v>
      </c>
      <c r="C123" s="15" t="s">
        <v>162</v>
      </c>
      <c r="D123" s="503" t="s">
        <v>11</v>
      </c>
      <c r="E123" s="503" t="s">
        <v>33</v>
      </c>
      <c r="F123" s="502" t="s">
        <v>46</v>
      </c>
      <c r="G123" s="502" t="s">
        <v>14</v>
      </c>
      <c r="H123" s="502" t="s">
        <v>36</v>
      </c>
      <c r="I123" s="502" t="s">
        <v>109</v>
      </c>
      <c r="J123" s="15" t="str">
        <f>+_xlfn.XLOOKUP(B123,INNOVACIÓN!A:A,INNOVACIÓN!B:B,"NO")</f>
        <v>NO</v>
      </c>
      <c r="K123" s="15" t="str">
        <f>+_xlfn.XLOOKUP(B123,MERMA!B:B,MERMA!C:C,"No")</f>
        <v>No</v>
      </c>
      <c r="L123" s="15" t="str">
        <f>+_xlfn.XLOOKUP(B123,MERMA!B:B,MERMA!D:D,"No es merma")</f>
        <v>No es merma</v>
      </c>
    </row>
    <row r="124" spans="1:12" s="15" hidden="1" x14ac:dyDescent="0.35">
      <c r="A124" s="502">
        <v>100013110</v>
      </c>
      <c r="B124" s="505">
        <v>75065515</v>
      </c>
      <c r="C124" s="502" t="s">
        <v>163</v>
      </c>
      <c r="D124" s="502" t="s">
        <v>11</v>
      </c>
      <c r="E124" s="502" t="s">
        <v>161</v>
      </c>
      <c r="F124" s="502" t="s">
        <v>39</v>
      </c>
      <c r="G124" s="502" t="s">
        <v>14</v>
      </c>
      <c r="H124" s="502" t="s">
        <v>36</v>
      </c>
      <c r="I124" s="502" t="s">
        <v>16</v>
      </c>
      <c r="J124" s="15" t="str">
        <f>+_xlfn.XLOOKUP(B124,INNOVACIÓN!A:A,INNOVACIÓN!B:B,"NO")</f>
        <v>NO</v>
      </c>
      <c r="K124" s="15" t="str">
        <f>+_xlfn.XLOOKUP(B124,MERMA!B:B,MERMA!C:C,"No")</f>
        <v>No</v>
      </c>
      <c r="L124" s="15" t="str">
        <f>+_xlfn.XLOOKUP(B124,MERMA!B:B,MERMA!D:D,"No es merma")</f>
        <v>No es merma</v>
      </c>
    </row>
    <row r="125" spans="1:12" s="15" hidden="1" x14ac:dyDescent="0.35">
      <c r="A125" s="503">
        <v>100014711</v>
      </c>
      <c r="B125" s="505">
        <v>75068783</v>
      </c>
      <c r="C125" s="503" t="s">
        <v>164</v>
      </c>
      <c r="D125" s="503" t="s">
        <v>11</v>
      </c>
      <c r="E125" s="503" t="s">
        <v>161</v>
      </c>
      <c r="F125" s="503" t="s">
        <v>39</v>
      </c>
      <c r="G125" s="503" t="s">
        <v>14</v>
      </c>
      <c r="H125" s="502" t="s">
        <v>36</v>
      </c>
      <c r="I125" s="502" t="s">
        <v>16</v>
      </c>
      <c r="J125" s="15" t="str">
        <f>+_xlfn.XLOOKUP(B125,INNOVACIÓN!A:A,INNOVACIÓN!B:B,"NO")</f>
        <v>NO</v>
      </c>
      <c r="K125" s="15" t="str">
        <f>+_xlfn.XLOOKUP(B125,MERMA!B:B,MERMA!C:C,"No")</f>
        <v>No</v>
      </c>
      <c r="L125" s="15" t="str">
        <f>+_xlfn.XLOOKUP(B125,MERMA!B:B,MERMA!D:D,"No es merma")</f>
        <v>No es merma</v>
      </c>
    </row>
    <row r="126" spans="1:12" s="15" hidden="1" x14ac:dyDescent="0.35">
      <c r="A126" s="502">
        <v>100014569</v>
      </c>
      <c r="B126" s="505">
        <v>75068813</v>
      </c>
      <c r="C126" s="502" t="s">
        <v>165</v>
      </c>
      <c r="D126" s="502" t="s">
        <v>11</v>
      </c>
      <c r="E126" s="502" t="s">
        <v>161</v>
      </c>
      <c r="F126" s="502" t="s">
        <v>39</v>
      </c>
      <c r="G126" s="502" t="s">
        <v>54</v>
      </c>
      <c r="H126" s="502" t="s">
        <v>36</v>
      </c>
      <c r="I126" s="502" t="s">
        <v>16</v>
      </c>
      <c r="J126" s="15" t="str">
        <f>+_xlfn.XLOOKUP(B126,INNOVACIÓN!A:A,INNOVACIÓN!B:B,"NO")</f>
        <v>NO</v>
      </c>
      <c r="K126" s="15" t="str">
        <f>+_xlfn.XLOOKUP(B126,MERMA!B:B,MERMA!C:C,"No")</f>
        <v>No</v>
      </c>
      <c r="L126" s="15" t="str">
        <f>+_xlfn.XLOOKUP(B126,MERMA!B:B,MERMA!D:D,"No es merma")</f>
        <v>No es merma</v>
      </c>
    </row>
    <row r="127" spans="1:12" s="15" hidden="1" x14ac:dyDescent="0.35">
      <c r="A127" s="15">
        <v>100024881</v>
      </c>
      <c r="B127" s="506">
        <v>75082345</v>
      </c>
      <c r="C127" s="15" t="s">
        <v>166</v>
      </c>
      <c r="D127" s="503" t="s">
        <v>11</v>
      </c>
      <c r="E127" s="15" t="s">
        <v>161</v>
      </c>
      <c r="F127" s="502" t="s">
        <v>46</v>
      </c>
      <c r="G127" s="502" t="s">
        <v>14</v>
      </c>
      <c r="H127" s="502" t="s">
        <v>36</v>
      </c>
      <c r="I127" s="502" t="s">
        <v>16</v>
      </c>
      <c r="J127" s="15" t="str">
        <f>+_xlfn.XLOOKUP(B127,INNOVACIÓN!A:A,INNOVACIÓN!B:B,"NO")</f>
        <v>NO</v>
      </c>
      <c r="K127" s="15" t="str">
        <f>+_xlfn.XLOOKUP(B127,MERMA!B:B,MERMA!C:C,"No")</f>
        <v>No</v>
      </c>
      <c r="L127" s="15" t="str">
        <f>+_xlfn.XLOOKUP(B127,MERMA!B:B,MERMA!D:D,"No es merma")</f>
        <v>No es merma</v>
      </c>
    </row>
    <row r="128" spans="1:12" s="15" hidden="1" x14ac:dyDescent="0.35">
      <c r="A128" s="503">
        <v>100023312</v>
      </c>
      <c r="B128" s="505">
        <v>75006297</v>
      </c>
      <c r="C128" s="503" t="s">
        <v>167</v>
      </c>
      <c r="D128" s="503" t="s">
        <v>11</v>
      </c>
      <c r="E128" s="503" t="s">
        <v>168</v>
      </c>
      <c r="F128" s="503" t="s">
        <v>41</v>
      </c>
      <c r="G128" s="503" t="s">
        <v>54</v>
      </c>
      <c r="H128" s="502" t="s">
        <v>36</v>
      </c>
      <c r="I128" s="502" t="s">
        <v>16</v>
      </c>
      <c r="J128" s="15" t="str">
        <f>+_xlfn.XLOOKUP(B128,INNOVACIÓN!A:A,INNOVACIÓN!B:B,"NO")</f>
        <v>NO</v>
      </c>
      <c r="K128" s="15" t="str">
        <f>+_xlfn.XLOOKUP(B128,MERMA!B:B,MERMA!C:C,"No")</f>
        <v>No</v>
      </c>
      <c r="L128" s="15" t="str">
        <f>+_xlfn.XLOOKUP(B128,MERMA!B:B,MERMA!D:D,"No es merma")</f>
        <v>No es merma</v>
      </c>
    </row>
    <row r="129" spans="1:12" s="15" hidden="1" x14ac:dyDescent="0.35">
      <c r="A129" s="502">
        <v>100023311</v>
      </c>
      <c r="B129" s="505">
        <v>75006266</v>
      </c>
      <c r="C129" s="502" t="s">
        <v>169</v>
      </c>
      <c r="D129" s="502" t="s">
        <v>11</v>
      </c>
      <c r="E129" s="502" t="s">
        <v>168</v>
      </c>
      <c r="F129" s="502" t="s">
        <v>41</v>
      </c>
      <c r="G129" s="502" t="s">
        <v>71</v>
      </c>
      <c r="H129" s="502" t="s">
        <v>36</v>
      </c>
      <c r="I129" s="502" t="s">
        <v>16</v>
      </c>
      <c r="J129" s="15" t="str">
        <f>+_xlfn.XLOOKUP(B129,INNOVACIÓN!A:A,INNOVACIÓN!B:B,"NO")</f>
        <v>NO</v>
      </c>
      <c r="K129" s="15" t="str">
        <f>+_xlfn.XLOOKUP(B129,MERMA!B:B,MERMA!C:C,"No")</f>
        <v>No</v>
      </c>
      <c r="L129" s="15" t="str">
        <f>+_xlfn.XLOOKUP(B129,MERMA!B:B,MERMA!D:D,"No es merma")</f>
        <v>No es merma</v>
      </c>
    </row>
    <row r="130" spans="1:12" s="15" hidden="1" x14ac:dyDescent="0.35">
      <c r="A130" s="502">
        <v>100024134</v>
      </c>
      <c r="B130" s="505">
        <v>75006587</v>
      </c>
      <c r="C130" s="502" t="s">
        <v>170</v>
      </c>
      <c r="D130" s="503" t="s">
        <v>11</v>
      </c>
      <c r="E130" s="503" t="s">
        <v>33</v>
      </c>
      <c r="F130" s="503" t="s">
        <v>46</v>
      </c>
      <c r="G130" s="503" t="s">
        <v>14</v>
      </c>
      <c r="H130" s="502" t="s">
        <v>36</v>
      </c>
      <c r="I130" s="502" t="s">
        <v>109</v>
      </c>
      <c r="J130" s="15" t="str">
        <f>+_xlfn.XLOOKUP(B130,INNOVACIÓN!A:A,INNOVACIÓN!B:B,"NO")</f>
        <v>NO</v>
      </c>
      <c r="K130" s="15" t="str">
        <f>+_xlfn.XLOOKUP(B130,MERMA!B:B,MERMA!C:C,"No")</f>
        <v>SI</v>
      </c>
      <c r="L130" s="15">
        <f>+_xlfn.XLOOKUP(B130,MERMA!B:B,MERMA!D:D,"No es merma")</f>
        <v>2025</v>
      </c>
    </row>
    <row r="131" spans="1:12" s="15" hidden="1" x14ac:dyDescent="0.35">
      <c r="A131" s="503">
        <v>100080928</v>
      </c>
      <c r="B131" s="505">
        <v>75044916</v>
      </c>
      <c r="C131" s="503" t="s">
        <v>171</v>
      </c>
      <c r="D131" s="503" t="s">
        <v>11</v>
      </c>
      <c r="E131" s="503" t="s">
        <v>161</v>
      </c>
      <c r="F131" s="503" t="s">
        <v>39</v>
      </c>
      <c r="G131" s="503" t="s">
        <v>14</v>
      </c>
      <c r="H131" s="502" t="s">
        <v>36</v>
      </c>
      <c r="I131" s="502" t="s">
        <v>16</v>
      </c>
      <c r="J131" s="15" t="str">
        <f>+_xlfn.XLOOKUP(B131,INNOVACIÓN!A:A,INNOVACIÓN!B:B,"NO")</f>
        <v>NO</v>
      </c>
      <c r="K131" s="15" t="str">
        <f>+_xlfn.XLOOKUP(B131,MERMA!B:B,MERMA!C:C,"No")</f>
        <v>No</v>
      </c>
      <c r="L131" s="15" t="str">
        <f>+_xlfn.XLOOKUP(B131,MERMA!B:B,MERMA!D:D,"No es merma")</f>
        <v>No es merma</v>
      </c>
    </row>
    <row r="132" spans="1:12" s="15" hidden="1" x14ac:dyDescent="0.35">
      <c r="A132" s="503">
        <v>100015186</v>
      </c>
      <c r="B132" s="505">
        <v>75068844</v>
      </c>
      <c r="C132" s="503" t="s">
        <v>172</v>
      </c>
      <c r="D132" s="503" t="s">
        <v>11</v>
      </c>
      <c r="E132" s="503" t="s">
        <v>161</v>
      </c>
      <c r="F132" s="503" t="s">
        <v>39</v>
      </c>
      <c r="G132" s="503" t="s">
        <v>71</v>
      </c>
      <c r="H132" s="502" t="s">
        <v>36</v>
      </c>
      <c r="I132" s="502" t="s">
        <v>16</v>
      </c>
      <c r="J132" s="15" t="str">
        <f>+_xlfn.XLOOKUP(B132,INNOVACIÓN!A:A,INNOVACIÓN!B:B,"NO")</f>
        <v>NO</v>
      </c>
      <c r="K132" s="15" t="str">
        <f>+_xlfn.XLOOKUP(B132,MERMA!B:B,MERMA!C:C,"No")</f>
        <v>No</v>
      </c>
      <c r="L132" s="15" t="str">
        <f>+_xlfn.XLOOKUP(B132,MERMA!B:B,MERMA!D:D,"No es merma")</f>
        <v>No es merma</v>
      </c>
    </row>
    <row r="133" spans="1:12" s="15" hidden="1" x14ac:dyDescent="0.35">
      <c r="A133" s="503">
        <v>100015037</v>
      </c>
      <c r="B133" s="505">
        <v>75068745</v>
      </c>
      <c r="C133" s="503" t="s">
        <v>173</v>
      </c>
      <c r="D133" s="503" t="s">
        <v>11</v>
      </c>
      <c r="E133" s="503" t="s">
        <v>161</v>
      </c>
      <c r="F133" s="503" t="s">
        <v>39</v>
      </c>
      <c r="G133" s="503" t="s">
        <v>71</v>
      </c>
      <c r="H133" s="502" t="s">
        <v>36</v>
      </c>
      <c r="I133" s="502" t="s">
        <v>16</v>
      </c>
      <c r="J133" s="15" t="str">
        <f>+_xlfn.XLOOKUP(B133,INNOVACIÓN!A:A,INNOVACIÓN!B:B,"NO")</f>
        <v>NO</v>
      </c>
      <c r="K133" s="15" t="str">
        <f>+_xlfn.XLOOKUP(B133,MERMA!B:B,MERMA!C:C,"No")</f>
        <v>No</v>
      </c>
      <c r="L133" s="15" t="str">
        <f>+_xlfn.XLOOKUP(B133,MERMA!B:B,MERMA!D:D,"No es merma")</f>
        <v>No es merma</v>
      </c>
    </row>
    <row r="134" spans="1:12" s="15" hidden="1" x14ac:dyDescent="0.35">
      <c r="A134" s="502">
        <v>100014570</v>
      </c>
      <c r="B134" s="505">
        <v>75068738</v>
      </c>
      <c r="C134" s="502" t="s">
        <v>174</v>
      </c>
      <c r="D134" s="502" t="s">
        <v>11</v>
      </c>
      <c r="E134" s="502" t="s">
        <v>161</v>
      </c>
      <c r="F134" s="502" t="s">
        <v>39</v>
      </c>
      <c r="G134" s="502" t="s">
        <v>71</v>
      </c>
      <c r="H134" s="502" t="s">
        <v>36</v>
      </c>
      <c r="I134" s="502" t="s">
        <v>16</v>
      </c>
      <c r="J134" s="15" t="str">
        <f>+_xlfn.XLOOKUP(B134,INNOVACIÓN!A:A,INNOVACIÓN!B:B,"NO")</f>
        <v>NO</v>
      </c>
      <c r="K134" s="15" t="str">
        <f>+_xlfn.XLOOKUP(B134,MERMA!B:B,MERMA!C:C,"No")</f>
        <v>No</v>
      </c>
      <c r="L134" s="15" t="str">
        <f>+_xlfn.XLOOKUP(B134,MERMA!B:B,MERMA!D:D,"No es merma")</f>
        <v>No es merma</v>
      </c>
    </row>
    <row r="135" spans="1:12" s="15" hidden="1" x14ac:dyDescent="0.35">
      <c r="A135" s="503">
        <v>100013136</v>
      </c>
      <c r="B135" s="505">
        <v>75066345</v>
      </c>
      <c r="C135" s="503" t="s">
        <v>175</v>
      </c>
      <c r="D135" s="503" t="s">
        <v>11</v>
      </c>
      <c r="E135" s="503" t="s">
        <v>161</v>
      </c>
      <c r="F135" s="503" t="s">
        <v>46</v>
      </c>
      <c r="G135" s="503" t="s">
        <v>14</v>
      </c>
      <c r="H135" s="502" t="s">
        <v>36</v>
      </c>
      <c r="I135" s="502" t="s">
        <v>16</v>
      </c>
      <c r="J135" s="15" t="str">
        <f>+_xlfn.XLOOKUP(B135,INNOVACIÓN!A:A,INNOVACIÓN!B:B,"NO")</f>
        <v>NO</v>
      </c>
      <c r="K135" s="15" t="str">
        <f>+_xlfn.XLOOKUP(B135,MERMA!B:B,MERMA!C:C,"No")</f>
        <v>No</v>
      </c>
      <c r="L135" s="15" t="str">
        <f>+_xlfn.XLOOKUP(B135,MERMA!B:B,MERMA!D:D,"No es merma")</f>
        <v>No es merma</v>
      </c>
    </row>
    <row r="136" spans="1:12" s="15" hidden="1" x14ac:dyDescent="0.35">
      <c r="A136" s="503">
        <v>101000062</v>
      </c>
      <c r="B136" s="505">
        <v>75006372</v>
      </c>
      <c r="C136" s="503" t="s">
        <v>176</v>
      </c>
      <c r="D136" s="503" t="s">
        <v>11</v>
      </c>
      <c r="E136" s="503" t="s">
        <v>33</v>
      </c>
      <c r="F136" s="503" t="s">
        <v>46</v>
      </c>
      <c r="G136" s="503" t="s">
        <v>14</v>
      </c>
      <c r="H136" s="502" t="s">
        <v>36</v>
      </c>
      <c r="I136" s="502" t="s">
        <v>109</v>
      </c>
      <c r="J136" s="15" t="str">
        <f>+_xlfn.XLOOKUP(B136,INNOVACIÓN!A:A,INNOVACIÓN!B:B,"NO")</f>
        <v>NO</v>
      </c>
      <c r="K136" s="15" t="str">
        <f>+_xlfn.XLOOKUP(B136,MERMA!B:B,MERMA!C:C,"No")</f>
        <v>No</v>
      </c>
      <c r="L136" s="15" t="str">
        <f>+_xlfn.XLOOKUP(B136,MERMA!B:B,MERMA!D:D,"No es merma")</f>
        <v>No es merma</v>
      </c>
    </row>
    <row r="137" spans="1:12" s="15" hidden="1" x14ac:dyDescent="0.35">
      <c r="A137" s="502">
        <v>100022336</v>
      </c>
      <c r="B137" s="505">
        <v>75066413</v>
      </c>
      <c r="C137" s="502" t="s">
        <v>177</v>
      </c>
      <c r="D137" s="502" t="s">
        <v>11</v>
      </c>
      <c r="E137" s="502" t="s">
        <v>168</v>
      </c>
      <c r="F137" s="502" t="s">
        <v>41</v>
      </c>
      <c r="G137" s="502" t="s">
        <v>35</v>
      </c>
      <c r="H137" s="502" t="s">
        <v>36</v>
      </c>
      <c r="I137" s="502" t="s">
        <v>16</v>
      </c>
      <c r="J137" s="15" t="str">
        <f>+_xlfn.XLOOKUP(B137,INNOVACIÓN!A:A,INNOVACIÓN!B:B,"NO")</f>
        <v>NO</v>
      </c>
      <c r="K137" s="15" t="str">
        <f>+_xlfn.XLOOKUP(B137,MERMA!B:B,MERMA!C:C,"No")</f>
        <v>No</v>
      </c>
      <c r="L137" s="15" t="str">
        <f>+_xlfn.XLOOKUP(B137,MERMA!B:B,MERMA!D:D,"No es merma")</f>
        <v>No es merma</v>
      </c>
    </row>
    <row r="138" spans="1:12" s="15" hidden="1" x14ac:dyDescent="0.35">
      <c r="A138" s="503">
        <v>100022523</v>
      </c>
      <c r="B138" s="505">
        <v>75019563</v>
      </c>
      <c r="C138" s="503" t="s">
        <v>178</v>
      </c>
      <c r="D138" s="503" t="s">
        <v>11</v>
      </c>
      <c r="E138" s="503" t="s">
        <v>168</v>
      </c>
      <c r="F138" s="503" t="s">
        <v>41</v>
      </c>
      <c r="G138" s="503" t="s">
        <v>35</v>
      </c>
      <c r="H138" s="502" t="s">
        <v>36</v>
      </c>
      <c r="I138" s="502" t="s">
        <v>16</v>
      </c>
      <c r="J138" s="15" t="str">
        <f>+_xlfn.XLOOKUP(B138,INNOVACIÓN!A:A,INNOVACIÓN!B:B,"NO")</f>
        <v>NO</v>
      </c>
      <c r="K138" s="15" t="str">
        <f>+_xlfn.XLOOKUP(B138,MERMA!B:B,MERMA!C:C,"No")</f>
        <v>No</v>
      </c>
      <c r="L138" s="15" t="str">
        <f>+_xlfn.XLOOKUP(B138,MERMA!B:B,MERMA!D:D,"No es merma")</f>
        <v>No es merma</v>
      </c>
    </row>
    <row r="139" spans="1:12" s="15" hidden="1" x14ac:dyDescent="0.35">
      <c r="A139" s="502">
        <v>100022965</v>
      </c>
      <c r="B139" s="505">
        <v>75019570</v>
      </c>
      <c r="C139" s="502" t="s">
        <v>179</v>
      </c>
      <c r="D139" s="502" t="s">
        <v>11</v>
      </c>
      <c r="E139" s="502" t="s">
        <v>168</v>
      </c>
      <c r="F139" s="502" t="s">
        <v>41</v>
      </c>
      <c r="G139" s="502" t="s">
        <v>71</v>
      </c>
      <c r="H139" s="502" t="s">
        <v>36</v>
      </c>
      <c r="I139" s="502" t="s">
        <v>16</v>
      </c>
      <c r="J139" s="15" t="str">
        <f>+_xlfn.XLOOKUP(B139,INNOVACIÓN!A:A,INNOVACIÓN!B:B,"NO")</f>
        <v>NO</v>
      </c>
      <c r="K139" s="15" t="str">
        <f>+_xlfn.XLOOKUP(B139,MERMA!B:B,MERMA!C:C,"No")</f>
        <v>No</v>
      </c>
      <c r="L139" s="15" t="str">
        <f>+_xlfn.XLOOKUP(B139,MERMA!B:B,MERMA!D:D,"No es merma")</f>
        <v>No es merma</v>
      </c>
    </row>
    <row r="140" spans="1:12" s="15" hidden="1" x14ac:dyDescent="0.35">
      <c r="A140" s="502">
        <v>100022335</v>
      </c>
      <c r="B140" s="505">
        <v>75019587</v>
      </c>
      <c r="C140" s="502" t="s">
        <v>180</v>
      </c>
      <c r="D140" s="502" t="s">
        <v>11</v>
      </c>
      <c r="E140" s="502" t="s">
        <v>168</v>
      </c>
      <c r="F140" s="502" t="s">
        <v>41</v>
      </c>
      <c r="G140" s="502" t="s">
        <v>35</v>
      </c>
      <c r="H140" s="502" t="s">
        <v>36</v>
      </c>
      <c r="I140" s="502" t="s">
        <v>16</v>
      </c>
      <c r="J140" s="15" t="str">
        <f>+_xlfn.XLOOKUP(B140,INNOVACIÓN!A:A,INNOVACIÓN!B:B,"NO")</f>
        <v>NO</v>
      </c>
      <c r="K140" s="15" t="str">
        <f>+_xlfn.XLOOKUP(B140,MERMA!B:B,MERMA!C:C,"No")</f>
        <v>No</v>
      </c>
      <c r="L140" s="15" t="str">
        <f>+_xlfn.XLOOKUP(B140,MERMA!B:B,MERMA!D:D,"No es merma")</f>
        <v>No es merma</v>
      </c>
    </row>
    <row r="141" spans="1:12" s="15" hidden="1" x14ac:dyDescent="0.35">
      <c r="A141" s="502">
        <v>100080028</v>
      </c>
      <c r="B141" s="505">
        <v>75001315</v>
      </c>
      <c r="C141" s="502" t="s">
        <v>181</v>
      </c>
      <c r="D141" s="502" t="s">
        <v>11</v>
      </c>
      <c r="E141" s="502" t="s">
        <v>161</v>
      </c>
      <c r="F141" s="502" t="s">
        <v>39</v>
      </c>
      <c r="G141" s="502" t="s">
        <v>35</v>
      </c>
      <c r="H141" s="502" t="s">
        <v>36</v>
      </c>
      <c r="I141" s="502" t="s">
        <v>16</v>
      </c>
      <c r="J141" s="15" t="str">
        <f>+_xlfn.XLOOKUP(B141,INNOVACIÓN!A:A,INNOVACIÓN!B:B,"NO")</f>
        <v>NO</v>
      </c>
      <c r="K141" s="15" t="str">
        <f>+_xlfn.XLOOKUP(B141,MERMA!B:B,MERMA!C:C,"No")</f>
        <v>No</v>
      </c>
      <c r="L141" s="15" t="str">
        <f>+_xlfn.XLOOKUP(B141,MERMA!B:B,MERMA!D:D,"No es merma")</f>
        <v>No es merma</v>
      </c>
    </row>
    <row r="142" spans="1:12" s="15" hidden="1" x14ac:dyDescent="0.35">
      <c r="A142" s="503">
        <v>100080027</v>
      </c>
      <c r="B142" s="505">
        <v>75001322</v>
      </c>
      <c r="C142" s="503" t="s">
        <v>182</v>
      </c>
      <c r="D142" s="503" t="s">
        <v>11</v>
      </c>
      <c r="E142" s="503" t="s">
        <v>161</v>
      </c>
      <c r="F142" s="503" t="s">
        <v>39</v>
      </c>
      <c r="G142" s="503" t="s">
        <v>35</v>
      </c>
      <c r="H142" s="502" t="s">
        <v>36</v>
      </c>
      <c r="I142" s="502" t="s">
        <v>16</v>
      </c>
      <c r="J142" s="15" t="str">
        <f>+_xlfn.XLOOKUP(B142,INNOVACIÓN!A:A,INNOVACIÓN!B:B,"NO")</f>
        <v>NO</v>
      </c>
      <c r="K142" s="15" t="str">
        <f>+_xlfn.XLOOKUP(B142,MERMA!B:B,MERMA!C:C,"No")</f>
        <v>No</v>
      </c>
      <c r="L142" s="15" t="str">
        <f>+_xlfn.XLOOKUP(B142,MERMA!B:B,MERMA!D:D,"No es merma")</f>
        <v>No es merma</v>
      </c>
    </row>
    <row r="143" spans="1:12" s="15" hidden="1" x14ac:dyDescent="0.35">
      <c r="A143" s="502">
        <v>100080257</v>
      </c>
      <c r="B143" s="505">
        <v>75001339</v>
      </c>
      <c r="C143" s="502" t="s">
        <v>183</v>
      </c>
      <c r="D143" s="502" t="s">
        <v>11</v>
      </c>
      <c r="E143" s="502" t="s">
        <v>161</v>
      </c>
      <c r="F143" s="502" t="s">
        <v>39</v>
      </c>
      <c r="G143" s="502" t="s">
        <v>35</v>
      </c>
      <c r="H143" s="502" t="s">
        <v>36</v>
      </c>
      <c r="I143" s="502" t="s">
        <v>16</v>
      </c>
      <c r="J143" s="15" t="str">
        <f>+_xlfn.XLOOKUP(B143,INNOVACIÓN!A:A,INNOVACIÓN!B:B,"NO")</f>
        <v>NO</v>
      </c>
      <c r="K143" s="15" t="str">
        <f>+_xlfn.XLOOKUP(B143,MERMA!B:B,MERMA!C:C,"No")</f>
        <v>No</v>
      </c>
      <c r="L143" s="15" t="str">
        <f>+_xlfn.XLOOKUP(B143,MERMA!B:B,MERMA!D:D,"No es merma")</f>
        <v>No es merma</v>
      </c>
    </row>
    <row r="144" spans="1:12" s="15" hidden="1" x14ac:dyDescent="0.35">
      <c r="A144" s="503">
        <v>100080820</v>
      </c>
      <c r="B144" s="505">
        <v>75031053</v>
      </c>
      <c r="C144" s="503" t="s">
        <v>184</v>
      </c>
      <c r="D144" s="503" t="s">
        <v>11</v>
      </c>
      <c r="E144" s="503" t="s">
        <v>161</v>
      </c>
      <c r="F144" s="503" t="s">
        <v>39</v>
      </c>
      <c r="G144" s="503" t="s">
        <v>54</v>
      </c>
      <c r="H144" s="502" t="s">
        <v>36</v>
      </c>
      <c r="I144" s="502" t="s">
        <v>16</v>
      </c>
      <c r="J144" s="15" t="str">
        <f>+_xlfn.XLOOKUP(B144,INNOVACIÓN!A:A,INNOVACIÓN!B:B,"NO")</f>
        <v>NO</v>
      </c>
      <c r="K144" s="15" t="str">
        <f>+_xlfn.XLOOKUP(B144,MERMA!B:B,MERMA!C:C,"No")</f>
        <v>No</v>
      </c>
      <c r="L144" s="15" t="str">
        <f>+_xlfn.XLOOKUP(B144,MERMA!B:B,MERMA!D:D,"No es merma")</f>
        <v>No es merma</v>
      </c>
    </row>
    <row r="145" spans="1:12" s="15" hidden="1" x14ac:dyDescent="0.35">
      <c r="A145" s="503">
        <v>100080904</v>
      </c>
      <c r="B145" s="505">
        <v>75043247</v>
      </c>
      <c r="C145" s="503" t="s">
        <v>185</v>
      </c>
      <c r="D145" s="503" t="s">
        <v>11</v>
      </c>
      <c r="E145" s="503" t="s">
        <v>161</v>
      </c>
      <c r="F145" s="503" t="s">
        <v>39</v>
      </c>
      <c r="G145" s="503" t="s">
        <v>54</v>
      </c>
      <c r="H145" s="502" t="s">
        <v>36</v>
      </c>
      <c r="I145" s="502" t="s">
        <v>16</v>
      </c>
      <c r="J145" s="15" t="str">
        <f>+_xlfn.XLOOKUP(B145,INNOVACIÓN!A:A,INNOVACIÓN!B:B,"NO")</f>
        <v>NO</v>
      </c>
      <c r="K145" s="15" t="str">
        <f>+_xlfn.XLOOKUP(B145,MERMA!B:B,MERMA!C:C,"No")</f>
        <v>No</v>
      </c>
      <c r="L145" s="15" t="str">
        <f>+_xlfn.XLOOKUP(B145,MERMA!B:B,MERMA!D:D,"No es merma")</f>
        <v>No es merma</v>
      </c>
    </row>
    <row r="146" spans="1:12" s="15" hidden="1" x14ac:dyDescent="0.35">
      <c r="A146" s="503">
        <v>100080850</v>
      </c>
      <c r="B146" s="505">
        <v>75035259</v>
      </c>
      <c r="C146" s="503" t="s">
        <v>186</v>
      </c>
      <c r="D146" s="503" t="s">
        <v>11</v>
      </c>
      <c r="E146" s="503" t="s">
        <v>161</v>
      </c>
      <c r="F146" s="503" t="s">
        <v>39</v>
      </c>
      <c r="G146" s="503" t="s">
        <v>54</v>
      </c>
      <c r="H146" s="502" t="s">
        <v>36</v>
      </c>
      <c r="I146" s="502" t="s">
        <v>16</v>
      </c>
      <c r="J146" s="15" t="str">
        <f>+_xlfn.XLOOKUP(B146,INNOVACIÓN!A:A,INNOVACIÓN!B:B,"NO")</f>
        <v>NO</v>
      </c>
      <c r="K146" s="15" t="str">
        <f>+_xlfn.XLOOKUP(B146,MERMA!B:B,MERMA!C:C,"No")</f>
        <v>No</v>
      </c>
      <c r="L146" s="15" t="str">
        <f>+_xlfn.XLOOKUP(B146,MERMA!B:B,MERMA!D:D,"No es merma")</f>
        <v>No es merma</v>
      </c>
    </row>
    <row r="147" spans="1:12" s="15" hidden="1" x14ac:dyDescent="0.35">
      <c r="A147" s="503">
        <v>100080903</v>
      </c>
      <c r="B147" s="505">
        <v>75042646</v>
      </c>
      <c r="C147" s="503" t="s">
        <v>187</v>
      </c>
      <c r="D147" s="503" t="s">
        <v>11</v>
      </c>
      <c r="E147" s="503" t="s">
        <v>161</v>
      </c>
      <c r="F147" s="503" t="s">
        <v>39</v>
      </c>
      <c r="G147" s="503" t="s">
        <v>54</v>
      </c>
      <c r="H147" s="502" t="s">
        <v>36</v>
      </c>
      <c r="I147" s="502" t="s">
        <v>16</v>
      </c>
      <c r="J147" s="15" t="str">
        <f>+_xlfn.XLOOKUP(B147,INNOVACIÓN!A:A,INNOVACIÓN!B:B,"NO")</f>
        <v>NO</v>
      </c>
      <c r="K147" s="15" t="str">
        <f>+_xlfn.XLOOKUP(B147,MERMA!B:B,MERMA!C:C,"No")</f>
        <v>No</v>
      </c>
      <c r="L147" s="15" t="str">
        <f>+_xlfn.XLOOKUP(B147,MERMA!B:B,MERMA!D:D,"No es merma")</f>
        <v>No es merma</v>
      </c>
    </row>
    <row r="148" spans="1:12" s="15" hidden="1" x14ac:dyDescent="0.35">
      <c r="A148" s="502">
        <v>100080687</v>
      </c>
      <c r="B148" s="505">
        <v>75021597</v>
      </c>
      <c r="C148" s="502" t="s">
        <v>188</v>
      </c>
      <c r="D148" s="502" t="s">
        <v>11</v>
      </c>
      <c r="E148" s="502" t="s">
        <v>161</v>
      </c>
      <c r="F148" s="502" t="s">
        <v>39</v>
      </c>
      <c r="G148" s="502" t="s">
        <v>54</v>
      </c>
      <c r="H148" s="502" t="s">
        <v>36</v>
      </c>
      <c r="I148" s="502" t="s">
        <v>16</v>
      </c>
      <c r="J148" s="15" t="str">
        <f>+_xlfn.XLOOKUP(B148,INNOVACIÓN!A:A,INNOVACIÓN!B:B,"NO")</f>
        <v>NO</v>
      </c>
      <c r="K148" s="15" t="str">
        <f>+_xlfn.XLOOKUP(B148,MERMA!B:B,MERMA!C:C,"No")</f>
        <v>No</v>
      </c>
      <c r="L148" s="15" t="str">
        <f>+_xlfn.XLOOKUP(B148,MERMA!B:B,MERMA!D:D,"No es merma")</f>
        <v>No es merma</v>
      </c>
    </row>
    <row r="149" spans="1:12" s="15" hidden="1" x14ac:dyDescent="0.35">
      <c r="A149" s="502">
        <v>100019981</v>
      </c>
      <c r="B149" s="505">
        <v>75074746</v>
      </c>
      <c r="C149" s="502" t="s">
        <v>189</v>
      </c>
      <c r="D149" s="502" t="s">
        <v>11</v>
      </c>
      <c r="E149" s="502" t="s">
        <v>156</v>
      </c>
      <c r="F149" s="502" t="s">
        <v>46</v>
      </c>
      <c r="G149" s="502" t="s">
        <v>14</v>
      </c>
      <c r="H149" s="502" t="s">
        <v>36</v>
      </c>
      <c r="I149" s="502" t="s">
        <v>16</v>
      </c>
      <c r="J149" s="15" t="str">
        <f>+_xlfn.XLOOKUP(B149,INNOVACIÓN!A:A,INNOVACIÓN!B:B,"NO")</f>
        <v>NO</v>
      </c>
      <c r="K149" s="15" t="str">
        <f>+_xlfn.XLOOKUP(B149,MERMA!B:B,MERMA!C:C,"No")</f>
        <v>No</v>
      </c>
      <c r="L149" s="15" t="str">
        <f>+_xlfn.XLOOKUP(B149,MERMA!B:B,MERMA!D:D,"No es merma")</f>
        <v>No es merma</v>
      </c>
    </row>
    <row r="150" spans="1:12" s="15" hidden="1" x14ac:dyDescent="0.35">
      <c r="A150" s="15">
        <v>100080372</v>
      </c>
      <c r="B150" s="506">
        <v>7501609501521</v>
      </c>
      <c r="C150" s="15" t="s">
        <v>190</v>
      </c>
      <c r="D150" s="503" t="s">
        <v>87</v>
      </c>
      <c r="E150" s="503" t="s">
        <v>33</v>
      </c>
      <c r="F150" s="503" t="s">
        <v>87</v>
      </c>
      <c r="G150" s="503" t="s">
        <v>87</v>
      </c>
      <c r="H150" s="503" t="s">
        <v>87</v>
      </c>
      <c r="I150" s="502" t="s">
        <v>16</v>
      </c>
      <c r="J150" s="15" t="str">
        <f>+_xlfn.XLOOKUP(B150,INNOVACIÓN!A:A,INNOVACIÓN!B:B,"NO")</f>
        <v>NO</v>
      </c>
      <c r="K150" s="15" t="str">
        <f>+_xlfn.XLOOKUP(B150,MERMA!B:B,MERMA!C:C,"No")</f>
        <v>No</v>
      </c>
      <c r="L150" s="15" t="str">
        <f>+_xlfn.XLOOKUP(B150,MERMA!B:B,MERMA!D:D,"No es merma")</f>
        <v>No es merma</v>
      </c>
    </row>
    <row r="151" spans="1:12" s="15" hidden="1" x14ac:dyDescent="0.35">
      <c r="A151" s="15">
        <v>100026301</v>
      </c>
      <c r="B151" s="506">
        <v>7503039738546</v>
      </c>
      <c r="C151" s="15" t="s">
        <v>191</v>
      </c>
      <c r="D151" s="503" t="s">
        <v>44</v>
      </c>
      <c r="E151" s="503" t="s">
        <v>33</v>
      </c>
      <c r="F151" s="503" t="s">
        <v>13</v>
      </c>
      <c r="G151" s="503" t="s">
        <v>14</v>
      </c>
      <c r="H151" s="502" t="s">
        <v>15</v>
      </c>
      <c r="I151" s="502" t="s">
        <v>16</v>
      </c>
      <c r="J151" s="15" t="str">
        <f>+_xlfn.XLOOKUP(B151,INNOVACIÓN!A:A,INNOVACIÓN!B:B,"NO")</f>
        <v>NO</v>
      </c>
      <c r="K151" s="15" t="str">
        <f>+_xlfn.XLOOKUP(B151,MERMA!B:B,MERMA!C:C,"No")</f>
        <v>No</v>
      </c>
      <c r="L151" s="15" t="str">
        <f>+_xlfn.XLOOKUP(B151,MERMA!B:B,MERMA!D:D,"No es merma")</f>
        <v>No es merma</v>
      </c>
    </row>
    <row r="152" spans="1:12" s="15" hidden="1" x14ac:dyDescent="0.35">
      <c r="A152" s="15">
        <v>100025297</v>
      </c>
      <c r="B152" s="506">
        <v>7503039738393</v>
      </c>
      <c r="C152" s="15" t="s">
        <v>192</v>
      </c>
      <c r="D152" s="503" t="s">
        <v>44</v>
      </c>
      <c r="E152" s="15" t="s">
        <v>33</v>
      </c>
      <c r="F152" s="502" t="s">
        <v>13</v>
      </c>
      <c r="G152" s="503" t="s">
        <v>14</v>
      </c>
      <c r="H152" s="502" t="s">
        <v>15</v>
      </c>
      <c r="I152" s="502" t="s">
        <v>109</v>
      </c>
      <c r="J152" s="15" t="str">
        <f>+_xlfn.XLOOKUP(B152,INNOVACIÓN!A:A,INNOVACIÓN!B:B,"NO")</f>
        <v>NO</v>
      </c>
      <c r="K152" s="15" t="str">
        <f>+_xlfn.XLOOKUP(B152,MERMA!B:B,MERMA!C:C,"No")</f>
        <v>No</v>
      </c>
      <c r="L152" s="15" t="str">
        <f>+_xlfn.XLOOKUP(B152,MERMA!B:B,MERMA!D:D,"No es merma")</f>
        <v>No es merma</v>
      </c>
    </row>
    <row r="153" spans="1:12" s="15" hidden="1" x14ac:dyDescent="0.35">
      <c r="A153" s="15">
        <v>100024462</v>
      </c>
      <c r="B153" s="506">
        <v>7707200946741</v>
      </c>
      <c r="C153" s="15" t="s">
        <v>193</v>
      </c>
      <c r="D153" s="502" t="s">
        <v>44</v>
      </c>
      <c r="E153" s="502" t="s">
        <v>146</v>
      </c>
      <c r="F153" s="502" t="s">
        <v>13</v>
      </c>
      <c r="G153" s="503" t="s">
        <v>14</v>
      </c>
      <c r="H153" s="502" t="s">
        <v>15</v>
      </c>
      <c r="I153" s="502" t="s">
        <v>16</v>
      </c>
      <c r="J153" s="15" t="str">
        <f>+_xlfn.XLOOKUP(B153,INNOVACIÓN!A:A,INNOVACIÓN!B:B,"NO")</f>
        <v>NO</v>
      </c>
      <c r="K153" s="15" t="str">
        <f>+_xlfn.XLOOKUP(B153,MERMA!B:B,MERMA!C:C,"No")</f>
        <v>No</v>
      </c>
      <c r="L153" s="15" t="str">
        <f>+_xlfn.XLOOKUP(B153,MERMA!B:B,MERMA!D:D,"No es merma")</f>
        <v>No es merma</v>
      </c>
    </row>
    <row r="154" spans="1:12" s="15" hidden="1" x14ac:dyDescent="0.35">
      <c r="A154" s="15">
        <v>100026070</v>
      </c>
      <c r="B154" s="506">
        <v>7503039738492</v>
      </c>
      <c r="C154" s="15" t="s">
        <v>194</v>
      </c>
      <c r="D154" s="503" t="s">
        <v>44</v>
      </c>
      <c r="E154" s="503" t="s">
        <v>146</v>
      </c>
      <c r="F154" s="502" t="s">
        <v>13</v>
      </c>
      <c r="G154" s="503" t="s">
        <v>14</v>
      </c>
      <c r="H154" s="503" t="s">
        <v>15</v>
      </c>
      <c r="I154" s="502" t="s">
        <v>16</v>
      </c>
      <c r="J154" s="15" t="str">
        <f>+_xlfn.XLOOKUP(B154,INNOVACIÓN!A:A,INNOVACIÓN!B:B,"NO")</f>
        <v>NO</v>
      </c>
      <c r="K154" s="15" t="str">
        <f>+_xlfn.XLOOKUP(B154,MERMA!B:B,MERMA!C:C,"No")</f>
        <v>No</v>
      </c>
      <c r="L154" s="15" t="str">
        <f>+_xlfn.XLOOKUP(B154,MERMA!B:B,MERMA!D:D,"No es merma")</f>
        <v>No es merma</v>
      </c>
    </row>
    <row r="155" spans="1:12" s="15" hidden="1" x14ac:dyDescent="0.35">
      <c r="A155" s="15">
        <v>100024465</v>
      </c>
      <c r="B155" s="506">
        <v>7707200943245</v>
      </c>
      <c r="C155" s="15" t="s">
        <v>195</v>
      </c>
      <c r="D155" s="502" t="s">
        <v>44</v>
      </c>
      <c r="E155" s="502" t="s">
        <v>146</v>
      </c>
      <c r="F155" s="502" t="s">
        <v>13</v>
      </c>
      <c r="G155" s="503" t="s">
        <v>14</v>
      </c>
      <c r="H155" s="502" t="s">
        <v>15</v>
      </c>
      <c r="I155" s="502" t="s">
        <v>16</v>
      </c>
      <c r="J155" s="15" t="str">
        <f>+_xlfn.XLOOKUP(B155,INNOVACIÓN!A:A,INNOVACIÓN!B:B,"NO")</f>
        <v>NO</v>
      </c>
      <c r="K155" s="15" t="str">
        <f>+_xlfn.XLOOKUP(B155,MERMA!B:B,MERMA!C:C,"No")</f>
        <v>No</v>
      </c>
      <c r="L155" s="15" t="str">
        <f>+_xlfn.XLOOKUP(B155,MERMA!B:B,MERMA!D:D,"No es merma")</f>
        <v>No es merma</v>
      </c>
    </row>
    <row r="156" spans="1:12" s="15" hidden="1" x14ac:dyDescent="0.35">
      <c r="A156" s="15">
        <v>100026300</v>
      </c>
      <c r="B156" s="506">
        <v>7503039738539</v>
      </c>
      <c r="C156" s="15" t="s">
        <v>196</v>
      </c>
      <c r="D156" s="503" t="s">
        <v>44</v>
      </c>
      <c r="E156" s="503" t="s">
        <v>33</v>
      </c>
      <c r="F156" s="503" t="s">
        <v>13</v>
      </c>
      <c r="G156" s="503" t="s">
        <v>14</v>
      </c>
      <c r="H156" s="502" t="s">
        <v>15</v>
      </c>
      <c r="I156" s="502" t="s">
        <v>16</v>
      </c>
      <c r="J156" s="15" t="str">
        <f>+_xlfn.XLOOKUP(B156,INNOVACIÓN!A:A,INNOVACIÓN!B:B,"NO")</f>
        <v>NO</v>
      </c>
      <c r="K156" s="15" t="str">
        <f>+_xlfn.XLOOKUP(B156,MERMA!B:B,MERMA!C:C,"No")</f>
        <v>No</v>
      </c>
      <c r="L156" s="15" t="str">
        <f>+_xlfn.XLOOKUP(B156,MERMA!B:B,MERMA!D:D,"No es merma")</f>
        <v>No es merma</v>
      </c>
    </row>
    <row r="157" spans="1:12" s="15" hidden="1" x14ac:dyDescent="0.35">
      <c r="A157" s="15">
        <v>100025298</v>
      </c>
      <c r="B157" s="506">
        <v>7503039738416</v>
      </c>
      <c r="C157" s="15" t="s">
        <v>197</v>
      </c>
      <c r="D157" s="503" t="s">
        <v>44</v>
      </c>
      <c r="E157" s="15" t="s">
        <v>33</v>
      </c>
      <c r="F157" s="502" t="s">
        <v>13</v>
      </c>
      <c r="G157" s="503" t="s">
        <v>14</v>
      </c>
      <c r="H157" s="502" t="s">
        <v>15</v>
      </c>
      <c r="I157" s="502" t="s">
        <v>109</v>
      </c>
      <c r="J157" s="15" t="str">
        <f>+_xlfn.XLOOKUP(B157,INNOVACIÓN!A:A,INNOVACIÓN!B:B,"NO")</f>
        <v>NO</v>
      </c>
      <c r="K157" s="15" t="str">
        <f>+_xlfn.XLOOKUP(B157,MERMA!B:B,MERMA!C:C,"No")</f>
        <v>No</v>
      </c>
      <c r="L157" s="15" t="str">
        <f>+_xlfn.XLOOKUP(B157,MERMA!B:B,MERMA!D:D,"No es merma")</f>
        <v>No es merma</v>
      </c>
    </row>
    <row r="158" spans="1:12" s="15" hidden="1" x14ac:dyDescent="0.35">
      <c r="A158" s="15">
        <v>100025894</v>
      </c>
      <c r="B158" s="506">
        <v>7503039738461</v>
      </c>
      <c r="C158" s="15" t="s">
        <v>198</v>
      </c>
      <c r="D158" s="503" t="s">
        <v>44</v>
      </c>
      <c r="E158" s="503" t="s">
        <v>146</v>
      </c>
      <c r="F158" s="502" t="s">
        <v>13</v>
      </c>
      <c r="G158" s="503" t="s">
        <v>14</v>
      </c>
      <c r="H158" s="502" t="s">
        <v>15</v>
      </c>
      <c r="I158" s="502" t="s">
        <v>16</v>
      </c>
      <c r="J158" s="15" t="str">
        <f>+_xlfn.XLOOKUP(B158,INNOVACIÓN!A:A,INNOVACIÓN!B:B,"NO")</f>
        <v>NO</v>
      </c>
      <c r="K158" s="15" t="str">
        <f>+_xlfn.XLOOKUP(B158,MERMA!B:B,MERMA!C:C,"No")</f>
        <v>No</v>
      </c>
      <c r="L158" s="15" t="str">
        <f>+_xlfn.XLOOKUP(B158,MERMA!B:B,MERMA!D:D,"No es merma")</f>
        <v>No es merma</v>
      </c>
    </row>
    <row r="159" spans="1:12" s="15" hidden="1" x14ac:dyDescent="0.35">
      <c r="A159" s="15">
        <v>100026307</v>
      </c>
      <c r="B159" s="506">
        <v>7503039738591</v>
      </c>
      <c r="C159" s="15" t="s">
        <v>199</v>
      </c>
      <c r="D159" s="503" t="s">
        <v>44</v>
      </c>
      <c r="E159" s="503" t="s">
        <v>33</v>
      </c>
      <c r="F159" s="503" t="s">
        <v>13</v>
      </c>
      <c r="G159" s="503" t="s">
        <v>14</v>
      </c>
      <c r="H159" s="502" t="s">
        <v>15</v>
      </c>
      <c r="I159" s="502" t="s">
        <v>16</v>
      </c>
      <c r="J159" s="15" t="str">
        <f>+_xlfn.XLOOKUP(B159,INNOVACIÓN!A:A,INNOVACIÓN!B:B,"NO")</f>
        <v>NO</v>
      </c>
      <c r="K159" s="15" t="str">
        <f>+_xlfn.XLOOKUP(B159,MERMA!B:B,MERMA!C:C,"No")</f>
        <v>No</v>
      </c>
      <c r="L159" s="15" t="str">
        <f>+_xlfn.XLOOKUP(B159,MERMA!B:B,MERMA!D:D,"No es merma")</f>
        <v>No es merma</v>
      </c>
    </row>
    <row r="160" spans="1:12" s="15" hidden="1" x14ac:dyDescent="0.35">
      <c r="A160" s="15">
        <v>100024417</v>
      </c>
      <c r="B160" s="506">
        <v>7702303391467</v>
      </c>
      <c r="C160" s="15" t="s">
        <v>200</v>
      </c>
      <c r="D160" s="502" t="s">
        <v>44</v>
      </c>
      <c r="E160" s="502" t="s">
        <v>146</v>
      </c>
      <c r="F160" s="502" t="s">
        <v>13</v>
      </c>
      <c r="G160" s="503" t="s">
        <v>14</v>
      </c>
      <c r="H160" s="502" t="s">
        <v>15</v>
      </c>
      <c r="I160" s="502" t="s">
        <v>16</v>
      </c>
      <c r="J160" s="15" t="str">
        <f>+_xlfn.XLOOKUP(B160,INNOVACIÓN!A:A,INNOVACIÓN!B:B,"NO")</f>
        <v>NO</v>
      </c>
      <c r="K160" s="15" t="str">
        <f>+_xlfn.XLOOKUP(B160,MERMA!B:B,MERMA!C:C,"No")</f>
        <v>No</v>
      </c>
      <c r="L160" s="15" t="str">
        <f>+_xlfn.XLOOKUP(B160,MERMA!B:B,MERMA!D:D,"No es merma")</f>
        <v>No es merma</v>
      </c>
    </row>
    <row r="161" spans="1:12" s="15" hidden="1" x14ac:dyDescent="0.35">
      <c r="A161" s="15">
        <v>100026072</v>
      </c>
      <c r="B161" s="506">
        <v>7503039738515</v>
      </c>
      <c r="C161" s="15" t="s">
        <v>201</v>
      </c>
      <c r="D161" s="503" t="s">
        <v>44</v>
      </c>
      <c r="E161" s="503" t="s">
        <v>146</v>
      </c>
      <c r="F161" s="502" t="s">
        <v>13</v>
      </c>
      <c r="G161" s="503" t="s">
        <v>14</v>
      </c>
      <c r="H161" s="503" t="s">
        <v>15</v>
      </c>
      <c r="I161" s="502" t="s">
        <v>16</v>
      </c>
      <c r="J161" s="15" t="str">
        <f>+_xlfn.XLOOKUP(B161,INNOVACIÓN!A:A,INNOVACIÓN!B:B,"NO")</f>
        <v>NO</v>
      </c>
      <c r="K161" s="15" t="str">
        <f>+_xlfn.XLOOKUP(B161,MERMA!B:B,MERMA!C:C,"No")</f>
        <v>No</v>
      </c>
      <c r="L161" s="15" t="str">
        <f>+_xlfn.XLOOKUP(B161,MERMA!B:B,MERMA!D:D,"No es merma")</f>
        <v>No es merma</v>
      </c>
    </row>
    <row r="162" spans="1:12" s="15" hidden="1" x14ac:dyDescent="0.35">
      <c r="A162" s="503">
        <v>100021048</v>
      </c>
      <c r="B162" s="505">
        <v>75005481</v>
      </c>
      <c r="C162" s="503" t="s">
        <v>202</v>
      </c>
      <c r="D162" s="503" t="s">
        <v>11</v>
      </c>
      <c r="E162" s="503" t="s">
        <v>203</v>
      </c>
      <c r="F162" s="503" t="s">
        <v>100</v>
      </c>
      <c r="G162" s="503" t="s">
        <v>35</v>
      </c>
      <c r="H162" s="502" t="s">
        <v>36</v>
      </c>
      <c r="I162" s="502" t="s">
        <v>16</v>
      </c>
      <c r="J162" s="15" t="str">
        <f>+_xlfn.XLOOKUP(B162,INNOVACIÓN!A:A,INNOVACIÓN!B:B,"NO")</f>
        <v>NO</v>
      </c>
      <c r="K162" s="15" t="str">
        <f>+_xlfn.XLOOKUP(B162,MERMA!B:B,MERMA!C:C,"No")</f>
        <v>No</v>
      </c>
      <c r="L162" s="15" t="str">
        <f>+_xlfn.XLOOKUP(B162,MERMA!B:B,MERMA!D:D,"No es merma")</f>
        <v>No es merma</v>
      </c>
    </row>
    <row r="163" spans="1:12" s="15" hidden="1" x14ac:dyDescent="0.35">
      <c r="A163" s="503">
        <v>100020945</v>
      </c>
      <c r="B163" s="505">
        <v>75022266</v>
      </c>
      <c r="C163" s="503" t="s">
        <v>204</v>
      </c>
      <c r="D163" s="503" t="s">
        <v>11</v>
      </c>
      <c r="E163" s="503" t="s">
        <v>33</v>
      </c>
      <c r="F163" s="503" t="s">
        <v>100</v>
      </c>
      <c r="G163" s="503" t="s">
        <v>35</v>
      </c>
      <c r="H163" s="502" t="s">
        <v>36</v>
      </c>
      <c r="I163" s="502" t="s">
        <v>109</v>
      </c>
      <c r="J163" s="15" t="str">
        <f>+_xlfn.XLOOKUP(B163,INNOVACIÓN!A:A,INNOVACIÓN!B:B,"NO")</f>
        <v>NO</v>
      </c>
      <c r="K163" s="15" t="str">
        <f>+_xlfn.XLOOKUP(B163,MERMA!B:B,MERMA!C:C,"No")</f>
        <v>No</v>
      </c>
      <c r="L163" s="15" t="str">
        <f>+_xlfn.XLOOKUP(B163,MERMA!B:B,MERMA!D:D,"No es merma")</f>
        <v>No es merma</v>
      </c>
    </row>
    <row r="164" spans="1:12" s="15" hidden="1" x14ac:dyDescent="0.35">
      <c r="A164" s="15">
        <v>100080353</v>
      </c>
      <c r="B164" s="506">
        <v>2168</v>
      </c>
      <c r="C164" s="15" t="s">
        <v>205</v>
      </c>
      <c r="D164" s="503" t="s">
        <v>87</v>
      </c>
      <c r="E164" s="503" t="s">
        <v>33</v>
      </c>
      <c r="F164" s="503" t="s">
        <v>87</v>
      </c>
      <c r="G164" s="503" t="s">
        <v>87</v>
      </c>
      <c r="H164" s="503" t="s">
        <v>87</v>
      </c>
      <c r="I164" s="502" t="s">
        <v>16</v>
      </c>
      <c r="J164" s="15" t="str">
        <f>+_xlfn.XLOOKUP(B164,INNOVACIÓN!A:A,INNOVACIÓN!B:B,"NO")</f>
        <v>NO</v>
      </c>
      <c r="K164" s="15" t="str">
        <f>+_xlfn.XLOOKUP(B164,MERMA!B:B,MERMA!C:C,"No")</f>
        <v>No</v>
      </c>
      <c r="L164" s="15" t="str">
        <f>+_xlfn.XLOOKUP(B164,MERMA!B:B,MERMA!D:D,"No es merma")</f>
        <v>No es merma</v>
      </c>
    </row>
    <row r="165" spans="1:12" s="15" hidden="1" x14ac:dyDescent="0.35">
      <c r="A165" s="503">
        <v>100018038</v>
      </c>
      <c r="B165" s="505">
        <v>75069902</v>
      </c>
      <c r="C165" s="503" t="s">
        <v>206</v>
      </c>
      <c r="D165" s="503" t="s">
        <v>11</v>
      </c>
      <c r="E165" s="503" t="s">
        <v>203</v>
      </c>
      <c r="F165" s="503" t="s">
        <v>100</v>
      </c>
      <c r="G165" s="503" t="s">
        <v>35</v>
      </c>
      <c r="H165" s="502" t="s">
        <v>36</v>
      </c>
      <c r="I165" s="502" t="s">
        <v>16</v>
      </c>
      <c r="J165" s="15" t="str">
        <f>+_xlfn.XLOOKUP(B165,INNOVACIÓN!A:A,INNOVACIÓN!B:B,"NO")</f>
        <v>NO</v>
      </c>
      <c r="K165" s="15" t="str">
        <f>+_xlfn.XLOOKUP(B165,MERMA!B:B,MERMA!C:C,"No")</f>
        <v>No</v>
      </c>
      <c r="L165" s="15" t="str">
        <f>+_xlfn.XLOOKUP(B165,MERMA!B:B,MERMA!D:D,"No es merma")</f>
        <v>No es merma</v>
      </c>
    </row>
    <row r="166" spans="1:12" s="15" hidden="1" x14ac:dyDescent="0.35">
      <c r="A166" s="15">
        <v>100016254</v>
      </c>
      <c r="B166" s="506">
        <v>25900000295</v>
      </c>
      <c r="C166" s="15" t="s">
        <v>207</v>
      </c>
      <c r="D166" s="503" t="s">
        <v>87</v>
      </c>
      <c r="E166" s="503" t="s">
        <v>33</v>
      </c>
      <c r="F166" s="503" t="s">
        <v>87</v>
      </c>
      <c r="G166" s="503" t="s">
        <v>87</v>
      </c>
      <c r="H166" s="503" t="s">
        <v>87</v>
      </c>
      <c r="I166" s="502" t="s">
        <v>16</v>
      </c>
      <c r="J166" s="15" t="str">
        <f>+_xlfn.XLOOKUP(B166,INNOVACIÓN!A:A,INNOVACIÓN!B:B,"NO")</f>
        <v>NO</v>
      </c>
      <c r="K166" s="15" t="str">
        <f>+_xlfn.XLOOKUP(B166,MERMA!B:B,MERMA!C:C,"No")</f>
        <v>No</v>
      </c>
      <c r="L166" s="15" t="str">
        <f>+_xlfn.XLOOKUP(B166,MERMA!B:B,MERMA!D:D,"No es merma")</f>
        <v>No es merma</v>
      </c>
    </row>
    <row r="167" spans="1:12" s="15" hidden="1" x14ac:dyDescent="0.35">
      <c r="A167" s="15">
        <v>100009916</v>
      </c>
      <c r="B167" s="506">
        <v>33300200573</v>
      </c>
      <c r="C167" s="15" t="s">
        <v>208</v>
      </c>
      <c r="D167" s="503" t="s">
        <v>87</v>
      </c>
      <c r="E167" s="503" t="s">
        <v>33</v>
      </c>
      <c r="F167" s="503" t="s">
        <v>87</v>
      </c>
      <c r="G167" s="503" t="s">
        <v>87</v>
      </c>
      <c r="H167" s="503" t="s">
        <v>87</v>
      </c>
      <c r="I167" s="502" t="s">
        <v>16</v>
      </c>
      <c r="J167" s="15" t="str">
        <f>+_xlfn.XLOOKUP(B167,INNOVACIÓN!A:A,INNOVACIÓN!B:B,"NO")</f>
        <v>NO</v>
      </c>
      <c r="K167" s="15" t="str">
        <f>+_xlfn.XLOOKUP(B167,MERMA!B:B,MERMA!C:C,"No")</f>
        <v>No</v>
      </c>
      <c r="L167" s="15" t="str">
        <f>+_xlfn.XLOOKUP(B167,MERMA!B:B,MERMA!D:D,"No es merma")</f>
        <v>No es merma</v>
      </c>
    </row>
    <row r="168" spans="1:12" s="15" hidden="1" x14ac:dyDescent="0.35">
      <c r="A168" s="15">
        <v>100080763</v>
      </c>
      <c r="B168" s="506">
        <v>7501609506908</v>
      </c>
      <c r="C168" s="15" t="s">
        <v>209</v>
      </c>
      <c r="D168" s="503" t="s">
        <v>87</v>
      </c>
      <c r="E168" s="503" t="s">
        <v>33</v>
      </c>
      <c r="F168" s="503" t="s">
        <v>87</v>
      </c>
      <c r="G168" s="503" t="s">
        <v>87</v>
      </c>
      <c r="H168" s="503" t="s">
        <v>87</v>
      </c>
      <c r="I168" s="502" t="s">
        <v>16</v>
      </c>
      <c r="J168" s="15" t="str">
        <f>+_xlfn.XLOOKUP(B168,INNOVACIÓN!A:A,INNOVACIÓN!B:B,"NO")</f>
        <v>NO</v>
      </c>
      <c r="K168" s="15" t="str">
        <f>+_xlfn.XLOOKUP(B168,MERMA!B:B,MERMA!C:C,"No")</f>
        <v>No</v>
      </c>
      <c r="L168" s="15" t="str">
        <f>+_xlfn.XLOOKUP(B168,MERMA!B:B,MERMA!D:D,"No es merma")</f>
        <v>No es merma</v>
      </c>
    </row>
    <row r="169" spans="1:12" s="15" hidden="1" x14ac:dyDescent="0.35">
      <c r="A169" s="15">
        <v>100080946</v>
      </c>
      <c r="B169" s="506">
        <v>7502236550173</v>
      </c>
      <c r="C169" s="15" t="s">
        <v>210</v>
      </c>
      <c r="D169" s="503" t="s">
        <v>87</v>
      </c>
      <c r="E169" s="503" t="s">
        <v>33</v>
      </c>
      <c r="F169" s="503" t="s">
        <v>87</v>
      </c>
      <c r="G169" s="503" t="s">
        <v>87</v>
      </c>
      <c r="H169" s="503" t="s">
        <v>87</v>
      </c>
      <c r="I169" s="502" t="s">
        <v>16</v>
      </c>
      <c r="J169" s="15" t="str">
        <f>+_xlfn.XLOOKUP(B169,INNOVACIÓN!A:A,INNOVACIÓN!B:B,"NO")</f>
        <v>NO</v>
      </c>
      <c r="K169" s="15" t="str">
        <f>+_xlfn.XLOOKUP(B169,MERMA!B:B,MERMA!C:C,"No")</f>
        <v>No</v>
      </c>
      <c r="L169" s="15" t="str">
        <f>+_xlfn.XLOOKUP(B169,MERMA!B:B,MERMA!D:D,"No es merma")</f>
        <v>No es merma</v>
      </c>
    </row>
    <row r="170" spans="1:12" s="15" hidden="1" x14ac:dyDescent="0.35">
      <c r="A170" s="15">
        <v>100080944</v>
      </c>
      <c r="B170" s="506">
        <v>7502236550180</v>
      </c>
      <c r="C170" s="15" t="s">
        <v>211</v>
      </c>
      <c r="D170" s="503" t="s">
        <v>87</v>
      </c>
      <c r="E170" s="503" t="s">
        <v>33</v>
      </c>
      <c r="F170" s="503" t="s">
        <v>87</v>
      </c>
      <c r="G170" s="503" t="s">
        <v>87</v>
      </c>
      <c r="H170" s="503" t="s">
        <v>87</v>
      </c>
      <c r="I170" s="502" t="s">
        <v>16</v>
      </c>
      <c r="J170" s="15" t="str">
        <f>+_xlfn.XLOOKUP(B170,INNOVACIÓN!A:A,INNOVACIÓN!B:B,"NO")</f>
        <v>NO</v>
      </c>
      <c r="K170" s="15" t="str">
        <f>+_xlfn.XLOOKUP(B170,MERMA!B:B,MERMA!C:C,"No")</f>
        <v>No</v>
      </c>
      <c r="L170" s="15" t="str">
        <f>+_xlfn.XLOOKUP(B170,MERMA!B:B,MERMA!D:D,"No es merma")</f>
        <v>No es merma</v>
      </c>
    </row>
    <row r="171" spans="1:12" s="15" hidden="1" x14ac:dyDescent="0.35">
      <c r="A171" s="15">
        <v>100080945</v>
      </c>
      <c r="B171" s="506">
        <v>7502236550197</v>
      </c>
      <c r="C171" s="15" t="s">
        <v>212</v>
      </c>
      <c r="D171" s="503" t="s">
        <v>87</v>
      </c>
      <c r="E171" s="503" t="s">
        <v>33</v>
      </c>
      <c r="F171" s="503" t="s">
        <v>87</v>
      </c>
      <c r="G171" s="503" t="s">
        <v>87</v>
      </c>
      <c r="H171" s="503" t="s">
        <v>87</v>
      </c>
      <c r="I171" s="502" t="s">
        <v>16</v>
      </c>
      <c r="J171" s="15" t="str">
        <f>+_xlfn.XLOOKUP(B171,INNOVACIÓN!A:A,INNOVACIÓN!B:B,"NO")</f>
        <v>NO</v>
      </c>
      <c r="K171" s="15" t="str">
        <f>+_xlfn.XLOOKUP(B171,MERMA!B:B,MERMA!C:C,"No")</f>
        <v>No</v>
      </c>
      <c r="L171" s="15" t="str">
        <f>+_xlfn.XLOOKUP(B171,MERMA!B:B,MERMA!D:D,"No es merma")</f>
        <v>No es merma</v>
      </c>
    </row>
    <row r="172" spans="1:12" s="15" hidden="1" x14ac:dyDescent="0.35">
      <c r="A172" s="502">
        <v>100024320</v>
      </c>
      <c r="B172" s="505">
        <v>75006280</v>
      </c>
      <c r="C172" s="502" t="s">
        <v>213</v>
      </c>
      <c r="D172" s="503" t="s">
        <v>11</v>
      </c>
      <c r="E172" s="503" t="s">
        <v>214</v>
      </c>
      <c r="F172" s="503" t="s">
        <v>609</v>
      </c>
      <c r="G172" s="503" t="s">
        <v>35</v>
      </c>
      <c r="H172" s="502" t="s">
        <v>36</v>
      </c>
      <c r="I172" s="502" t="s">
        <v>16</v>
      </c>
      <c r="J172" s="15" t="str">
        <f>+_xlfn.XLOOKUP(B172,INNOVACIÓN!A:A,INNOVACIÓN!B:B,"NO")</f>
        <v>NO</v>
      </c>
      <c r="K172" s="15" t="str">
        <f>+_xlfn.XLOOKUP(B172,MERMA!B:B,MERMA!C:C,"No")</f>
        <v>No</v>
      </c>
      <c r="L172" s="15" t="str">
        <f>+_xlfn.XLOOKUP(B172,MERMA!B:B,MERMA!D:D,"No es merma")</f>
        <v>No es merma</v>
      </c>
    </row>
    <row r="173" spans="1:12" s="15" hidden="1" x14ac:dyDescent="0.35">
      <c r="A173" s="503">
        <v>100021977</v>
      </c>
      <c r="B173" s="505">
        <v>75004385</v>
      </c>
      <c r="C173" s="503" t="s">
        <v>215</v>
      </c>
      <c r="D173" s="503" t="s">
        <v>11</v>
      </c>
      <c r="E173" s="503" t="s">
        <v>214</v>
      </c>
      <c r="F173" s="503" t="s">
        <v>609</v>
      </c>
      <c r="G173" s="503" t="s">
        <v>35</v>
      </c>
      <c r="H173" s="502" t="s">
        <v>36</v>
      </c>
      <c r="I173" s="502" t="s">
        <v>16</v>
      </c>
      <c r="J173" s="15" t="str">
        <f>+_xlfn.XLOOKUP(B173,INNOVACIÓN!A:A,INNOVACIÓN!B:B,"NO")</f>
        <v>NO</v>
      </c>
      <c r="K173" s="15" t="str">
        <f>+_xlfn.XLOOKUP(B173,MERMA!B:B,MERMA!C:C,"No")</f>
        <v>No</v>
      </c>
      <c r="L173" s="15" t="str">
        <f>+_xlfn.XLOOKUP(B173,MERMA!B:B,MERMA!D:D,"No es merma")</f>
        <v>No es merma</v>
      </c>
    </row>
    <row r="174" spans="1:12" s="15" hidden="1" x14ac:dyDescent="0.35">
      <c r="A174" s="503">
        <v>100080034</v>
      </c>
      <c r="B174" s="505">
        <v>75001476</v>
      </c>
      <c r="C174" s="503" t="s">
        <v>216</v>
      </c>
      <c r="D174" s="503" t="s">
        <v>11</v>
      </c>
      <c r="E174" s="503" t="s">
        <v>33</v>
      </c>
      <c r="F174" s="503" t="s">
        <v>41</v>
      </c>
      <c r="G174" s="503" t="s">
        <v>35</v>
      </c>
      <c r="H174" s="502" t="s">
        <v>36</v>
      </c>
      <c r="I174" s="502" t="s">
        <v>109</v>
      </c>
      <c r="J174" s="15" t="str">
        <f>+_xlfn.XLOOKUP(B174,INNOVACIÓN!A:A,INNOVACIÓN!B:B,"NO")</f>
        <v>NO</v>
      </c>
      <c r="K174" s="15" t="str">
        <f>+_xlfn.XLOOKUP(B174,MERMA!B:B,MERMA!C:C,"No")</f>
        <v>No</v>
      </c>
      <c r="L174" s="15" t="str">
        <f>+_xlfn.XLOOKUP(B174,MERMA!B:B,MERMA!D:D,"No es merma")</f>
        <v>No es merma</v>
      </c>
    </row>
    <row r="175" spans="1:12" s="15" hidden="1" x14ac:dyDescent="0.35">
      <c r="A175" s="502">
        <v>100021814</v>
      </c>
      <c r="B175" s="505">
        <v>7503023959490</v>
      </c>
      <c r="C175" s="502" t="s">
        <v>217</v>
      </c>
      <c r="D175" s="503" t="s">
        <v>32</v>
      </c>
      <c r="E175" s="503" t="s">
        <v>590</v>
      </c>
      <c r="F175" s="502" t="s">
        <v>46</v>
      </c>
      <c r="G175" s="502" t="s">
        <v>14</v>
      </c>
      <c r="H175" s="502" t="s">
        <v>36</v>
      </c>
      <c r="I175" s="502" t="s">
        <v>16</v>
      </c>
      <c r="J175" s="15" t="str">
        <f>+_xlfn.XLOOKUP(B175,INNOVACIÓN!A:A,INNOVACIÓN!B:B,"NO")</f>
        <v>NO</v>
      </c>
      <c r="K175" s="15" t="str">
        <f>+_xlfn.XLOOKUP(B175,MERMA!B:B,MERMA!C:C,"No")</f>
        <v>No</v>
      </c>
      <c r="L175" s="15" t="str">
        <f>+_xlfn.XLOOKUP(B175,MERMA!B:B,MERMA!D:D,"No es merma")</f>
        <v>No es merma</v>
      </c>
    </row>
    <row r="176" spans="1:12" s="15" hidden="1" x14ac:dyDescent="0.35">
      <c r="A176" s="502">
        <v>100014678</v>
      </c>
      <c r="B176" s="505">
        <v>7503023959148</v>
      </c>
      <c r="C176" s="502" t="s">
        <v>218</v>
      </c>
      <c r="D176" s="503" t="s">
        <v>32</v>
      </c>
      <c r="E176" s="503" t="s">
        <v>590</v>
      </c>
      <c r="F176" s="502" t="s">
        <v>46</v>
      </c>
      <c r="G176" s="502" t="s">
        <v>35</v>
      </c>
      <c r="H176" s="502" t="s">
        <v>36</v>
      </c>
      <c r="I176" s="502" t="s">
        <v>16</v>
      </c>
      <c r="J176" s="15" t="str">
        <f>+_xlfn.XLOOKUP(B176,INNOVACIÓN!A:A,INNOVACIÓN!B:B,"NO")</f>
        <v>SI</v>
      </c>
      <c r="K176" s="15" t="str">
        <f>+_xlfn.XLOOKUP(B176,MERMA!B:B,MERMA!C:C,"No")</f>
        <v>No</v>
      </c>
      <c r="L176" s="15" t="str">
        <f>+_xlfn.XLOOKUP(B176,MERMA!B:B,MERMA!D:D,"No es merma")</f>
        <v>No es merma</v>
      </c>
    </row>
    <row r="177" spans="1:12" s="15" hidden="1" x14ac:dyDescent="0.35">
      <c r="A177" s="503">
        <v>100021813</v>
      </c>
      <c r="B177" s="504">
        <v>7503023959506</v>
      </c>
      <c r="C177" s="503" t="s">
        <v>219</v>
      </c>
      <c r="D177" s="503" t="s">
        <v>32</v>
      </c>
      <c r="E177" s="503" t="s">
        <v>590</v>
      </c>
      <c r="F177" s="503" t="s">
        <v>46</v>
      </c>
      <c r="G177" s="503" t="s">
        <v>14</v>
      </c>
      <c r="H177" s="502" t="s">
        <v>36</v>
      </c>
      <c r="I177" s="502" t="s">
        <v>16</v>
      </c>
      <c r="J177" s="15" t="str">
        <f>+_xlfn.XLOOKUP(B177,INNOVACIÓN!A:A,INNOVACIÓN!B:B,"NO")</f>
        <v>NO</v>
      </c>
      <c r="K177" s="15" t="str">
        <f>+_xlfn.XLOOKUP(B177,MERMA!B:B,MERMA!C:C,"No")</f>
        <v>No</v>
      </c>
      <c r="L177" s="15" t="str">
        <f>+_xlfn.XLOOKUP(B177,MERMA!B:B,MERMA!D:D,"No es merma")</f>
        <v>No es merma</v>
      </c>
    </row>
    <row r="178" spans="1:12" s="15" hidden="1" x14ac:dyDescent="0.35">
      <c r="A178" s="502">
        <v>100012957</v>
      </c>
      <c r="B178" s="505">
        <v>7503023959001</v>
      </c>
      <c r="C178" s="502" t="s">
        <v>220</v>
      </c>
      <c r="D178" s="503" t="s">
        <v>32</v>
      </c>
      <c r="E178" s="503" t="s">
        <v>33</v>
      </c>
      <c r="F178" s="502" t="s">
        <v>39</v>
      </c>
      <c r="G178" s="502" t="s">
        <v>35</v>
      </c>
      <c r="H178" s="502" t="s">
        <v>36</v>
      </c>
      <c r="I178" s="502" t="s">
        <v>109</v>
      </c>
      <c r="J178" s="15" t="str">
        <f>+_xlfn.XLOOKUP(B178,INNOVACIÓN!A:A,INNOVACIÓN!B:B,"NO")</f>
        <v>NO</v>
      </c>
      <c r="K178" s="15" t="str">
        <f>+_xlfn.XLOOKUP(B178,MERMA!B:B,MERMA!C:C,"No")</f>
        <v>No</v>
      </c>
      <c r="L178" s="15" t="str">
        <f>+_xlfn.XLOOKUP(B178,MERMA!B:B,MERMA!D:D,"No es merma")</f>
        <v>No es merma</v>
      </c>
    </row>
    <row r="179" spans="1:12" s="15" hidden="1" x14ac:dyDescent="0.35">
      <c r="A179" s="15">
        <v>100025152</v>
      </c>
      <c r="B179" s="65535">
        <v>7503023959629</v>
      </c>
      <c r="C179" s="15" t="s">
        <v>221</v>
      </c>
      <c r="D179" s="502" t="s">
        <v>32</v>
      </c>
      <c r="E179" s="503" t="s">
        <v>590</v>
      </c>
      <c r="F179" s="502" t="s">
        <v>46</v>
      </c>
      <c r="G179" s="502" t="s">
        <v>14</v>
      </c>
      <c r="H179" s="502" t="s">
        <v>36</v>
      </c>
      <c r="I179" s="502" t="s">
        <v>16</v>
      </c>
      <c r="J179" s="15" t="str">
        <f>+_xlfn.XLOOKUP(B179,INNOVACIÓN!A:A,INNOVACIÓN!B:B,"NO")</f>
        <v>NO</v>
      </c>
      <c r="K179" s="15" t="str">
        <f>+_xlfn.XLOOKUP(B179,MERMA!B:B,MERMA!C:C,"No")</f>
        <v>No</v>
      </c>
      <c r="L179" s="15" t="str">
        <f>+_xlfn.XLOOKUP(B179,MERMA!B:B,MERMA!D:D,"No es merma")</f>
        <v>No es merma</v>
      </c>
    </row>
    <row r="180" spans="1:12" s="15" hidden="1" x14ac:dyDescent="0.35">
      <c r="A180" s="503">
        <v>100022971</v>
      </c>
      <c r="B180" s="504">
        <v>7503023959278</v>
      </c>
      <c r="C180" s="503" t="s">
        <v>222</v>
      </c>
      <c r="D180" s="503" t="s">
        <v>32</v>
      </c>
      <c r="E180" s="503" t="s">
        <v>590</v>
      </c>
      <c r="F180" s="503" t="s">
        <v>46</v>
      </c>
      <c r="G180" s="503" t="s">
        <v>35</v>
      </c>
      <c r="H180" s="502" t="s">
        <v>36</v>
      </c>
      <c r="I180" s="502" t="s">
        <v>16</v>
      </c>
      <c r="J180" s="15" t="str">
        <f>+_xlfn.XLOOKUP(B180,INNOVACIÓN!A:A,INNOVACIÓN!B:B,"NO")</f>
        <v>NO</v>
      </c>
      <c r="K180" s="15" t="str">
        <f>+_xlfn.XLOOKUP(B180,MERMA!B:B,MERMA!C:C,"No")</f>
        <v>No</v>
      </c>
      <c r="L180" s="15" t="str">
        <f>+_xlfn.XLOOKUP(B180,MERMA!B:B,MERMA!D:D,"No es merma")</f>
        <v>No es merma</v>
      </c>
    </row>
    <row r="181" spans="1:12" s="15" hidden="1" x14ac:dyDescent="0.35">
      <c r="A181" s="503">
        <v>100080957</v>
      </c>
      <c r="B181" s="505">
        <v>75047337</v>
      </c>
      <c r="C181" s="503" t="s">
        <v>223</v>
      </c>
      <c r="D181" s="503" t="s">
        <v>11</v>
      </c>
      <c r="E181" s="503" t="s">
        <v>224</v>
      </c>
      <c r="F181" s="503" t="s">
        <v>39</v>
      </c>
      <c r="G181" s="503" t="s">
        <v>54</v>
      </c>
      <c r="H181" s="502" t="s">
        <v>36</v>
      </c>
      <c r="I181" s="502" t="s">
        <v>16</v>
      </c>
      <c r="J181" s="15" t="str">
        <f>+_xlfn.XLOOKUP(B181,INNOVACIÓN!A:A,INNOVACIÓN!B:B,"NO")</f>
        <v>NO</v>
      </c>
      <c r="K181" s="15" t="str">
        <f>+_xlfn.XLOOKUP(B181,MERMA!B:B,MERMA!C:C,"No")</f>
        <v>No</v>
      </c>
      <c r="L181" s="15" t="str">
        <f>+_xlfn.XLOOKUP(B181,MERMA!B:B,MERMA!D:D,"No es merma")</f>
        <v>No es merma</v>
      </c>
    </row>
    <row r="182" spans="1:12" s="15" hidden="1" x14ac:dyDescent="0.35">
      <c r="A182" s="503">
        <v>100009230</v>
      </c>
      <c r="B182" s="505">
        <v>75059514</v>
      </c>
      <c r="C182" s="503" t="s">
        <v>225</v>
      </c>
      <c r="D182" s="503" t="s">
        <v>11</v>
      </c>
      <c r="E182" s="503" t="s">
        <v>224</v>
      </c>
      <c r="F182" s="503" t="s">
        <v>46</v>
      </c>
      <c r="G182" s="503" t="s">
        <v>54</v>
      </c>
      <c r="H182" s="502" t="s">
        <v>36</v>
      </c>
      <c r="I182" s="502" t="s">
        <v>16</v>
      </c>
      <c r="J182" s="15" t="str">
        <f>+_xlfn.XLOOKUP(B182,INNOVACIÓN!A:A,INNOVACIÓN!B:B,"NO")</f>
        <v>NO</v>
      </c>
      <c r="K182" s="15" t="str">
        <f>+_xlfn.XLOOKUP(B182,MERMA!B:B,MERMA!C:C,"No")</f>
        <v>No</v>
      </c>
      <c r="L182" s="15" t="str">
        <f>+_xlfn.XLOOKUP(B182,MERMA!B:B,MERMA!D:D,"No es merma")</f>
        <v>No es merma</v>
      </c>
    </row>
    <row r="183" spans="1:12" s="15" hidden="1" x14ac:dyDescent="0.35">
      <c r="A183" s="502">
        <v>100004048</v>
      </c>
      <c r="B183" s="505">
        <v>75050443</v>
      </c>
      <c r="C183" s="502" t="s">
        <v>226</v>
      </c>
      <c r="D183" s="502" t="s">
        <v>11</v>
      </c>
      <c r="E183" s="502" t="s">
        <v>224</v>
      </c>
      <c r="F183" s="502" t="s">
        <v>39</v>
      </c>
      <c r="G183" s="502" t="s">
        <v>54</v>
      </c>
      <c r="H183" s="502" t="s">
        <v>36</v>
      </c>
      <c r="I183" s="502" t="s">
        <v>16</v>
      </c>
      <c r="J183" s="15" t="str">
        <f>+_xlfn.XLOOKUP(B183,INNOVACIÓN!A:A,INNOVACIÓN!B:B,"NO")</f>
        <v>NO</v>
      </c>
      <c r="K183" s="15" t="str">
        <f>+_xlfn.XLOOKUP(B183,MERMA!B:B,MERMA!C:C,"No")</f>
        <v>No</v>
      </c>
      <c r="L183" s="15" t="str">
        <f>+_xlfn.XLOOKUP(B183,MERMA!B:B,MERMA!D:D,"No es merma")</f>
        <v>No es merma</v>
      </c>
    </row>
    <row r="184" spans="1:12" s="15" hidden="1" x14ac:dyDescent="0.35">
      <c r="A184" s="503">
        <v>100014714</v>
      </c>
      <c r="B184" s="505">
        <v>75068776</v>
      </c>
      <c r="C184" s="503" t="s">
        <v>227</v>
      </c>
      <c r="D184" s="503" t="s">
        <v>11</v>
      </c>
      <c r="E184" s="503" t="s">
        <v>224</v>
      </c>
      <c r="F184" s="503" t="s">
        <v>39</v>
      </c>
      <c r="G184" s="503" t="s">
        <v>71</v>
      </c>
      <c r="H184" s="502" t="s">
        <v>36</v>
      </c>
      <c r="I184" s="502" t="s">
        <v>16</v>
      </c>
      <c r="J184" s="15" t="str">
        <f>+_xlfn.XLOOKUP(B184,INNOVACIÓN!A:A,INNOVACIÓN!B:B,"NO")</f>
        <v>NO</v>
      </c>
      <c r="K184" s="15" t="str">
        <f>+_xlfn.XLOOKUP(B184,MERMA!B:B,MERMA!C:C,"No")</f>
        <v>No</v>
      </c>
      <c r="L184" s="15" t="str">
        <f>+_xlfn.XLOOKUP(B184,MERMA!B:B,MERMA!D:D,"No es merma")</f>
        <v>No es merma</v>
      </c>
    </row>
    <row r="185" spans="1:12" s="15" hidden="1" x14ac:dyDescent="0.35">
      <c r="A185" s="503">
        <v>100007108</v>
      </c>
      <c r="B185" s="505">
        <v>75056308</v>
      </c>
      <c r="C185" s="503" t="s">
        <v>228</v>
      </c>
      <c r="D185" s="503" t="s">
        <v>11</v>
      </c>
      <c r="E185" s="503" t="s">
        <v>224</v>
      </c>
      <c r="F185" s="503" t="s">
        <v>46</v>
      </c>
      <c r="G185" s="503" t="s">
        <v>14</v>
      </c>
      <c r="H185" s="502" t="s">
        <v>36</v>
      </c>
      <c r="I185" s="502" t="s">
        <v>16</v>
      </c>
      <c r="J185" s="15" t="str">
        <f>+_xlfn.XLOOKUP(B185,INNOVACIÓN!A:A,INNOVACIÓN!B:B,"NO")</f>
        <v>NO</v>
      </c>
      <c r="K185" s="15" t="str">
        <f>+_xlfn.XLOOKUP(B185,MERMA!B:B,MERMA!C:C,"No")</f>
        <v>No</v>
      </c>
      <c r="L185" s="15" t="str">
        <f>+_xlfn.XLOOKUP(B185,MERMA!B:B,MERMA!D:D,"No es merma")</f>
        <v>No es merma</v>
      </c>
    </row>
    <row r="186" spans="1:12" s="15" hidden="1" x14ac:dyDescent="0.35">
      <c r="A186" s="503">
        <v>100080440</v>
      </c>
      <c r="B186" s="505">
        <v>75016777</v>
      </c>
      <c r="C186" s="503" t="s">
        <v>229</v>
      </c>
      <c r="D186" s="503" t="s">
        <v>11</v>
      </c>
      <c r="E186" s="503" t="s">
        <v>224</v>
      </c>
      <c r="F186" s="503" t="s">
        <v>39</v>
      </c>
      <c r="G186" s="503" t="s">
        <v>54</v>
      </c>
      <c r="H186" s="502" t="s">
        <v>36</v>
      </c>
      <c r="I186" s="502" t="s">
        <v>16</v>
      </c>
      <c r="J186" s="15" t="str">
        <f>+_xlfn.XLOOKUP(B186,INNOVACIÓN!A:A,INNOVACIÓN!B:B,"NO")</f>
        <v>NO</v>
      </c>
      <c r="K186" s="15" t="str">
        <f>+_xlfn.XLOOKUP(B186,MERMA!B:B,MERMA!C:C,"No")</f>
        <v>No</v>
      </c>
      <c r="L186" s="15" t="str">
        <f>+_xlfn.XLOOKUP(B186,MERMA!B:B,MERMA!D:D,"No es merma")</f>
        <v>No es merma</v>
      </c>
    </row>
    <row r="187" spans="1:12" s="15" hidden="1" x14ac:dyDescent="0.35">
      <c r="A187" s="15">
        <v>100014779</v>
      </c>
      <c r="B187" s="506">
        <v>7503006684425</v>
      </c>
      <c r="C187" s="15" t="s">
        <v>230</v>
      </c>
      <c r="D187" s="503" t="s">
        <v>87</v>
      </c>
      <c r="E187" s="503" t="s">
        <v>33</v>
      </c>
      <c r="F187" s="503" t="s">
        <v>87</v>
      </c>
      <c r="G187" s="503" t="s">
        <v>87</v>
      </c>
      <c r="H187" s="503" t="s">
        <v>87</v>
      </c>
      <c r="I187" s="502" t="s">
        <v>16</v>
      </c>
      <c r="J187" s="15" t="str">
        <f>+_xlfn.XLOOKUP(B187,INNOVACIÓN!A:A,INNOVACIÓN!B:B,"NO")</f>
        <v>NO</v>
      </c>
      <c r="K187" s="15" t="str">
        <f>+_xlfn.XLOOKUP(B187,MERMA!B:B,MERMA!C:C,"No")</f>
        <v>No</v>
      </c>
      <c r="L187" s="15" t="str">
        <f>+_xlfn.XLOOKUP(B187,MERMA!B:B,MERMA!D:D,"No es merma")</f>
        <v>No es merma</v>
      </c>
    </row>
    <row r="188" spans="1:12" s="15" hidden="1" x14ac:dyDescent="0.35">
      <c r="A188" s="15">
        <v>100014778</v>
      </c>
      <c r="B188" s="506">
        <v>7502236550005</v>
      </c>
      <c r="C188" s="15" t="s">
        <v>231</v>
      </c>
      <c r="D188" s="503" t="s">
        <v>87</v>
      </c>
      <c r="E188" s="503" t="s">
        <v>33</v>
      </c>
      <c r="F188" s="503" t="s">
        <v>87</v>
      </c>
      <c r="G188" s="503" t="s">
        <v>87</v>
      </c>
      <c r="H188" s="503" t="s">
        <v>87</v>
      </c>
      <c r="I188" s="502" t="s">
        <v>16</v>
      </c>
      <c r="J188" s="15" t="str">
        <f>+_xlfn.XLOOKUP(B188,INNOVACIÓN!A:A,INNOVACIÓN!B:B,"NO")</f>
        <v>NO</v>
      </c>
      <c r="K188" s="15" t="str">
        <f>+_xlfn.XLOOKUP(B188,MERMA!B:B,MERMA!C:C,"No")</f>
        <v>No</v>
      </c>
      <c r="L188" s="15" t="str">
        <f>+_xlfn.XLOOKUP(B188,MERMA!B:B,MERMA!D:D,"No es merma")</f>
        <v>No es merma</v>
      </c>
    </row>
    <row r="189" spans="1:12" s="15" hidden="1" x14ac:dyDescent="0.35">
      <c r="A189" s="15">
        <v>100080948</v>
      </c>
      <c r="B189" s="506">
        <v>7502236550067</v>
      </c>
      <c r="C189" s="15" t="s">
        <v>232</v>
      </c>
      <c r="D189" s="503" t="s">
        <v>87</v>
      </c>
      <c r="E189" s="503" t="s">
        <v>33</v>
      </c>
      <c r="F189" s="503" t="s">
        <v>87</v>
      </c>
      <c r="G189" s="503" t="s">
        <v>87</v>
      </c>
      <c r="H189" s="503" t="s">
        <v>87</v>
      </c>
      <c r="I189" s="502" t="s">
        <v>16</v>
      </c>
      <c r="J189" s="15" t="str">
        <f>+_xlfn.XLOOKUP(B189,INNOVACIÓN!A:A,INNOVACIÓN!B:B,"NO")</f>
        <v>NO</v>
      </c>
      <c r="K189" s="15" t="str">
        <f>+_xlfn.XLOOKUP(B189,MERMA!B:B,MERMA!C:C,"No")</f>
        <v>No</v>
      </c>
      <c r="L189" s="15" t="str">
        <f>+_xlfn.XLOOKUP(B189,MERMA!B:B,MERMA!D:D,"No es merma")</f>
        <v>No es merma</v>
      </c>
    </row>
    <row r="190" spans="1:12" s="15" hidden="1" x14ac:dyDescent="0.35">
      <c r="A190" s="15">
        <v>100014777</v>
      </c>
      <c r="B190" s="506">
        <v>7503006684388</v>
      </c>
      <c r="C190" s="15" t="s">
        <v>233</v>
      </c>
      <c r="D190" s="503" t="s">
        <v>87</v>
      </c>
      <c r="E190" s="503" t="s">
        <v>33</v>
      </c>
      <c r="F190" s="503" t="s">
        <v>87</v>
      </c>
      <c r="G190" s="503" t="s">
        <v>87</v>
      </c>
      <c r="H190" s="503" t="s">
        <v>87</v>
      </c>
      <c r="I190" s="502" t="s">
        <v>16</v>
      </c>
      <c r="J190" s="15" t="str">
        <f>+_xlfn.XLOOKUP(B190,INNOVACIÓN!A:A,INNOVACIÓN!B:B,"NO")</f>
        <v>NO</v>
      </c>
      <c r="K190" s="15" t="str">
        <f>+_xlfn.XLOOKUP(B190,MERMA!B:B,MERMA!C:C,"No")</f>
        <v>No</v>
      </c>
      <c r="L190" s="15" t="str">
        <f>+_xlfn.XLOOKUP(B190,MERMA!B:B,MERMA!D:D,"No es merma")</f>
        <v>No es merma</v>
      </c>
    </row>
    <row r="191" spans="1:12" s="15" hidden="1" x14ac:dyDescent="0.35">
      <c r="A191" s="15">
        <v>100080947</v>
      </c>
      <c r="B191" s="506">
        <v>7502236550043</v>
      </c>
      <c r="C191" s="15" t="s">
        <v>234</v>
      </c>
      <c r="D191" s="503" t="s">
        <v>87</v>
      </c>
      <c r="E191" s="503" t="s">
        <v>33</v>
      </c>
      <c r="F191" s="503" t="s">
        <v>87</v>
      </c>
      <c r="G191" s="503" t="s">
        <v>87</v>
      </c>
      <c r="H191" s="503" t="s">
        <v>87</v>
      </c>
      <c r="I191" s="502" t="s">
        <v>16</v>
      </c>
      <c r="J191" s="15" t="str">
        <f>+_xlfn.XLOOKUP(B191,INNOVACIÓN!A:A,INNOVACIÓN!B:B,"NO")</f>
        <v>NO</v>
      </c>
      <c r="K191" s="15" t="str">
        <f>+_xlfn.XLOOKUP(B191,MERMA!B:B,MERMA!C:C,"No")</f>
        <v>No</v>
      </c>
      <c r="L191" s="15" t="str">
        <f>+_xlfn.XLOOKUP(B191,MERMA!B:B,MERMA!D:D,"No es merma")</f>
        <v>No es merma</v>
      </c>
    </row>
    <row r="192" spans="1:12" s="15" hidden="1" x14ac:dyDescent="0.35">
      <c r="A192" s="15">
        <v>100014775</v>
      </c>
      <c r="B192" s="506">
        <v>7502236550012</v>
      </c>
      <c r="C192" s="15" t="s">
        <v>235</v>
      </c>
      <c r="D192" s="503" t="s">
        <v>87</v>
      </c>
      <c r="E192" s="503" t="s">
        <v>33</v>
      </c>
      <c r="F192" s="503" t="s">
        <v>87</v>
      </c>
      <c r="G192" s="503" t="s">
        <v>87</v>
      </c>
      <c r="H192" s="503" t="s">
        <v>87</v>
      </c>
      <c r="I192" s="502" t="s">
        <v>16</v>
      </c>
      <c r="J192" s="15" t="str">
        <f>+_xlfn.XLOOKUP(B192,INNOVACIÓN!A:A,INNOVACIÓN!B:B,"NO")</f>
        <v>NO</v>
      </c>
      <c r="K192" s="15" t="str">
        <f>+_xlfn.XLOOKUP(B192,MERMA!B:B,MERMA!C:C,"No")</f>
        <v>No</v>
      </c>
      <c r="L192" s="15" t="str">
        <f>+_xlfn.XLOOKUP(B192,MERMA!B:B,MERMA!D:D,"No es merma")</f>
        <v>No es merma</v>
      </c>
    </row>
    <row r="193" spans="1:12" s="15" hidden="1" x14ac:dyDescent="0.35">
      <c r="A193" s="15">
        <v>100014774</v>
      </c>
      <c r="B193" s="506">
        <v>7503006684487</v>
      </c>
      <c r="C193" s="15" t="s">
        <v>236</v>
      </c>
      <c r="D193" s="503" t="s">
        <v>87</v>
      </c>
      <c r="E193" s="503" t="s">
        <v>33</v>
      </c>
      <c r="F193" s="503" t="s">
        <v>87</v>
      </c>
      <c r="G193" s="503" t="s">
        <v>87</v>
      </c>
      <c r="H193" s="503" t="s">
        <v>87</v>
      </c>
      <c r="I193" s="502" t="s">
        <v>16</v>
      </c>
      <c r="J193" s="15" t="str">
        <f>+_xlfn.XLOOKUP(B193,INNOVACIÓN!A:A,INNOVACIÓN!B:B,"NO")</f>
        <v>NO</v>
      </c>
      <c r="K193" s="15" t="str">
        <f>+_xlfn.XLOOKUP(B193,MERMA!B:B,MERMA!C:C,"No")</f>
        <v>No</v>
      </c>
      <c r="L193" s="15" t="str">
        <f>+_xlfn.XLOOKUP(B193,MERMA!B:B,MERMA!D:D,"No es merma")</f>
        <v>No es merma</v>
      </c>
    </row>
    <row r="194" spans="1:12" s="15" hidden="1" x14ac:dyDescent="0.35">
      <c r="A194" s="15">
        <v>100014772</v>
      </c>
      <c r="B194" s="506">
        <v>7503006684326</v>
      </c>
      <c r="C194" s="15" t="s">
        <v>237</v>
      </c>
      <c r="D194" s="503" t="s">
        <v>87</v>
      </c>
      <c r="E194" s="503" t="s">
        <v>33</v>
      </c>
      <c r="F194" s="503" t="s">
        <v>87</v>
      </c>
      <c r="G194" s="503" t="s">
        <v>87</v>
      </c>
      <c r="H194" s="503" t="s">
        <v>87</v>
      </c>
      <c r="I194" s="502" t="s">
        <v>16</v>
      </c>
      <c r="J194" s="15" t="str">
        <f>+_xlfn.XLOOKUP(B194,INNOVACIÓN!A:A,INNOVACIÓN!B:B,"NO")</f>
        <v>NO</v>
      </c>
      <c r="K194" s="15" t="str">
        <f>+_xlfn.XLOOKUP(B194,MERMA!B:B,MERMA!C:C,"No")</f>
        <v>No</v>
      </c>
      <c r="L194" s="15" t="str">
        <f>+_xlfn.XLOOKUP(B194,MERMA!B:B,MERMA!D:D,"No es merma")</f>
        <v>No es merma</v>
      </c>
    </row>
    <row r="195" spans="1:12" s="15" hidden="1" x14ac:dyDescent="0.35">
      <c r="A195" s="15">
        <v>100024288</v>
      </c>
      <c r="B195" s="505">
        <v>7622100558453</v>
      </c>
      <c r="C195" s="15" t="s">
        <v>238</v>
      </c>
      <c r="D195" s="502" t="s">
        <v>11</v>
      </c>
      <c r="E195" s="503" t="s">
        <v>33</v>
      </c>
      <c r="F195" s="502" t="s">
        <v>70</v>
      </c>
      <c r="G195" s="502" t="s">
        <v>239</v>
      </c>
      <c r="H195" s="502" t="s">
        <v>70</v>
      </c>
      <c r="I195" s="502" t="s">
        <v>109</v>
      </c>
      <c r="J195" s="15" t="str">
        <f>+_xlfn.XLOOKUP(B195,INNOVACIÓN!A:A,INNOVACIÓN!B:B,"NO")</f>
        <v>NO</v>
      </c>
      <c r="K195" s="15" t="str">
        <f>+_xlfn.XLOOKUP(B195,MERMA!B:B,MERMA!C:C,"No")</f>
        <v>No</v>
      </c>
      <c r="L195" s="15" t="str">
        <f>+_xlfn.XLOOKUP(B195,MERMA!B:B,MERMA!D:D,"No es merma")</f>
        <v>No es merma</v>
      </c>
    </row>
    <row r="196" spans="1:12" s="15" hidden="1" x14ac:dyDescent="0.35">
      <c r="A196" s="15">
        <v>100024859</v>
      </c>
      <c r="B196" s="506">
        <v>7622100558323</v>
      </c>
      <c r="C196" s="15" t="s">
        <v>240</v>
      </c>
      <c r="D196" s="503" t="s">
        <v>11</v>
      </c>
      <c r="E196" s="503" t="s">
        <v>33</v>
      </c>
      <c r="F196" s="502" t="s">
        <v>70</v>
      </c>
      <c r="G196" s="502" t="s">
        <v>239</v>
      </c>
      <c r="H196" s="502" t="s">
        <v>70</v>
      </c>
      <c r="I196" s="502" t="s">
        <v>109</v>
      </c>
      <c r="J196" s="15" t="str">
        <f>+_xlfn.XLOOKUP(B196,INNOVACIÓN!A:A,INNOVACIÓN!B:B,"NO")</f>
        <v>NO</v>
      </c>
      <c r="K196" s="15" t="str">
        <f>+_xlfn.XLOOKUP(B196,MERMA!B:B,MERMA!C:C,"No")</f>
        <v>No</v>
      </c>
      <c r="L196" s="15" t="str">
        <f>+_xlfn.XLOOKUP(B196,MERMA!B:B,MERMA!D:D,"No es merma")</f>
        <v>No es merma</v>
      </c>
    </row>
    <row r="197" spans="1:12" s="15" hidden="1" x14ac:dyDescent="0.35">
      <c r="A197" s="15">
        <v>100024286</v>
      </c>
      <c r="B197" s="505">
        <v>7622100558309</v>
      </c>
      <c r="C197" s="15" t="s">
        <v>241</v>
      </c>
      <c r="D197" s="502" t="s">
        <v>11</v>
      </c>
      <c r="E197" s="503" t="s">
        <v>33</v>
      </c>
      <c r="F197" s="502" t="s">
        <v>70</v>
      </c>
      <c r="G197" s="502" t="s">
        <v>239</v>
      </c>
      <c r="H197" s="502" t="s">
        <v>70</v>
      </c>
      <c r="I197" s="502" t="s">
        <v>109</v>
      </c>
      <c r="J197" s="15" t="str">
        <f>+_xlfn.XLOOKUP(B197,INNOVACIÓN!A:A,INNOVACIÓN!B:B,"NO")</f>
        <v>NO</v>
      </c>
      <c r="K197" s="15" t="str">
        <f>+_xlfn.XLOOKUP(B197,MERMA!B:B,MERMA!C:C,"No")</f>
        <v>No</v>
      </c>
      <c r="L197" s="15" t="str">
        <f>+_xlfn.XLOOKUP(B197,MERMA!B:B,MERMA!D:D,"No es merma")</f>
        <v>No es merma</v>
      </c>
    </row>
    <row r="198" spans="1:12" s="15" hidden="1" x14ac:dyDescent="0.35">
      <c r="A198" s="15">
        <v>100024282</v>
      </c>
      <c r="B198" s="505">
        <v>7622100558293</v>
      </c>
      <c r="C198" s="15" t="s">
        <v>243</v>
      </c>
      <c r="D198" s="502" t="s">
        <v>11</v>
      </c>
      <c r="E198" s="502" t="s">
        <v>242</v>
      </c>
      <c r="F198" s="502" t="s">
        <v>70</v>
      </c>
      <c r="G198" s="502" t="s">
        <v>239</v>
      </c>
      <c r="H198" s="502" t="s">
        <v>70</v>
      </c>
      <c r="I198" s="502" t="s">
        <v>16</v>
      </c>
      <c r="J198" s="15" t="str">
        <f>+_xlfn.XLOOKUP(B198,INNOVACIÓN!A:A,INNOVACIÓN!B:B,"NO")</f>
        <v>NO</v>
      </c>
      <c r="K198" s="15" t="str">
        <f>+_xlfn.XLOOKUP(B198,MERMA!B:B,MERMA!C:C,"No")</f>
        <v>No</v>
      </c>
      <c r="L198" s="15" t="str">
        <f>+_xlfn.XLOOKUP(B198,MERMA!B:B,MERMA!D:D,"No es merma")</f>
        <v>No es merma</v>
      </c>
    </row>
    <row r="199" spans="1:12" s="15" hidden="1" x14ac:dyDescent="0.35">
      <c r="A199" s="15">
        <v>100024862</v>
      </c>
      <c r="B199" s="506">
        <v>7622100558446</v>
      </c>
      <c r="C199" s="15" t="s">
        <v>244</v>
      </c>
      <c r="D199" s="503" t="s">
        <v>11</v>
      </c>
      <c r="E199" s="503" t="s">
        <v>33</v>
      </c>
      <c r="F199" s="502" t="s">
        <v>70</v>
      </c>
      <c r="G199" s="502" t="s">
        <v>239</v>
      </c>
      <c r="H199" s="502" t="s">
        <v>70</v>
      </c>
      <c r="I199" s="502" t="s">
        <v>109</v>
      </c>
      <c r="J199" s="15" t="str">
        <f>+_xlfn.XLOOKUP(B199,INNOVACIÓN!A:A,INNOVACIÓN!B:B,"NO")</f>
        <v>NO</v>
      </c>
      <c r="K199" s="15" t="str">
        <f>+_xlfn.XLOOKUP(B199,MERMA!B:B,MERMA!C:C,"No")</f>
        <v>No</v>
      </c>
      <c r="L199" s="15" t="str">
        <f>+_xlfn.XLOOKUP(B199,MERMA!B:B,MERMA!D:D,"No es merma")</f>
        <v>No es merma</v>
      </c>
    </row>
    <row r="200" spans="1:12" s="15" hidden="1" x14ac:dyDescent="0.35">
      <c r="A200" s="15">
        <v>100024861</v>
      </c>
      <c r="B200" s="506">
        <v>7622100558248</v>
      </c>
      <c r="C200" s="15" t="s">
        <v>245</v>
      </c>
      <c r="D200" s="503" t="s">
        <v>11</v>
      </c>
      <c r="E200" s="503" t="s">
        <v>33</v>
      </c>
      <c r="F200" s="502" t="s">
        <v>70</v>
      </c>
      <c r="G200" s="502" t="s">
        <v>239</v>
      </c>
      <c r="H200" s="502" t="s">
        <v>70</v>
      </c>
      <c r="I200" s="502" t="s">
        <v>109</v>
      </c>
      <c r="J200" s="15" t="str">
        <f>+_xlfn.XLOOKUP(B200,INNOVACIÓN!A:A,INNOVACIÓN!B:B,"NO")</f>
        <v>NO</v>
      </c>
      <c r="K200" s="15" t="str">
        <f>+_xlfn.XLOOKUP(B200,MERMA!B:B,MERMA!C:C,"No")</f>
        <v>No</v>
      </c>
      <c r="L200" s="15" t="str">
        <f>+_xlfn.XLOOKUP(B200,MERMA!B:B,MERMA!D:D,"No es merma")</f>
        <v>No es merma</v>
      </c>
    </row>
    <row r="201" spans="1:12" s="15" hidden="1" x14ac:dyDescent="0.35">
      <c r="A201" s="502">
        <v>100016411</v>
      </c>
      <c r="B201" s="505">
        <v>7503023959162</v>
      </c>
      <c r="C201" s="502" t="s">
        <v>246</v>
      </c>
      <c r="D201" s="503" t="s">
        <v>32</v>
      </c>
      <c r="E201" s="503" t="s">
        <v>33</v>
      </c>
      <c r="F201" s="503" t="s">
        <v>609</v>
      </c>
      <c r="G201" s="503" t="s">
        <v>14</v>
      </c>
      <c r="H201" s="502" t="s">
        <v>36</v>
      </c>
      <c r="I201" s="502" t="s">
        <v>247</v>
      </c>
      <c r="J201" s="15" t="str">
        <f>+_xlfn.XLOOKUP(B201,INNOVACIÓN!A:A,INNOVACIÓN!B:B,"NO")</f>
        <v>NO</v>
      </c>
      <c r="K201" s="15" t="str">
        <f>+_xlfn.XLOOKUP(B201,MERMA!B:B,MERMA!C:C,"No")</f>
        <v>SI</v>
      </c>
      <c r="L201" s="15">
        <f>+_xlfn.XLOOKUP(B201,MERMA!B:B,MERMA!D:D,"No es merma")</f>
        <v>2025</v>
      </c>
    </row>
    <row r="202" spans="1:12" s="15" hidden="1" x14ac:dyDescent="0.35">
      <c r="A202" s="503">
        <v>100014850</v>
      </c>
      <c r="B202" s="504">
        <v>4033100094316</v>
      </c>
      <c r="C202" s="503" t="s">
        <v>248</v>
      </c>
      <c r="D202" s="503" t="s">
        <v>32</v>
      </c>
      <c r="E202" s="503" t="s">
        <v>33</v>
      </c>
      <c r="F202" s="503" t="s">
        <v>41</v>
      </c>
      <c r="G202" s="503" t="s">
        <v>35</v>
      </c>
      <c r="H202" s="502" t="s">
        <v>36</v>
      </c>
      <c r="I202" s="502" t="s">
        <v>109</v>
      </c>
      <c r="J202" s="15" t="str">
        <f>+_xlfn.XLOOKUP(B202,INNOVACIÓN!A:A,INNOVACIÓN!B:B,"NO")</f>
        <v>NO</v>
      </c>
      <c r="K202" s="15" t="str">
        <f>+_xlfn.XLOOKUP(B202,MERMA!B:B,MERMA!C:C,"No")</f>
        <v>No</v>
      </c>
      <c r="L202" s="15" t="str">
        <f>+_xlfn.XLOOKUP(B202,MERMA!B:B,MERMA!D:D,"No es merma")</f>
        <v>No es merma</v>
      </c>
    </row>
    <row r="203" spans="1:12" s="15" hidden="1" x14ac:dyDescent="0.35">
      <c r="A203" s="503">
        <v>100080897</v>
      </c>
      <c r="B203" s="504">
        <v>42138037</v>
      </c>
      <c r="C203" s="503" t="s">
        <v>249</v>
      </c>
      <c r="D203" s="503" t="s">
        <v>32</v>
      </c>
      <c r="E203" s="503" t="s">
        <v>33</v>
      </c>
      <c r="F203" s="503" t="s">
        <v>41</v>
      </c>
      <c r="G203" s="503" t="s">
        <v>35</v>
      </c>
      <c r="H203" s="502" t="s">
        <v>36</v>
      </c>
      <c r="I203" s="502" t="s">
        <v>109</v>
      </c>
      <c r="J203" s="15" t="str">
        <f>+_xlfn.XLOOKUP(B203,INNOVACIÓN!A:A,INNOVACIÓN!B:B,"NO")</f>
        <v>NO</v>
      </c>
      <c r="K203" s="15" t="str">
        <f>+_xlfn.XLOOKUP(B203,MERMA!B:B,MERMA!C:C,"No")</f>
        <v>No</v>
      </c>
      <c r="L203" s="15" t="str">
        <f>+_xlfn.XLOOKUP(B203,MERMA!B:B,MERMA!D:D,"No es merma")</f>
        <v>No es merma</v>
      </c>
    </row>
    <row r="204" spans="1:12" s="15" hidden="1" x14ac:dyDescent="0.35">
      <c r="A204" s="502">
        <v>100080899</v>
      </c>
      <c r="B204" s="502">
        <v>40331379</v>
      </c>
      <c r="C204" s="502" t="s">
        <v>250</v>
      </c>
      <c r="D204" s="503" t="s">
        <v>32</v>
      </c>
      <c r="E204" s="503" t="s">
        <v>33</v>
      </c>
      <c r="F204" s="503" t="s">
        <v>41</v>
      </c>
      <c r="G204" s="503" t="s">
        <v>35</v>
      </c>
      <c r="H204" s="502" t="s">
        <v>36</v>
      </c>
      <c r="I204" s="502" t="s">
        <v>247</v>
      </c>
      <c r="J204" s="15" t="str">
        <f>+_xlfn.XLOOKUP(B204,INNOVACIÓN!A:A,INNOVACIÓN!B:B,"NO")</f>
        <v>NO</v>
      </c>
      <c r="K204" s="15" t="str">
        <f>+_xlfn.XLOOKUP(B204,MERMA!B:B,MERMA!C:C,"No")</f>
        <v>SI</v>
      </c>
      <c r="L204" s="15">
        <f>+_xlfn.XLOOKUP(B204,MERMA!B:B,MERMA!D:D,"No es merma")</f>
        <v>2025</v>
      </c>
    </row>
    <row r="205" spans="1:12" s="15" hidden="1" x14ac:dyDescent="0.35">
      <c r="A205" s="502">
        <v>101000082</v>
      </c>
      <c r="B205" s="504">
        <v>7702303464376</v>
      </c>
      <c r="C205" s="502" t="s">
        <v>251</v>
      </c>
      <c r="D205" s="503" t="s">
        <v>44</v>
      </c>
      <c r="E205" s="503" t="s">
        <v>33</v>
      </c>
      <c r="F205" s="502" t="s">
        <v>252</v>
      </c>
      <c r="G205" s="502" t="s">
        <v>139</v>
      </c>
      <c r="H205" s="502" t="s">
        <v>252</v>
      </c>
      <c r="I205" s="502" t="s">
        <v>247</v>
      </c>
      <c r="J205" s="15" t="str">
        <f>+_xlfn.XLOOKUP(B205,INNOVACIÓN!A:A,INNOVACIÓN!B:B,"NO")</f>
        <v>NO</v>
      </c>
      <c r="K205" s="15" t="str">
        <f>+_xlfn.XLOOKUP(B205,MERMA!B:B,MERMA!C:C,"No")</f>
        <v>No</v>
      </c>
      <c r="L205" s="15" t="str">
        <f>+_xlfn.XLOOKUP(B205,MERMA!B:B,MERMA!D:D,"No es merma")</f>
        <v>No es merma</v>
      </c>
    </row>
    <row r="206" spans="1:12" s="15" hidden="1" x14ac:dyDescent="0.35">
      <c r="A206" s="503">
        <v>101000081</v>
      </c>
      <c r="B206" s="504">
        <v>7702303239264</v>
      </c>
      <c r="C206" s="503" t="s">
        <v>253</v>
      </c>
      <c r="D206" s="503" t="s">
        <v>44</v>
      </c>
      <c r="E206" s="503" t="s">
        <v>33</v>
      </c>
      <c r="F206" s="502" t="s">
        <v>252</v>
      </c>
      <c r="G206" s="503" t="s">
        <v>139</v>
      </c>
      <c r="H206" s="502" t="s">
        <v>252</v>
      </c>
      <c r="I206" s="502" t="s">
        <v>247</v>
      </c>
      <c r="J206" s="15" t="str">
        <f>+_xlfn.XLOOKUP(B206,INNOVACIÓN!A:A,INNOVACIÓN!B:B,"NO")</f>
        <v>NO</v>
      </c>
      <c r="K206" s="15" t="str">
        <f>+_xlfn.XLOOKUP(B206,MERMA!B:B,MERMA!C:C,"No")</f>
        <v>No</v>
      </c>
      <c r="L206" s="15" t="str">
        <f>+_xlfn.XLOOKUP(B206,MERMA!B:B,MERMA!D:D,"No es merma")</f>
        <v>No es merma</v>
      </c>
    </row>
    <row r="207" spans="1:12" s="15" hidden="1" x14ac:dyDescent="0.35">
      <c r="A207" s="503">
        <v>101000080</v>
      </c>
      <c r="B207" s="504">
        <v>7702303820974</v>
      </c>
      <c r="C207" s="503" t="s">
        <v>254</v>
      </c>
      <c r="D207" s="503" t="s">
        <v>44</v>
      </c>
      <c r="E207" s="503" t="s">
        <v>33</v>
      </c>
      <c r="F207" s="502" t="s">
        <v>252</v>
      </c>
      <c r="G207" s="503" t="s">
        <v>139</v>
      </c>
      <c r="H207" s="502" t="s">
        <v>252</v>
      </c>
      <c r="I207" s="502" t="s">
        <v>247</v>
      </c>
      <c r="J207" s="15" t="str">
        <f>+_xlfn.XLOOKUP(B207,INNOVACIÓN!A:A,INNOVACIÓN!B:B,"NO")</f>
        <v>NO</v>
      </c>
      <c r="K207" s="15" t="str">
        <f>+_xlfn.XLOOKUP(B207,MERMA!B:B,MERMA!C:C,"No")</f>
        <v>No</v>
      </c>
      <c r="L207" s="15" t="str">
        <f>+_xlfn.XLOOKUP(B207,MERMA!B:B,MERMA!D:D,"No es merma")</f>
        <v>No es merma</v>
      </c>
    </row>
    <row r="208" spans="1:12" s="15" hidden="1" x14ac:dyDescent="0.35">
      <c r="A208" s="503">
        <v>101000083</v>
      </c>
      <c r="B208" s="504">
        <v>7702303238434</v>
      </c>
      <c r="C208" s="503" t="s">
        <v>255</v>
      </c>
      <c r="D208" s="503" t="s">
        <v>44</v>
      </c>
      <c r="E208" s="503" t="s">
        <v>33</v>
      </c>
      <c r="F208" s="502" t="s">
        <v>252</v>
      </c>
      <c r="G208" s="503" t="s">
        <v>139</v>
      </c>
      <c r="H208" s="502" t="s">
        <v>252</v>
      </c>
      <c r="I208" s="502" t="s">
        <v>247</v>
      </c>
      <c r="J208" s="15" t="str">
        <f>+_xlfn.XLOOKUP(B208,INNOVACIÓN!A:A,INNOVACIÓN!B:B,"NO")</f>
        <v>NO</v>
      </c>
      <c r="K208" s="15" t="str">
        <f>+_xlfn.XLOOKUP(B208,MERMA!B:B,MERMA!C:C,"No")</f>
        <v>No</v>
      </c>
      <c r="L208" s="15" t="str">
        <f>+_xlfn.XLOOKUP(B208,MERMA!B:B,MERMA!D:D,"No es merma")</f>
        <v>No es merma</v>
      </c>
    </row>
    <row r="209" spans="1:12" s="15" hidden="1" x14ac:dyDescent="0.35">
      <c r="A209" s="15">
        <v>100024729</v>
      </c>
      <c r="B209" s="506">
        <v>7707200942736</v>
      </c>
      <c r="C209" s="15" t="s">
        <v>256</v>
      </c>
      <c r="D209" s="503" t="s">
        <v>44</v>
      </c>
      <c r="E209" s="503" t="s">
        <v>33</v>
      </c>
      <c r="F209" s="502" t="s">
        <v>252</v>
      </c>
      <c r="G209" s="502" t="s">
        <v>139</v>
      </c>
      <c r="H209" s="502" t="s">
        <v>252</v>
      </c>
      <c r="I209" s="502" t="s">
        <v>247</v>
      </c>
      <c r="J209" s="15" t="str">
        <f>+_xlfn.XLOOKUP(B209,INNOVACIÓN!A:A,INNOVACIÓN!B:B,"NO")</f>
        <v>NO</v>
      </c>
      <c r="K209" s="15" t="str">
        <f>+_xlfn.XLOOKUP(B209,MERMA!B:B,MERMA!C:C,"No")</f>
        <v>No</v>
      </c>
      <c r="L209" s="15" t="str">
        <f>+_xlfn.XLOOKUP(B209,MERMA!B:B,MERMA!D:D,"No es merma")</f>
        <v>No es merma</v>
      </c>
    </row>
    <row r="210" spans="1:12" s="15" hidden="1" x14ac:dyDescent="0.35">
      <c r="A210" s="15">
        <v>100024658</v>
      </c>
      <c r="B210" s="506">
        <v>7707200942736</v>
      </c>
      <c r="C210" s="15" t="s">
        <v>256</v>
      </c>
      <c r="D210" s="502" t="s">
        <v>44</v>
      </c>
      <c r="E210" s="503" t="s">
        <v>33</v>
      </c>
      <c r="F210" s="502" t="s">
        <v>252</v>
      </c>
      <c r="G210" s="502" t="s">
        <v>139</v>
      </c>
      <c r="H210" s="502" t="s">
        <v>252</v>
      </c>
      <c r="I210" s="502" t="s">
        <v>247</v>
      </c>
      <c r="J210" s="15" t="str">
        <f>+_xlfn.XLOOKUP(B210,INNOVACIÓN!A:A,INNOVACIÓN!B:B,"NO")</f>
        <v>NO</v>
      </c>
      <c r="K210" s="15" t="str">
        <f>+_xlfn.XLOOKUP(B210,MERMA!B:B,MERMA!C:C,"No")</f>
        <v>No</v>
      </c>
      <c r="L210" s="15" t="str">
        <f>+_xlfn.XLOOKUP(B210,MERMA!B:B,MERMA!D:D,"No es merma")</f>
        <v>No es merma</v>
      </c>
    </row>
    <row r="211" spans="1:12" s="15" hidden="1" x14ac:dyDescent="0.35">
      <c r="A211" s="15">
        <v>100024727</v>
      </c>
      <c r="B211" s="506">
        <v>7702303265324</v>
      </c>
      <c r="C211" s="15" t="s">
        <v>257</v>
      </c>
      <c r="D211" s="503" t="s">
        <v>44</v>
      </c>
      <c r="E211" s="503" t="s">
        <v>33</v>
      </c>
      <c r="F211" s="502" t="s">
        <v>252</v>
      </c>
      <c r="G211" s="502" t="s">
        <v>139</v>
      </c>
      <c r="H211" s="502" t="s">
        <v>252</v>
      </c>
      <c r="I211" s="502" t="s">
        <v>247</v>
      </c>
      <c r="J211" s="15" t="str">
        <f>+_xlfn.XLOOKUP(B211,INNOVACIÓN!A:A,INNOVACIÓN!B:B,"NO")</f>
        <v>NO</v>
      </c>
      <c r="K211" s="15" t="str">
        <f>+_xlfn.XLOOKUP(B211,MERMA!B:B,MERMA!C:C,"No")</f>
        <v>No</v>
      </c>
      <c r="L211" s="15" t="str">
        <f>+_xlfn.XLOOKUP(B211,MERMA!B:B,MERMA!D:D,"No es merma")</f>
        <v>No es merma</v>
      </c>
    </row>
    <row r="212" spans="1:12" s="15" hidden="1" x14ac:dyDescent="0.35">
      <c r="A212" s="15">
        <v>100024656</v>
      </c>
      <c r="B212" s="506">
        <v>7702303265324</v>
      </c>
      <c r="C212" s="15" t="s">
        <v>257</v>
      </c>
      <c r="D212" s="502" t="s">
        <v>44</v>
      </c>
      <c r="E212" s="503" t="s">
        <v>33</v>
      </c>
      <c r="F212" s="502" t="s">
        <v>252</v>
      </c>
      <c r="G212" s="502" t="s">
        <v>139</v>
      </c>
      <c r="H212" s="502" t="s">
        <v>252</v>
      </c>
      <c r="I212" s="502" t="s">
        <v>247</v>
      </c>
      <c r="J212" s="15" t="str">
        <f>+_xlfn.XLOOKUP(B212,INNOVACIÓN!A:A,INNOVACIÓN!B:B,"NO")</f>
        <v>NO</v>
      </c>
      <c r="K212" s="15" t="str">
        <f>+_xlfn.XLOOKUP(B212,MERMA!B:B,MERMA!C:C,"No")</f>
        <v>No</v>
      </c>
      <c r="L212" s="15" t="str">
        <f>+_xlfn.XLOOKUP(B212,MERMA!B:B,MERMA!D:D,"No es merma")</f>
        <v>No es merma</v>
      </c>
    </row>
    <row r="213" spans="1:12" s="15" hidden="1" x14ac:dyDescent="0.35">
      <c r="A213" s="15">
        <v>100024726</v>
      </c>
      <c r="B213" s="506">
        <v>7702303108812</v>
      </c>
      <c r="C213" s="15" t="s">
        <v>258</v>
      </c>
      <c r="D213" s="503" t="s">
        <v>44</v>
      </c>
      <c r="E213" s="503" t="s">
        <v>33</v>
      </c>
      <c r="F213" s="502" t="s">
        <v>252</v>
      </c>
      <c r="G213" s="502" t="s">
        <v>139</v>
      </c>
      <c r="H213" s="502" t="s">
        <v>252</v>
      </c>
      <c r="I213" s="502" t="s">
        <v>247</v>
      </c>
      <c r="J213" s="15" t="str">
        <f>+_xlfn.XLOOKUP(B213,INNOVACIÓN!A:A,INNOVACIÓN!B:B,"NO")</f>
        <v>NO</v>
      </c>
      <c r="K213" s="15" t="str">
        <f>+_xlfn.XLOOKUP(B213,MERMA!B:B,MERMA!C:C,"No")</f>
        <v>No</v>
      </c>
      <c r="L213" s="15" t="str">
        <f>+_xlfn.XLOOKUP(B213,MERMA!B:B,MERMA!D:D,"No es merma")</f>
        <v>No es merma</v>
      </c>
    </row>
    <row r="214" spans="1:12" s="15" hidden="1" x14ac:dyDescent="0.35">
      <c r="A214" s="15">
        <v>100024655</v>
      </c>
      <c r="B214" s="506">
        <v>7702303108812</v>
      </c>
      <c r="C214" s="15" t="s">
        <v>258</v>
      </c>
      <c r="D214" s="502" t="s">
        <v>44</v>
      </c>
      <c r="E214" s="503" t="s">
        <v>33</v>
      </c>
      <c r="F214" s="502" t="s">
        <v>252</v>
      </c>
      <c r="G214" s="502" t="s">
        <v>139</v>
      </c>
      <c r="H214" s="502" t="s">
        <v>252</v>
      </c>
      <c r="I214" s="502" t="s">
        <v>247</v>
      </c>
      <c r="J214" s="15" t="str">
        <f>+_xlfn.XLOOKUP(B214,INNOVACIÓN!A:A,INNOVACIÓN!B:B,"NO")</f>
        <v>NO</v>
      </c>
      <c r="K214" s="15" t="str">
        <f>+_xlfn.XLOOKUP(B214,MERMA!B:B,MERMA!C:C,"No")</f>
        <v>No</v>
      </c>
      <c r="L214" s="15" t="str">
        <f>+_xlfn.XLOOKUP(B214,MERMA!B:B,MERMA!D:D,"No es merma")</f>
        <v>No es merma</v>
      </c>
    </row>
    <row r="215" spans="1:12" s="15" hidden="1" x14ac:dyDescent="0.35">
      <c r="A215" s="15">
        <v>100024728</v>
      </c>
      <c r="B215" s="506">
        <v>7702303657044</v>
      </c>
      <c r="C215" s="15" t="s">
        <v>259</v>
      </c>
      <c r="D215" s="503" t="s">
        <v>44</v>
      </c>
      <c r="E215" s="503" t="s">
        <v>33</v>
      </c>
      <c r="F215" s="502" t="s">
        <v>252</v>
      </c>
      <c r="G215" s="502" t="s">
        <v>139</v>
      </c>
      <c r="H215" s="502" t="s">
        <v>252</v>
      </c>
      <c r="I215" s="502" t="s">
        <v>247</v>
      </c>
      <c r="J215" s="15" t="str">
        <f>+_xlfn.XLOOKUP(B215,INNOVACIÓN!A:A,INNOVACIÓN!B:B,"NO")</f>
        <v>NO</v>
      </c>
      <c r="K215" s="15" t="str">
        <f>+_xlfn.XLOOKUP(B215,MERMA!B:B,MERMA!C:C,"No")</f>
        <v>No</v>
      </c>
      <c r="L215" s="15" t="str">
        <f>+_xlfn.XLOOKUP(B215,MERMA!B:B,MERMA!D:D,"No es merma")</f>
        <v>No es merma</v>
      </c>
    </row>
    <row r="216" spans="1:12" s="15" hidden="1" x14ac:dyDescent="0.35">
      <c r="A216" s="15">
        <v>100024657</v>
      </c>
      <c r="B216" s="506">
        <v>7702303657044</v>
      </c>
      <c r="C216" s="15" t="s">
        <v>259</v>
      </c>
      <c r="D216" s="502" t="s">
        <v>44</v>
      </c>
      <c r="E216" s="503" t="s">
        <v>33</v>
      </c>
      <c r="F216" s="502" t="s">
        <v>252</v>
      </c>
      <c r="G216" s="502" t="s">
        <v>139</v>
      </c>
      <c r="H216" s="502" t="s">
        <v>252</v>
      </c>
      <c r="I216" s="502" t="s">
        <v>247</v>
      </c>
      <c r="J216" s="15" t="str">
        <f>+_xlfn.XLOOKUP(B216,INNOVACIÓN!A:A,INNOVACIÓN!B:B,"NO")</f>
        <v>NO</v>
      </c>
      <c r="K216" s="15" t="str">
        <f>+_xlfn.XLOOKUP(B216,MERMA!B:B,MERMA!C:C,"No")</f>
        <v>No</v>
      </c>
      <c r="L216" s="15" t="str">
        <f>+_xlfn.XLOOKUP(B216,MERMA!B:B,MERMA!D:D,"No es merma")</f>
        <v>No es merma</v>
      </c>
    </row>
    <row r="217" spans="1:12" s="15" hidden="1" x14ac:dyDescent="0.35">
      <c r="A217" s="503">
        <v>100023126</v>
      </c>
      <c r="B217" s="504">
        <v>7501031701520</v>
      </c>
      <c r="C217" s="503" t="s">
        <v>260</v>
      </c>
      <c r="D217" s="503" t="s">
        <v>44</v>
      </c>
      <c r="E217" s="503" t="s">
        <v>33</v>
      </c>
      <c r="F217" s="502" t="s">
        <v>252</v>
      </c>
      <c r="G217" s="502" t="s">
        <v>139</v>
      </c>
      <c r="H217" s="502" t="s">
        <v>252</v>
      </c>
      <c r="I217" s="502" t="s">
        <v>247</v>
      </c>
      <c r="J217" s="15" t="str">
        <f>+_xlfn.XLOOKUP(B217,INNOVACIÓN!A:A,INNOVACIÓN!B:B,"NO")</f>
        <v>NO</v>
      </c>
      <c r="K217" s="15" t="str">
        <f>+_xlfn.XLOOKUP(B217,MERMA!B:B,MERMA!C:C,"No")</f>
        <v>No</v>
      </c>
      <c r="L217" s="15" t="str">
        <f>+_xlfn.XLOOKUP(B217,MERMA!B:B,MERMA!D:D,"No es merma")</f>
        <v>No es merma</v>
      </c>
    </row>
    <row r="218" spans="1:12" s="15" hidden="1" x14ac:dyDescent="0.35">
      <c r="A218" s="15">
        <v>100024725</v>
      </c>
      <c r="B218" s="506">
        <v>7707200944563</v>
      </c>
      <c r="C218" s="15" t="s">
        <v>261</v>
      </c>
      <c r="D218" s="503" t="s">
        <v>44</v>
      </c>
      <c r="E218" s="503" t="s">
        <v>33</v>
      </c>
      <c r="F218" s="502" t="s">
        <v>252</v>
      </c>
      <c r="G218" s="502" t="s">
        <v>139</v>
      </c>
      <c r="H218" s="502" t="s">
        <v>252</v>
      </c>
      <c r="I218" s="502" t="s">
        <v>247</v>
      </c>
      <c r="J218" s="15" t="str">
        <f>+_xlfn.XLOOKUP(B218,INNOVACIÓN!A:A,INNOVACIÓN!B:B,"NO")</f>
        <v>NO</v>
      </c>
      <c r="K218" s="15" t="str">
        <f>+_xlfn.XLOOKUP(B218,MERMA!B:B,MERMA!C:C,"No")</f>
        <v>No</v>
      </c>
      <c r="L218" s="15" t="str">
        <f>+_xlfn.XLOOKUP(B218,MERMA!B:B,MERMA!D:D,"No es merma")</f>
        <v>No es merma</v>
      </c>
    </row>
    <row r="219" spans="1:12" s="15" hidden="1" x14ac:dyDescent="0.35">
      <c r="A219" s="502">
        <v>101000088</v>
      </c>
      <c r="B219" s="504">
        <v>7702303342513</v>
      </c>
      <c r="C219" s="502" t="s">
        <v>262</v>
      </c>
      <c r="D219" s="503" t="s">
        <v>44</v>
      </c>
      <c r="E219" s="503" t="s">
        <v>33</v>
      </c>
      <c r="F219" s="502" t="s">
        <v>252</v>
      </c>
      <c r="G219" s="502" t="s">
        <v>139</v>
      </c>
      <c r="H219" s="502" t="s">
        <v>252</v>
      </c>
      <c r="I219" s="502" t="s">
        <v>247</v>
      </c>
      <c r="J219" s="15" t="str">
        <f>+_xlfn.XLOOKUP(B219,INNOVACIÓN!A:A,INNOVACIÓN!B:B,"NO")</f>
        <v>NO</v>
      </c>
      <c r="K219" s="15" t="str">
        <f>+_xlfn.XLOOKUP(B219,MERMA!B:B,MERMA!C:C,"No")</f>
        <v>No</v>
      </c>
      <c r="L219" s="15" t="str">
        <f>+_xlfn.XLOOKUP(B219,MERMA!B:B,MERMA!D:D,"No es merma")</f>
        <v>No es merma</v>
      </c>
    </row>
    <row r="220" spans="1:12" s="15" hidden="1" x14ac:dyDescent="0.35">
      <c r="A220" s="503">
        <v>101000087</v>
      </c>
      <c r="B220" s="504">
        <v>7702303419598</v>
      </c>
      <c r="C220" s="503" t="s">
        <v>263</v>
      </c>
      <c r="D220" s="503" t="s">
        <v>44</v>
      </c>
      <c r="E220" s="503" t="s">
        <v>33</v>
      </c>
      <c r="F220" s="502" t="s">
        <v>252</v>
      </c>
      <c r="G220" s="503" t="s">
        <v>139</v>
      </c>
      <c r="H220" s="502" t="s">
        <v>252</v>
      </c>
      <c r="I220" s="502" t="s">
        <v>247</v>
      </c>
      <c r="J220" s="15" t="str">
        <f>+_xlfn.XLOOKUP(B220,INNOVACIÓN!A:A,INNOVACIÓN!B:B,"NO")</f>
        <v>NO</v>
      </c>
      <c r="K220" s="15" t="str">
        <f>+_xlfn.XLOOKUP(B220,MERMA!B:B,MERMA!C:C,"No")</f>
        <v>No</v>
      </c>
      <c r="L220" s="15" t="str">
        <f>+_xlfn.XLOOKUP(B220,MERMA!B:B,MERMA!D:D,"No es merma")</f>
        <v>No es merma</v>
      </c>
    </row>
    <row r="221" spans="1:12" s="15" hidden="1" x14ac:dyDescent="0.35">
      <c r="A221" s="503">
        <v>101000085</v>
      </c>
      <c r="B221" s="504">
        <v>7707200941753</v>
      </c>
      <c r="C221" s="503" t="s">
        <v>264</v>
      </c>
      <c r="D221" s="503" t="s">
        <v>44</v>
      </c>
      <c r="E221" s="503" t="s">
        <v>33</v>
      </c>
      <c r="F221" s="502" t="s">
        <v>252</v>
      </c>
      <c r="G221" s="503" t="s">
        <v>139</v>
      </c>
      <c r="H221" s="502" t="s">
        <v>252</v>
      </c>
      <c r="I221" s="502" t="s">
        <v>247</v>
      </c>
      <c r="J221" s="15" t="str">
        <f>+_xlfn.XLOOKUP(B221,INNOVACIÓN!A:A,INNOVACIÓN!B:B,"NO")</f>
        <v>NO</v>
      </c>
      <c r="K221" s="15" t="str">
        <f>+_xlfn.XLOOKUP(B221,MERMA!B:B,MERMA!C:C,"No")</f>
        <v>No</v>
      </c>
      <c r="L221" s="15" t="str">
        <f>+_xlfn.XLOOKUP(B221,MERMA!B:B,MERMA!D:D,"No es merma")</f>
        <v>No es merma</v>
      </c>
    </row>
    <row r="222" spans="1:12" s="15" hidden="1" x14ac:dyDescent="0.35">
      <c r="A222" s="503">
        <v>101000086</v>
      </c>
      <c r="B222" s="504">
        <v>7702303173667</v>
      </c>
      <c r="C222" s="503" t="s">
        <v>265</v>
      </c>
      <c r="D222" s="503" t="s">
        <v>44</v>
      </c>
      <c r="E222" s="503" t="s">
        <v>33</v>
      </c>
      <c r="F222" s="502" t="s">
        <v>252</v>
      </c>
      <c r="G222" s="503" t="s">
        <v>139</v>
      </c>
      <c r="H222" s="502" t="s">
        <v>252</v>
      </c>
      <c r="I222" s="502" t="s">
        <v>247</v>
      </c>
      <c r="J222" s="15" t="str">
        <f>+_xlfn.XLOOKUP(B222,INNOVACIÓN!A:A,INNOVACIÓN!B:B,"NO")</f>
        <v>NO</v>
      </c>
      <c r="K222" s="15" t="str">
        <f>+_xlfn.XLOOKUP(B222,MERMA!B:B,MERMA!C:C,"No")</f>
        <v>No</v>
      </c>
      <c r="L222" s="15" t="str">
        <f>+_xlfn.XLOOKUP(B222,MERMA!B:B,MERMA!D:D,"No es merma")</f>
        <v>No es merma</v>
      </c>
    </row>
    <row r="223" spans="1:12" s="15" hidden="1" x14ac:dyDescent="0.35">
      <c r="A223" s="15">
        <v>100024653</v>
      </c>
      <c r="B223" s="506">
        <v>7707200947311</v>
      </c>
      <c r="C223" s="15" t="s">
        <v>266</v>
      </c>
      <c r="D223" s="502" t="s">
        <v>44</v>
      </c>
      <c r="E223" s="503" t="s">
        <v>33</v>
      </c>
      <c r="F223" s="502" t="s">
        <v>252</v>
      </c>
      <c r="G223" s="502" t="s">
        <v>139</v>
      </c>
      <c r="H223" s="502" t="s">
        <v>252</v>
      </c>
      <c r="I223" s="502" t="s">
        <v>247</v>
      </c>
      <c r="J223" s="15" t="str">
        <f>+_xlfn.XLOOKUP(B223,INNOVACIÓN!A:A,INNOVACIÓN!B:B,"NO")</f>
        <v>NO</v>
      </c>
      <c r="K223" s="15" t="str">
        <f>+_xlfn.XLOOKUP(B223,MERMA!B:B,MERMA!C:C,"No")</f>
        <v>No</v>
      </c>
      <c r="L223" s="15" t="str">
        <f>+_xlfn.XLOOKUP(B223,MERMA!B:B,MERMA!D:D,"No es merma")</f>
        <v>No es merma</v>
      </c>
    </row>
    <row r="224" spans="1:12" s="15" hidden="1" x14ac:dyDescent="0.35">
      <c r="A224" s="15">
        <v>100024649</v>
      </c>
      <c r="B224" s="506">
        <v>7707200945799</v>
      </c>
      <c r="C224" s="15" t="s">
        <v>267</v>
      </c>
      <c r="D224" s="502" t="s">
        <v>44</v>
      </c>
      <c r="E224" s="503" t="s">
        <v>33</v>
      </c>
      <c r="F224" s="502" t="s">
        <v>252</v>
      </c>
      <c r="G224" s="502" t="s">
        <v>139</v>
      </c>
      <c r="H224" s="502" t="s">
        <v>252</v>
      </c>
      <c r="I224" s="502" t="s">
        <v>247</v>
      </c>
      <c r="J224" s="15" t="str">
        <f>+_xlfn.XLOOKUP(B224,INNOVACIÓN!A:A,INNOVACIÓN!B:B,"NO")</f>
        <v>NO</v>
      </c>
      <c r="K224" s="15" t="str">
        <f>+_xlfn.XLOOKUP(B224,MERMA!B:B,MERMA!C:C,"No")</f>
        <v>No</v>
      </c>
      <c r="L224" s="15" t="str">
        <f>+_xlfn.XLOOKUP(B224,MERMA!B:B,MERMA!D:D,"No es merma")</f>
        <v>No es merma</v>
      </c>
    </row>
    <row r="225" spans="1:12" s="15" hidden="1" x14ac:dyDescent="0.35">
      <c r="A225" s="15">
        <v>100024722</v>
      </c>
      <c r="B225" s="506">
        <v>7707200945072</v>
      </c>
      <c r="C225" s="15" t="s">
        <v>268</v>
      </c>
      <c r="D225" s="503" t="s">
        <v>44</v>
      </c>
      <c r="E225" s="503" t="s">
        <v>33</v>
      </c>
      <c r="F225" s="502" t="s">
        <v>252</v>
      </c>
      <c r="G225" s="502" t="s">
        <v>139</v>
      </c>
      <c r="H225" s="502" t="s">
        <v>252</v>
      </c>
      <c r="I225" s="502" t="s">
        <v>247</v>
      </c>
      <c r="J225" s="15" t="str">
        <f>+_xlfn.XLOOKUP(B225,INNOVACIÓN!A:A,INNOVACIÓN!B:B,"NO")</f>
        <v>NO</v>
      </c>
      <c r="K225" s="15" t="str">
        <f>+_xlfn.XLOOKUP(B225,MERMA!B:B,MERMA!C:C,"No")</f>
        <v>No</v>
      </c>
      <c r="L225" s="15" t="str">
        <f>+_xlfn.XLOOKUP(B225,MERMA!B:B,MERMA!D:D,"No es merma")</f>
        <v>No es merma</v>
      </c>
    </row>
    <row r="226" spans="1:12" s="15" hidden="1" x14ac:dyDescent="0.35">
      <c r="A226" s="15">
        <v>100024652</v>
      </c>
      <c r="B226" s="506">
        <v>7707200945072</v>
      </c>
      <c r="C226" s="15" t="s">
        <v>269</v>
      </c>
      <c r="D226" s="502" t="s">
        <v>44</v>
      </c>
      <c r="E226" s="503" t="s">
        <v>33</v>
      </c>
      <c r="F226" s="502" t="s">
        <v>252</v>
      </c>
      <c r="G226" s="502" t="s">
        <v>139</v>
      </c>
      <c r="H226" s="502" t="s">
        <v>252</v>
      </c>
      <c r="I226" s="502" t="s">
        <v>247</v>
      </c>
      <c r="J226" s="15" t="str">
        <f>+_xlfn.XLOOKUP(B226,INNOVACIÓN!A:A,INNOVACIÓN!B:B,"NO")</f>
        <v>NO</v>
      </c>
      <c r="K226" s="15" t="str">
        <f>+_xlfn.XLOOKUP(B226,MERMA!B:B,MERMA!C:C,"No")</f>
        <v>No</v>
      </c>
      <c r="L226" s="15" t="str">
        <f>+_xlfn.XLOOKUP(B226,MERMA!B:B,MERMA!D:D,"No es merma")</f>
        <v>No es merma</v>
      </c>
    </row>
    <row r="227" spans="1:12" s="15" hidden="1" x14ac:dyDescent="0.35">
      <c r="A227" s="15">
        <v>100024720</v>
      </c>
      <c r="B227" s="506">
        <v>7707200949285</v>
      </c>
      <c r="C227" s="15" t="s">
        <v>270</v>
      </c>
      <c r="D227" s="503" t="s">
        <v>44</v>
      </c>
      <c r="E227" s="503" t="s">
        <v>33</v>
      </c>
      <c r="F227" s="502" t="s">
        <v>252</v>
      </c>
      <c r="G227" s="502" t="s">
        <v>139</v>
      </c>
      <c r="H227" s="502" t="s">
        <v>252</v>
      </c>
      <c r="I227" s="502" t="s">
        <v>247</v>
      </c>
      <c r="J227" s="15" t="str">
        <f>+_xlfn.XLOOKUP(B227,INNOVACIÓN!A:A,INNOVACIÓN!B:B,"NO")</f>
        <v>NO</v>
      </c>
      <c r="K227" s="15" t="str">
        <f>+_xlfn.XLOOKUP(B227,MERMA!B:B,MERMA!C:C,"No")</f>
        <v>No</v>
      </c>
      <c r="L227" s="15" t="str">
        <f>+_xlfn.XLOOKUP(B227,MERMA!B:B,MERMA!D:D,"No es merma")</f>
        <v>No es merma</v>
      </c>
    </row>
    <row r="228" spans="1:12" s="15" hidden="1" x14ac:dyDescent="0.35">
      <c r="A228" s="15">
        <v>100024650</v>
      </c>
      <c r="B228" s="506">
        <v>7707200949285</v>
      </c>
      <c r="C228" s="15" t="s">
        <v>271</v>
      </c>
      <c r="D228" s="502" t="s">
        <v>44</v>
      </c>
      <c r="E228" s="503" t="s">
        <v>33</v>
      </c>
      <c r="F228" s="502" t="s">
        <v>252</v>
      </c>
      <c r="G228" s="502" t="s">
        <v>139</v>
      </c>
      <c r="H228" s="502" t="s">
        <v>252</v>
      </c>
      <c r="I228" s="502" t="s">
        <v>247</v>
      </c>
      <c r="J228" s="15" t="str">
        <f>+_xlfn.XLOOKUP(B228,INNOVACIÓN!A:A,INNOVACIÓN!B:B,"NO")</f>
        <v>NO</v>
      </c>
      <c r="K228" s="15" t="str">
        <f>+_xlfn.XLOOKUP(B228,MERMA!B:B,MERMA!C:C,"No")</f>
        <v>No</v>
      </c>
      <c r="L228" s="15" t="str">
        <f>+_xlfn.XLOOKUP(B228,MERMA!B:B,MERMA!D:D,"No es merma")</f>
        <v>No es merma</v>
      </c>
    </row>
    <row r="229" spans="1:12" s="15" hidden="1" x14ac:dyDescent="0.35">
      <c r="A229" s="15">
        <v>100024721</v>
      </c>
      <c r="B229" s="506">
        <v>7707200949551</v>
      </c>
      <c r="C229" s="15" t="s">
        <v>272</v>
      </c>
      <c r="D229" s="503" t="s">
        <v>44</v>
      </c>
      <c r="E229" s="503" t="s">
        <v>33</v>
      </c>
      <c r="F229" s="502" t="s">
        <v>252</v>
      </c>
      <c r="G229" s="502" t="s">
        <v>139</v>
      </c>
      <c r="H229" s="502" t="s">
        <v>252</v>
      </c>
      <c r="I229" s="502" t="s">
        <v>247</v>
      </c>
      <c r="J229" s="15" t="str">
        <f>+_xlfn.XLOOKUP(B229,INNOVACIÓN!A:A,INNOVACIÓN!B:B,"NO")</f>
        <v>NO</v>
      </c>
      <c r="K229" s="15" t="str">
        <f>+_xlfn.XLOOKUP(B229,MERMA!B:B,MERMA!C:C,"No")</f>
        <v>No</v>
      </c>
      <c r="L229" s="15" t="str">
        <f>+_xlfn.XLOOKUP(B229,MERMA!B:B,MERMA!D:D,"No es merma")</f>
        <v>No es merma</v>
      </c>
    </row>
    <row r="230" spans="1:12" s="15" hidden="1" x14ac:dyDescent="0.35">
      <c r="A230" s="15">
        <v>100024651</v>
      </c>
      <c r="B230" s="506">
        <v>7707200949551</v>
      </c>
      <c r="C230" s="15" t="s">
        <v>273</v>
      </c>
      <c r="D230" s="502" t="s">
        <v>44</v>
      </c>
      <c r="E230" s="503" t="s">
        <v>33</v>
      </c>
      <c r="F230" s="502" t="s">
        <v>252</v>
      </c>
      <c r="G230" s="502" t="s">
        <v>139</v>
      </c>
      <c r="H230" s="502" t="s">
        <v>252</v>
      </c>
      <c r="I230" s="502" t="s">
        <v>247</v>
      </c>
      <c r="J230" s="15" t="str">
        <f>+_xlfn.XLOOKUP(B230,INNOVACIÓN!A:A,INNOVACIÓN!B:B,"NO")</f>
        <v>NO</v>
      </c>
      <c r="K230" s="15" t="str">
        <f>+_xlfn.XLOOKUP(B230,MERMA!B:B,MERMA!C:C,"No")</f>
        <v>No</v>
      </c>
      <c r="L230" s="15" t="str">
        <f>+_xlfn.XLOOKUP(B230,MERMA!B:B,MERMA!D:D,"No es merma")</f>
        <v>No es merma</v>
      </c>
    </row>
    <row r="231" spans="1:12" s="15" hidden="1" x14ac:dyDescent="0.35">
      <c r="A231" s="15">
        <v>100024724</v>
      </c>
      <c r="B231" s="506">
        <v>7707200944037</v>
      </c>
      <c r="C231" s="15" t="s">
        <v>274</v>
      </c>
      <c r="D231" s="503" t="s">
        <v>44</v>
      </c>
      <c r="E231" s="503" t="s">
        <v>33</v>
      </c>
      <c r="F231" s="502" t="s">
        <v>252</v>
      </c>
      <c r="G231" s="502" t="s">
        <v>139</v>
      </c>
      <c r="H231" s="502" t="s">
        <v>252</v>
      </c>
      <c r="I231" s="502" t="s">
        <v>247</v>
      </c>
      <c r="J231" s="15" t="str">
        <f>+_xlfn.XLOOKUP(B231,INNOVACIÓN!A:A,INNOVACIÓN!B:B,"NO")</f>
        <v>NO</v>
      </c>
      <c r="K231" s="15" t="str">
        <f>+_xlfn.XLOOKUP(B231,MERMA!B:B,MERMA!C:C,"No")</f>
        <v>No</v>
      </c>
      <c r="L231" s="15" t="str">
        <f>+_xlfn.XLOOKUP(B231,MERMA!B:B,MERMA!D:D,"No es merma")</f>
        <v>No es merma</v>
      </c>
    </row>
    <row r="232" spans="1:12" s="15" hidden="1" x14ac:dyDescent="0.35">
      <c r="A232" s="15">
        <v>100024654</v>
      </c>
      <c r="B232" s="506">
        <v>7707200944037</v>
      </c>
      <c r="C232" s="15" t="s">
        <v>275</v>
      </c>
      <c r="D232" s="502" t="s">
        <v>44</v>
      </c>
      <c r="E232" s="503" t="s">
        <v>33</v>
      </c>
      <c r="F232" s="502" t="s">
        <v>252</v>
      </c>
      <c r="G232" s="502" t="s">
        <v>139</v>
      </c>
      <c r="H232" s="502" t="s">
        <v>252</v>
      </c>
      <c r="I232" s="502" t="s">
        <v>247</v>
      </c>
      <c r="J232" s="15" t="str">
        <f>+_xlfn.XLOOKUP(B232,INNOVACIÓN!A:A,INNOVACIÓN!B:B,"NO")</f>
        <v>NO</v>
      </c>
      <c r="K232" s="15" t="str">
        <f>+_xlfn.XLOOKUP(B232,MERMA!B:B,MERMA!C:C,"No")</f>
        <v>No</v>
      </c>
      <c r="L232" s="15" t="str">
        <f>+_xlfn.XLOOKUP(B232,MERMA!B:B,MERMA!D:D,"No es merma")</f>
        <v>No es merma</v>
      </c>
    </row>
    <row r="233" spans="1:12" s="15" hidden="1" x14ac:dyDescent="0.35">
      <c r="A233" s="503">
        <v>101000089</v>
      </c>
      <c r="B233" s="504">
        <v>7702303023221</v>
      </c>
      <c r="C233" s="503" t="s">
        <v>276</v>
      </c>
      <c r="D233" s="503" t="s">
        <v>44</v>
      </c>
      <c r="E233" s="503" t="s">
        <v>33</v>
      </c>
      <c r="F233" s="502" t="s">
        <v>252</v>
      </c>
      <c r="G233" s="503" t="s">
        <v>139</v>
      </c>
      <c r="H233" s="502" t="s">
        <v>252</v>
      </c>
      <c r="I233" s="502" t="s">
        <v>247</v>
      </c>
      <c r="J233" s="15" t="str">
        <f>+_xlfn.XLOOKUP(B233,INNOVACIÓN!A:A,INNOVACIÓN!B:B,"NO")</f>
        <v>NO</v>
      </c>
      <c r="K233" s="15" t="str">
        <f>+_xlfn.XLOOKUP(B233,MERMA!B:B,MERMA!C:C,"No")</f>
        <v>No</v>
      </c>
      <c r="L233" s="15" t="str">
        <f>+_xlfn.XLOOKUP(B233,MERMA!B:B,MERMA!D:D,"No es merma")</f>
        <v>No es merma</v>
      </c>
    </row>
    <row r="234" spans="1:12" s="15" hidden="1" x14ac:dyDescent="0.35">
      <c r="A234" s="15">
        <v>100024414</v>
      </c>
      <c r="B234" s="506">
        <v>7702303906036</v>
      </c>
      <c r="C234" s="15" t="s">
        <v>277</v>
      </c>
      <c r="D234" s="502" t="s">
        <v>44</v>
      </c>
      <c r="E234" s="503" t="s">
        <v>33</v>
      </c>
      <c r="F234" s="502" t="s">
        <v>252</v>
      </c>
      <c r="G234" s="502" t="s">
        <v>139</v>
      </c>
      <c r="H234" s="502" t="s">
        <v>252</v>
      </c>
      <c r="I234" s="502" t="s">
        <v>247</v>
      </c>
      <c r="J234" s="15" t="str">
        <f>+_xlfn.XLOOKUP(B234,INNOVACIÓN!A:A,INNOVACIÓN!B:B,"NO")</f>
        <v>NO</v>
      </c>
      <c r="K234" s="15" t="str">
        <f>+_xlfn.XLOOKUP(B234,MERMA!B:B,MERMA!C:C,"No")</f>
        <v>No</v>
      </c>
      <c r="L234" s="15" t="str">
        <f>+_xlfn.XLOOKUP(B234,MERMA!B:B,MERMA!D:D,"No es merma")</f>
        <v>No es merma</v>
      </c>
    </row>
    <row r="235" spans="1:12" s="15" hidden="1" x14ac:dyDescent="0.35">
      <c r="A235" s="503">
        <v>101000092</v>
      </c>
      <c r="B235" s="504">
        <v>7702303007979</v>
      </c>
      <c r="C235" s="503" t="s">
        <v>278</v>
      </c>
      <c r="D235" s="503" t="s">
        <v>44</v>
      </c>
      <c r="E235" s="503" t="s">
        <v>33</v>
      </c>
      <c r="F235" s="502" t="s">
        <v>252</v>
      </c>
      <c r="G235" s="503" t="s">
        <v>139</v>
      </c>
      <c r="H235" s="502" t="s">
        <v>252</v>
      </c>
      <c r="I235" s="502" t="s">
        <v>247</v>
      </c>
      <c r="J235" s="15" t="str">
        <f>+_xlfn.XLOOKUP(B235,INNOVACIÓN!A:A,INNOVACIÓN!B:B,"NO")</f>
        <v>NO</v>
      </c>
      <c r="K235" s="15" t="str">
        <f>+_xlfn.XLOOKUP(B235,MERMA!B:B,MERMA!C:C,"No")</f>
        <v>No</v>
      </c>
      <c r="L235" s="15" t="str">
        <f>+_xlfn.XLOOKUP(B235,MERMA!B:B,MERMA!D:D,"No es merma")</f>
        <v>No es merma</v>
      </c>
    </row>
    <row r="236" spans="1:12" s="15" hidden="1" x14ac:dyDescent="0.35">
      <c r="A236" s="503">
        <v>101000090</v>
      </c>
      <c r="B236" s="504">
        <v>7702303936590</v>
      </c>
      <c r="C236" s="503" t="s">
        <v>279</v>
      </c>
      <c r="D236" s="503" t="s">
        <v>44</v>
      </c>
      <c r="E236" s="503" t="s">
        <v>33</v>
      </c>
      <c r="F236" s="502" t="s">
        <v>252</v>
      </c>
      <c r="G236" s="503" t="s">
        <v>139</v>
      </c>
      <c r="H236" s="502" t="s">
        <v>252</v>
      </c>
      <c r="I236" s="502" t="s">
        <v>247</v>
      </c>
      <c r="J236" s="15" t="str">
        <f>+_xlfn.XLOOKUP(B236,INNOVACIÓN!A:A,INNOVACIÓN!B:B,"NO")</f>
        <v>NO</v>
      </c>
      <c r="K236" s="15" t="str">
        <f>+_xlfn.XLOOKUP(B236,MERMA!B:B,MERMA!C:C,"No")</f>
        <v>No</v>
      </c>
      <c r="L236" s="15" t="str">
        <f>+_xlfn.XLOOKUP(B236,MERMA!B:B,MERMA!D:D,"No es merma")</f>
        <v>No es merma</v>
      </c>
    </row>
    <row r="237" spans="1:12" s="15" hidden="1" x14ac:dyDescent="0.35">
      <c r="A237" s="502">
        <v>101000091</v>
      </c>
      <c r="B237" s="504">
        <v>7702303890434</v>
      </c>
      <c r="C237" s="502" t="s">
        <v>280</v>
      </c>
      <c r="D237" s="503" t="s">
        <v>44</v>
      </c>
      <c r="E237" s="503" t="s">
        <v>33</v>
      </c>
      <c r="F237" s="502" t="s">
        <v>252</v>
      </c>
      <c r="G237" s="502" t="s">
        <v>139</v>
      </c>
      <c r="H237" s="502" t="s">
        <v>252</v>
      </c>
      <c r="I237" s="502" t="s">
        <v>247</v>
      </c>
      <c r="J237" s="15" t="str">
        <f>+_xlfn.XLOOKUP(B237,INNOVACIÓN!A:A,INNOVACIÓN!B:B,"NO")</f>
        <v>NO</v>
      </c>
      <c r="K237" s="15" t="str">
        <f>+_xlfn.XLOOKUP(B237,MERMA!B:B,MERMA!C:C,"No")</f>
        <v>No</v>
      </c>
      <c r="L237" s="15" t="str">
        <f>+_xlfn.XLOOKUP(B237,MERMA!B:B,MERMA!D:D,"No es merma")</f>
        <v>No es merma</v>
      </c>
    </row>
    <row r="238" spans="1:12" s="15" hidden="1" x14ac:dyDescent="0.35">
      <c r="A238" s="503">
        <v>101000093</v>
      </c>
      <c r="B238" s="504">
        <v>7702303182898</v>
      </c>
      <c r="C238" s="503" t="s">
        <v>281</v>
      </c>
      <c r="D238" s="503" t="s">
        <v>44</v>
      </c>
      <c r="E238" s="503" t="s">
        <v>33</v>
      </c>
      <c r="F238" s="502" t="s">
        <v>252</v>
      </c>
      <c r="G238" s="503" t="s">
        <v>139</v>
      </c>
      <c r="H238" s="502" t="s">
        <v>252</v>
      </c>
      <c r="I238" s="502" t="s">
        <v>247</v>
      </c>
      <c r="J238" s="15" t="str">
        <f>+_xlfn.XLOOKUP(B238,INNOVACIÓN!A:A,INNOVACIÓN!B:B,"NO")</f>
        <v>NO</v>
      </c>
      <c r="K238" s="15" t="str">
        <f>+_xlfn.XLOOKUP(B238,MERMA!B:B,MERMA!C:C,"No")</f>
        <v>No</v>
      </c>
      <c r="L238" s="15" t="str">
        <f>+_xlfn.XLOOKUP(B238,MERMA!B:B,MERMA!D:D,"No es merma")</f>
        <v>No es merma</v>
      </c>
    </row>
    <row r="239" spans="1:12" s="15" hidden="1" x14ac:dyDescent="0.35">
      <c r="A239" s="15">
        <v>100024714</v>
      </c>
      <c r="B239" s="506">
        <v>7707200942019</v>
      </c>
      <c r="C239" s="15" t="s">
        <v>282</v>
      </c>
      <c r="D239" s="503" t="s">
        <v>44</v>
      </c>
      <c r="E239" s="503" t="s">
        <v>33</v>
      </c>
      <c r="F239" s="502" t="s">
        <v>252</v>
      </c>
      <c r="G239" s="502" t="s">
        <v>139</v>
      </c>
      <c r="H239" s="502" t="s">
        <v>252</v>
      </c>
      <c r="I239" s="502" t="s">
        <v>247</v>
      </c>
      <c r="J239" s="15" t="str">
        <f>+_xlfn.XLOOKUP(B239,INNOVACIÓN!A:A,INNOVACIÓN!B:B,"NO")</f>
        <v>NO</v>
      </c>
      <c r="K239" s="15" t="str">
        <f>+_xlfn.XLOOKUP(B239,MERMA!B:B,MERMA!C:C,"No")</f>
        <v>No</v>
      </c>
      <c r="L239" s="15" t="str">
        <f>+_xlfn.XLOOKUP(B239,MERMA!B:B,MERMA!D:D,"No es merma")</f>
        <v>No es merma</v>
      </c>
    </row>
    <row r="240" spans="1:12" s="15" hidden="1" x14ac:dyDescent="0.35">
      <c r="A240" s="15">
        <v>100024627</v>
      </c>
      <c r="B240" s="506">
        <v>7707200945430</v>
      </c>
      <c r="C240" s="15" t="s">
        <v>283</v>
      </c>
      <c r="D240" s="502" t="s">
        <v>44</v>
      </c>
      <c r="E240" s="503" t="s">
        <v>33</v>
      </c>
      <c r="F240" s="502" t="s">
        <v>252</v>
      </c>
      <c r="G240" s="502" t="s">
        <v>139</v>
      </c>
      <c r="H240" s="502" t="s">
        <v>252</v>
      </c>
      <c r="I240" s="502" t="s">
        <v>247</v>
      </c>
      <c r="J240" s="15" t="str">
        <f>+_xlfn.XLOOKUP(B240,INNOVACIÓN!A:A,INNOVACIÓN!B:B,"NO")</f>
        <v>NO</v>
      </c>
      <c r="K240" s="15" t="str">
        <f>+_xlfn.XLOOKUP(B240,MERMA!B:B,MERMA!C:C,"No")</f>
        <v>No</v>
      </c>
      <c r="L240" s="15" t="str">
        <f>+_xlfn.XLOOKUP(B240,MERMA!B:B,MERMA!D:D,"No es merma")</f>
        <v>No es merma</v>
      </c>
    </row>
    <row r="241" spans="1:12" s="15" hidden="1" x14ac:dyDescent="0.35">
      <c r="A241" s="15">
        <v>100024625</v>
      </c>
      <c r="B241" s="506">
        <v>7707200947854</v>
      </c>
      <c r="C241" s="15" t="s">
        <v>284</v>
      </c>
      <c r="D241" s="502" t="s">
        <v>44</v>
      </c>
      <c r="E241" s="503" t="s">
        <v>33</v>
      </c>
      <c r="F241" s="502" t="s">
        <v>252</v>
      </c>
      <c r="G241" s="502" t="s">
        <v>139</v>
      </c>
      <c r="H241" s="502" t="s">
        <v>252</v>
      </c>
      <c r="I241" s="502" t="s">
        <v>247</v>
      </c>
      <c r="J241" s="15" t="str">
        <f>+_xlfn.XLOOKUP(B241,INNOVACIÓN!A:A,INNOVACIÓN!B:B,"NO")</f>
        <v>NO</v>
      </c>
      <c r="K241" s="15" t="str">
        <f>+_xlfn.XLOOKUP(B241,MERMA!B:B,MERMA!C:C,"No")</f>
        <v>No</v>
      </c>
      <c r="L241" s="15" t="str">
        <f>+_xlfn.XLOOKUP(B241,MERMA!B:B,MERMA!D:D,"No es merma")</f>
        <v>No es merma</v>
      </c>
    </row>
    <row r="242" spans="1:12" s="15" hidden="1" x14ac:dyDescent="0.35">
      <c r="A242" s="15">
        <v>100024712</v>
      </c>
      <c r="B242" s="506">
        <v>7707200946239</v>
      </c>
      <c r="C242" s="15" t="s">
        <v>285</v>
      </c>
      <c r="D242" s="503" t="s">
        <v>44</v>
      </c>
      <c r="E242" s="503" t="s">
        <v>33</v>
      </c>
      <c r="F242" s="502" t="s">
        <v>252</v>
      </c>
      <c r="G242" s="502" t="s">
        <v>139</v>
      </c>
      <c r="H242" s="502" t="s">
        <v>252</v>
      </c>
      <c r="I242" s="502" t="s">
        <v>247</v>
      </c>
      <c r="J242" s="15" t="str">
        <f>+_xlfn.XLOOKUP(B242,INNOVACIÓN!A:A,INNOVACIÓN!B:B,"NO")</f>
        <v>NO</v>
      </c>
      <c r="K242" s="15" t="str">
        <f>+_xlfn.XLOOKUP(B242,MERMA!B:B,MERMA!C:C,"No")</f>
        <v>No</v>
      </c>
      <c r="L242" s="15" t="str">
        <f>+_xlfn.XLOOKUP(B242,MERMA!B:B,MERMA!D:D,"No es merma")</f>
        <v>No es merma</v>
      </c>
    </row>
    <row r="243" spans="1:12" s="15" hidden="1" x14ac:dyDescent="0.35">
      <c r="A243" s="15">
        <v>100024715</v>
      </c>
      <c r="B243" s="506">
        <v>7707200946987</v>
      </c>
      <c r="C243" s="15" t="s">
        <v>286</v>
      </c>
      <c r="D243" s="503" t="s">
        <v>44</v>
      </c>
      <c r="E243" s="503" t="s">
        <v>33</v>
      </c>
      <c r="F243" s="502" t="s">
        <v>252</v>
      </c>
      <c r="G243" s="502" t="s">
        <v>139</v>
      </c>
      <c r="H243" s="502" t="s">
        <v>252</v>
      </c>
      <c r="I243" s="502" t="s">
        <v>247</v>
      </c>
      <c r="J243" s="15" t="str">
        <f>+_xlfn.XLOOKUP(B243,INNOVACIÓN!A:A,INNOVACIÓN!B:B,"NO")</f>
        <v>NO</v>
      </c>
      <c r="K243" s="15" t="str">
        <f>+_xlfn.XLOOKUP(B243,MERMA!B:B,MERMA!C:C,"No")</f>
        <v>No</v>
      </c>
      <c r="L243" s="15" t="str">
        <f>+_xlfn.XLOOKUP(B243,MERMA!B:B,MERMA!D:D,"No es merma")</f>
        <v>No es merma</v>
      </c>
    </row>
    <row r="244" spans="1:12" s="15" hidden="1" x14ac:dyDescent="0.35">
      <c r="A244" s="15">
        <v>100024623</v>
      </c>
      <c r="B244" s="506">
        <v>7707200946987</v>
      </c>
      <c r="C244" s="15" t="s">
        <v>287</v>
      </c>
      <c r="D244" s="502" t="s">
        <v>44</v>
      </c>
      <c r="E244" s="503" t="s">
        <v>33</v>
      </c>
      <c r="F244" s="502" t="s">
        <v>252</v>
      </c>
      <c r="G244" s="502" t="s">
        <v>139</v>
      </c>
      <c r="H244" s="502" t="s">
        <v>252</v>
      </c>
      <c r="I244" s="502" t="s">
        <v>247</v>
      </c>
      <c r="J244" s="15" t="str">
        <f>+_xlfn.XLOOKUP(B244,INNOVACIÓN!A:A,INNOVACIÓN!B:B,"NO")</f>
        <v>NO</v>
      </c>
      <c r="K244" s="15" t="str">
        <f>+_xlfn.XLOOKUP(B244,MERMA!B:B,MERMA!C:C,"No")</f>
        <v>No</v>
      </c>
      <c r="L244" s="15" t="str">
        <f>+_xlfn.XLOOKUP(B244,MERMA!B:B,MERMA!D:D,"No es merma")</f>
        <v>No es merma</v>
      </c>
    </row>
    <row r="245" spans="1:12" s="15" hidden="1" x14ac:dyDescent="0.35">
      <c r="A245" s="15">
        <v>100024716</v>
      </c>
      <c r="B245" s="506">
        <v>7707200940220</v>
      </c>
      <c r="C245" s="15" t="s">
        <v>288</v>
      </c>
      <c r="D245" s="503" t="s">
        <v>44</v>
      </c>
      <c r="E245" s="503" t="s">
        <v>33</v>
      </c>
      <c r="F245" s="502" t="s">
        <v>252</v>
      </c>
      <c r="G245" s="502" t="s">
        <v>139</v>
      </c>
      <c r="H245" s="502" t="s">
        <v>252</v>
      </c>
      <c r="I245" s="502" t="s">
        <v>247</v>
      </c>
      <c r="J245" s="15" t="str">
        <f>+_xlfn.XLOOKUP(B245,INNOVACIÓN!A:A,INNOVACIÓN!B:B,"NO")</f>
        <v>NO</v>
      </c>
      <c r="K245" s="15" t="str">
        <f>+_xlfn.XLOOKUP(B245,MERMA!B:B,MERMA!C:C,"No")</f>
        <v>No</v>
      </c>
      <c r="L245" s="15" t="str">
        <f>+_xlfn.XLOOKUP(B245,MERMA!B:B,MERMA!D:D,"No es merma")</f>
        <v>No es merma</v>
      </c>
    </row>
    <row r="246" spans="1:12" s="15" hidden="1" x14ac:dyDescent="0.35">
      <c r="A246" s="15">
        <v>100024624</v>
      </c>
      <c r="B246" s="506">
        <v>7707200940220</v>
      </c>
      <c r="C246" s="15" t="s">
        <v>289</v>
      </c>
      <c r="D246" s="502" t="s">
        <v>44</v>
      </c>
      <c r="E246" s="503" t="s">
        <v>33</v>
      </c>
      <c r="F246" s="502" t="s">
        <v>252</v>
      </c>
      <c r="G246" s="502" t="s">
        <v>139</v>
      </c>
      <c r="H246" s="502" t="s">
        <v>252</v>
      </c>
      <c r="I246" s="502" t="s">
        <v>247</v>
      </c>
      <c r="J246" s="15" t="str">
        <f>+_xlfn.XLOOKUP(B246,INNOVACIÓN!A:A,INNOVACIÓN!B:B,"NO")</f>
        <v>NO</v>
      </c>
      <c r="K246" s="15" t="str">
        <f>+_xlfn.XLOOKUP(B246,MERMA!B:B,MERMA!C:C,"No")</f>
        <v>No</v>
      </c>
      <c r="L246" s="15" t="str">
        <f>+_xlfn.XLOOKUP(B246,MERMA!B:B,MERMA!D:D,"No es merma")</f>
        <v>No es merma</v>
      </c>
    </row>
    <row r="247" spans="1:12" s="15" hidden="1" x14ac:dyDescent="0.35">
      <c r="A247" s="502">
        <v>100023339</v>
      </c>
      <c r="B247" s="504">
        <v>7501031701667</v>
      </c>
      <c r="C247" s="502" t="s">
        <v>290</v>
      </c>
      <c r="D247" s="503" t="s">
        <v>44</v>
      </c>
      <c r="E247" s="503" t="s">
        <v>33</v>
      </c>
      <c r="F247" s="502" t="s">
        <v>252</v>
      </c>
      <c r="G247" s="502" t="s">
        <v>139</v>
      </c>
      <c r="H247" s="502" t="s">
        <v>252</v>
      </c>
      <c r="I247" s="502" t="s">
        <v>247</v>
      </c>
      <c r="J247" s="15" t="str">
        <f>+_xlfn.XLOOKUP(B247,INNOVACIÓN!A:A,INNOVACIÓN!B:B,"NO")</f>
        <v>NO</v>
      </c>
      <c r="K247" s="15" t="str">
        <f>+_xlfn.XLOOKUP(B247,MERMA!B:B,MERMA!C:C,"No")</f>
        <v>No</v>
      </c>
      <c r="L247" s="15" t="str">
        <f>+_xlfn.XLOOKUP(B247,MERMA!B:B,MERMA!D:D,"No es merma")</f>
        <v>No es merma</v>
      </c>
    </row>
    <row r="248" spans="1:12" s="15" hidden="1" x14ac:dyDescent="0.35">
      <c r="A248" s="502">
        <v>100022786</v>
      </c>
      <c r="B248" s="504">
        <v>7501031701636</v>
      </c>
      <c r="C248" s="502" t="s">
        <v>291</v>
      </c>
      <c r="D248" s="503" t="s">
        <v>44</v>
      </c>
      <c r="E248" s="503" t="s">
        <v>33</v>
      </c>
      <c r="F248" s="502" t="s">
        <v>252</v>
      </c>
      <c r="G248" s="502" t="s">
        <v>139</v>
      </c>
      <c r="H248" s="502" t="s">
        <v>252</v>
      </c>
      <c r="I248" s="502" t="s">
        <v>247</v>
      </c>
      <c r="J248" s="15" t="str">
        <f>+_xlfn.XLOOKUP(B248,INNOVACIÓN!A:A,INNOVACIÓN!B:B,"NO")</f>
        <v>NO</v>
      </c>
      <c r="K248" s="15" t="str">
        <f>+_xlfn.XLOOKUP(B248,MERMA!B:B,MERMA!C:C,"No")</f>
        <v>No</v>
      </c>
      <c r="L248" s="15" t="str">
        <f>+_xlfn.XLOOKUP(B248,MERMA!B:B,MERMA!D:D,"No es merma")</f>
        <v>No es merma</v>
      </c>
    </row>
    <row r="249" spans="1:12" s="15" hidden="1" x14ac:dyDescent="0.35">
      <c r="A249" s="503">
        <v>100022785</v>
      </c>
      <c r="B249" s="504">
        <v>7501031701698</v>
      </c>
      <c r="C249" s="503" t="s">
        <v>292</v>
      </c>
      <c r="D249" s="503" t="s">
        <v>44</v>
      </c>
      <c r="E249" s="503" t="s">
        <v>33</v>
      </c>
      <c r="F249" s="502" t="s">
        <v>252</v>
      </c>
      <c r="G249" s="503" t="s">
        <v>139</v>
      </c>
      <c r="H249" s="502" t="s">
        <v>252</v>
      </c>
      <c r="I249" s="502" t="s">
        <v>247</v>
      </c>
      <c r="J249" s="15" t="str">
        <f>+_xlfn.XLOOKUP(B249,INNOVACIÓN!A:A,INNOVACIÓN!B:B,"NO")</f>
        <v>NO</v>
      </c>
      <c r="K249" s="15" t="str">
        <f>+_xlfn.XLOOKUP(B249,MERMA!B:B,MERMA!C:C,"No")</f>
        <v>No</v>
      </c>
      <c r="L249" s="15" t="str">
        <f>+_xlfn.XLOOKUP(B249,MERMA!B:B,MERMA!D:D,"No es merma")</f>
        <v>No es merma</v>
      </c>
    </row>
    <row r="250" spans="1:12" s="15" hidden="1" x14ac:dyDescent="0.35">
      <c r="A250" s="502">
        <v>100023338</v>
      </c>
      <c r="B250" s="504">
        <v>7501031701575</v>
      </c>
      <c r="C250" s="502" t="s">
        <v>293</v>
      </c>
      <c r="D250" s="503" t="s">
        <v>44</v>
      </c>
      <c r="E250" s="503" t="s">
        <v>33</v>
      </c>
      <c r="F250" s="502" t="s">
        <v>252</v>
      </c>
      <c r="G250" s="502" t="s">
        <v>139</v>
      </c>
      <c r="H250" s="502" t="s">
        <v>252</v>
      </c>
      <c r="I250" s="502" t="s">
        <v>247</v>
      </c>
      <c r="J250" s="15" t="str">
        <f>+_xlfn.XLOOKUP(B250,INNOVACIÓN!A:A,INNOVACIÓN!B:B,"NO")</f>
        <v>NO</v>
      </c>
      <c r="K250" s="15" t="str">
        <f>+_xlfn.XLOOKUP(B250,MERMA!B:B,MERMA!C:C,"No")</f>
        <v>No</v>
      </c>
      <c r="L250" s="15" t="str">
        <f>+_xlfn.XLOOKUP(B250,MERMA!B:B,MERMA!D:D,"No es merma")</f>
        <v>No es merma</v>
      </c>
    </row>
    <row r="251" spans="1:12" s="15" hidden="1" x14ac:dyDescent="0.35">
      <c r="A251" s="502">
        <v>100023094</v>
      </c>
      <c r="B251" s="504">
        <v>7501031701759</v>
      </c>
      <c r="C251" s="502" t="s">
        <v>294</v>
      </c>
      <c r="D251" s="503" t="s">
        <v>44</v>
      </c>
      <c r="E251" s="503" t="s">
        <v>33</v>
      </c>
      <c r="F251" s="502" t="s">
        <v>252</v>
      </c>
      <c r="G251" s="502" t="s">
        <v>139</v>
      </c>
      <c r="H251" s="502" t="s">
        <v>252</v>
      </c>
      <c r="I251" s="502" t="s">
        <v>247</v>
      </c>
      <c r="J251" s="15" t="str">
        <f>+_xlfn.XLOOKUP(B251,INNOVACIÓN!A:A,INNOVACIÓN!B:B,"NO")</f>
        <v>NO</v>
      </c>
      <c r="K251" s="15" t="str">
        <f>+_xlfn.XLOOKUP(B251,MERMA!B:B,MERMA!C:C,"No")</f>
        <v>No</v>
      </c>
      <c r="L251" s="15" t="str">
        <f>+_xlfn.XLOOKUP(B251,MERMA!B:B,MERMA!D:D,"No es merma")</f>
        <v>No es merma</v>
      </c>
    </row>
    <row r="252" spans="1:12" s="15" hidden="1" x14ac:dyDescent="0.35">
      <c r="A252" s="503">
        <v>100023336</v>
      </c>
      <c r="B252" s="504">
        <v>7501031701704</v>
      </c>
      <c r="C252" s="503" t="s">
        <v>295</v>
      </c>
      <c r="D252" s="503" t="s">
        <v>44</v>
      </c>
      <c r="E252" s="503" t="s">
        <v>33</v>
      </c>
      <c r="F252" s="502" t="s">
        <v>252</v>
      </c>
      <c r="G252" s="503" t="s">
        <v>139</v>
      </c>
      <c r="H252" s="502" t="s">
        <v>252</v>
      </c>
      <c r="I252" s="502" t="s">
        <v>247</v>
      </c>
      <c r="J252" s="15" t="str">
        <f>+_xlfn.XLOOKUP(B252,INNOVACIÓN!A:A,INNOVACIÓN!B:B,"NO")</f>
        <v>NO</v>
      </c>
      <c r="K252" s="15" t="str">
        <f>+_xlfn.XLOOKUP(B252,MERMA!B:B,MERMA!C:C,"No")</f>
        <v>No</v>
      </c>
      <c r="L252" s="15" t="str">
        <f>+_xlfn.XLOOKUP(B252,MERMA!B:B,MERMA!D:D,"No es merma")</f>
        <v>No es merma</v>
      </c>
    </row>
    <row r="253" spans="1:12" s="15" hidden="1" x14ac:dyDescent="0.35">
      <c r="A253" s="503">
        <v>100023337</v>
      </c>
      <c r="B253" s="504">
        <v>7501031701735</v>
      </c>
      <c r="C253" s="503" t="s">
        <v>296</v>
      </c>
      <c r="D253" s="503" t="s">
        <v>44</v>
      </c>
      <c r="E253" s="503" t="s">
        <v>33</v>
      </c>
      <c r="F253" s="502" t="s">
        <v>252</v>
      </c>
      <c r="G253" s="503" t="s">
        <v>139</v>
      </c>
      <c r="H253" s="502" t="s">
        <v>252</v>
      </c>
      <c r="I253" s="502" t="s">
        <v>247</v>
      </c>
      <c r="J253" s="15" t="str">
        <f>+_xlfn.XLOOKUP(B253,INNOVACIÓN!A:A,INNOVACIÓN!B:B,"NO")</f>
        <v>NO</v>
      </c>
      <c r="K253" s="15" t="str">
        <f>+_xlfn.XLOOKUP(B253,MERMA!B:B,MERMA!C:C,"No")</f>
        <v>No</v>
      </c>
      <c r="L253" s="15" t="str">
        <f>+_xlfn.XLOOKUP(B253,MERMA!B:B,MERMA!D:D,"No es merma")</f>
        <v>No es merma</v>
      </c>
    </row>
    <row r="254" spans="1:12" s="15" hidden="1" x14ac:dyDescent="0.35">
      <c r="A254" s="15">
        <v>100020897</v>
      </c>
      <c r="B254" s="506">
        <v>7501031701834</v>
      </c>
      <c r="C254" s="15" t="s">
        <v>297</v>
      </c>
      <c r="D254" s="502" t="s">
        <v>44</v>
      </c>
      <c r="E254" s="503" t="s">
        <v>33</v>
      </c>
      <c r="F254" s="502" t="s">
        <v>252</v>
      </c>
      <c r="G254" s="502" t="s">
        <v>139</v>
      </c>
      <c r="H254" s="502" t="s">
        <v>252</v>
      </c>
      <c r="I254" s="502" t="s">
        <v>247</v>
      </c>
      <c r="J254" s="15" t="str">
        <f>+_xlfn.XLOOKUP(B254,INNOVACIÓN!A:A,INNOVACIÓN!B:B,"NO")</f>
        <v>NO</v>
      </c>
      <c r="K254" s="15" t="str">
        <f>+_xlfn.XLOOKUP(B254,MERMA!B:B,MERMA!C:C,"No")</f>
        <v>No</v>
      </c>
      <c r="L254" s="15" t="str">
        <f>+_xlfn.XLOOKUP(B254,MERMA!B:B,MERMA!D:D,"No es merma")</f>
        <v>No es merma</v>
      </c>
    </row>
    <row r="255" spans="1:12" s="15" hidden="1" x14ac:dyDescent="0.35">
      <c r="A255" s="502">
        <v>100020894</v>
      </c>
      <c r="B255" s="504">
        <v>7501031701674</v>
      </c>
      <c r="C255" s="502" t="s">
        <v>298</v>
      </c>
      <c r="D255" s="503" t="s">
        <v>44</v>
      </c>
      <c r="E255" s="503" t="s">
        <v>33</v>
      </c>
      <c r="F255" s="502" t="s">
        <v>252</v>
      </c>
      <c r="G255" s="503" t="s">
        <v>139</v>
      </c>
      <c r="H255" s="502" t="s">
        <v>252</v>
      </c>
      <c r="I255" s="502" t="s">
        <v>247</v>
      </c>
      <c r="J255" s="15" t="str">
        <f>+_xlfn.XLOOKUP(B255,INNOVACIÓN!A:A,INNOVACIÓN!B:B,"NO")</f>
        <v>NO</v>
      </c>
      <c r="K255" s="15" t="str">
        <f>+_xlfn.XLOOKUP(B255,MERMA!B:B,MERMA!C:C,"No")</f>
        <v>No</v>
      </c>
      <c r="L255" s="15" t="str">
        <f>+_xlfn.XLOOKUP(B255,MERMA!B:B,MERMA!D:D,"No es merma")</f>
        <v>No es merma</v>
      </c>
    </row>
    <row r="256" spans="1:12" s="15" hidden="1" x14ac:dyDescent="0.35">
      <c r="A256" s="502">
        <v>100020893</v>
      </c>
      <c r="B256" s="504">
        <v>7501031701889</v>
      </c>
      <c r="C256" s="502" t="s">
        <v>299</v>
      </c>
      <c r="D256" s="503" t="s">
        <v>44</v>
      </c>
      <c r="E256" s="503" t="s">
        <v>33</v>
      </c>
      <c r="F256" s="502" t="s">
        <v>252</v>
      </c>
      <c r="G256" s="502" t="s">
        <v>139</v>
      </c>
      <c r="H256" s="502" t="s">
        <v>252</v>
      </c>
      <c r="I256" s="502" t="s">
        <v>247</v>
      </c>
      <c r="J256" s="15" t="str">
        <f>+_xlfn.XLOOKUP(B256,INNOVACIÓN!A:A,INNOVACIÓN!B:B,"NO")</f>
        <v>NO</v>
      </c>
      <c r="K256" s="15" t="str">
        <f>+_xlfn.XLOOKUP(B256,MERMA!B:B,MERMA!C:C,"No")</f>
        <v>No</v>
      </c>
      <c r="L256" s="15" t="str">
        <f>+_xlfn.XLOOKUP(B256,MERMA!B:B,MERMA!D:D,"No es merma")</f>
        <v>No es merma</v>
      </c>
    </row>
    <row r="257" spans="1:12" s="15" hidden="1" x14ac:dyDescent="0.35">
      <c r="A257" s="502">
        <v>100020892</v>
      </c>
      <c r="B257" s="504">
        <v>7501031701711</v>
      </c>
      <c r="C257" s="502" t="s">
        <v>300</v>
      </c>
      <c r="D257" s="503" t="s">
        <v>44</v>
      </c>
      <c r="E257" s="503" t="s">
        <v>33</v>
      </c>
      <c r="F257" s="502" t="s">
        <v>252</v>
      </c>
      <c r="G257" s="503" t="s">
        <v>139</v>
      </c>
      <c r="H257" s="502" t="s">
        <v>252</v>
      </c>
      <c r="I257" s="502" t="s">
        <v>247</v>
      </c>
      <c r="J257" s="15" t="str">
        <f>+_xlfn.XLOOKUP(B257,INNOVACIÓN!A:A,INNOVACIÓN!B:B,"NO")</f>
        <v>NO</v>
      </c>
      <c r="K257" s="15" t="str">
        <f>+_xlfn.XLOOKUP(B257,MERMA!B:B,MERMA!C:C,"No")</f>
        <v>No</v>
      </c>
      <c r="L257" s="15" t="str">
        <f>+_xlfn.XLOOKUP(B257,MERMA!B:B,MERMA!D:D,"No es merma")</f>
        <v>No es merma</v>
      </c>
    </row>
    <row r="258" spans="1:12" s="15" hidden="1" x14ac:dyDescent="0.35">
      <c r="A258" s="15">
        <v>100020890</v>
      </c>
      <c r="B258" s="506">
        <v>7501031701780</v>
      </c>
      <c r="C258" s="15" t="s">
        <v>301</v>
      </c>
      <c r="D258" s="502" t="s">
        <v>44</v>
      </c>
      <c r="E258" s="503" t="s">
        <v>33</v>
      </c>
      <c r="F258" s="502" t="s">
        <v>252</v>
      </c>
      <c r="G258" s="502" t="s">
        <v>139</v>
      </c>
      <c r="H258" s="502" t="s">
        <v>252</v>
      </c>
      <c r="I258" s="502" t="s">
        <v>247</v>
      </c>
      <c r="J258" s="15" t="str">
        <f>+_xlfn.XLOOKUP(B258,INNOVACIÓN!A:A,INNOVACIÓN!B:B,"NO")</f>
        <v>NO</v>
      </c>
      <c r="K258" s="15" t="str">
        <f>+_xlfn.XLOOKUP(B258,MERMA!B:B,MERMA!C:C,"No")</f>
        <v>No</v>
      </c>
      <c r="L258" s="15" t="str">
        <f>+_xlfn.XLOOKUP(B258,MERMA!B:B,MERMA!D:D,"No es merma")</f>
        <v>No es merma</v>
      </c>
    </row>
    <row r="259" spans="1:12" s="15" hidden="1" x14ac:dyDescent="0.35">
      <c r="A259" s="503">
        <v>100020888</v>
      </c>
      <c r="B259" s="504">
        <v>7501031701582</v>
      </c>
      <c r="C259" s="503" t="s">
        <v>302</v>
      </c>
      <c r="D259" s="503" t="s">
        <v>44</v>
      </c>
      <c r="E259" s="503" t="s">
        <v>33</v>
      </c>
      <c r="F259" s="502" t="s">
        <v>252</v>
      </c>
      <c r="G259" s="503" t="s">
        <v>139</v>
      </c>
      <c r="H259" s="502" t="s">
        <v>252</v>
      </c>
      <c r="I259" s="502" t="s">
        <v>247</v>
      </c>
      <c r="J259" s="15" t="str">
        <f>+_xlfn.XLOOKUP(B259,INNOVACIÓN!A:A,INNOVACIÓN!B:B,"NO")</f>
        <v>NO</v>
      </c>
      <c r="K259" s="15" t="str">
        <f>+_xlfn.XLOOKUP(B259,MERMA!B:B,MERMA!C:C,"No")</f>
        <v>No</v>
      </c>
      <c r="L259" s="15" t="str">
        <f>+_xlfn.XLOOKUP(B259,MERMA!B:B,MERMA!D:D,"No es merma")</f>
        <v>No es merma</v>
      </c>
    </row>
    <row r="260" spans="1:12" s="15" hidden="1" x14ac:dyDescent="0.35">
      <c r="A260" s="502">
        <v>100020886</v>
      </c>
      <c r="B260" s="504">
        <v>7501031701803</v>
      </c>
      <c r="C260" s="502" t="s">
        <v>303</v>
      </c>
      <c r="D260" s="503" t="s">
        <v>44</v>
      </c>
      <c r="E260" s="503" t="s">
        <v>33</v>
      </c>
      <c r="F260" s="502" t="s">
        <v>252</v>
      </c>
      <c r="G260" s="502" t="s">
        <v>139</v>
      </c>
      <c r="H260" s="502" t="s">
        <v>252</v>
      </c>
      <c r="I260" s="502" t="s">
        <v>247</v>
      </c>
      <c r="J260" s="15" t="str">
        <f>+_xlfn.XLOOKUP(B260,INNOVACIÓN!A:A,INNOVACIÓN!B:B,"NO")</f>
        <v>NO</v>
      </c>
      <c r="K260" s="15" t="str">
        <f>+_xlfn.XLOOKUP(B260,MERMA!B:B,MERMA!C:C,"No")</f>
        <v>No</v>
      </c>
      <c r="L260" s="15" t="str">
        <f>+_xlfn.XLOOKUP(B260,MERMA!B:B,MERMA!D:D,"No es merma")</f>
        <v>No es merma</v>
      </c>
    </row>
    <row r="261" spans="1:12" s="15" hidden="1" x14ac:dyDescent="0.35">
      <c r="A261" s="502">
        <v>100020885</v>
      </c>
      <c r="B261" s="504">
        <v>7501031701766</v>
      </c>
      <c r="C261" s="502" t="s">
        <v>304</v>
      </c>
      <c r="D261" s="503" t="s">
        <v>44</v>
      </c>
      <c r="E261" s="503" t="s">
        <v>33</v>
      </c>
      <c r="F261" s="502" t="s">
        <v>252</v>
      </c>
      <c r="G261" s="503" t="s">
        <v>139</v>
      </c>
      <c r="H261" s="502" t="s">
        <v>252</v>
      </c>
      <c r="I261" s="502" t="s">
        <v>247</v>
      </c>
      <c r="J261" s="15" t="str">
        <f>+_xlfn.XLOOKUP(B261,INNOVACIÓN!A:A,INNOVACIÓN!B:B,"NO")</f>
        <v>NO</v>
      </c>
      <c r="K261" s="15" t="str">
        <f>+_xlfn.XLOOKUP(B261,MERMA!B:B,MERMA!C:C,"No")</f>
        <v>No</v>
      </c>
      <c r="L261" s="15" t="str">
        <f>+_xlfn.XLOOKUP(B261,MERMA!B:B,MERMA!D:D,"No es merma")</f>
        <v>No es merma</v>
      </c>
    </row>
    <row r="262" spans="1:12" s="15" hidden="1" x14ac:dyDescent="0.35">
      <c r="A262" s="502">
        <v>100020883</v>
      </c>
      <c r="B262" s="504">
        <v>7501031701810</v>
      </c>
      <c r="C262" s="502" t="s">
        <v>305</v>
      </c>
      <c r="D262" s="503" t="s">
        <v>44</v>
      </c>
      <c r="E262" s="503" t="s">
        <v>33</v>
      </c>
      <c r="F262" s="502" t="s">
        <v>252</v>
      </c>
      <c r="G262" s="502" t="s">
        <v>139</v>
      </c>
      <c r="H262" s="502" t="s">
        <v>252</v>
      </c>
      <c r="I262" s="502" t="s">
        <v>247</v>
      </c>
      <c r="J262" s="15" t="str">
        <f>+_xlfn.XLOOKUP(B262,INNOVACIÓN!A:A,INNOVACIÓN!B:B,"NO")</f>
        <v>NO</v>
      </c>
      <c r="K262" s="15" t="str">
        <f>+_xlfn.XLOOKUP(B262,MERMA!B:B,MERMA!C:C,"No")</f>
        <v>No</v>
      </c>
      <c r="L262" s="15" t="str">
        <f>+_xlfn.XLOOKUP(B262,MERMA!B:B,MERMA!D:D,"No es merma")</f>
        <v>No es merma</v>
      </c>
    </row>
    <row r="263" spans="1:12" s="15" hidden="1" x14ac:dyDescent="0.35">
      <c r="A263" s="502">
        <v>100020882</v>
      </c>
      <c r="B263" s="504">
        <v>7501031701629</v>
      </c>
      <c r="C263" s="502" t="s">
        <v>306</v>
      </c>
      <c r="D263" s="503" t="s">
        <v>44</v>
      </c>
      <c r="E263" s="503" t="s">
        <v>33</v>
      </c>
      <c r="F263" s="502" t="s">
        <v>252</v>
      </c>
      <c r="G263" s="503" t="s">
        <v>139</v>
      </c>
      <c r="H263" s="502" t="s">
        <v>252</v>
      </c>
      <c r="I263" s="502" t="s">
        <v>247</v>
      </c>
      <c r="J263" s="15" t="str">
        <f>+_xlfn.XLOOKUP(B263,INNOVACIÓN!A:A,INNOVACIÓN!B:B,"NO")</f>
        <v>NO</v>
      </c>
      <c r="K263" s="15" t="str">
        <f>+_xlfn.XLOOKUP(B263,MERMA!B:B,MERMA!C:C,"No")</f>
        <v>No</v>
      </c>
      <c r="L263" s="15" t="str">
        <f>+_xlfn.XLOOKUP(B263,MERMA!B:B,MERMA!D:D,"No es merma")</f>
        <v>No es merma</v>
      </c>
    </row>
    <row r="264" spans="1:12" s="15" hidden="1" x14ac:dyDescent="0.35">
      <c r="A264" s="503">
        <v>100020879</v>
      </c>
      <c r="B264" s="504">
        <v>7501031701742</v>
      </c>
      <c r="C264" s="503" t="s">
        <v>307</v>
      </c>
      <c r="D264" s="503" t="s">
        <v>44</v>
      </c>
      <c r="E264" s="503" t="s">
        <v>33</v>
      </c>
      <c r="F264" s="502" t="s">
        <v>252</v>
      </c>
      <c r="G264" s="503" t="s">
        <v>139</v>
      </c>
      <c r="H264" s="502" t="s">
        <v>252</v>
      </c>
      <c r="I264" s="502" t="s">
        <v>247</v>
      </c>
      <c r="J264" s="15" t="str">
        <f>+_xlfn.XLOOKUP(B264,INNOVACIÓN!A:A,INNOVACIÓN!B:B,"NO")</f>
        <v>NO</v>
      </c>
      <c r="K264" s="15" t="str">
        <f>+_xlfn.XLOOKUP(B264,MERMA!B:B,MERMA!C:C,"No")</f>
        <v>No</v>
      </c>
      <c r="L264" s="15" t="str">
        <f>+_xlfn.XLOOKUP(B264,MERMA!B:B,MERMA!D:D,"No es merma")</f>
        <v>No es merma</v>
      </c>
    </row>
    <row r="265" spans="1:12" s="15" hidden="1" x14ac:dyDescent="0.35">
      <c r="A265" s="502">
        <v>100020880</v>
      </c>
      <c r="B265" s="504">
        <v>7501031701728</v>
      </c>
      <c r="C265" s="502" t="s">
        <v>307</v>
      </c>
      <c r="D265" s="503" t="s">
        <v>44</v>
      </c>
      <c r="E265" s="503" t="s">
        <v>33</v>
      </c>
      <c r="F265" s="502" t="s">
        <v>252</v>
      </c>
      <c r="G265" s="503" t="s">
        <v>139</v>
      </c>
      <c r="H265" s="502" t="s">
        <v>252</v>
      </c>
      <c r="I265" s="502" t="s">
        <v>247</v>
      </c>
      <c r="J265" s="15" t="str">
        <f>+_xlfn.XLOOKUP(B265,INNOVACIÓN!A:A,INNOVACIÓN!B:B,"NO")</f>
        <v>NO</v>
      </c>
      <c r="K265" s="15" t="str">
        <f>+_xlfn.XLOOKUP(B265,MERMA!B:B,MERMA!C:C,"No")</f>
        <v>No</v>
      </c>
      <c r="L265" s="15" t="str">
        <f>+_xlfn.XLOOKUP(B265,MERMA!B:B,MERMA!D:D,"No es merma")</f>
        <v>No es merma</v>
      </c>
    </row>
    <row r="266" spans="1:12" s="15" hidden="1" x14ac:dyDescent="0.35">
      <c r="A266" s="15">
        <v>100020881</v>
      </c>
      <c r="B266" s="506">
        <v>7501031701896</v>
      </c>
      <c r="C266" s="15" t="s">
        <v>307</v>
      </c>
      <c r="D266" s="502" t="s">
        <v>44</v>
      </c>
      <c r="E266" s="503" t="s">
        <v>33</v>
      </c>
      <c r="F266" s="502" t="s">
        <v>252</v>
      </c>
      <c r="G266" s="502" t="s">
        <v>139</v>
      </c>
      <c r="H266" s="502" t="s">
        <v>252</v>
      </c>
      <c r="I266" s="502" t="s">
        <v>247</v>
      </c>
      <c r="J266" s="15" t="str">
        <f>+_xlfn.XLOOKUP(B266,INNOVACIÓN!A:A,INNOVACIÓN!B:B,"NO")</f>
        <v>NO</v>
      </c>
      <c r="K266" s="15" t="str">
        <f>+_xlfn.XLOOKUP(B266,MERMA!B:B,MERMA!C:C,"No")</f>
        <v>No</v>
      </c>
      <c r="L266" s="15" t="str">
        <f>+_xlfn.XLOOKUP(B266,MERMA!B:B,MERMA!D:D,"No es merma")</f>
        <v>No es merma</v>
      </c>
    </row>
    <row r="267" spans="1:12" s="15" hidden="1" x14ac:dyDescent="0.35">
      <c r="A267" s="502">
        <v>100020878</v>
      </c>
      <c r="B267" s="504">
        <v>7501031701773</v>
      </c>
      <c r="C267" s="502" t="s">
        <v>308</v>
      </c>
      <c r="D267" s="503" t="s">
        <v>44</v>
      </c>
      <c r="E267" s="503" t="s">
        <v>33</v>
      </c>
      <c r="F267" s="502" t="s">
        <v>252</v>
      </c>
      <c r="G267" s="502" t="s">
        <v>139</v>
      </c>
      <c r="H267" s="502" t="s">
        <v>252</v>
      </c>
      <c r="I267" s="502" t="s">
        <v>247</v>
      </c>
      <c r="J267" s="15" t="str">
        <f>+_xlfn.XLOOKUP(B267,INNOVACIÓN!A:A,INNOVACIÓN!B:B,"NO")</f>
        <v>NO</v>
      </c>
      <c r="K267" s="15" t="str">
        <f>+_xlfn.XLOOKUP(B267,MERMA!B:B,MERMA!C:C,"No")</f>
        <v>No</v>
      </c>
      <c r="L267" s="15" t="str">
        <f>+_xlfn.XLOOKUP(B267,MERMA!B:B,MERMA!D:D,"No es merma")</f>
        <v>No es merma</v>
      </c>
    </row>
    <row r="268" spans="1:12" s="15" hidden="1" x14ac:dyDescent="0.35">
      <c r="A268" s="502">
        <v>100020877</v>
      </c>
      <c r="B268" s="504">
        <v>7501031701612</v>
      </c>
      <c r="C268" s="502" t="s">
        <v>309</v>
      </c>
      <c r="D268" s="503" t="s">
        <v>44</v>
      </c>
      <c r="E268" s="503" t="s">
        <v>33</v>
      </c>
      <c r="F268" s="502" t="s">
        <v>252</v>
      </c>
      <c r="G268" s="503" t="s">
        <v>139</v>
      </c>
      <c r="H268" s="502" t="s">
        <v>252</v>
      </c>
      <c r="I268" s="502" t="s">
        <v>247</v>
      </c>
      <c r="J268" s="15" t="str">
        <f>+_xlfn.XLOOKUP(B268,INNOVACIÓN!A:A,INNOVACIÓN!B:B,"NO")</f>
        <v>NO</v>
      </c>
      <c r="K268" s="15" t="str">
        <f>+_xlfn.XLOOKUP(B268,MERMA!B:B,MERMA!C:C,"No")</f>
        <v>No</v>
      </c>
      <c r="L268" s="15" t="str">
        <f>+_xlfn.XLOOKUP(B268,MERMA!B:B,MERMA!D:D,"No es merma")</f>
        <v>No es merma</v>
      </c>
    </row>
    <row r="269" spans="1:12" s="15" hidden="1" x14ac:dyDescent="0.35">
      <c r="A269" s="503">
        <v>100020875</v>
      </c>
      <c r="B269" s="504">
        <v>7501031701681</v>
      </c>
      <c r="C269" s="503" t="s">
        <v>310</v>
      </c>
      <c r="D269" s="503" t="s">
        <v>44</v>
      </c>
      <c r="E269" s="503" t="s">
        <v>33</v>
      </c>
      <c r="F269" s="502" t="s">
        <v>252</v>
      </c>
      <c r="G269" s="503" t="s">
        <v>139</v>
      </c>
      <c r="H269" s="502" t="s">
        <v>252</v>
      </c>
      <c r="I269" s="502" t="s">
        <v>247</v>
      </c>
      <c r="J269" s="15" t="str">
        <f>+_xlfn.XLOOKUP(B269,INNOVACIÓN!A:A,INNOVACIÓN!B:B,"NO")</f>
        <v>NO</v>
      </c>
      <c r="K269" s="15" t="str">
        <f>+_xlfn.XLOOKUP(B269,MERMA!B:B,MERMA!C:C,"No")</f>
        <v>No</v>
      </c>
      <c r="L269" s="15" t="str">
        <f>+_xlfn.XLOOKUP(B269,MERMA!B:B,MERMA!D:D,"No es merma")</f>
        <v>No es merma</v>
      </c>
    </row>
    <row r="270" spans="1:12" s="15" hidden="1" x14ac:dyDescent="0.35">
      <c r="A270" s="15">
        <v>100020874</v>
      </c>
      <c r="B270" s="506">
        <v>7501031701797</v>
      </c>
      <c r="C270" s="15" t="s">
        <v>311</v>
      </c>
      <c r="D270" s="502" t="s">
        <v>44</v>
      </c>
      <c r="E270" s="503" t="s">
        <v>33</v>
      </c>
      <c r="F270" s="502" t="s">
        <v>252</v>
      </c>
      <c r="G270" s="502" t="s">
        <v>139</v>
      </c>
      <c r="H270" s="502" t="s">
        <v>252</v>
      </c>
      <c r="I270" s="502" t="s">
        <v>247</v>
      </c>
      <c r="J270" s="15" t="str">
        <f>+_xlfn.XLOOKUP(B270,INNOVACIÓN!A:A,INNOVACIÓN!B:B,"NO")</f>
        <v>NO</v>
      </c>
      <c r="K270" s="15" t="str">
        <f>+_xlfn.XLOOKUP(B270,MERMA!B:B,MERMA!C:C,"No")</f>
        <v>No</v>
      </c>
      <c r="L270" s="15" t="str">
        <f>+_xlfn.XLOOKUP(B270,MERMA!B:B,MERMA!D:D,"No es merma")</f>
        <v>No es merma</v>
      </c>
    </row>
    <row r="271" spans="1:12" s="15" hidden="1" x14ac:dyDescent="0.35">
      <c r="A271" s="502">
        <v>100020873</v>
      </c>
      <c r="B271" s="504">
        <v>7501031701605</v>
      </c>
      <c r="C271" s="502" t="s">
        <v>312</v>
      </c>
      <c r="D271" s="503" t="s">
        <v>44</v>
      </c>
      <c r="E271" s="503" t="s">
        <v>33</v>
      </c>
      <c r="F271" s="502" t="s">
        <v>252</v>
      </c>
      <c r="G271" s="503" t="s">
        <v>139</v>
      </c>
      <c r="H271" s="502" t="s">
        <v>252</v>
      </c>
      <c r="I271" s="502" t="s">
        <v>247</v>
      </c>
      <c r="J271" s="15" t="str">
        <f>+_xlfn.XLOOKUP(B271,INNOVACIÓN!A:A,INNOVACIÓN!B:B,"NO")</f>
        <v>NO</v>
      </c>
      <c r="K271" s="15" t="str">
        <f>+_xlfn.XLOOKUP(B271,MERMA!B:B,MERMA!C:C,"No")</f>
        <v>No</v>
      </c>
      <c r="L271" s="15" t="str">
        <f>+_xlfn.XLOOKUP(B271,MERMA!B:B,MERMA!D:D,"No es merma")</f>
        <v>No es merma</v>
      </c>
    </row>
    <row r="272" spans="1:12" s="15" hidden="1" x14ac:dyDescent="0.35">
      <c r="A272" s="503">
        <v>100020871</v>
      </c>
      <c r="B272" s="504">
        <v>7501031701599</v>
      </c>
      <c r="C272" s="503" t="s">
        <v>313</v>
      </c>
      <c r="D272" s="503" t="s">
        <v>44</v>
      </c>
      <c r="E272" s="503" t="s">
        <v>33</v>
      </c>
      <c r="F272" s="502" t="s">
        <v>252</v>
      </c>
      <c r="G272" s="503" t="s">
        <v>139</v>
      </c>
      <c r="H272" s="502" t="s">
        <v>252</v>
      </c>
      <c r="I272" s="502" t="s">
        <v>247</v>
      </c>
      <c r="J272" s="15" t="str">
        <f>+_xlfn.XLOOKUP(B272,INNOVACIÓN!A:A,INNOVACIÓN!B:B,"NO")</f>
        <v>NO</v>
      </c>
      <c r="K272" s="15" t="str">
        <f>+_xlfn.XLOOKUP(B272,MERMA!B:B,MERMA!C:C,"No")</f>
        <v>No</v>
      </c>
      <c r="L272" s="15" t="str">
        <f>+_xlfn.XLOOKUP(B272,MERMA!B:B,MERMA!D:D,"No es merma")</f>
        <v>No es merma</v>
      </c>
    </row>
    <row r="273" spans="1:12" s="15" hidden="1" x14ac:dyDescent="0.35">
      <c r="A273" s="503">
        <v>100020899</v>
      </c>
      <c r="B273" s="504">
        <v>7501031701537</v>
      </c>
      <c r="C273" s="503" t="s">
        <v>314</v>
      </c>
      <c r="D273" s="503" t="s">
        <v>44</v>
      </c>
      <c r="E273" s="503" t="s">
        <v>33</v>
      </c>
      <c r="F273" s="502" t="s">
        <v>252</v>
      </c>
      <c r="G273" s="503" t="s">
        <v>139</v>
      </c>
      <c r="H273" s="502" t="s">
        <v>252</v>
      </c>
      <c r="I273" s="502" t="s">
        <v>247</v>
      </c>
      <c r="J273" s="15" t="str">
        <f>+_xlfn.XLOOKUP(B273,INNOVACIÓN!A:A,INNOVACIÓN!B:B,"NO")</f>
        <v>NO</v>
      </c>
      <c r="K273" s="15" t="str">
        <f>+_xlfn.XLOOKUP(B273,MERMA!B:B,MERMA!C:C,"No")</f>
        <v>No</v>
      </c>
      <c r="L273" s="15" t="str">
        <f>+_xlfn.XLOOKUP(B273,MERMA!B:B,MERMA!D:D,"No es merma")</f>
        <v>No es merma</v>
      </c>
    </row>
    <row r="274" spans="1:12" s="15" hidden="1" x14ac:dyDescent="0.35">
      <c r="A274" s="502">
        <v>100020898</v>
      </c>
      <c r="B274" s="504">
        <v>7501031701551</v>
      </c>
      <c r="C274" s="502" t="s">
        <v>315</v>
      </c>
      <c r="D274" s="503" t="s">
        <v>44</v>
      </c>
      <c r="E274" s="503" t="s">
        <v>33</v>
      </c>
      <c r="F274" s="502" t="s">
        <v>252</v>
      </c>
      <c r="G274" s="503" t="s">
        <v>139</v>
      </c>
      <c r="H274" s="502" t="s">
        <v>252</v>
      </c>
      <c r="I274" s="502" t="s">
        <v>247</v>
      </c>
      <c r="J274" s="15" t="str">
        <f>+_xlfn.XLOOKUP(B274,INNOVACIÓN!A:A,INNOVACIÓN!B:B,"NO")</f>
        <v>NO</v>
      </c>
      <c r="K274" s="15" t="str">
        <f>+_xlfn.XLOOKUP(B274,MERMA!B:B,MERMA!C:C,"No")</f>
        <v>No</v>
      </c>
      <c r="L274" s="15" t="str">
        <f>+_xlfn.XLOOKUP(B274,MERMA!B:B,MERMA!D:D,"No es merma")</f>
        <v>No es merma</v>
      </c>
    </row>
    <row r="275" spans="1:12" s="15" hidden="1" x14ac:dyDescent="0.35">
      <c r="A275" s="503">
        <v>100022784</v>
      </c>
      <c r="B275" s="504">
        <v>7501031701544</v>
      </c>
      <c r="C275" s="503" t="s">
        <v>316</v>
      </c>
      <c r="D275" s="503" t="s">
        <v>44</v>
      </c>
      <c r="E275" s="503" t="s">
        <v>33</v>
      </c>
      <c r="F275" s="502" t="s">
        <v>252</v>
      </c>
      <c r="G275" s="503" t="s">
        <v>139</v>
      </c>
      <c r="H275" s="502" t="s">
        <v>252</v>
      </c>
      <c r="I275" s="502" t="s">
        <v>247</v>
      </c>
      <c r="J275" s="15" t="str">
        <f>+_xlfn.XLOOKUP(B275,INNOVACIÓN!A:A,INNOVACIÓN!B:B,"NO")</f>
        <v>NO</v>
      </c>
      <c r="K275" s="15" t="str">
        <f>+_xlfn.XLOOKUP(B275,MERMA!B:B,MERMA!C:C,"No")</f>
        <v>No</v>
      </c>
      <c r="L275" s="15" t="str">
        <f>+_xlfn.XLOOKUP(B275,MERMA!B:B,MERMA!D:D,"No es merma")</f>
        <v>No es merma</v>
      </c>
    </row>
    <row r="276" spans="1:12" s="15" hidden="1" x14ac:dyDescent="0.35">
      <c r="A276" s="502">
        <v>101000084</v>
      </c>
      <c r="B276" s="504">
        <v>7707200941241</v>
      </c>
      <c r="C276" s="502" t="s">
        <v>317</v>
      </c>
      <c r="D276" s="503" t="s">
        <v>44</v>
      </c>
      <c r="E276" s="503" t="s">
        <v>33</v>
      </c>
      <c r="F276" s="502" t="s">
        <v>252</v>
      </c>
      <c r="G276" s="503" t="s">
        <v>139</v>
      </c>
      <c r="H276" s="502" t="s">
        <v>252</v>
      </c>
      <c r="I276" s="502" t="s">
        <v>247</v>
      </c>
      <c r="J276" s="15" t="str">
        <f>+_xlfn.XLOOKUP(B276,INNOVACIÓN!A:A,INNOVACIÓN!B:B,"NO")</f>
        <v>NO</v>
      </c>
      <c r="K276" s="15" t="str">
        <f>+_xlfn.XLOOKUP(B276,MERMA!B:B,MERMA!C:C,"No")</f>
        <v>No</v>
      </c>
      <c r="L276" s="15" t="str">
        <f>+_xlfn.XLOOKUP(B276,MERMA!B:B,MERMA!D:D,"No es merma")</f>
        <v>No es merma</v>
      </c>
    </row>
    <row r="277" spans="1:12" s="15" hidden="1" x14ac:dyDescent="0.35">
      <c r="A277" s="15">
        <v>100025449</v>
      </c>
      <c r="B277" s="506">
        <v>7503031949216</v>
      </c>
      <c r="C277" s="15" t="s">
        <v>318</v>
      </c>
      <c r="D277" s="503" t="s">
        <v>11</v>
      </c>
      <c r="E277" s="503" t="s">
        <v>33</v>
      </c>
      <c r="F277" s="503" t="s">
        <v>46</v>
      </c>
      <c r="G277" s="503" t="s">
        <v>14</v>
      </c>
      <c r="H277" s="502" t="s">
        <v>36</v>
      </c>
      <c r="I277" s="502" t="s">
        <v>109</v>
      </c>
      <c r="J277" s="15" t="str">
        <f>+_xlfn.XLOOKUP(B277,INNOVACIÓN!A:A,INNOVACIÓN!B:B,"NO")</f>
        <v>NO</v>
      </c>
      <c r="K277" s="15" t="str">
        <f>+_xlfn.XLOOKUP(B277,MERMA!B:B,MERMA!C:C,"No")</f>
        <v>No</v>
      </c>
      <c r="L277" s="15" t="str">
        <f>+_xlfn.XLOOKUP(B277,MERMA!B:B,MERMA!D:D,"No es merma")</f>
        <v>No es merma</v>
      </c>
    </row>
    <row r="278" spans="1:12" s="15" hidden="1" x14ac:dyDescent="0.35">
      <c r="A278" s="503">
        <v>100023684</v>
      </c>
      <c r="B278" s="505">
        <v>75006952</v>
      </c>
      <c r="C278" s="503" t="s">
        <v>319</v>
      </c>
      <c r="D278" s="503" t="s">
        <v>11</v>
      </c>
      <c r="E278" s="503" t="s">
        <v>33</v>
      </c>
      <c r="F278" s="503" t="s">
        <v>39</v>
      </c>
      <c r="G278" s="503" t="s">
        <v>75</v>
      </c>
      <c r="H278" s="502" t="s">
        <v>70</v>
      </c>
      <c r="I278" s="502" t="s">
        <v>109</v>
      </c>
      <c r="J278" s="15" t="str">
        <f>+_xlfn.XLOOKUP(B278,INNOVACIÓN!A:A,INNOVACIÓN!B:B,"NO")</f>
        <v>NO</v>
      </c>
      <c r="K278" s="15" t="str">
        <f>+_xlfn.XLOOKUP(B278,MERMA!B:B,MERMA!C:C,"No")</f>
        <v>SI</v>
      </c>
      <c r="L278" s="15">
        <f>+_xlfn.XLOOKUP(B278,MERMA!B:B,MERMA!D:D,"No es merma")</f>
        <v>2025</v>
      </c>
    </row>
    <row r="279" spans="1:12" s="15" hidden="1" x14ac:dyDescent="0.35">
      <c r="A279" s="503">
        <v>100023683</v>
      </c>
      <c r="B279" s="505">
        <v>75006341</v>
      </c>
      <c r="C279" s="503" t="s">
        <v>320</v>
      </c>
      <c r="D279" s="503" t="s">
        <v>11</v>
      </c>
      <c r="E279" s="503" t="s">
        <v>33</v>
      </c>
      <c r="F279" s="503" t="s">
        <v>39</v>
      </c>
      <c r="G279" s="503" t="s">
        <v>75</v>
      </c>
      <c r="H279" s="502" t="s">
        <v>70</v>
      </c>
      <c r="I279" s="502" t="s">
        <v>109</v>
      </c>
      <c r="J279" s="15" t="str">
        <f>+_xlfn.XLOOKUP(B279,INNOVACIÓN!A:A,INNOVACIÓN!B:B,"NO")</f>
        <v>NO</v>
      </c>
      <c r="K279" s="15" t="str">
        <f>+_xlfn.XLOOKUP(B279,MERMA!B:B,MERMA!C:C,"No")</f>
        <v>SI</v>
      </c>
      <c r="L279" s="15">
        <f>+_xlfn.XLOOKUP(B279,MERMA!B:B,MERMA!D:D,"No es merma")</f>
        <v>2025</v>
      </c>
    </row>
    <row r="280" spans="1:12" s="15" hidden="1" x14ac:dyDescent="0.35">
      <c r="A280" s="503">
        <v>100023680</v>
      </c>
      <c r="B280" s="505">
        <v>75032777</v>
      </c>
      <c r="C280" s="503" t="s">
        <v>321</v>
      </c>
      <c r="D280" s="503" t="s">
        <v>11</v>
      </c>
      <c r="E280" s="503" t="s">
        <v>33</v>
      </c>
      <c r="F280" s="503" t="s">
        <v>39</v>
      </c>
      <c r="G280" s="503" t="s">
        <v>75</v>
      </c>
      <c r="H280" s="502" t="s">
        <v>70</v>
      </c>
      <c r="I280" s="502" t="s">
        <v>109</v>
      </c>
      <c r="J280" s="15" t="str">
        <f>+_xlfn.XLOOKUP(B280,INNOVACIÓN!A:A,INNOVACIÓN!B:B,"NO")</f>
        <v>NO</v>
      </c>
      <c r="K280" s="15" t="str">
        <f>+_xlfn.XLOOKUP(B280,MERMA!B:B,MERMA!C:C,"No")</f>
        <v>SI</v>
      </c>
      <c r="L280" s="15">
        <f>+_xlfn.XLOOKUP(B280,MERMA!B:B,MERMA!D:D,"No es merma")</f>
        <v>2025</v>
      </c>
    </row>
    <row r="281" spans="1:12" s="15" hidden="1" x14ac:dyDescent="0.35">
      <c r="A281" s="15">
        <v>100080015</v>
      </c>
      <c r="B281" s="15">
        <v>8308713</v>
      </c>
      <c r="C281" s="15" t="s">
        <v>322</v>
      </c>
      <c r="D281" s="502" t="s">
        <v>32</v>
      </c>
      <c r="E281" s="503" t="s">
        <v>33</v>
      </c>
      <c r="F281" s="503" t="s">
        <v>41</v>
      </c>
      <c r="G281" s="502" t="s">
        <v>54</v>
      </c>
      <c r="H281" s="502" t="s">
        <v>36</v>
      </c>
      <c r="I281" s="502" t="s">
        <v>247</v>
      </c>
      <c r="J281" s="15" t="str">
        <f>+_xlfn.XLOOKUP(B281,INNOVACIÓN!A:A,INNOVACIÓN!B:B,"NO")</f>
        <v>NO</v>
      </c>
      <c r="K281" s="15" t="str">
        <f>+_xlfn.XLOOKUP(B281,MERMA!B:B,MERMA!C:C,"No")</f>
        <v>No</v>
      </c>
      <c r="L281" s="15" t="str">
        <f>+_xlfn.XLOOKUP(B281,MERMA!B:B,MERMA!D:D,"No es merma")</f>
        <v>No es merma</v>
      </c>
    </row>
    <row r="282" spans="1:12" s="15" hidden="1" x14ac:dyDescent="0.35">
      <c r="A282" s="503">
        <v>100019228</v>
      </c>
      <c r="B282" s="504">
        <v>75074883</v>
      </c>
      <c r="C282" s="503" t="s">
        <v>323</v>
      </c>
      <c r="D282" s="503" t="s">
        <v>44</v>
      </c>
      <c r="E282" s="503" t="s">
        <v>33</v>
      </c>
      <c r="F282" s="503" t="s">
        <v>46</v>
      </c>
      <c r="G282" s="503" t="s">
        <v>54</v>
      </c>
      <c r="H282" s="502" t="s">
        <v>36</v>
      </c>
      <c r="I282" s="502" t="s">
        <v>109</v>
      </c>
      <c r="J282" s="15" t="str">
        <f>+_xlfn.XLOOKUP(B282,INNOVACIÓN!A:A,INNOVACIÓN!B:B,"NO")</f>
        <v>NO</v>
      </c>
      <c r="K282" s="15" t="str">
        <f>+_xlfn.XLOOKUP(B282,MERMA!B:B,MERMA!C:C,"No")</f>
        <v>No</v>
      </c>
      <c r="L282" s="15" t="str">
        <f>+_xlfn.XLOOKUP(B282,MERMA!B:B,MERMA!D:D,"No es merma")</f>
        <v>No es merma</v>
      </c>
    </row>
    <row r="283" spans="1:12" s="15" hidden="1" x14ac:dyDescent="0.35">
      <c r="A283" s="15">
        <v>100019050</v>
      </c>
      <c r="B283" s="506">
        <v>75074029</v>
      </c>
      <c r="C283" s="15" t="s">
        <v>324</v>
      </c>
      <c r="D283" s="502" t="s">
        <v>44</v>
      </c>
      <c r="E283" s="503" t="s">
        <v>33</v>
      </c>
      <c r="F283" s="502" t="s">
        <v>46</v>
      </c>
      <c r="G283" s="502" t="s">
        <v>136</v>
      </c>
      <c r="H283" s="502" t="s">
        <v>36</v>
      </c>
      <c r="I283" s="502" t="s">
        <v>109</v>
      </c>
      <c r="J283" s="15" t="str">
        <f>+_xlfn.XLOOKUP(B283,INNOVACIÓN!A:A,INNOVACIÓN!B:B,"NO")</f>
        <v>NO</v>
      </c>
      <c r="K283" s="15" t="str">
        <f>+_xlfn.XLOOKUP(B283,MERMA!B:B,MERMA!C:C,"No")</f>
        <v>No</v>
      </c>
      <c r="L283" s="15" t="str">
        <f>+_xlfn.XLOOKUP(B283,MERMA!B:B,MERMA!D:D,"No es merma")</f>
        <v>No es merma</v>
      </c>
    </row>
    <row r="284" spans="1:12" s="15" hidden="1" x14ac:dyDescent="0.35">
      <c r="A284" s="502">
        <v>100020839</v>
      </c>
      <c r="B284" s="502">
        <v>75076450</v>
      </c>
      <c r="C284" s="502" t="s">
        <v>325</v>
      </c>
      <c r="D284" s="503" t="s">
        <v>44</v>
      </c>
      <c r="E284" s="503" t="s">
        <v>33</v>
      </c>
      <c r="F284" s="65535" t="s">
        <v>46</v>
      </c>
      <c r="G284" s="65535" t="s">
        <v>54</v>
      </c>
      <c r="H284" s="502" t="s">
        <v>36</v>
      </c>
      <c r="I284" s="502" t="s">
        <v>247</v>
      </c>
      <c r="J284" s="15" t="str">
        <f>+_xlfn.XLOOKUP(B284,INNOVACIÓN!A:A,INNOVACIÓN!B:B,"NO")</f>
        <v>NO</v>
      </c>
      <c r="K284" s="15" t="str">
        <f>+_xlfn.XLOOKUP(B284,MERMA!B:B,MERMA!C:C,"No")</f>
        <v>No</v>
      </c>
      <c r="L284" s="15" t="str">
        <f>+_xlfn.XLOOKUP(B284,MERMA!B:B,MERMA!D:D,"No es merma")</f>
        <v>No es merma</v>
      </c>
    </row>
    <row r="285" spans="1:12" s="15" hidden="1" x14ac:dyDescent="0.35">
      <c r="A285" s="503">
        <v>100019232</v>
      </c>
      <c r="B285" s="504">
        <v>75074876</v>
      </c>
      <c r="C285" s="503" t="s">
        <v>326</v>
      </c>
      <c r="D285" s="503" t="s">
        <v>44</v>
      </c>
      <c r="E285" s="503" t="s">
        <v>33</v>
      </c>
      <c r="F285" s="503" t="s">
        <v>46</v>
      </c>
      <c r="G285" s="503" t="s">
        <v>54</v>
      </c>
      <c r="H285" s="502" t="s">
        <v>36</v>
      </c>
      <c r="I285" s="502" t="s">
        <v>109</v>
      </c>
      <c r="J285" s="15" t="str">
        <f>+_xlfn.XLOOKUP(B285,INNOVACIÓN!A:A,INNOVACIÓN!B:B,"NO")</f>
        <v>NO</v>
      </c>
      <c r="K285" s="15" t="str">
        <f>+_xlfn.XLOOKUP(B285,MERMA!B:B,MERMA!C:C,"No")</f>
        <v>No</v>
      </c>
      <c r="L285" s="15" t="str">
        <f>+_xlfn.XLOOKUP(B285,MERMA!B:B,MERMA!D:D,"No es merma")</f>
        <v>No es merma</v>
      </c>
    </row>
    <row r="286" spans="1:12" s="15" hidden="1" x14ac:dyDescent="0.35">
      <c r="A286" s="502">
        <v>100019051</v>
      </c>
      <c r="B286" s="502">
        <v>75074012</v>
      </c>
      <c r="C286" s="502" t="s">
        <v>327</v>
      </c>
      <c r="D286" s="503" t="s">
        <v>44</v>
      </c>
      <c r="E286" s="503" t="s">
        <v>33</v>
      </c>
      <c r="F286" s="65535" t="s">
        <v>46</v>
      </c>
      <c r="G286" s="65535" t="s">
        <v>35</v>
      </c>
      <c r="H286" s="502" t="s">
        <v>36</v>
      </c>
      <c r="I286" s="502" t="s">
        <v>247</v>
      </c>
      <c r="J286" s="15" t="str">
        <f>+_xlfn.XLOOKUP(B286,INNOVACIÓN!A:A,INNOVACIÓN!B:B,"NO")</f>
        <v>NO</v>
      </c>
      <c r="K286" s="15" t="str">
        <f>+_xlfn.XLOOKUP(B286,MERMA!B:B,MERMA!C:C,"No")</f>
        <v>No</v>
      </c>
      <c r="L286" s="15" t="str">
        <f>+_xlfn.XLOOKUP(B286,MERMA!B:B,MERMA!D:D,"No es merma")</f>
        <v>No es merma</v>
      </c>
    </row>
    <row r="287" spans="1:12" s="15" hidden="1" x14ac:dyDescent="0.35">
      <c r="A287" s="503">
        <v>100019958</v>
      </c>
      <c r="B287" s="504">
        <v>75074920</v>
      </c>
      <c r="C287" s="503" t="s">
        <v>328</v>
      </c>
      <c r="D287" s="503" t="s">
        <v>44</v>
      </c>
      <c r="E287" s="503" t="s">
        <v>33</v>
      </c>
      <c r="F287" s="503" t="s">
        <v>46</v>
      </c>
      <c r="G287" s="503" t="s">
        <v>54</v>
      </c>
      <c r="H287" s="502" t="s">
        <v>36</v>
      </c>
      <c r="I287" s="502" t="s">
        <v>109</v>
      </c>
      <c r="J287" s="15" t="str">
        <f>+_xlfn.XLOOKUP(B287,INNOVACIÓN!A:A,INNOVACIÓN!B:B,"NO")</f>
        <v>NO</v>
      </c>
      <c r="K287" s="15" t="str">
        <f>+_xlfn.XLOOKUP(B287,MERMA!B:B,MERMA!C:C,"No")</f>
        <v>No</v>
      </c>
      <c r="L287" s="15" t="str">
        <f>+_xlfn.XLOOKUP(B287,MERMA!B:B,MERMA!D:D,"No es merma")</f>
        <v>No es merma</v>
      </c>
    </row>
    <row r="288" spans="1:12" s="15" hidden="1" x14ac:dyDescent="0.35">
      <c r="A288" s="503">
        <v>100020528</v>
      </c>
      <c r="B288" s="504">
        <v>75074937</v>
      </c>
      <c r="C288" s="503" t="s">
        <v>329</v>
      </c>
      <c r="D288" s="503" t="s">
        <v>44</v>
      </c>
      <c r="E288" s="503" t="s">
        <v>33</v>
      </c>
      <c r="F288" s="503" t="s">
        <v>46</v>
      </c>
      <c r="G288" s="503" t="s">
        <v>14</v>
      </c>
      <c r="H288" s="502" t="s">
        <v>36</v>
      </c>
      <c r="I288" s="502" t="s">
        <v>109</v>
      </c>
      <c r="J288" s="15" t="str">
        <f>+_xlfn.XLOOKUP(B288,INNOVACIÓN!A:A,INNOVACIÓN!B:B,"NO")</f>
        <v>NO</v>
      </c>
      <c r="K288" s="15" t="str">
        <f>+_xlfn.XLOOKUP(B288,MERMA!B:B,MERMA!C:C,"No")</f>
        <v>SI</v>
      </c>
      <c r="L288" s="15">
        <f>+_xlfn.XLOOKUP(B288,MERMA!B:B,MERMA!D:D,"No es merma")</f>
        <v>2025</v>
      </c>
    </row>
    <row r="289" spans="1:12" s="15" hidden="1" x14ac:dyDescent="0.35">
      <c r="A289" s="15">
        <v>100014061</v>
      </c>
      <c r="B289" s="15">
        <v>75066888</v>
      </c>
      <c r="C289" s="15" t="s">
        <v>330</v>
      </c>
      <c r="D289" s="502" t="s">
        <v>44</v>
      </c>
      <c r="E289" s="503" t="s">
        <v>33</v>
      </c>
      <c r="F289" s="502" t="s">
        <v>46</v>
      </c>
      <c r="G289" s="502" t="s">
        <v>52</v>
      </c>
      <c r="H289" s="502" t="s">
        <v>36</v>
      </c>
      <c r="I289" s="502" t="s">
        <v>247</v>
      </c>
      <c r="J289" s="15" t="str">
        <f>+_xlfn.XLOOKUP(B289,INNOVACIÓN!A:A,INNOVACIÓN!B:B,"NO")</f>
        <v>NO</v>
      </c>
      <c r="K289" s="15" t="str">
        <f>+_xlfn.XLOOKUP(B289,MERMA!B:B,MERMA!C:C,"No")</f>
        <v>No</v>
      </c>
      <c r="L289" s="15" t="str">
        <f>+_xlfn.XLOOKUP(B289,MERMA!B:B,MERMA!D:D,"No es merma")</f>
        <v>No es merma</v>
      </c>
    </row>
    <row r="290" spans="1:12" s="15" hidden="1" x14ac:dyDescent="0.35">
      <c r="A290" s="502">
        <v>100080991</v>
      </c>
      <c r="B290" s="502">
        <v>75050047</v>
      </c>
      <c r="C290" s="502" t="s">
        <v>331</v>
      </c>
      <c r="D290" s="502" t="s">
        <v>44</v>
      </c>
      <c r="E290" s="503" t="s">
        <v>33</v>
      </c>
      <c r="F290" s="502" t="s">
        <v>46</v>
      </c>
      <c r="G290" s="502" t="s">
        <v>52</v>
      </c>
      <c r="H290" s="502" t="s">
        <v>36</v>
      </c>
      <c r="I290" s="502" t="s">
        <v>247</v>
      </c>
      <c r="J290" s="15" t="str">
        <f>+_xlfn.XLOOKUP(B290,INNOVACIÓN!A:A,INNOVACIÓN!B:B,"NO")</f>
        <v>NO</v>
      </c>
      <c r="K290" s="15" t="str">
        <f>+_xlfn.XLOOKUP(B290,MERMA!B:B,MERMA!C:C,"No")</f>
        <v>No</v>
      </c>
      <c r="L290" s="15" t="str">
        <f>+_xlfn.XLOOKUP(B290,MERMA!B:B,MERMA!D:D,"No es merma")</f>
        <v>No es merma</v>
      </c>
    </row>
    <row r="291" spans="1:12" s="15" hidden="1" x14ac:dyDescent="0.35">
      <c r="A291" s="502">
        <v>100019959</v>
      </c>
      <c r="B291" s="502">
        <v>75074913</v>
      </c>
      <c r="C291" s="502" t="s">
        <v>332</v>
      </c>
      <c r="D291" s="502" t="s">
        <v>44</v>
      </c>
      <c r="E291" s="503" t="s">
        <v>33</v>
      </c>
      <c r="F291" s="502" t="s">
        <v>46</v>
      </c>
      <c r="G291" s="502" t="s">
        <v>52</v>
      </c>
      <c r="H291" s="502" t="s">
        <v>36</v>
      </c>
      <c r="I291" s="502" t="s">
        <v>109</v>
      </c>
      <c r="J291" s="15" t="str">
        <f>+_xlfn.XLOOKUP(B291,INNOVACIÓN!A:A,INNOVACIÓN!B:B,"NO")</f>
        <v>NO</v>
      </c>
      <c r="K291" s="15" t="str">
        <f>+_xlfn.XLOOKUP(B291,MERMA!B:B,MERMA!C:C,"No")</f>
        <v>SI</v>
      </c>
      <c r="L291" s="15">
        <f>+_xlfn.XLOOKUP(B291,MERMA!B:B,MERMA!D:D,"No es merma")</f>
        <v>2025</v>
      </c>
    </row>
    <row r="292" spans="1:12" s="15" hidden="1" x14ac:dyDescent="0.35">
      <c r="A292" s="502">
        <v>100010175</v>
      </c>
      <c r="B292" s="502">
        <v>75061654</v>
      </c>
      <c r="C292" s="502" t="s">
        <v>333</v>
      </c>
      <c r="D292" s="503" t="s">
        <v>44</v>
      </c>
      <c r="E292" s="503" t="s">
        <v>33</v>
      </c>
      <c r="F292" s="65535" t="s">
        <v>46</v>
      </c>
      <c r="G292" s="65535" t="s">
        <v>54</v>
      </c>
      <c r="H292" s="502" t="s">
        <v>36</v>
      </c>
      <c r="I292" s="502" t="s">
        <v>247</v>
      </c>
      <c r="J292" s="15" t="str">
        <f>+_xlfn.XLOOKUP(B292,INNOVACIÓN!A:A,INNOVACIÓN!B:B,"NO")</f>
        <v>NO</v>
      </c>
      <c r="K292" s="15" t="str">
        <f>+_xlfn.XLOOKUP(B292,MERMA!B:B,MERMA!C:C,"No")</f>
        <v>No</v>
      </c>
      <c r="L292" s="15" t="str">
        <f>+_xlfn.XLOOKUP(B292,MERMA!B:B,MERMA!D:D,"No es merma")</f>
        <v>No es merma</v>
      </c>
    </row>
    <row r="293" spans="1:12" s="15" hidden="1" x14ac:dyDescent="0.35">
      <c r="A293" s="502">
        <v>100006386</v>
      </c>
      <c r="B293" s="502">
        <v>75053673</v>
      </c>
      <c r="C293" s="502" t="s">
        <v>334</v>
      </c>
      <c r="D293" s="502" t="s">
        <v>44</v>
      </c>
      <c r="E293" s="503" t="s">
        <v>33</v>
      </c>
      <c r="F293" s="502" t="s">
        <v>46</v>
      </c>
      <c r="G293" s="502" t="s">
        <v>52</v>
      </c>
      <c r="H293" s="502" t="s">
        <v>36</v>
      </c>
      <c r="I293" s="502" t="s">
        <v>247</v>
      </c>
      <c r="J293" s="15" t="str">
        <f>+_xlfn.XLOOKUP(B293,INNOVACIÓN!A:A,INNOVACIÓN!B:B,"NO")</f>
        <v>NO</v>
      </c>
      <c r="K293" s="15" t="str">
        <f>+_xlfn.XLOOKUP(B293,MERMA!B:B,MERMA!C:C,"No")</f>
        <v>SI</v>
      </c>
      <c r="L293" s="15">
        <f>+_xlfn.XLOOKUP(B293,MERMA!B:B,MERMA!D:D,"No es merma")</f>
        <v>2025</v>
      </c>
    </row>
    <row r="294" spans="1:12" s="15" hidden="1" x14ac:dyDescent="0.35">
      <c r="A294" s="503">
        <v>100080878</v>
      </c>
      <c r="B294" s="504">
        <v>75039875</v>
      </c>
      <c r="C294" s="503" t="s">
        <v>335</v>
      </c>
      <c r="D294" s="503" t="s">
        <v>44</v>
      </c>
      <c r="E294" s="503" t="s">
        <v>33</v>
      </c>
      <c r="F294" s="503" t="s">
        <v>46</v>
      </c>
      <c r="G294" s="503" t="s">
        <v>54</v>
      </c>
      <c r="H294" s="502" t="s">
        <v>36</v>
      </c>
      <c r="I294" s="502" t="s">
        <v>109</v>
      </c>
      <c r="J294" s="15" t="str">
        <f>+_xlfn.XLOOKUP(B294,INNOVACIÓN!A:A,INNOVACIÓN!B:B,"NO")</f>
        <v>NO</v>
      </c>
      <c r="K294" s="15" t="str">
        <f>+_xlfn.XLOOKUP(B294,MERMA!B:B,MERMA!C:C,"No")</f>
        <v>No</v>
      </c>
      <c r="L294" s="15" t="str">
        <f>+_xlfn.XLOOKUP(B294,MERMA!B:B,MERMA!D:D,"No es merma")</f>
        <v>No es merma</v>
      </c>
    </row>
    <row r="295" spans="1:12" s="15" hidden="1" x14ac:dyDescent="0.35">
      <c r="A295" s="503">
        <v>100023316</v>
      </c>
      <c r="B295" s="504">
        <v>75079642</v>
      </c>
      <c r="C295" s="503" t="s">
        <v>336</v>
      </c>
      <c r="D295" s="503" t="s">
        <v>44</v>
      </c>
      <c r="E295" s="503" t="s">
        <v>33</v>
      </c>
      <c r="F295" s="503" t="s">
        <v>46</v>
      </c>
      <c r="G295" s="503" t="s">
        <v>14</v>
      </c>
      <c r="H295" s="502" t="s">
        <v>36</v>
      </c>
      <c r="I295" s="502" t="s">
        <v>247</v>
      </c>
      <c r="J295" s="15" t="str">
        <f>+_xlfn.XLOOKUP(B295,INNOVACIÓN!A:A,INNOVACIÓN!B:B,"NO")</f>
        <v>NO</v>
      </c>
      <c r="K295" s="15" t="str">
        <f>+_xlfn.XLOOKUP(B295,MERMA!B:B,MERMA!C:C,"No")</f>
        <v>No</v>
      </c>
      <c r="L295" s="15" t="str">
        <f>+_xlfn.XLOOKUP(B295,MERMA!B:B,MERMA!D:D,"No es merma")</f>
        <v>No es merma</v>
      </c>
    </row>
    <row r="296" spans="1:12" s="15" hidden="1" x14ac:dyDescent="0.35">
      <c r="A296" s="15">
        <v>100025444</v>
      </c>
      <c r="B296" s="506">
        <v>75083953</v>
      </c>
      <c r="C296" s="15" t="s">
        <v>337</v>
      </c>
      <c r="D296" s="503" t="s">
        <v>44</v>
      </c>
      <c r="E296" s="503" t="s">
        <v>33</v>
      </c>
      <c r="F296" s="502" t="s">
        <v>46</v>
      </c>
      <c r="G296" s="502" t="s">
        <v>14</v>
      </c>
      <c r="H296" s="502" t="s">
        <v>36</v>
      </c>
      <c r="I296" s="502" t="s">
        <v>109</v>
      </c>
      <c r="J296" s="15" t="str">
        <f>+_xlfn.XLOOKUP(B296,INNOVACIÓN!A:A,INNOVACIÓN!B:B,"NO")</f>
        <v>NO</v>
      </c>
      <c r="K296" s="15" t="str">
        <f>+_xlfn.XLOOKUP(B296,MERMA!B:B,MERMA!C:C,"No")</f>
        <v>No</v>
      </c>
      <c r="L296" s="15" t="str">
        <f>+_xlfn.XLOOKUP(B296,MERMA!B:B,MERMA!D:D,"No es merma")</f>
        <v>No es merma</v>
      </c>
    </row>
    <row r="297" spans="1:12" s="15" hidden="1" x14ac:dyDescent="0.35">
      <c r="A297" s="503">
        <v>100080892</v>
      </c>
      <c r="B297" s="504">
        <v>75042943</v>
      </c>
      <c r="C297" s="503" t="s">
        <v>338</v>
      </c>
      <c r="D297" s="503" t="s">
        <v>44</v>
      </c>
      <c r="E297" s="503" t="s">
        <v>33</v>
      </c>
      <c r="F297" s="503" t="s">
        <v>46</v>
      </c>
      <c r="G297" s="503" t="s">
        <v>54</v>
      </c>
      <c r="H297" s="502" t="s">
        <v>36</v>
      </c>
      <c r="I297" s="502" t="s">
        <v>109</v>
      </c>
      <c r="J297" s="15" t="str">
        <f>+_xlfn.XLOOKUP(B297,INNOVACIÓN!A:A,INNOVACIÓN!B:B,"NO")</f>
        <v>NO</v>
      </c>
      <c r="K297" s="15" t="str">
        <f>+_xlfn.XLOOKUP(B297,MERMA!B:B,MERMA!C:C,"No")</f>
        <v>No</v>
      </c>
      <c r="L297" s="15" t="str">
        <f>+_xlfn.XLOOKUP(B297,MERMA!B:B,MERMA!D:D,"No es merma")</f>
        <v>No es merma</v>
      </c>
    </row>
    <row r="298" spans="1:12" s="15" hidden="1" x14ac:dyDescent="0.35">
      <c r="A298" s="503">
        <v>100023314</v>
      </c>
      <c r="B298" s="504">
        <v>75079659</v>
      </c>
      <c r="C298" s="503" t="s">
        <v>339</v>
      </c>
      <c r="D298" s="503" t="s">
        <v>44</v>
      </c>
      <c r="E298" s="503" t="s">
        <v>33</v>
      </c>
      <c r="F298" s="503" t="s">
        <v>46</v>
      </c>
      <c r="G298" s="503" t="s">
        <v>14</v>
      </c>
      <c r="H298" s="502" t="s">
        <v>36</v>
      </c>
      <c r="I298" s="502" t="s">
        <v>247</v>
      </c>
      <c r="J298" s="15" t="str">
        <f>+_xlfn.XLOOKUP(B298,INNOVACIÓN!A:A,INNOVACIÓN!B:B,"NO")</f>
        <v>NO</v>
      </c>
      <c r="K298" s="15" t="str">
        <f>+_xlfn.XLOOKUP(B298,MERMA!B:B,MERMA!C:C,"No")</f>
        <v>No</v>
      </c>
      <c r="L298" s="15" t="str">
        <f>+_xlfn.XLOOKUP(B298,MERMA!B:B,MERMA!D:D,"No es merma")</f>
        <v>No es merma</v>
      </c>
    </row>
    <row r="299" spans="1:12" s="15" hidden="1" x14ac:dyDescent="0.35">
      <c r="A299" s="15">
        <v>100025443</v>
      </c>
      <c r="B299" s="506">
        <v>75083946</v>
      </c>
      <c r="C299" s="15" t="s">
        <v>340</v>
      </c>
      <c r="D299" s="503" t="s">
        <v>44</v>
      </c>
      <c r="E299" s="503" t="s">
        <v>33</v>
      </c>
      <c r="F299" s="502" t="s">
        <v>46</v>
      </c>
      <c r="G299" s="502" t="s">
        <v>14</v>
      </c>
      <c r="H299" s="502" t="s">
        <v>36</v>
      </c>
      <c r="I299" s="502" t="s">
        <v>109</v>
      </c>
      <c r="J299" s="15" t="str">
        <f>+_xlfn.XLOOKUP(B299,INNOVACIÓN!A:A,INNOVACIÓN!B:B,"NO")</f>
        <v>NO</v>
      </c>
      <c r="K299" s="15" t="str">
        <f>+_xlfn.XLOOKUP(B299,MERMA!B:B,MERMA!C:C,"No")</f>
        <v>No</v>
      </c>
      <c r="L299" s="15" t="str">
        <f>+_xlfn.XLOOKUP(B299,MERMA!B:B,MERMA!D:D,"No es merma")</f>
        <v>No es merma</v>
      </c>
    </row>
    <row r="300" spans="1:12" s="15" hidden="1" x14ac:dyDescent="0.35">
      <c r="A300" s="502">
        <v>100013594</v>
      </c>
      <c r="B300" s="502">
        <v>75067960</v>
      </c>
      <c r="C300" s="502" t="s">
        <v>341</v>
      </c>
      <c r="D300" s="503" t="s">
        <v>44</v>
      </c>
      <c r="E300" s="65535" t="s">
        <v>33</v>
      </c>
      <c r="F300" s="65535" t="s">
        <v>46</v>
      </c>
      <c r="G300" s="65535" t="s">
        <v>35</v>
      </c>
      <c r="H300" s="502" t="s">
        <v>36</v>
      </c>
      <c r="I300" s="502" t="s">
        <v>247</v>
      </c>
      <c r="J300" s="15" t="str">
        <f>+_xlfn.XLOOKUP(B300,INNOVACIÓN!A:A,INNOVACIÓN!B:B,"NO")</f>
        <v>NO</v>
      </c>
      <c r="K300" s="15" t="str">
        <f>+_xlfn.XLOOKUP(B300,MERMA!B:B,MERMA!C:C,"No")</f>
        <v>No</v>
      </c>
      <c r="L300" s="15" t="str">
        <f>+_xlfn.XLOOKUP(B300,MERMA!B:B,MERMA!D:D,"No es merma")</f>
        <v>No es merma</v>
      </c>
    </row>
    <row r="301" spans="1:12" s="15" hidden="1" x14ac:dyDescent="0.35">
      <c r="A301" s="503">
        <v>100015341</v>
      </c>
      <c r="B301" s="504">
        <v>75070090</v>
      </c>
      <c r="C301" s="503" t="s">
        <v>342</v>
      </c>
      <c r="D301" s="503" t="s">
        <v>44</v>
      </c>
      <c r="E301" s="503" t="s">
        <v>33</v>
      </c>
      <c r="F301" s="503" t="s">
        <v>46</v>
      </c>
      <c r="G301" s="503" t="s">
        <v>14</v>
      </c>
      <c r="H301" s="502" t="s">
        <v>36</v>
      </c>
      <c r="I301" s="502" t="s">
        <v>109</v>
      </c>
      <c r="J301" s="15" t="str">
        <f>+_xlfn.XLOOKUP(B301,INNOVACIÓN!A:A,INNOVACIÓN!B:B,"NO")</f>
        <v>NO</v>
      </c>
      <c r="K301" s="15" t="str">
        <f>+_xlfn.XLOOKUP(B301,MERMA!B:B,MERMA!C:C,"No")</f>
        <v>SI</v>
      </c>
      <c r="L301" s="15" t="str">
        <f>+_xlfn.XLOOKUP(B301,MERMA!B:B,MERMA!D:D,"No es merma")</f>
        <v>2026 H1</v>
      </c>
    </row>
    <row r="302" spans="1:12" s="15" hidden="1" x14ac:dyDescent="0.35">
      <c r="A302" s="15">
        <v>100025445</v>
      </c>
      <c r="B302" s="506">
        <v>75083977</v>
      </c>
      <c r="C302" s="15" t="s">
        <v>343</v>
      </c>
      <c r="D302" s="503" t="s">
        <v>44</v>
      </c>
      <c r="E302" s="503" t="s">
        <v>33</v>
      </c>
      <c r="F302" s="502" t="s">
        <v>46</v>
      </c>
      <c r="G302" s="502" t="s">
        <v>14</v>
      </c>
      <c r="H302" s="502" t="s">
        <v>36</v>
      </c>
      <c r="I302" s="502" t="s">
        <v>109</v>
      </c>
      <c r="J302" s="15" t="str">
        <f>+_xlfn.XLOOKUP(B302,INNOVACIÓN!A:A,INNOVACIÓN!B:B,"NO")</f>
        <v>NO</v>
      </c>
      <c r="K302" s="15" t="str">
        <f>+_xlfn.XLOOKUP(B302,MERMA!B:B,MERMA!C:C,"No")</f>
        <v>SI</v>
      </c>
      <c r="L302" s="15" t="str">
        <f>+_xlfn.XLOOKUP(B302,MERMA!B:B,MERMA!D:D,"No es merma")</f>
        <v>2026 H1</v>
      </c>
    </row>
    <row r="303" spans="1:12" s="15" hidden="1" x14ac:dyDescent="0.35">
      <c r="A303" s="502">
        <v>100021888</v>
      </c>
      <c r="B303" s="502">
        <v>75077433</v>
      </c>
      <c r="C303" s="502" t="s">
        <v>344</v>
      </c>
      <c r="D303" s="502" t="s">
        <v>44</v>
      </c>
      <c r="E303" s="503" t="s">
        <v>33</v>
      </c>
      <c r="F303" s="502" t="s">
        <v>46</v>
      </c>
      <c r="G303" s="502" t="s">
        <v>52</v>
      </c>
      <c r="H303" s="502" t="s">
        <v>36</v>
      </c>
      <c r="I303" s="502" t="s">
        <v>247</v>
      </c>
      <c r="J303" s="15" t="str">
        <f>+_xlfn.XLOOKUP(B303,INNOVACIÓN!A:A,INNOVACIÓN!B:B,"NO")</f>
        <v>NO</v>
      </c>
      <c r="K303" s="15" t="str">
        <f>+_xlfn.XLOOKUP(B303,MERMA!B:B,MERMA!C:C,"No")</f>
        <v>No</v>
      </c>
      <c r="L303" s="15" t="str">
        <f>+_xlfn.XLOOKUP(B303,MERMA!B:B,MERMA!D:D,"No es merma")</f>
        <v>No es merma</v>
      </c>
    </row>
    <row r="304" spans="1:12" s="15" hidden="1" x14ac:dyDescent="0.35">
      <c r="A304" s="502">
        <v>100021889</v>
      </c>
      <c r="B304" s="502">
        <v>75077426</v>
      </c>
      <c r="C304" s="502" t="s">
        <v>345</v>
      </c>
      <c r="D304" s="502" t="s">
        <v>44</v>
      </c>
      <c r="E304" s="503" t="s">
        <v>33</v>
      </c>
      <c r="F304" s="502" t="s">
        <v>46</v>
      </c>
      <c r="G304" s="502" t="s">
        <v>52</v>
      </c>
      <c r="H304" s="502" t="s">
        <v>36</v>
      </c>
      <c r="I304" s="502" t="s">
        <v>247</v>
      </c>
      <c r="J304" s="15" t="str">
        <f>+_xlfn.XLOOKUP(B304,INNOVACIÓN!A:A,INNOVACIÓN!B:B,"NO")</f>
        <v>NO</v>
      </c>
      <c r="K304" s="15" t="str">
        <f>+_xlfn.XLOOKUP(B304,MERMA!B:B,MERMA!C:C,"No")</f>
        <v>No</v>
      </c>
      <c r="L304" s="15" t="str">
        <f>+_xlfn.XLOOKUP(B304,MERMA!B:B,MERMA!D:D,"No es merma")</f>
        <v>No es merma</v>
      </c>
    </row>
    <row r="305" spans="1:12" s="15" hidden="1" x14ac:dyDescent="0.35">
      <c r="A305" s="503">
        <v>100021887</v>
      </c>
      <c r="B305" s="504">
        <v>75077402</v>
      </c>
      <c r="C305" s="503" t="s">
        <v>346</v>
      </c>
      <c r="D305" s="503" t="s">
        <v>44</v>
      </c>
      <c r="E305" s="503" t="s">
        <v>33</v>
      </c>
      <c r="F305" s="503" t="s">
        <v>46</v>
      </c>
      <c r="G305" s="503" t="s">
        <v>14</v>
      </c>
      <c r="H305" s="502" t="s">
        <v>36</v>
      </c>
      <c r="I305" s="502" t="s">
        <v>247</v>
      </c>
      <c r="J305" s="15" t="str">
        <f>+_xlfn.XLOOKUP(B305,INNOVACIÓN!A:A,INNOVACIÓN!B:B,"NO")</f>
        <v>NO</v>
      </c>
      <c r="K305" s="15" t="str">
        <f>+_xlfn.XLOOKUP(B305,MERMA!B:B,MERMA!C:C,"No")</f>
        <v>No</v>
      </c>
      <c r="L305" s="15" t="str">
        <f>+_xlfn.XLOOKUP(B305,MERMA!B:B,MERMA!D:D,"No es merma")</f>
        <v>No es merma</v>
      </c>
    </row>
    <row r="306" spans="1:12" s="15" hidden="1" x14ac:dyDescent="0.35">
      <c r="A306" s="503">
        <v>100021886</v>
      </c>
      <c r="B306" s="504">
        <v>75077389</v>
      </c>
      <c r="C306" s="503" t="s">
        <v>347</v>
      </c>
      <c r="D306" s="503" t="s">
        <v>44</v>
      </c>
      <c r="E306" s="503" t="s">
        <v>33</v>
      </c>
      <c r="F306" s="503" t="s">
        <v>46</v>
      </c>
      <c r="G306" s="503" t="s">
        <v>54</v>
      </c>
      <c r="H306" s="502" t="s">
        <v>36</v>
      </c>
      <c r="I306" s="502" t="s">
        <v>247</v>
      </c>
      <c r="J306" s="15" t="str">
        <f>+_xlfn.XLOOKUP(B306,INNOVACIÓN!A:A,INNOVACIÓN!B:B,"NO")</f>
        <v>NO</v>
      </c>
      <c r="K306" s="15" t="str">
        <f>+_xlfn.XLOOKUP(B306,MERMA!B:B,MERMA!C:C,"No")</f>
        <v>SI</v>
      </c>
      <c r="L306" s="15">
        <f>+_xlfn.XLOOKUP(B306,MERMA!B:B,MERMA!D:D,"No es merma")</f>
        <v>2025</v>
      </c>
    </row>
    <row r="307" spans="1:12" s="15" hidden="1" x14ac:dyDescent="0.35">
      <c r="A307" s="15">
        <v>100025446</v>
      </c>
      <c r="B307" s="506">
        <v>75083960</v>
      </c>
      <c r="C307" s="15" t="s">
        <v>348</v>
      </c>
      <c r="D307" s="503" t="s">
        <v>44</v>
      </c>
      <c r="E307" s="503" t="s">
        <v>33</v>
      </c>
      <c r="F307" s="502" t="s">
        <v>46</v>
      </c>
      <c r="G307" s="502" t="s">
        <v>14</v>
      </c>
      <c r="H307" s="502" t="s">
        <v>36</v>
      </c>
      <c r="I307" s="502" t="s">
        <v>109</v>
      </c>
      <c r="J307" s="15" t="str">
        <f>+_xlfn.XLOOKUP(B307,INNOVACIÓN!A:A,INNOVACIÓN!B:B,"NO")</f>
        <v>NO</v>
      </c>
      <c r="K307" s="15" t="str">
        <f>+_xlfn.XLOOKUP(B307,MERMA!B:B,MERMA!C:C,"No")</f>
        <v>No</v>
      </c>
      <c r="L307" s="15" t="str">
        <f>+_xlfn.XLOOKUP(B307,MERMA!B:B,MERMA!D:D,"No es merma")</f>
        <v>No es merma</v>
      </c>
    </row>
    <row r="308" spans="1:12" s="15" hidden="1" x14ac:dyDescent="0.35">
      <c r="A308" s="15">
        <v>100025284</v>
      </c>
      <c r="B308" s="506">
        <v>75083892</v>
      </c>
      <c r="C308" s="15" t="s">
        <v>349</v>
      </c>
      <c r="D308" s="503" t="s">
        <v>44</v>
      </c>
      <c r="E308" s="503" t="s">
        <v>33</v>
      </c>
      <c r="F308" s="502" t="s">
        <v>46</v>
      </c>
      <c r="G308" s="502" t="s">
        <v>14</v>
      </c>
      <c r="H308" s="502" t="s">
        <v>36</v>
      </c>
      <c r="I308" s="502" t="s">
        <v>109</v>
      </c>
      <c r="J308" s="15" t="str">
        <f>+_xlfn.XLOOKUP(B308,INNOVACIÓN!A:A,INNOVACIÓN!B:B,"NO")</f>
        <v>NO</v>
      </c>
      <c r="K308" s="15" t="str">
        <f>+_xlfn.XLOOKUP(B308,MERMA!B:B,MERMA!C:C,"No")</f>
        <v>No</v>
      </c>
      <c r="L308" s="15" t="str">
        <f>+_xlfn.XLOOKUP(B308,MERMA!B:B,MERMA!D:D,"No es merma")</f>
        <v>No es merma</v>
      </c>
    </row>
    <row r="309" spans="1:12" s="15" hidden="1" x14ac:dyDescent="0.35">
      <c r="A309" s="15">
        <v>100025283</v>
      </c>
      <c r="B309" s="506">
        <v>75083885</v>
      </c>
      <c r="C309" s="15" t="s">
        <v>350</v>
      </c>
      <c r="D309" s="503" t="s">
        <v>44</v>
      </c>
      <c r="E309" s="503" t="s">
        <v>33</v>
      </c>
      <c r="F309" s="502" t="s">
        <v>46</v>
      </c>
      <c r="G309" s="502" t="s">
        <v>14</v>
      </c>
      <c r="H309" s="502" t="s">
        <v>36</v>
      </c>
      <c r="I309" s="502" t="s">
        <v>109</v>
      </c>
      <c r="J309" s="15" t="str">
        <f>+_xlfn.XLOOKUP(B309,INNOVACIÓN!A:A,INNOVACIÓN!B:B,"NO")</f>
        <v>NO</v>
      </c>
      <c r="K309" s="15" t="str">
        <f>+_xlfn.XLOOKUP(B309,MERMA!B:B,MERMA!C:C,"No")</f>
        <v>No</v>
      </c>
      <c r="L309" s="15" t="str">
        <f>+_xlfn.XLOOKUP(B309,MERMA!B:B,MERMA!D:D,"No es merma")</f>
        <v>No es merma</v>
      </c>
    </row>
    <row r="310" spans="1:12" s="15" hidden="1" x14ac:dyDescent="0.35">
      <c r="A310" s="502">
        <v>100010317</v>
      </c>
      <c r="B310" s="502">
        <v>75062620</v>
      </c>
      <c r="C310" s="502" t="s">
        <v>351</v>
      </c>
      <c r="D310" s="502" t="s">
        <v>44</v>
      </c>
      <c r="E310" s="503" t="s">
        <v>33</v>
      </c>
      <c r="F310" s="502" t="s">
        <v>46</v>
      </c>
      <c r="G310" s="502" t="s">
        <v>52</v>
      </c>
      <c r="H310" s="502" t="s">
        <v>36</v>
      </c>
      <c r="I310" s="502" t="s">
        <v>247</v>
      </c>
      <c r="J310" s="15" t="str">
        <f>+_xlfn.XLOOKUP(B310,INNOVACIÓN!A:A,INNOVACIÓN!B:B,"NO")</f>
        <v>NO</v>
      </c>
      <c r="K310" s="15" t="str">
        <f>+_xlfn.XLOOKUP(B310,MERMA!B:B,MERMA!C:C,"No")</f>
        <v>No</v>
      </c>
      <c r="L310" s="15" t="str">
        <f>+_xlfn.XLOOKUP(B310,MERMA!B:B,MERMA!D:D,"No es merma")</f>
        <v>No es merma</v>
      </c>
    </row>
    <row r="311" spans="1:12" s="15" hidden="1" x14ac:dyDescent="0.35">
      <c r="A311" s="502">
        <v>100080803</v>
      </c>
      <c r="B311" s="502">
        <v>75027667</v>
      </c>
      <c r="C311" s="502" t="s">
        <v>352</v>
      </c>
      <c r="D311" s="503" t="s">
        <v>44</v>
      </c>
      <c r="E311" s="503" t="s">
        <v>33</v>
      </c>
      <c r="F311" s="65535" t="s">
        <v>46</v>
      </c>
      <c r="G311" s="65535" t="s">
        <v>54</v>
      </c>
      <c r="H311" s="502" t="s">
        <v>36</v>
      </c>
      <c r="I311" s="502" t="s">
        <v>247</v>
      </c>
      <c r="J311" s="15" t="str">
        <f>+_xlfn.XLOOKUP(B311,INNOVACIÓN!A:A,INNOVACIÓN!B:B,"NO")</f>
        <v>NO</v>
      </c>
      <c r="K311" s="15" t="str">
        <f>+_xlfn.XLOOKUP(B311,MERMA!B:B,MERMA!C:C,"No")</f>
        <v>No</v>
      </c>
      <c r="L311" s="15" t="str">
        <f>+_xlfn.XLOOKUP(B311,MERMA!B:B,MERMA!D:D,"No es merma")</f>
        <v>No es merma</v>
      </c>
    </row>
    <row r="312" spans="1:12" s="15" hidden="1" x14ac:dyDescent="0.35">
      <c r="A312" s="502">
        <v>100080834</v>
      </c>
      <c r="B312" s="502">
        <v>75034665</v>
      </c>
      <c r="C312" s="502" t="s">
        <v>353</v>
      </c>
      <c r="D312" s="502" t="s">
        <v>44</v>
      </c>
      <c r="E312" s="503" t="s">
        <v>33</v>
      </c>
      <c r="F312" s="502" t="s">
        <v>46</v>
      </c>
      <c r="G312" s="502" t="s">
        <v>52</v>
      </c>
      <c r="H312" s="502" t="s">
        <v>36</v>
      </c>
      <c r="I312" s="502" t="s">
        <v>247</v>
      </c>
      <c r="J312" s="15" t="str">
        <f>+_xlfn.XLOOKUP(B312,INNOVACIÓN!A:A,INNOVACIÓN!B:B,"NO")</f>
        <v>NO</v>
      </c>
      <c r="K312" s="15" t="str">
        <f>+_xlfn.XLOOKUP(B312,MERMA!B:B,MERMA!C:C,"No")</f>
        <v>No</v>
      </c>
      <c r="L312" s="15" t="str">
        <f>+_xlfn.XLOOKUP(B312,MERMA!B:B,MERMA!D:D,"No es merma")</f>
        <v>No es merma</v>
      </c>
    </row>
    <row r="313" spans="1:12" s="15" hidden="1" x14ac:dyDescent="0.35">
      <c r="A313" s="502">
        <v>100080891</v>
      </c>
      <c r="B313" s="502">
        <v>75042936</v>
      </c>
      <c r="C313" s="502" t="s">
        <v>354</v>
      </c>
      <c r="D313" s="502" t="s">
        <v>44</v>
      </c>
      <c r="E313" s="503" t="s">
        <v>33</v>
      </c>
      <c r="F313" s="502" t="s">
        <v>46</v>
      </c>
      <c r="G313" s="502" t="s">
        <v>52</v>
      </c>
      <c r="H313" s="502" t="s">
        <v>36</v>
      </c>
      <c r="I313" s="502" t="s">
        <v>247</v>
      </c>
      <c r="J313" s="15" t="str">
        <f>+_xlfn.XLOOKUP(B313,INNOVACIÓN!A:A,INNOVACIÓN!B:B,"NO")</f>
        <v>NO</v>
      </c>
      <c r="K313" s="15" t="str">
        <f>+_xlfn.XLOOKUP(B313,MERMA!B:B,MERMA!C:C,"No")</f>
        <v>No</v>
      </c>
      <c r="L313" s="15" t="str">
        <f>+_xlfn.XLOOKUP(B313,MERMA!B:B,MERMA!D:D,"No es merma")</f>
        <v>No es merma</v>
      </c>
    </row>
    <row r="314" spans="1:12" s="15" hidden="1" x14ac:dyDescent="0.35">
      <c r="A314" s="502">
        <v>100080877</v>
      </c>
      <c r="B314" s="502">
        <v>75039868</v>
      </c>
      <c r="C314" s="502" t="s">
        <v>355</v>
      </c>
      <c r="D314" s="502" t="s">
        <v>44</v>
      </c>
      <c r="E314" s="503" t="s">
        <v>33</v>
      </c>
      <c r="F314" s="502" t="s">
        <v>46</v>
      </c>
      <c r="G314" s="502" t="s">
        <v>52</v>
      </c>
      <c r="H314" s="502" t="s">
        <v>36</v>
      </c>
      <c r="I314" s="502" t="s">
        <v>247</v>
      </c>
      <c r="J314" s="15" t="str">
        <f>+_xlfn.XLOOKUP(B314,INNOVACIÓN!A:A,INNOVACIÓN!B:B,"NO")</f>
        <v>NO</v>
      </c>
      <c r="K314" s="15" t="str">
        <f>+_xlfn.XLOOKUP(B314,MERMA!B:B,MERMA!C:C,"No")</f>
        <v>No</v>
      </c>
      <c r="L314" s="15" t="str">
        <f>+_xlfn.XLOOKUP(B314,MERMA!B:B,MERMA!D:D,"No es merma")</f>
        <v>No es merma</v>
      </c>
    </row>
    <row r="315" spans="1:12" s="15" hidden="1" x14ac:dyDescent="0.35">
      <c r="A315" s="502">
        <v>100080806</v>
      </c>
      <c r="B315" s="502">
        <v>75027803</v>
      </c>
      <c r="C315" s="502" t="s">
        <v>356</v>
      </c>
      <c r="D315" s="503" t="s">
        <v>44</v>
      </c>
      <c r="E315" s="503" t="s">
        <v>33</v>
      </c>
      <c r="F315" s="65535" t="s">
        <v>41</v>
      </c>
      <c r="G315" s="65535" t="s">
        <v>35</v>
      </c>
      <c r="H315" s="502" t="s">
        <v>36</v>
      </c>
      <c r="I315" s="502" t="s">
        <v>247</v>
      </c>
      <c r="J315" s="15" t="str">
        <f>+_xlfn.XLOOKUP(B315,INNOVACIÓN!A:A,INNOVACIÓN!B:B,"NO")</f>
        <v>NO</v>
      </c>
      <c r="K315" s="15" t="str">
        <f>+_xlfn.XLOOKUP(B315,MERMA!B:B,MERMA!C:C,"No")</f>
        <v>No</v>
      </c>
      <c r="L315" s="15" t="str">
        <f>+_xlfn.XLOOKUP(B315,MERMA!B:B,MERMA!D:D,"No es merma")</f>
        <v>No es merma</v>
      </c>
    </row>
    <row r="316" spans="1:12" s="15" hidden="1" x14ac:dyDescent="0.35">
      <c r="A316" s="15">
        <v>100080888</v>
      </c>
      <c r="B316" s="15">
        <v>8308014</v>
      </c>
      <c r="C316" s="15" t="s">
        <v>357</v>
      </c>
      <c r="D316" s="502" t="s">
        <v>44</v>
      </c>
      <c r="E316" s="503" t="s">
        <v>33</v>
      </c>
      <c r="F316" s="502" t="s">
        <v>41</v>
      </c>
      <c r="G316" s="502" t="s">
        <v>136</v>
      </c>
      <c r="H316" s="502" t="s">
        <v>36</v>
      </c>
      <c r="I316" s="502" t="s">
        <v>247</v>
      </c>
      <c r="J316" s="15" t="str">
        <f>+_xlfn.XLOOKUP(B316,INNOVACIÓN!A:A,INNOVACIÓN!B:B,"NO")</f>
        <v>NO</v>
      </c>
      <c r="K316" s="15" t="str">
        <f>+_xlfn.XLOOKUP(B316,MERMA!B:B,MERMA!C:C,"No")</f>
        <v>No</v>
      </c>
      <c r="L316" s="15" t="str">
        <f>+_xlfn.XLOOKUP(B316,MERMA!B:B,MERMA!D:D,"No es merma")</f>
        <v>No es merma</v>
      </c>
    </row>
    <row r="317" spans="1:12" s="15" hidden="1" x14ac:dyDescent="0.35">
      <c r="A317" s="502">
        <v>100015215</v>
      </c>
      <c r="B317" s="502">
        <v>75069490</v>
      </c>
      <c r="C317" s="502" t="s">
        <v>358</v>
      </c>
      <c r="D317" s="503" t="s">
        <v>44</v>
      </c>
      <c r="E317" s="503" t="s">
        <v>33</v>
      </c>
      <c r="F317" s="65535" t="s">
        <v>46</v>
      </c>
      <c r="G317" s="65535" t="s">
        <v>54</v>
      </c>
      <c r="H317" s="502" t="s">
        <v>36</v>
      </c>
      <c r="I317" s="502" t="s">
        <v>247</v>
      </c>
      <c r="J317" s="15" t="str">
        <f>+_xlfn.XLOOKUP(B317,INNOVACIÓN!A:A,INNOVACIÓN!B:B,"NO")</f>
        <v>NO</v>
      </c>
      <c r="K317" s="15" t="str">
        <f>+_xlfn.XLOOKUP(B317,MERMA!B:B,MERMA!C:C,"No")</f>
        <v>SI</v>
      </c>
      <c r="L317" s="15">
        <f>+_xlfn.XLOOKUP(B317,MERMA!B:B,MERMA!D:D,"No es merma")</f>
        <v>2025</v>
      </c>
    </row>
    <row r="318" spans="1:12" s="15" hidden="1" x14ac:dyDescent="0.35">
      <c r="A318" s="15">
        <v>100011743</v>
      </c>
      <c r="B318" s="15">
        <v>75064587</v>
      </c>
      <c r="C318" s="15" t="s">
        <v>359</v>
      </c>
      <c r="D318" s="502" t="s">
        <v>44</v>
      </c>
      <c r="E318" s="503" t="s">
        <v>33</v>
      </c>
      <c r="F318" s="502" t="s">
        <v>46</v>
      </c>
      <c r="G318" s="502" t="s">
        <v>52</v>
      </c>
      <c r="H318" s="502" t="s">
        <v>36</v>
      </c>
      <c r="I318" s="502" t="s">
        <v>247</v>
      </c>
      <c r="J318" s="15" t="str">
        <f>+_xlfn.XLOOKUP(B318,INNOVACIÓN!A:A,INNOVACIÓN!B:B,"NO")</f>
        <v>NO</v>
      </c>
      <c r="K318" s="15" t="str">
        <f>+_xlfn.XLOOKUP(B318,MERMA!B:B,MERMA!C:C,"No")</f>
        <v>No</v>
      </c>
      <c r="L318" s="15" t="str">
        <f>+_xlfn.XLOOKUP(B318,MERMA!B:B,MERMA!D:D,"No es merma")</f>
        <v>No es merma</v>
      </c>
    </row>
    <row r="319" spans="1:12" s="15" x14ac:dyDescent="0.35">
      <c r="A319" s="503">
        <v>100023315</v>
      </c>
      <c r="B319" s="504">
        <v>75079697</v>
      </c>
      <c r="C319" s="503" t="s">
        <v>360</v>
      </c>
      <c r="D319" s="503" t="s">
        <v>44</v>
      </c>
      <c r="E319" s="503" t="s">
        <v>33</v>
      </c>
      <c r="F319" s="503" t="s">
        <v>46</v>
      </c>
      <c r="G319" s="503" t="s">
        <v>54</v>
      </c>
      <c r="H319" s="502" t="s">
        <v>36</v>
      </c>
      <c r="I319" s="502" t="s">
        <v>247</v>
      </c>
      <c r="J319" s="15" t="str">
        <f>+_xlfn.XLOOKUP(B319,INNOVACIÓN!A:A,INNOVACIÓN!B:B,"NO")</f>
        <v>NO</v>
      </c>
      <c r="K319" s="15" t="str">
        <f>+_xlfn.XLOOKUP(B319,MERMA!B:B,MERMA!C:C,"No")</f>
        <v>No</v>
      </c>
      <c r="L319" s="15" t="str">
        <f>+_xlfn.XLOOKUP(B319,MERMA!B:B,MERMA!D:D,"No es merma")</f>
        <v>No es merma</v>
      </c>
    </row>
    <row r="320" spans="1:12" s="15" x14ac:dyDescent="0.35">
      <c r="A320" s="15">
        <v>100025442</v>
      </c>
      <c r="B320" s="506">
        <v>75083939</v>
      </c>
      <c r="C320" s="15" t="s">
        <v>361</v>
      </c>
      <c r="D320" s="503" t="s">
        <v>44</v>
      </c>
      <c r="E320" s="503" t="s">
        <v>33</v>
      </c>
      <c r="F320" s="502" t="s">
        <v>46</v>
      </c>
      <c r="G320" s="502" t="s">
        <v>14</v>
      </c>
      <c r="H320" s="502" t="s">
        <v>36</v>
      </c>
      <c r="I320" s="502" t="s">
        <v>109</v>
      </c>
      <c r="J320" s="15" t="str">
        <f>+_xlfn.XLOOKUP(B320,INNOVACIÓN!A:A,INNOVACIÓN!B:B,"NO")</f>
        <v>NO</v>
      </c>
      <c r="K320" s="15" t="str">
        <f>+_xlfn.XLOOKUP(B320,MERMA!B:B,MERMA!C:C,"No")</f>
        <v>No</v>
      </c>
      <c r="L320" s="15" t="str">
        <f>+_xlfn.XLOOKUP(B320,MERMA!B:B,MERMA!D:D,"No es merma")</f>
        <v>No es merma</v>
      </c>
    </row>
    <row r="321" spans="1:12" s="15" x14ac:dyDescent="0.35">
      <c r="A321" s="15">
        <v>100025448</v>
      </c>
      <c r="B321" s="506">
        <v>75083922</v>
      </c>
      <c r="C321" s="15" t="s">
        <v>362</v>
      </c>
      <c r="D321" s="503" t="s">
        <v>44</v>
      </c>
      <c r="E321" s="503" t="s">
        <v>33</v>
      </c>
      <c r="F321" s="502" t="s">
        <v>46</v>
      </c>
      <c r="G321" s="502" t="s">
        <v>14</v>
      </c>
      <c r="H321" s="502" t="s">
        <v>36</v>
      </c>
      <c r="I321" s="502" t="s">
        <v>109</v>
      </c>
      <c r="J321" s="15" t="str">
        <f>+_xlfn.XLOOKUP(B321,INNOVACIÓN!A:A,INNOVACIÓN!B:B,"NO")</f>
        <v>NO</v>
      </c>
      <c r="K321" s="15" t="str">
        <f>+_xlfn.XLOOKUP(B321,MERMA!B:B,MERMA!C:C,"No")</f>
        <v>No</v>
      </c>
      <c r="L321" s="15" t="str">
        <f>+_xlfn.XLOOKUP(B321,MERMA!B:B,MERMA!D:D,"No es merma")</f>
        <v>No es merma</v>
      </c>
    </row>
    <row r="322" spans="1:12" s="15" hidden="1" x14ac:dyDescent="0.35">
      <c r="A322" s="15">
        <v>100024884</v>
      </c>
      <c r="B322" s="506">
        <v>75082284</v>
      </c>
      <c r="C322" s="15" t="s">
        <v>363</v>
      </c>
      <c r="D322" s="503" t="s">
        <v>44</v>
      </c>
      <c r="E322" s="503" t="s">
        <v>33</v>
      </c>
      <c r="F322" s="502" t="s">
        <v>46</v>
      </c>
      <c r="G322" s="502" t="s">
        <v>14</v>
      </c>
      <c r="H322" s="502" t="s">
        <v>36</v>
      </c>
      <c r="I322" s="502" t="s">
        <v>109</v>
      </c>
      <c r="J322" s="15" t="str">
        <f>+_xlfn.XLOOKUP(B322,INNOVACIÓN!A:A,INNOVACIÓN!B:B,"NO")</f>
        <v>NO</v>
      </c>
      <c r="K322" s="15" t="str">
        <f>+_xlfn.XLOOKUP(B322,MERMA!B:B,MERMA!C:C,"No")</f>
        <v>No</v>
      </c>
      <c r="L322" s="15" t="str">
        <f>+_xlfn.XLOOKUP(B322,MERMA!B:B,MERMA!D:D,"No es merma")</f>
        <v>No es merma</v>
      </c>
    </row>
    <row r="323" spans="1:12" s="15" hidden="1" x14ac:dyDescent="0.35">
      <c r="A323" s="15">
        <v>100024885</v>
      </c>
      <c r="B323" s="506">
        <v>75082291</v>
      </c>
      <c r="C323" s="15" t="s">
        <v>364</v>
      </c>
      <c r="D323" s="503" t="s">
        <v>44</v>
      </c>
      <c r="E323" s="503" t="s">
        <v>33</v>
      </c>
      <c r="F323" s="502" t="s">
        <v>46</v>
      </c>
      <c r="G323" s="502" t="s">
        <v>14</v>
      </c>
      <c r="H323" s="502" t="s">
        <v>36</v>
      </c>
      <c r="I323" s="502" t="s">
        <v>109</v>
      </c>
      <c r="J323" s="15" t="str">
        <f>+_xlfn.XLOOKUP(B323,INNOVACIÓN!A:A,INNOVACIÓN!B:B,"NO")</f>
        <v>NO</v>
      </c>
      <c r="K323" s="15" t="str">
        <f>+_xlfn.XLOOKUP(B323,MERMA!B:B,MERMA!C:C,"No")</f>
        <v>No</v>
      </c>
      <c r="L323" s="15" t="str">
        <f>+_xlfn.XLOOKUP(B323,MERMA!B:B,MERMA!D:D,"No es merma")</f>
        <v>No es merma</v>
      </c>
    </row>
    <row r="324" spans="1:12" s="15" hidden="1" x14ac:dyDescent="0.35">
      <c r="A324" s="15">
        <v>100024888</v>
      </c>
      <c r="B324" s="506">
        <v>75082338</v>
      </c>
      <c r="C324" s="15" t="s">
        <v>365</v>
      </c>
      <c r="D324" s="503" t="s">
        <v>44</v>
      </c>
      <c r="E324" s="503" t="s">
        <v>33</v>
      </c>
      <c r="F324" s="502" t="s">
        <v>46</v>
      </c>
      <c r="G324" s="502" t="s">
        <v>14</v>
      </c>
      <c r="H324" s="502" t="s">
        <v>36</v>
      </c>
      <c r="I324" s="502" t="s">
        <v>109</v>
      </c>
      <c r="J324" s="15" t="str">
        <f>+_xlfn.XLOOKUP(B324,INNOVACIÓN!A:A,INNOVACIÓN!B:B,"NO")</f>
        <v>NO</v>
      </c>
      <c r="K324" s="15" t="str">
        <f>+_xlfn.XLOOKUP(B324,MERMA!B:B,MERMA!C:C,"No")</f>
        <v>No</v>
      </c>
      <c r="L324" s="15" t="str">
        <f>+_xlfn.XLOOKUP(B324,MERMA!B:B,MERMA!D:D,"No es merma")</f>
        <v>No es merma</v>
      </c>
    </row>
    <row r="325" spans="1:12" s="15" hidden="1" x14ac:dyDescent="0.35">
      <c r="A325" s="15">
        <v>100024886</v>
      </c>
      <c r="B325" s="506">
        <v>75082314</v>
      </c>
      <c r="C325" s="15" t="s">
        <v>366</v>
      </c>
      <c r="D325" s="503" t="s">
        <v>44</v>
      </c>
      <c r="E325" s="503" t="s">
        <v>33</v>
      </c>
      <c r="F325" s="502" t="s">
        <v>46</v>
      </c>
      <c r="G325" s="502" t="s">
        <v>14</v>
      </c>
      <c r="H325" s="502" t="s">
        <v>36</v>
      </c>
      <c r="I325" s="502" t="s">
        <v>109</v>
      </c>
      <c r="J325" s="15" t="str">
        <f>+_xlfn.XLOOKUP(B325,INNOVACIÓN!A:A,INNOVACIÓN!B:B,"NO")</f>
        <v>NO</v>
      </c>
      <c r="K325" s="15" t="str">
        <f>+_xlfn.XLOOKUP(B325,MERMA!B:B,MERMA!C:C,"No")</f>
        <v>No</v>
      </c>
      <c r="L325" s="15" t="str">
        <f>+_xlfn.XLOOKUP(B325,MERMA!B:B,MERMA!D:D,"No es merma")</f>
        <v>No es merma</v>
      </c>
    </row>
    <row r="326" spans="1:12" s="15" hidden="1" x14ac:dyDescent="0.35">
      <c r="A326" s="15">
        <v>100024887</v>
      </c>
      <c r="B326" s="506">
        <v>75082307</v>
      </c>
      <c r="C326" s="15" t="s">
        <v>367</v>
      </c>
      <c r="D326" s="503" t="s">
        <v>44</v>
      </c>
      <c r="E326" s="503" t="s">
        <v>33</v>
      </c>
      <c r="F326" s="502" t="s">
        <v>46</v>
      </c>
      <c r="G326" s="502" t="s">
        <v>14</v>
      </c>
      <c r="H326" s="502" t="s">
        <v>36</v>
      </c>
      <c r="I326" s="502" t="s">
        <v>109</v>
      </c>
      <c r="J326" s="15" t="str">
        <f>+_xlfn.XLOOKUP(B326,INNOVACIÓN!A:A,INNOVACIÓN!B:B,"NO")</f>
        <v>NO</v>
      </c>
      <c r="K326" s="15" t="str">
        <f>+_xlfn.XLOOKUP(B326,MERMA!B:B,MERMA!C:C,"No")</f>
        <v>No</v>
      </c>
      <c r="L326" s="15" t="str">
        <f>+_xlfn.XLOOKUP(B326,MERMA!B:B,MERMA!D:D,"No es merma")</f>
        <v>No es merma</v>
      </c>
    </row>
    <row r="327" spans="1:12" s="15" hidden="1" x14ac:dyDescent="0.35">
      <c r="A327" s="15">
        <v>100024883</v>
      </c>
      <c r="B327" s="506">
        <v>75082321</v>
      </c>
      <c r="C327" s="15" t="s">
        <v>368</v>
      </c>
      <c r="D327" s="503" t="s">
        <v>44</v>
      </c>
      <c r="E327" s="503" t="s">
        <v>33</v>
      </c>
      <c r="F327" s="502" t="s">
        <v>46</v>
      </c>
      <c r="G327" s="502" t="s">
        <v>14</v>
      </c>
      <c r="H327" s="502" t="s">
        <v>36</v>
      </c>
      <c r="I327" s="502" t="s">
        <v>109</v>
      </c>
      <c r="J327" s="15" t="str">
        <f>+_xlfn.XLOOKUP(B327,INNOVACIÓN!A:A,INNOVACIÓN!B:B,"NO")</f>
        <v>NO</v>
      </c>
      <c r="K327" s="15" t="str">
        <f>+_xlfn.XLOOKUP(B327,MERMA!B:B,MERMA!C:C,"No")</f>
        <v>No</v>
      </c>
      <c r="L327" s="15" t="str">
        <f>+_xlfn.XLOOKUP(B327,MERMA!B:B,MERMA!D:D,"No es merma")</f>
        <v>No es merma</v>
      </c>
    </row>
    <row r="328" spans="1:12" s="15" x14ac:dyDescent="0.35">
      <c r="A328" s="15">
        <v>100024882</v>
      </c>
      <c r="B328" s="506">
        <v>75082277</v>
      </c>
      <c r="C328" s="15" t="s">
        <v>369</v>
      </c>
      <c r="D328" s="503" t="s">
        <v>44</v>
      </c>
      <c r="E328" s="503" t="s">
        <v>33</v>
      </c>
      <c r="F328" s="502" t="s">
        <v>46</v>
      </c>
      <c r="G328" s="502" t="s">
        <v>14</v>
      </c>
      <c r="H328" s="502" t="s">
        <v>36</v>
      </c>
      <c r="I328" s="502" t="s">
        <v>109</v>
      </c>
      <c r="J328" s="15" t="str">
        <f>+_xlfn.XLOOKUP(B328,INNOVACIÓN!A:A,INNOVACIÓN!B:B,"NO")</f>
        <v>NO</v>
      </c>
      <c r="K328" s="15" t="str">
        <f>+_xlfn.XLOOKUP(B328,MERMA!B:B,MERMA!C:C,"No")</f>
        <v>No</v>
      </c>
      <c r="L328" s="15" t="str">
        <f>+_xlfn.XLOOKUP(B328,MERMA!B:B,MERMA!D:D,"No es merma")</f>
        <v>No es merma</v>
      </c>
    </row>
    <row r="329" spans="1:12" s="15" hidden="1" x14ac:dyDescent="0.35">
      <c r="A329" s="503">
        <v>100019052</v>
      </c>
      <c r="B329" s="504">
        <v>75074784</v>
      </c>
      <c r="C329" s="503" t="s">
        <v>370</v>
      </c>
      <c r="D329" s="503" t="s">
        <v>44</v>
      </c>
      <c r="E329" s="503" t="s">
        <v>33</v>
      </c>
      <c r="F329" s="503" t="s">
        <v>41</v>
      </c>
      <c r="G329" s="503" t="s">
        <v>35</v>
      </c>
      <c r="H329" s="502" t="s">
        <v>36</v>
      </c>
      <c r="I329" s="502" t="s">
        <v>109</v>
      </c>
      <c r="J329" s="15" t="str">
        <f>+_xlfn.XLOOKUP(B329,INNOVACIÓN!A:A,INNOVACIÓN!B:B,"NO")</f>
        <v>NO</v>
      </c>
      <c r="K329" s="15" t="str">
        <f>+_xlfn.XLOOKUP(B329,MERMA!B:B,MERMA!C:C,"No")</f>
        <v>SI</v>
      </c>
      <c r="L329" s="15">
        <f>+_xlfn.XLOOKUP(B329,MERMA!B:B,MERMA!D:D,"No es merma")</f>
        <v>2025</v>
      </c>
    </row>
    <row r="330" spans="1:12" s="15" hidden="1" x14ac:dyDescent="0.35">
      <c r="A330" s="502">
        <v>100080808</v>
      </c>
      <c r="B330" s="505">
        <v>75030728</v>
      </c>
      <c r="C330" s="502" t="s">
        <v>371</v>
      </c>
      <c r="D330" s="502" t="s">
        <v>11</v>
      </c>
      <c r="E330" s="503" t="s">
        <v>33</v>
      </c>
      <c r="F330" s="502" t="s">
        <v>46</v>
      </c>
      <c r="G330" s="502" t="s">
        <v>14</v>
      </c>
      <c r="H330" s="502" t="s">
        <v>36</v>
      </c>
      <c r="I330" s="502" t="s">
        <v>109</v>
      </c>
      <c r="J330" s="15" t="str">
        <f>+_xlfn.XLOOKUP(B330,INNOVACIÓN!A:A,INNOVACIÓN!B:B,"NO")</f>
        <v>NO</v>
      </c>
      <c r="K330" s="15" t="str">
        <f>+_xlfn.XLOOKUP(B330,MERMA!B:B,MERMA!C:C,"No")</f>
        <v>No</v>
      </c>
      <c r="L330" s="15" t="str">
        <f>+_xlfn.XLOOKUP(B330,MERMA!B:B,MERMA!D:D,"No es merma")</f>
        <v>No es merma</v>
      </c>
    </row>
    <row r="331" spans="1:12" s="15" hidden="1" x14ac:dyDescent="0.35">
      <c r="A331" s="502">
        <v>100020770</v>
      </c>
      <c r="B331" s="505">
        <v>75074753</v>
      </c>
      <c r="C331" s="502" t="s">
        <v>372</v>
      </c>
      <c r="D331" s="503" t="s">
        <v>11</v>
      </c>
      <c r="E331" s="503" t="s">
        <v>33</v>
      </c>
      <c r="F331" s="503" t="s">
        <v>46</v>
      </c>
      <c r="G331" s="503" t="s">
        <v>14</v>
      </c>
      <c r="H331" s="502" t="s">
        <v>36</v>
      </c>
      <c r="I331" s="502" t="s">
        <v>109</v>
      </c>
      <c r="J331" s="15" t="str">
        <f>+_xlfn.XLOOKUP(B331,INNOVACIÓN!A:A,INNOVACIÓN!B:B,"NO")</f>
        <v>NO</v>
      </c>
      <c r="K331" s="15" t="str">
        <f>+_xlfn.XLOOKUP(B331,MERMA!B:B,MERMA!C:C,"No")</f>
        <v>SI</v>
      </c>
      <c r="L331" s="15">
        <f>+_xlfn.XLOOKUP(B331,MERMA!B:B,MERMA!D:D,"No es merma")</f>
        <v>2025</v>
      </c>
    </row>
    <row r="332" spans="1:12" s="15" hidden="1" x14ac:dyDescent="0.35">
      <c r="A332" s="502">
        <v>100024301</v>
      </c>
      <c r="B332" s="505">
        <v>7503031950960</v>
      </c>
      <c r="C332" s="502" t="s">
        <v>373</v>
      </c>
      <c r="D332" s="503" t="s">
        <v>11</v>
      </c>
      <c r="E332" s="503" t="s">
        <v>33</v>
      </c>
      <c r="F332" s="503" t="s">
        <v>46</v>
      </c>
      <c r="G332" s="503" t="s">
        <v>14</v>
      </c>
      <c r="H332" s="502" t="s">
        <v>36</v>
      </c>
      <c r="I332" s="502" t="s">
        <v>109</v>
      </c>
      <c r="J332" s="15" t="str">
        <f>+_xlfn.XLOOKUP(B332,INNOVACIÓN!A:A,INNOVACIÓN!B:B,"NO")</f>
        <v>NO</v>
      </c>
      <c r="K332" s="15" t="str">
        <f>+_xlfn.XLOOKUP(B332,MERMA!B:B,MERMA!C:C,"No")</f>
        <v>No</v>
      </c>
      <c r="L332" s="15" t="str">
        <f>+_xlfn.XLOOKUP(B332,MERMA!B:B,MERMA!D:D,"No es merma")</f>
        <v>No es merma</v>
      </c>
    </row>
    <row r="333" spans="1:12" s="15" hidden="1" x14ac:dyDescent="0.35">
      <c r="A333" s="15">
        <v>100025452</v>
      </c>
      <c r="B333" s="506">
        <v>7503031949322</v>
      </c>
      <c r="C333" s="15" t="s">
        <v>374</v>
      </c>
      <c r="D333" s="503" t="s">
        <v>11</v>
      </c>
      <c r="E333" s="503" t="s">
        <v>33</v>
      </c>
      <c r="F333" s="503" t="s">
        <v>46</v>
      </c>
      <c r="G333" s="503" t="s">
        <v>14</v>
      </c>
      <c r="H333" s="502" t="s">
        <v>36</v>
      </c>
      <c r="I333" s="502" t="s">
        <v>109</v>
      </c>
      <c r="J333" s="15" t="str">
        <f>+_xlfn.XLOOKUP(B333,INNOVACIÓN!A:A,INNOVACIÓN!B:B,"NO")</f>
        <v>NO</v>
      </c>
      <c r="K333" s="15" t="str">
        <f>+_xlfn.XLOOKUP(B333,MERMA!B:B,MERMA!C:C,"No")</f>
        <v>No</v>
      </c>
      <c r="L333" s="15" t="str">
        <f>+_xlfn.XLOOKUP(B333,MERMA!B:B,MERMA!D:D,"No es merma")</f>
        <v>No es merma</v>
      </c>
    </row>
    <row r="334" spans="1:12" s="15" hidden="1" x14ac:dyDescent="0.35">
      <c r="A334" s="502">
        <v>100024303</v>
      </c>
      <c r="B334" s="505">
        <v>7503031950977</v>
      </c>
      <c r="C334" s="502" t="s">
        <v>375</v>
      </c>
      <c r="D334" s="503" t="s">
        <v>11</v>
      </c>
      <c r="E334" s="503" t="s">
        <v>33</v>
      </c>
      <c r="F334" s="503" t="s">
        <v>46</v>
      </c>
      <c r="G334" s="503" t="s">
        <v>14</v>
      </c>
      <c r="H334" s="502" t="s">
        <v>36</v>
      </c>
      <c r="I334" s="502" t="s">
        <v>109</v>
      </c>
      <c r="J334" s="15" t="str">
        <f>+_xlfn.XLOOKUP(B334,INNOVACIÓN!A:A,INNOVACIÓN!B:B,"NO")</f>
        <v>NO</v>
      </c>
      <c r="K334" s="15" t="str">
        <f>+_xlfn.XLOOKUP(B334,MERMA!B:B,MERMA!C:C,"No")</f>
        <v>No</v>
      </c>
      <c r="L334" s="15" t="str">
        <f>+_xlfn.XLOOKUP(B334,MERMA!B:B,MERMA!D:D,"No es merma")</f>
        <v>No es merma</v>
      </c>
    </row>
    <row r="335" spans="1:12" s="15" hidden="1" x14ac:dyDescent="0.35">
      <c r="A335" s="502">
        <v>100024306</v>
      </c>
      <c r="B335" s="505">
        <v>7503031949094</v>
      </c>
      <c r="C335" s="502" t="s">
        <v>376</v>
      </c>
      <c r="D335" s="503" t="s">
        <v>11</v>
      </c>
      <c r="E335" s="503" t="s">
        <v>33</v>
      </c>
      <c r="F335" s="503" t="s">
        <v>46</v>
      </c>
      <c r="G335" s="503" t="s">
        <v>14</v>
      </c>
      <c r="H335" s="502" t="s">
        <v>36</v>
      </c>
      <c r="I335" s="502" t="s">
        <v>109</v>
      </c>
      <c r="J335" s="15" t="str">
        <f>+_xlfn.XLOOKUP(B335,INNOVACIÓN!A:A,INNOVACIÓN!B:B,"NO")</f>
        <v>NO</v>
      </c>
      <c r="K335" s="15" t="str">
        <f>+_xlfn.XLOOKUP(B335,MERMA!B:B,MERMA!C:C,"No")</f>
        <v>SI</v>
      </c>
      <c r="L335" s="15">
        <f>+_xlfn.XLOOKUP(B335,MERMA!B:B,MERMA!D:D,"No es merma")</f>
        <v>2025</v>
      </c>
    </row>
    <row r="336" spans="1:12" s="15" hidden="1" x14ac:dyDescent="0.35">
      <c r="A336" s="15">
        <v>100025451</v>
      </c>
      <c r="B336" s="506">
        <v>7503031949209</v>
      </c>
      <c r="C336" s="15" t="s">
        <v>377</v>
      </c>
      <c r="D336" s="503" t="s">
        <v>11</v>
      </c>
      <c r="E336" s="503" t="s">
        <v>33</v>
      </c>
      <c r="F336" s="503" t="s">
        <v>46</v>
      </c>
      <c r="G336" s="503" t="s">
        <v>14</v>
      </c>
      <c r="H336" s="502" t="s">
        <v>36</v>
      </c>
      <c r="I336" s="502" t="s">
        <v>109</v>
      </c>
      <c r="J336" s="15" t="str">
        <f>+_xlfn.XLOOKUP(B336,INNOVACIÓN!A:A,INNOVACIÓN!B:B,"NO")</f>
        <v>NO</v>
      </c>
      <c r="K336" s="15" t="str">
        <f>+_xlfn.XLOOKUP(B336,MERMA!B:B,MERMA!C:C,"No")</f>
        <v>No</v>
      </c>
      <c r="L336" s="15" t="str">
        <f>+_xlfn.XLOOKUP(B336,MERMA!B:B,MERMA!D:D,"No es merma")</f>
        <v>No es merma</v>
      </c>
    </row>
    <row r="337" spans="1:12" s="15" hidden="1" x14ac:dyDescent="0.35">
      <c r="A337" s="502">
        <v>100024305</v>
      </c>
      <c r="B337" s="505">
        <v>7503031949001</v>
      </c>
      <c r="C337" s="502" t="s">
        <v>378</v>
      </c>
      <c r="D337" s="503" t="s">
        <v>11</v>
      </c>
      <c r="E337" s="503" t="s">
        <v>33</v>
      </c>
      <c r="F337" s="503" t="s">
        <v>46</v>
      </c>
      <c r="G337" s="503" t="s">
        <v>14</v>
      </c>
      <c r="H337" s="502" t="s">
        <v>36</v>
      </c>
      <c r="I337" s="502" t="s">
        <v>109</v>
      </c>
      <c r="J337" s="15" t="str">
        <f>+_xlfn.XLOOKUP(B337,INNOVACIÓN!A:A,INNOVACIÓN!B:B,"NO")</f>
        <v>NO</v>
      </c>
      <c r="K337" s="15" t="str">
        <f>+_xlfn.XLOOKUP(B337,MERMA!B:B,MERMA!C:C,"No")</f>
        <v>SI</v>
      </c>
      <c r="L337" s="15">
        <f>+_xlfn.XLOOKUP(B337,MERMA!B:B,MERMA!D:D,"No es merma")</f>
        <v>2025</v>
      </c>
    </row>
    <row r="338" spans="1:12" s="15" hidden="1" x14ac:dyDescent="0.35">
      <c r="A338" s="15">
        <v>100025450</v>
      </c>
      <c r="B338" s="506">
        <v>7503031949223</v>
      </c>
      <c r="C338" s="15" t="s">
        <v>379</v>
      </c>
      <c r="D338" s="503" t="s">
        <v>11</v>
      </c>
      <c r="E338" s="503" t="s">
        <v>33</v>
      </c>
      <c r="F338" s="503" t="s">
        <v>46</v>
      </c>
      <c r="G338" s="503" t="s">
        <v>14</v>
      </c>
      <c r="H338" s="502" t="s">
        <v>36</v>
      </c>
      <c r="I338" s="502" t="s">
        <v>109</v>
      </c>
      <c r="J338" s="15" t="str">
        <f>+_xlfn.XLOOKUP(B338,INNOVACIÓN!A:A,INNOVACIÓN!B:B,"NO")</f>
        <v>NO</v>
      </c>
      <c r="K338" s="15" t="str">
        <f>+_xlfn.XLOOKUP(B338,MERMA!B:B,MERMA!C:C,"No")</f>
        <v>No</v>
      </c>
      <c r="L338" s="15" t="str">
        <f>+_xlfn.XLOOKUP(B338,MERMA!B:B,MERMA!D:D,"No es merma")</f>
        <v>No es merma</v>
      </c>
    </row>
    <row r="339" spans="1:12" s="15" hidden="1" x14ac:dyDescent="0.35">
      <c r="A339" s="503">
        <v>100022332</v>
      </c>
      <c r="B339" s="505">
        <v>75018832</v>
      </c>
      <c r="C339" s="503" t="s">
        <v>380</v>
      </c>
      <c r="D339" s="503" t="s">
        <v>11</v>
      </c>
      <c r="E339" s="503" t="s">
        <v>33</v>
      </c>
      <c r="F339" s="503" t="s">
        <v>46</v>
      </c>
      <c r="G339" s="503" t="s">
        <v>14</v>
      </c>
      <c r="H339" s="502" t="s">
        <v>36</v>
      </c>
      <c r="I339" s="502" t="s">
        <v>109</v>
      </c>
      <c r="J339" s="15" t="str">
        <f>+_xlfn.XLOOKUP(B339,INNOVACIÓN!A:A,INNOVACIÓN!B:B,"NO")</f>
        <v>NO</v>
      </c>
      <c r="K339" s="15" t="str">
        <f>+_xlfn.XLOOKUP(B339,MERMA!B:B,MERMA!C:C,"No")</f>
        <v>SI</v>
      </c>
      <c r="L339" s="15">
        <f>+_xlfn.XLOOKUP(B339,MERMA!B:B,MERMA!D:D,"No es merma")</f>
        <v>2025</v>
      </c>
    </row>
    <row r="340" spans="1:12" s="15" hidden="1" x14ac:dyDescent="0.35">
      <c r="A340" s="502">
        <v>100024304</v>
      </c>
      <c r="B340" s="505">
        <v>7503031950991</v>
      </c>
      <c r="C340" s="502" t="s">
        <v>381</v>
      </c>
      <c r="D340" s="503" t="s">
        <v>11</v>
      </c>
      <c r="E340" s="503" t="s">
        <v>33</v>
      </c>
      <c r="F340" s="503" t="s">
        <v>46</v>
      </c>
      <c r="G340" s="503" t="s">
        <v>14</v>
      </c>
      <c r="H340" s="502" t="s">
        <v>36</v>
      </c>
      <c r="I340" s="502" t="s">
        <v>109</v>
      </c>
      <c r="J340" s="15" t="str">
        <f>+_xlfn.XLOOKUP(B340,INNOVACIÓN!A:A,INNOVACIÓN!B:B,"NO")</f>
        <v>NO</v>
      </c>
      <c r="K340" s="15" t="str">
        <f>+_xlfn.XLOOKUP(B340,MERMA!B:B,MERMA!C:C,"No")</f>
        <v>SI</v>
      </c>
      <c r="L340" s="15">
        <f>+_xlfn.XLOOKUP(B340,MERMA!B:B,MERMA!D:D,"No es merma")</f>
        <v>2025</v>
      </c>
    </row>
    <row r="341" spans="1:12" s="15" hidden="1" x14ac:dyDescent="0.35">
      <c r="A341" s="503">
        <v>100022331</v>
      </c>
      <c r="B341" s="505">
        <v>75004408</v>
      </c>
      <c r="C341" s="503" t="s">
        <v>382</v>
      </c>
      <c r="D341" s="503" t="s">
        <v>11</v>
      </c>
      <c r="E341" s="503" t="s">
        <v>33</v>
      </c>
      <c r="F341" s="503" t="s">
        <v>46</v>
      </c>
      <c r="G341" s="503" t="s">
        <v>54</v>
      </c>
      <c r="H341" s="502" t="s">
        <v>36</v>
      </c>
      <c r="I341" s="502" t="s">
        <v>109</v>
      </c>
      <c r="J341" s="15" t="str">
        <f>+_xlfn.XLOOKUP(B341,INNOVACIÓN!A:A,INNOVACIÓN!B:B,"NO")</f>
        <v>NO</v>
      </c>
      <c r="K341" s="15" t="str">
        <f>+_xlfn.XLOOKUP(B341,MERMA!B:B,MERMA!C:C,"No")</f>
        <v>SI</v>
      </c>
      <c r="L341" s="15">
        <f>+_xlfn.XLOOKUP(B341,MERMA!B:B,MERMA!D:D,"No es merma")</f>
        <v>2025</v>
      </c>
    </row>
    <row r="342" spans="1:12" s="15" hidden="1" x14ac:dyDescent="0.35">
      <c r="A342" s="502">
        <v>100019003</v>
      </c>
      <c r="B342" s="505">
        <v>75001445</v>
      </c>
      <c r="C342" s="502" t="s">
        <v>383</v>
      </c>
      <c r="D342" s="502" t="s">
        <v>11</v>
      </c>
      <c r="E342" s="503" t="s">
        <v>33</v>
      </c>
      <c r="F342" s="502" t="s">
        <v>46</v>
      </c>
      <c r="G342" s="502" t="s">
        <v>14</v>
      </c>
      <c r="H342" s="502" t="s">
        <v>36</v>
      </c>
      <c r="I342" s="502" t="s">
        <v>109</v>
      </c>
      <c r="J342" s="15" t="str">
        <f>+_xlfn.XLOOKUP(B342,INNOVACIÓN!A:A,INNOVACIÓN!B:B,"NO")</f>
        <v>NO</v>
      </c>
      <c r="K342" s="15" t="str">
        <f>+_xlfn.XLOOKUP(B342,MERMA!B:B,MERMA!C:C,"No")</f>
        <v>No</v>
      </c>
      <c r="L342" s="15" t="str">
        <f>+_xlfn.XLOOKUP(B342,MERMA!B:B,MERMA!D:D,"No es merma")</f>
        <v>No es merma</v>
      </c>
    </row>
    <row r="343" spans="1:12" s="15" hidden="1" x14ac:dyDescent="0.35">
      <c r="A343" s="503">
        <v>100006296</v>
      </c>
      <c r="B343" s="505">
        <v>75053758</v>
      </c>
      <c r="C343" s="503" t="s">
        <v>384</v>
      </c>
      <c r="D343" s="503" t="s">
        <v>11</v>
      </c>
      <c r="E343" s="503" t="s">
        <v>33</v>
      </c>
      <c r="F343" s="503" t="s">
        <v>41</v>
      </c>
      <c r="G343" s="503" t="s">
        <v>35</v>
      </c>
      <c r="H343" s="502" t="s">
        <v>36</v>
      </c>
      <c r="I343" s="502" t="s">
        <v>109</v>
      </c>
      <c r="J343" s="15" t="str">
        <f>+_xlfn.XLOOKUP(B343,INNOVACIÓN!A:A,INNOVACIÓN!B:B,"NO")</f>
        <v>NO</v>
      </c>
      <c r="K343" s="15" t="str">
        <f>+_xlfn.XLOOKUP(B343,MERMA!B:B,MERMA!C:C,"No")</f>
        <v>SI</v>
      </c>
      <c r="L343" s="15">
        <f>+_xlfn.XLOOKUP(B343,MERMA!B:B,MERMA!D:D,"No es merma")</f>
        <v>2025</v>
      </c>
    </row>
    <row r="344" spans="1:12" s="15" hidden="1" x14ac:dyDescent="0.35">
      <c r="A344" s="502">
        <v>100022139</v>
      </c>
      <c r="B344" s="505">
        <v>7503031950274</v>
      </c>
      <c r="C344" s="502" t="s">
        <v>385</v>
      </c>
      <c r="D344" s="502" t="s">
        <v>11</v>
      </c>
      <c r="E344" s="503" t="s">
        <v>33</v>
      </c>
      <c r="F344" s="502" t="s">
        <v>46</v>
      </c>
      <c r="G344" s="502" t="s">
        <v>14</v>
      </c>
      <c r="H344" s="502" t="s">
        <v>36</v>
      </c>
      <c r="I344" s="502" t="s">
        <v>109</v>
      </c>
      <c r="J344" s="15" t="str">
        <f>+_xlfn.XLOOKUP(B344,INNOVACIÓN!A:A,INNOVACIÓN!B:B,"NO")</f>
        <v>NO</v>
      </c>
      <c r="K344" s="15" t="str">
        <f>+_xlfn.XLOOKUP(B344,MERMA!B:B,MERMA!C:C,"No")</f>
        <v>SI</v>
      </c>
      <c r="L344" s="15">
        <f>+_xlfn.XLOOKUP(B344,MERMA!B:B,MERMA!D:D,"No es merma")</f>
        <v>2025</v>
      </c>
    </row>
    <row r="345" spans="1:12" s="15" hidden="1" x14ac:dyDescent="0.35">
      <c r="A345" s="502">
        <v>100022845</v>
      </c>
      <c r="B345" s="505">
        <v>7503031950458</v>
      </c>
      <c r="C345" s="502" t="s">
        <v>386</v>
      </c>
      <c r="D345" s="503" t="s">
        <v>11</v>
      </c>
      <c r="E345" s="503" t="s">
        <v>33</v>
      </c>
      <c r="F345" s="503" t="s">
        <v>46</v>
      </c>
      <c r="G345" s="503" t="s">
        <v>14</v>
      </c>
      <c r="H345" s="502" t="s">
        <v>36</v>
      </c>
      <c r="I345" s="502" t="s">
        <v>109</v>
      </c>
      <c r="J345" s="15" t="str">
        <f>+_xlfn.XLOOKUP(B345,INNOVACIÓN!A:A,INNOVACIÓN!B:B,"NO")</f>
        <v>NO</v>
      </c>
      <c r="K345" s="15" t="str">
        <f>+_xlfn.XLOOKUP(B345,MERMA!B:B,MERMA!C:C,"No")</f>
        <v>SI</v>
      </c>
      <c r="L345" s="15">
        <f>+_xlfn.XLOOKUP(B345,MERMA!B:B,MERMA!D:D,"No es merma")</f>
        <v>2025</v>
      </c>
    </row>
    <row r="346" spans="1:12" s="15" hidden="1" x14ac:dyDescent="0.35">
      <c r="A346" s="502">
        <v>100023891</v>
      </c>
      <c r="B346" s="505">
        <v>7503031950939</v>
      </c>
      <c r="C346" s="502" t="s">
        <v>387</v>
      </c>
      <c r="D346" s="503" t="s">
        <v>11</v>
      </c>
      <c r="E346" s="503" t="s">
        <v>33</v>
      </c>
      <c r="F346" s="503" t="s">
        <v>46</v>
      </c>
      <c r="G346" s="503" t="s">
        <v>14</v>
      </c>
      <c r="H346" s="502" t="s">
        <v>36</v>
      </c>
      <c r="I346" s="502" t="s">
        <v>109</v>
      </c>
      <c r="J346" s="15" t="str">
        <f>+_xlfn.XLOOKUP(B346,INNOVACIÓN!A:A,INNOVACIÓN!B:B,"NO")</f>
        <v>NO</v>
      </c>
      <c r="K346" s="15" t="str">
        <f>+_xlfn.XLOOKUP(B346,MERMA!B:B,MERMA!C:C,"No")</f>
        <v>SI</v>
      </c>
      <c r="L346" s="15">
        <f>+_xlfn.XLOOKUP(B346,MERMA!B:B,MERMA!D:D,"No es merma")</f>
        <v>2025</v>
      </c>
    </row>
    <row r="347" spans="1:12" s="15" hidden="1" x14ac:dyDescent="0.35">
      <c r="A347" s="502">
        <v>100022968</v>
      </c>
      <c r="B347" s="505">
        <v>75025359</v>
      </c>
      <c r="C347" s="502" t="s">
        <v>388</v>
      </c>
      <c r="D347" s="502" t="s">
        <v>11</v>
      </c>
      <c r="E347" s="503" t="s">
        <v>33</v>
      </c>
      <c r="F347" s="502" t="s">
        <v>46</v>
      </c>
      <c r="G347" s="502" t="s">
        <v>14</v>
      </c>
      <c r="H347" s="502" t="s">
        <v>36</v>
      </c>
      <c r="I347" s="502" t="s">
        <v>109</v>
      </c>
      <c r="J347" s="15" t="str">
        <f>+_xlfn.XLOOKUP(B347,INNOVACIÓN!A:A,INNOVACIÓN!B:B,"NO")</f>
        <v>NO</v>
      </c>
      <c r="K347" s="15" t="str">
        <f>+_xlfn.XLOOKUP(B347,MERMA!B:B,MERMA!C:C,"No")</f>
        <v>SI</v>
      </c>
      <c r="L347" s="15">
        <f>+_xlfn.XLOOKUP(B347,MERMA!B:B,MERMA!D:D,"No es merma")</f>
        <v>2025</v>
      </c>
    </row>
    <row r="348" spans="1:12" s="15" hidden="1" x14ac:dyDescent="0.35">
      <c r="A348" s="502">
        <v>100010332</v>
      </c>
      <c r="B348" s="505">
        <v>75062736</v>
      </c>
      <c r="C348" s="502" t="s">
        <v>389</v>
      </c>
      <c r="D348" s="502" t="s">
        <v>11</v>
      </c>
      <c r="E348" s="503" t="s">
        <v>33</v>
      </c>
      <c r="F348" s="502" t="s">
        <v>46</v>
      </c>
      <c r="G348" s="502" t="s">
        <v>14</v>
      </c>
      <c r="H348" s="502" t="s">
        <v>36</v>
      </c>
      <c r="I348" s="502" t="s">
        <v>109</v>
      </c>
      <c r="J348" s="15" t="str">
        <f>+_xlfn.XLOOKUP(B348,INNOVACIÓN!A:A,INNOVACIÓN!B:B,"NO")</f>
        <v>NO</v>
      </c>
      <c r="K348" s="15" t="str">
        <f>+_xlfn.XLOOKUP(B348,MERMA!B:B,MERMA!C:C,"No")</f>
        <v>SI</v>
      </c>
      <c r="L348" s="15">
        <f>+_xlfn.XLOOKUP(B348,MERMA!B:B,MERMA!D:D,"No es merma")</f>
        <v>2025</v>
      </c>
    </row>
    <row r="349" spans="1:12" s="15" hidden="1" x14ac:dyDescent="0.35">
      <c r="A349" s="502">
        <v>100006294</v>
      </c>
      <c r="B349" s="505">
        <v>75053765</v>
      </c>
      <c r="C349" s="502" t="s">
        <v>390</v>
      </c>
      <c r="D349" s="503" t="s">
        <v>11</v>
      </c>
      <c r="E349" s="503" t="s">
        <v>33</v>
      </c>
      <c r="F349" s="503" t="s">
        <v>41</v>
      </c>
      <c r="G349" s="503" t="s">
        <v>35</v>
      </c>
      <c r="H349" s="502" t="s">
        <v>36</v>
      </c>
      <c r="I349" s="502" t="s">
        <v>109</v>
      </c>
      <c r="J349" s="15" t="str">
        <f>+_xlfn.XLOOKUP(B349,INNOVACIÓN!A:A,INNOVACIÓN!B:B,"NO")</f>
        <v>NO</v>
      </c>
      <c r="K349" s="15" t="str">
        <f>+_xlfn.XLOOKUP(B349,MERMA!B:B,MERMA!C:C,"No")</f>
        <v>SI</v>
      </c>
      <c r="L349" s="15">
        <f>+_xlfn.XLOOKUP(B349,MERMA!B:B,MERMA!D:D,"No es merma")</f>
        <v>2025</v>
      </c>
    </row>
    <row r="350" spans="1:12" s="15" hidden="1" x14ac:dyDescent="0.35">
      <c r="A350" s="502">
        <v>100018586</v>
      </c>
      <c r="B350" s="505">
        <v>75001414</v>
      </c>
      <c r="C350" s="502" t="s">
        <v>391</v>
      </c>
      <c r="D350" s="503" t="s">
        <v>11</v>
      </c>
      <c r="E350" s="503" t="s">
        <v>33</v>
      </c>
      <c r="F350" s="503" t="s">
        <v>41</v>
      </c>
      <c r="G350" s="503" t="s">
        <v>35</v>
      </c>
      <c r="H350" s="502" t="s">
        <v>36</v>
      </c>
      <c r="I350" s="502" t="s">
        <v>109</v>
      </c>
      <c r="J350" s="15" t="str">
        <f>+_xlfn.XLOOKUP(B350,INNOVACIÓN!A:A,INNOVACIÓN!B:B,"NO")</f>
        <v>NO</v>
      </c>
      <c r="K350" s="15" t="str">
        <f>+_xlfn.XLOOKUP(B350,MERMA!B:B,MERMA!C:C,"No")</f>
        <v>SI</v>
      </c>
      <c r="L350" s="15">
        <f>+_xlfn.XLOOKUP(B350,MERMA!B:B,MERMA!D:D,"No es merma")</f>
        <v>2025</v>
      </c>
    </row>
    <row r="351" spans="1:12" s="15" hidden="1" x14ac:dyDescent="0.35">
      <c r="A351" s="502">
        <v>100080990</v>
      </c>
      <c r="B351" s="505">
        <v>75050450</v>
      </c>
      <c r="C351" s="502" t="s">
        <v>392</v>
      </c>
      <c r="D351" s="502" t="s">
        <v>11</v>
      </c>
      <c r="E351" s="503" t="s">
        <v>33</v>
      </c>
      <c r="F351" s="502" t="s">
        <v>39</v>
      </c>
      <c r="G351" s="502" t="s">
        <v>14</v>
      </c>
      <c r="H351" s="502" t="s">
        <v>36</v>
      </c>
      <c r="I351" s="502" t="s">
        <v>109</v>
      </c>
      <c r="J351" s="15" t="str">
        <f>+_xlfn.XLOOKUP(B351,INNOVACIÓN!A:A,INNOVACIÓN!B:B,"NO")</f>
        <v>NO</v>
      </c>
      <c r="K351" s="15" t="str">
        <f>+_xlfn.XLOOKUP(B351,MERMA!B:B,MERMA!C:C,"No")</f>
        <v>No</v>
      </c>
      <c r="L351" s="15" t="str">
        <f>+_xlfn.XLOOKUP(B351,MERMA!B:B,MERMA!D:D,"No es merma")</f>
        <v>No es merma</v>
      </c>
    </row>
    <row r="352" spans="1:12" s="15" hidden="1" x14ac:dyDescent="0.35">
      <c r="A352" s="502">
        <v>100021422</v>
      </c>
      <c r="B352" s="505">
        <v>75022242</v>
      </c>
      <c r="C352" s="502" t="s">
        <v>393</v>
      </c>
      <c r="D352" s="502" t="s">
        <v>11</v>
      </c>
      <c r="E352" s="503" t="s">
        <v>33</v>
      </c>
      <c r="F352" s="502" t="s">
        <v>39</v>
      </c>
      <c r="G352" s="502" t="s">
        <v>54</v>
      </c>
      <c r="H352" s="502" t="s">
        <v>36</v>
      </c>
      <c r="I352" s="502" t="s">
        <v>109</v>
      </c>
      <c r="J352" s="15" t="str">
        <f>+_xlfn.XLOOKUP(B352,INNOVACIÓN!A:A,INNOVACIÓN!B:B,"NO")</f>
        <v>NO</v>
      </c>
      <c r="K352" s="15" t="str">
        <f>+_xlfn.XLOOKUP(B352,MERMA!B:B,MERMA!C:C,"No")</f>
        <v>No</v>
      </c>
      <c r="L352" s="15" t="str">
        <f>+_xlfn.XLOOKUP(B352,MERMA!B:B,MERMA!D:D,"No es merma")</f>
        <v>No es merma</v>
      </c>
    </row>
    <row r="353" spans="1:12" s="15" hidden="1" x14ac:dyDescent="0.35">
      <c r="A353" s="15">
        <v>100019696</v>
      </c>
      <c r="B353" s="505">
        <v>75072612</v>
      </c>
      <c r="C353" s="15" t="s">
        <v>394</v>
      </c>
      <c r="D353" s="502" t="s">
        <v>11</v>
      </c>
      <c r="E353" s="503" t="s">
        <v>33</v>
      </c>
      <c r="F353" s="502" t="s">
        <v>39</v>
      </c>
      <c r="G353" s="502" t="s">
        <v>35</v>
      </c>
      <c r="H353" s="502" t="s">
        <v>36</v>
      </c>
      <c r="I353" s="502" t="s">
        <v>109</v>
      </c>
      <c r="J353" s="15" t="str">
        <f>+_xlfn.XLOOKUP(B353,INNOVACIÓN!A:A,INNOVACIÓN!B:B,"NO")</f>
        <v>NO</v>
      </c>
      <c r="K353" s="15" t="str">
        <f>+_xlfn.XLOOKUP(B353,MERMA!B:B,MERMA!C:C,"No")</f>
        <v>No</v>
      </c>
      <c r="L353" s="15" t="str">
        <f>+_xlfn.XLOOKUP(B353,MERMA!B:B,MERMA!D:D,"No es merma")</f>
        <v>No es merma</v>
      </c>
    </row>
    <row r="354" spans="1:12" s="15" hidden="1" x14ac:dyDescent="0.35">
      <c r="A354" s="502">
        <v>100015219</v>
      </c>
      <c r="B354" s="505">
        <v>75069933</v>
      </c>
      <c r="C354" s="502" t="s">
        <v>395</v>
      </c>
      <c r="D354" s="502" t="s">
        <v>11</v>
      </c>
      <c r="E354" s="503" t="s">
        <v>33</v>
      </c>
      <c r="F354" s="502" t="s">
        <v>39</v>
      </c>
      <c r="G354" s="502" t="s">
        <v>35</v>
      </c>
      <c r="H354" s="502" t="s">
        <v>36</v>
      </c>
      <c r="I354" s="502" t="s">
        <v>109</v>
      </c>
      <c r="J354" s="15" t="str">
        <f>+_xlfn.XLOOKUP(B354,INNOVACIÓN!A:A,INNOVACIÓN!B:B,"NO")</f>
        <v>NO</v>
      </c>
      <c r="K354" s="15" t="str">
        <f>+_xlfn.XLOOKUP(B354,MERMA!B:B,MERMA!C:C,"No")</f>
        <v>SI</v>
      </c>
      <c r="L354" s="15">
        <f>+_xlfn.XLOOKUP(B354,MERMA!B:B,MERMA!D:D,"No es merma")</f>
        <v>2025</v>
      </c>
    </row>
    <row r="355" spans="1:12" s="15" hidden="1" x14ac:dyDescent="0.35">
      <c r="A355" s="502">
        <v>100019698</v>
      </c>
      <c r="B355" s="505">
        <v>75072605</v>
      </c>
      <c r="C355" s="502" t="s">
        <v>396</v>
      </c>
      <c r="D355" s="502" t="s">
        <v>11</v>
      </c>
      <c r="E355" s="503" t="s">
        <v>33</v>
      </c>
      <c r="F355" s="502" t="s">
        <v>39</v>
      </c>
      <c r="G355" s="502" t="s">
        <v>54</v>
      </c>
      <c r="H355" s="502" t="s">
        <v>36</v>
      </c>
      <c r="I355" s="502" t="s">
        <v>109</v>
      </c>
      <c r="J355" s="15" t="str">
        <f>+_xlfn.XLOOKUP(B355,INNOVACIÓN!A:A,INNOVACIÓN!B:B,"NO")</f>
        <v>NO</v>
      </c>
      <c r="K355" s="15" t="str">
        <f>+_xlfn.XLOOKUP(B355,MERMA!B:B,MERMA!C:C,"No")</f>
        <v>SI</v>
      </c>
      <c r="L355" s="15">
        <f>+_xlfn.XLOOKUP(B355,MERMA!B:B,MERMA!D:D,"No es merma")</f>
        <v>2025</v>
      </c>
    </row>
    <row r="356" spans="1:12" s="15" hidden="1" x14ac:dyDescent="0.35">
      <c r="A356" s="502">
        <v>100021413</v>
      </c>
      <c r="B356" s="505">
        <v>7503031950229</v>
      </c>
      <c r="C356" s="502" t="s">
        <v>397</v>
      </c>
      <c r="D356" s="503" t="s">
        <v>11</v>
      </c>
      <c r="E356" s="503" t="s">
        <v>33</v>
      </c>
      <c r="F356" s="503" t="s">
        <v>46</v>
      </c>
      <c r="G356" s="503" t="s">
        <v>14</v>
      </c>
      <c r="H356" s="502" t="s">
        <v>36</v>
      </c>
      <c r="I356" s="502" t="s">
        <v>109</v>
      </c>
      <c r="J356" s="15" t="str">
        <f>+_xlfn.XLOOKUP(B356,INNOVACIÓN!A:A,INNOVACIÓN!B:B,"NO")</f>
        <v>NO</v>
      </c>
      <c r="K356" s="15" t="str">
        <f>+_xlfn.XLOOKUP(B356,MERMA!B:B,MERMA!C:C,"No")</f>
        <v>No</v>
      </c>
      <c r="L356" s="15" t="str">
        <f>+_xlfn.XLOOKUP(B356,MERMA!B:B,MERMA!D:D,"No es merma")</f>
        <v>No es merma</v>
      </c>
    </row>
    <row r="357" spans="1:12" s="15" hidden="1" x14ac:dyDescent="0.35">
      <c r="A357" s="502">
        <v>100021421</v>
      </c>
      <c r="B357" s="505">
        <v>75012717</v>
      </c>
      <c r="C357" s="502" t="s">
        <v>398</v>
      </c>
      <c r="D357" s="502" t="s">
        <v>11</v>
      </c>
      <c r="E357" s="503" t="s">
        <v>33</v>
      </c>
      <c r="F357" s="502" t="s">
        <v>39</v>
      </c>
      <c r="G357" s="502" t="s">
        <v>54</v>
      </c>
      <c r="H357" s="502" t="s">
        <v>36</v>
      </c>
      <c r="I357" s="502" t="s">
        <v>109</v>
      </c>
      <c r="J357" s="15" t="str">
        <f>+_xlfn.XLOOKUP(B357,INNOVACIÓN!A:A,INNOVACIÓN!B:B,"NO")</f>
        <v>NO</v>
      </c>
      <c r="K357" s="15" t="str">
        <f>+_xlfn.XLOOKUP(B357,MERMA!B:B,MERMA!C:C,"No")</f>
        <v>SI</v>
      </c>
      <c r="L357" s="15">
        <f>+_xlfn.XLOOKUP(B357,MERMA!B:B,MERMA!D:D,"No es merma")</f>
        <v>2025</v>
      </c>
    </row>
    <row r="358" spans="1:12" s="15" hidden="1" x14ac:dyDescent="0.35">
      <c r="A358" s="502">
        <v>100021415</v>
      </c>
      <c r="B358" s="505">
        <v>75022259</v>
      </c>
      <c r="C358" s="502" t="s">
        <v>399</v>
      </c>
      <c r="D358" s="502" t="s">
        <v>11</v>
      </c>
      <c r="E358" s="503" t="s">
        <v>33</v>
      </c>
      <c r="F358" s="502" t="s">
        <v>39</v>
      </c>
      <c r="G358" s="502" t="s">
        <v>54</v>
      </c>
      <c r="H358" s="502" t="s">
        <v>36</v>
      </c>
      <c r="I358" s="502" t="s">
        <v>109</v>
      </c>
      <c r="J358" s="15" t="str">
        <f>+_xlfn.XLOOKUP(B358,INNOVACIÓN!A:A,INNOVACIÓN!B:B,"NO")</f>
        <v>NO</v>
      </c>
      <c r="K358" s="15" t="str">
        <f>+_xlfn.XLOOKUP(B358,MERMA!B:B,MERMA!C:C,"No")</f>
        <v>SI</v>
      </c>
      <c r="L358" s="15">
        <f>+_xlfn.XLOOKUP(B358,MERMA!B:B,MERMA!D:D,"No es merma")</f>
        <v>2025</v>
      </c>
    </row>
    <row r="359" spans="1:12" s="15" hidden="1" x14ac:dyDescent="0.35">
      <c r="A359" s="502">
        <v>100021411</v>
      </c>
      <c r="B359" s="505">
        <v>7503031950236</v>
      </c>
      <c r="C359" s="502" t="s">
        <v>400</v>
      </c>
      <c r="D359" s="502" t="s">
        <v>11</v>
      </c>
      <c r="E359" s="503" t="s">
        <v>33</v>
      </c>
      <c r="F359" s="502" t="s">
        <v>46</v>
      </c>
      <c r="G359" s="502" t="s">
        <v>14</v>
      </c>
      <c r="H359" s="502" t="s">
        <v>36</v>
      </c>
      <c r="I359" s="502" t="s">
        <v>109</v>
      </c>
      <c r="J359" s="15" t="str">
        <f>+_xlfn.XLOOKUP(B359,INNOVACIÓN!A:A,INNOVACIÓN!B:B,"NO")</f>
        <v>NO</v>
      </c>
      <c r="K359" s="15" t="str">
        <f>+_xlfn.XLOOKUP(B359,MERMA!B:B,MERMA!C:C,"No")</f>
        <v>No</v>
      </c>
      <c r="L359" s="15" t="str">
        <f>+_xlfn.XLOOKUP(B359,MERMA!B:B,MERMA!D:D,"No es merma")</f>
        <v>No es merma</v>
      </c>
    </row>
    <row r="360" spans="1:12" s="15" hidden="1" x14ac:dyDescent="0.35">
      <c r="A360" s="502">
        <v>100021409</v>
      </c>
      <c r="B360" s="505">
        <v>7503031950250</v>
      </c>
      <c r="C360" s="502" t="s">
        <v>401</v>
      </c>
      <c r="D360" s="502" t="s">
        <v>11</v>
      </c>
      <c r="E360" s="503" t="s">
        <v>33</v>
      </c>
      <c r="F360" s="502" t="s">
        <v>46</v>
      </c>
      <c r="G360" s="502" t="s">
        <v>14</v>
      </c>
      <c r="H360" s="502" t="s">
        <v>36</v>
      </c>
      <c r="I360" s="502" t="s">
        <v>109</v>
      </c>
      <c r="J360" s="15" t="str">
        <f>+_xlfn.XLOOKUP(B360,INNOVACIÓN!A:A,INNOVACIÓN!B:B,"NO")</f>
        <v>NO</v>
      </c>
      <c r="K360" s="15" t="str">
        <f>+_xlfn.XLOOKUP(B360,MERMA!B:B,MERMA!C:C,"No")</f>
        <v>No</v>
      </c>
      <c r="L360" s="15" t="str">
        <f>+_xlfn.XLOOKUP(B360,MERMA!B:B,MERMA!D:D,"No es merma")</f>
        <v>No es merma</v>
      </c>
    </row>
    <row r="361" spans="1:12" s="15" hidden="1" x14ac:dyDescent="0.35">
      <c r="A361" s="502">
        <v>100021407</v>
      </c>
      <c r="B361" s="505">
        <v>7503031950243</v>
      </c>
      <c r="C361" s="502" t="s">
        <v>402</v>
      </c>
      <c r="D361" s="503" t="s">
        <v>11</v>
      </c>
      <c r="E361" s="503" t="s">
        <v>33</v>
      </c>
      <c r="F361" s="503" t="s">
        <v>46</v>
      </c>
      <c r="G361" s="502" t="s">
        <v>54</v>
      </c>
      <c r="H361" s="502" t="s">
        <v>36</v>
      </c>
      <c r="I361" s="502" t="s">
        <v>109</v>
      </c>
      <c r="J361" s="15" t="str">
        <f>+_xlfn.XLOOKUP(B361,INNOVACIÓN!A:A,INNOVACIÓN!B:B,"NO")</f>
        <v>NO</v>
      </c>
      <c r="K361" s="15" t="str">
        <f>+_xlfn.XLOOKUP(B361,MERMA!B:B,MERMA!C:C,"No")</f>
        <v>No</v>
      </c>
      <c r="L361" s="15" t="str">
        <f>+_xlfn.XLOOKUP(B361,MERMA!B:B,MERMA!D:D,"No es merma")</f>
        <v>No es merma</v>
      </c>
    </row>
    <row r="362" spans="1:12" s="15" hidden="1" x14ac:dyDescent="0.35">
      <c r="A362" s="502">
        <v>100021418</v>
      </c>
      <c r="B362" s="505">
        <v>75015718</v>
      </c>
      <c r="C362" s="502" t="s">
        <v>403</v>
      </c>
      <c r="D362" s="502" t="s">
        <v>11</v>
      </c>
      <c r="E362" s="503" t="s">
        <v>33</v>
      </c>
      <c r="F362" s="502" t="s">
        <v>39</v>
      </c>
      <c r="G362" s="502" t="s">
        <v>54</v>
      </c>
      <c r="H362" s="502" t="s">
        <v>36</v>
      </c>
      <c r="I362" s="502" t="s">
        <v>109</v>
      </c>
      <c r="J362" s="15" t="str">
        <f>+_xlfn.XLOOKUP(B362,INNOVACIÓN!A:A,INNOVACIÓN!B:B,"NO")</f>
        <v>NO</v>
      </c>
      <c r="K362" s="15" t="str">
        <f>+_xlfn.XLOOKUP(B362,MERMA!B:B,MERMA!C:C,"No")</f>
        <v>No</v>
      </c>
      <c r="L362" s="15" t="str">
        <f>+_xlfn.XLOOKUP(B362,MERMA!B:B,MERMA!D:D,"No es merma")</f>
        <v>No es merma</v>
      </c>
    </row>
    <row r="363" spans="1:12" s="15" hidden="1" x14ac:dyDescent="0.35">
      <c r="A363" s="502">
        <v>100022334</v>
      </c>
      <c r="B363" s="505">
        <v>7503031950441</v>
      </c>
      <c r="C363" s="502" t="s">
        <v>404</v>
      </c>
      <c r="D363" s="503" t="s">
        <v>11</v>
      </c>
      <c r="E363" s="503" t="s">
        <v>33</v>
      </c>
      <c r="F363" s="503" t="s">
        <v>46</v>
      </c>
      <c r="G363" s="502" t="s">
        <v>54</v>
      </c>
      <c r="H363" s="502" t="s">
        <v>36</v>
      </c>
      <c r="I363" s="502" t="s">
        <v>109</v>
      </c>
      <c r="J363" s="15" t="str">
        <f>+_xlfn.XLOOKUP(B363,INNOVACIÓN!A:A,INNOVACIÓN!B:B,"NO")</f>
        <v>NO</v>
      </c>
      <c r="K363" s="15" t="str">
        <f>+_xlfn.XLOOKUP(B363,MERMA!B:B,MERMA!C:C,"No")</f>
        <v>No</v>
      </c>
      <c r="L363" s="15" t="str">
        <f>+_xlfn.XLOOKUP(B363,MERMA!B:B,MERMA!D:D,"No es merma")</f>
        <v>No es merma</v>
      </c>
    </row>
    <row r="364" spans="1:12" s="15" hidden="1" x14ac:dyDescent="0.35">
      <c r="A364" s="502">
        <v>100020135</v>
      </c>
      <c r="B364" s="505">
        <v>7503031950137</v>
      </c>
      <c r="C364" s="502" t="s">
        <v>405</v>
      </c>
      <c r="D364" s="502" t="s">
        <v>11</v>
      </c>
      <c r="E364" s="503" t="s">
        <v>33</v>
      </c>
      <c r="F364" s="502" t="s">
        <v>46</v>
      </c>
      <c r="G364" s="502" t="s">
        <v>14</v>
      </c>
      <c r="H364" s="502" t="s">
        <v>36</v>
      </c>
      <c r="I364" s="502" t="s">
        <v>109</v>
      </c>
      <c r="J364" s="15" t="str">
        <f>+_xlfn.XLOOKUP(B364,INNOVACIÓN!A:A,INNOVACIÓN!B:B,"NO")</f>
        <v>NO</v>
      </c>
      <c r="K364" s="15" t="str">
        <f>+_xlfn.XLOOKUP(B364,MERMA!B:B,MERMA!C:C,"No")</f>
        <v>No</v>
      </c>
      <c r="L364" s="15" t="str">
        <f>+_xlfn.XLOOKUP(B364,MERMA!B:B,MERMA!D:D,"No es merma")</f>
        <v>No es merma</v>
      </c>
    </row>
    <row r="365" spans="1:12" s="15" hidden="1" x14ac:dyDescent="0.35">
      <c r="A365" s="502">
        <v>100020134</v>
      </c>
      <c r="B365" s="505">
        <v>7503031950144</v>
      </c>
      <c r="C365" s="502" t="s">
        <v>406</v>
      </c>
      <c r="D365" s="503" t="s">
        <v>11</v>
      </c>
      <c r="E365" s="503" t="s">
        <v>33</v>
      </c>
      <c r="F365" s="503" t="s">
        <v>46</v>
      </c>
      <c r="G365" s="503" t="s">
        <v>14</v>
      </c>
      <c r="H365" s="502" t="s">
        <v>36</v>
      </c>
      <c r="I365" s="502" t="s">
        <v>109</v>
      </c>
      <c r="J365" s="15" t="str">
        <f>+_xlfn.XLOOKUP(B365,INNOVACIÓN!A:A,INNOVACIÓN!B:B,"NO")</f>
        <v>NO</v>
      </c>
      <c r="K365" s="15" t="str">
        <f>+_xlfn.XLOOKUP(B365,MERMA!B:B,MERMA!C:C,"No")</f>
        <v>No</v>
      </c>
      <c r="L365" s="15" t="str">
        <f>+_xlfn.XLOOKUP(B365,MERMA!B:B,MERMA!D:D,"No es merma")</f>
        <v>No es merma</v>
      </c>
    </row>
    <row r="366" spans="1:12" s="15" hidden="1" x14ac:dyDescent="0.35">
      <c r="A366" s="15">
        <v>100020136</v>
      </c>
      <c r="B366" s="505">
        <v>7503031950151</v>
      </c>
      <c r="C366" s="15" t="s">
        <v>407</v>
      </c>
      <c r="D366" s="502" t="s">
        <v>11</v>
      </c>
      <c r="E366" s="503" t="s">
        <v>33</v>
      </c>
      <c r="F366" s="502" t="s">
        <v>46</v>
      </c>
      <c r="G366" s="502" t="s">
        <v>54</v>
      </c>
      <c r="H366" s="502" t="s">
        <v>36</v>
      </c>
      <c r="I366" s="502" t="s">
        <v>109</v>
      </c>
      <c r="J366" s="15" t="str">
        <f>+_xlfn.XLOOKUP(B366,INNOVACIÓN!A:A,INNOVACIÓN!B:B,"NO")</f>
        <v>NO</v>
      </c>
      <c r="K366" s="15" t="str">
        <f>+_xlfn.XLOOKUP(B366,MERMA!B:B,MERMA!C:C,"No")</f>
        <v>No</v>
      </c>
      <c r="L366" s="15" t="str">
        <f>+_xlfn.XLOOKUP(B366,MERMA!B:B,MERMA!D:D,"No es merma")</f>
        <v>No es merma</v>
      </c>
    </row>
    <row r="367" spans="1:12" s="15" hidden="1" x14ac:dyDescent="0.35">
      <c r="A367" s="15">
        <v>100019578</v>
      </c>
      <c r="B367" s="505">
        <v>7503031950052</v>
      </c>
      <c r="C367" s="15" t="s">
        <v>408</v>
      </c>
      <c r="D367" s="502" t="s">
        <v>11</v>
      </c>
      <c r="E367" s="503" t="s">
        <v>33</v>
      </c>
      <c r="F367" s="502" t="s">
        <v>46</v>
      </c>
      <c r="G367" s="502" t="s">
        <v>14</v>
      </c>
      <c r="H367" s="502" t="s">
        <v>36</v>
      </c>
      <c r="I367" s="502" t="s">
        <v>109</v>
      </c>
      <c r="J367" s="15" t="str">
        <f>+_xlfn.XLOOKUP(B367,INNOVACIÓN!A:A,INNOVACIÓN!B:B,"NO")</f>
        <v>NO</v>
      </c>
      <c r="K367" s="15" t="str">
        <f>+_xlfn.XLOOKUP(B367,MERMA!B:B,MERMA!C:C,"No")</f>
        <v>No</v>
      </c>
      <c r="L367" s="15" t="str">
        <f>+_xlfn.XLOOKUP(B367,MERMA!B:B,MERMA!D:D,"No es merma")</f>
        <v>No es merma</v>
      </c>
    </row>
    <row r="368" spans="1:12" s="15" hidden="1" x14ac:dyDescent="0.35">
      <c r="A368" s="502">
        <v>100020724</v>
      </c>
      <c r="B368" s="505">
        <v>7503031950182</v>
      </c>
      <c r="C368" s="502" t="s">
        <v>409</v>
      </c>
      <c r="D368" s="502" t="s">
        <v>11</v>
      </c>
      <c r="E368" s="503" t="s">
        <v>33</v>
      </c>
      <c r="F368" s="502" t="s">
        <v>46</v>
      </c>
      <c r="G368" s="502" t="s">
        <v>14</v>
      </c>
      <c r="H368" s="502" t="s">
        <v>36</v>
      </c>
      <c r="I368" s="502" t="s">
        <v>109</v>
      </c>
      <c r="J368" s="15" t="str">
        <f>+_xlfn.XLOOKUP(B368,INNOVACIÓN!A:A,INNOVACIÓN!B:B,"NO")</f>
        <v>NO</v>
      </c>
      <c r="K368" s="15" t="str">
        <f>+_xlfn.XLOOKUP(B368,MERMA!B:B,MERMA!C:C,"No")</f>
        <v>No</v>
      </c>
      <c r="L368" s="15" t="str">
        <f>+_xlfn.XLOOKUP(B368,MERMA!B:B,MERMA!D:D,"No es merma")</f>
        <v>No es merma</v>
      </c>
    </row>
    <row r="369" spans="1:12" s="15" hidden="1" x14ac:dyDescent="0.35">
      <c r="A369" s="502">
        <v>100020725</v>
      </c>
      <c r="B369" s="505">
        <v>7503031950199</v>
      </c>
      <c r="C369" s="502" t="s">
        <v>410</v>
      </c>
      <c r="D369" s="503" t="s">
        <v>11</v>
      </c>
      <c r="E369" s="503" t="s">
        <v>33</v>
      </c>
      <c r="F369" s="503" t="s">
        <v>46</v>
      </c>
      <c r="G369" s="503" t="s">
        <v>14</v>
      </c>
      <c r="H369" s="502" t="s">
        <v>36</v>
      </c>
      <c r="I369" s="502" t="s">
        <v>109</v>
      </c>
      <c r="J369" s="15" t="str">
        <f>+_xlfn.XLOOKUP(B369,INNOVACIÓN!A:A,INNOVACIÓN!B:B,"NO")</f>
        <v>NO</v>
      </c>
      <c r="K369" s="15" t="str">
        <f>+_xlfn.XLOOKUP(B369,MERMA!B:B,MERMA!C:C,"No")</f>
        <v>No</v>
      </c>
      <c r="L369" s="15" t="str">
        <f>+_xlfn.XLOOKUP(B369,MERMA!B:B,MERMA!D:D,"No es merma")</f>
        <v>No es merma</v>
      </c>
    </row>
    <row r="370" spans="1:12" s="15" hidden="1" x14ac:dyDescent="0.35">
      <c r="A370" s="502">
        <v>100020726</v>
      </c>
      <c r="B370" s="505">
        <v>7503031950205</v>
      </c>
      <c r="C370" s="502" t="s">
        <v>411</v>
      </c>
      <c r="D370" s="502" t="s">
        <v>11</v>
      </c>
      <c r="E370" s="503" t="s">
        <v>33</v>
      </c>
      <c r="F370" s="502" t="s">
        <v>46</v>
      </c>
      <c r="G370" s="502" t="s">
        <v>54</v>
      </c>
      <c r="H370" s="502" t="s">
        <v>36</v>
      </c>
      <c r="I370" s="502" t="s">
        <v>109</v>
      </c>
      <c r="J370" s="15" t="str">
        <f>+_xlfn.XLOOKUP(B370,INNOVACIÓN!A:A,INNOVACIÓN!B:B,"NO")</f>
        <v>NO</v>
      </c>
      <c r="K370" s="15" t="str">
        <f>+_xlfn.XLOOKUP(B370,MERMA!B:B,MERMA!C:C,"No")</f>
        <v>No</v>
      </c>
      <c r="L370" s="15" t="str">
        <f>+_xlfn.XLOOKUP(B370,MERMA!B:B,MERMA!D:D,"No es merma")</f>
        <v>No es merma</v>
      </c>
    </row>
    <row r="371" spans="1:12" s="15" hidden="1" x14ac:dyDescent="0.35">
      <c r="A371" s="15">
        <v>100019576</v>
      </c>
      <c r="B371" s="505">
        <v>7503031950069</v>
      </c>
      <c r="C371" s="15" t="s">
        <v>412</v>
      </c>
      <c r="D371" s="502" t="s">
        <v>11</v>
      </c>
      <c r="E371" s="503" t="s">
        <v>33</v>
      </c>
      <c r="F371" s="502" t="s">
        <v>46</v>
      </c>
      <c r="G371" s="502" t="s">
        <v>14</v>
      </c>
      <c r="H371" s="502" t="s">
        <v>36</v>
      </c>
      <c r="I371" s="502" t="s">
        <v>109</v>
      </c>
      <c r="J371" s="15" t="str">
        <f>+_xlfn.XLOOKUP(B371,INNOVACIÓN!A:A,INNOVACIÓN!B:B,"NO")</f>
        <v>NO</v>
      </c>
      <c r="K371" s="15" t="str">
        <f>+_xlfn.XLOOKUP(B371,MERMA!B:B,MERMA!C:C,"No")</f>
        <v>No</v>
      </c>
      <c r="L371" s="15" t="str">
        <f>+_xlfn.XLOOKUP(B371,MERMA!B:B,MERMA!D:D,"No es merma")</f>
        <v>No es merma</v>
      </c>
    </row>
    <row r="372" spans="1:12" s="15" hidden="1" x14ac:dyDescent="0.35">
      <c r="A372" s="502">
        <v>100020429</v>
      </c>
      <c r="B372" s="505">
        <v>7503031950175</v>
      </c>
      <c r="C372" s="502" t="s">
        <v>413</v>
      </c>
      <c r="D372" s="503" t="s">
        <v>11</v>
      </c>
      <c r="E372" s="503" t="s">
        <v>33</v>
      </c>
      <c r="F372" s="503" t="s">
        <v>46</v>
      </c>
      <c r="G372" s="503" t="s">
        <v>14</v>
      </c>
      <c r="H372" s="502" t="s">
        <v>36</v>
      </c>
      <c r="I372" s="502" t="s">
        <v>109</v>
      </c>
      <c r="J372" s="15" t="str">
        <f>+_xlfn.XLOOKUP(B372,INNOVACIÓN!A:A,INNOVACIÓN!B:B,"NO")</f>
        <v>NO</v>
      </c>
      <c r="K372" s="15" t="str">
        <f>+_xlfn.XLOOKUP(B372,MERMA!B:B,MERMA!C:C,"No")</f>
        <v>No</v>
      </c>
      <c r="L372" s="15" t="str">
        <f>+_xlfn.XLOOKUP(B372,MERMA!B:B,MERMA!D:D,"No es merma")</f>
        <v>No es merma</v>
      </c>
    </row>
    <row r="373" spans="1:12" s="15" hidden="1" x14ac:dyDescent="0.35">
      <c r="A373" s="502">
        <v>100021091</v>
      </c>
      <c r="B373" s="505">
        <v>7503031950212</v>
      </c>
      <c r="C373" s="502" t="s">
        <v>414</v>
      </c>
      <c r="D373" s="502" t="s">
        <v>11</v>
      </c>
      <c r="E373" s="503" t="s">
        <v>33</v>
      </c>
      <c r="F373" s="502" t="s">
        <v>46</v>
      </c>
      <c r="G373" s="502" t="s">
        <v>14</v>
      </c>
      <c r="H373" s="502" t="s">
        <v>36</v>
      </c>
      <c r="I373" s="502" t="s">
        <v>109</v>
      </c>
      <c r="J373" s="15" t="str">
        <f>+_xlfn.XLOOKUP(B373,INNOVACIÓN!A:A,INNOVACIÓN!B:B,"NO")</f>
        <v>NO</v>
      </c>
      <c r="K373" s="15" t="str">
        <f>+_xlfn.XLOOKUP(B373,MERMA!B:B,MERMA!C:C,"No")</f>
        <v>SI</v>
      </c>
      <c r="L373" s="15">
        <f>+_xlfn.XLOOKUP(B373,MERMA!B:B,MERMA!D:D,"No es merma")</f>
        <v>2025</v>
      </c>
    </row>
    <row r="374" spans="1:12" s="15" hidden="1" x14ac:dyDescent="0.35">
      <c r="A374" s="502">
        <v>100022138</v>
      </c>
      <c r="B374" s="505">
        <v>7503031950281</v>
      </c>
      <c r="C374" s="502" t="s">
        <v>415</v>
      </c>
      <c r="D374" s="502" t="s">
        <v>11</v>
      </c>
      <c r="E374" s="503" t="s">
        <v>33</v>
      </c>
      <c r="F374" s="502" t="s">
        <v>46</v>
      </c>
      <c r="G374" s="502" t="s">
        <v>14</v>
      </c>
      <c r="H374" s="502" t="s">
        <v>36</v>
      </c>
      <c r="I374" s="502" t="s">
        <v>109</v>
      </c>
      <c r="J374" s="15" t="str">
        <f>+_xlfn.XLOOKUP(B374,INNOVACIÓN!A:A,INNOVACIÓN!B:B,"NO")</f>
        <v>NO</v>
      </c>
      <c r="K374" s="15" t="str">
        <f>+_xlfn.XLOOKUP(B374,MERMA!B:B,MERMA!C:C,"No")</f>
        <v>SI</v>
      </c>
      <c r="L374" s="15">
        <f>+_xlfn.XLOOKUP(B374,MERMA!B:B,MERMA!D:D,"No es merma")</f>
        <v>2025</v>
      </c>
    </row>
    <row r="375" spans="1:12" s="15" hidden="1" x14ac:dyDescent="0.35">
      <c r="A375" s="502">
        <v>100022849</v>
      </c>
      <c r="B375" s="505">
        <v>7503031950465</v>
      </c>
      <c r="C375" s="502" t="s">
        <v>416</v>
      </c>
      <c r="D375" s="503" t="s">
        <v>11</v>
      </c>
      <c r="E375" s="503" t="s">
        <v>33</v>
      </c>
      <c r="F375" s="503" t="s">
        <v>46</v>
      </c>
      <c r="G375" s="503" t="s">
        <v>14</v>
      </c>
      <c r="H375" s="502" t="s">
        <v>36</v>
      </c>
      <c r="I375" s="502" t="s">
        <v>109</v>
      </c>
      <c r="J375" s="15" t="str">
        <f>+_xlfn.XLOOKUP(B375,INNOVACIÓN!A:A,INNOVACIÓN!B:B,"NO")</f>
        <v>NO</v>
      </c>
      <c r="K375" s="15" t="str">
        <f>+_xlfn.XLOOKUP(B375,MERMA!B:B,MERMA!C:C,"No")</f>
        <v>SI</v>
      </c>
      <c r="L375" s="15">
        <f>+_xlfn.XLOOKUP(B375,MERMA!B:B,MERMA!D:D,"No es merma")</f>
        <v>2025</v>
      </c>
    </row>
    <row r="376" spans="1:12" s="15" hidden="1" x14ac:dyDescent="0.35">
      <c r="A376" s="502">
        <v>100023889</v>
      </c>
      <c r="B376" s="505">
        <v>7503031950953</v>
      </c>
      <c r="C376" s="502" t="s">
        <v>417</v>
      </c>
      <c r="D376" s="503" t="s">
        <v>11</v>
      </c>
      <c r="E376" s="503" t="s">
        <v>33</v>
      </c>
      <c r="F376" s="503" t="s">
        <v>46</v>
      </c>
      <c r="G376" s="503" t="s">
        <v>14</v>
      </c>
      <c r="H376" s="502" t="s">
        <v>36</v>
      </c>
      <c r="I376" s="502" t="s">
        <v>109</v>
      </c>
      <c r="J376" s="15" t="str">
        <f>+_xlfn.XLOOKUP(B376,INNOVACIÓN!A:A,INNOVACIÓN!B:B,"NO")</f>
        <v>NO</v>
      </c>
      <c r="K376" s="15" t="str">
        <f>+_xlfn.XLOOKUP(B376,MERMA!B:B,MERMA!C:C,"No")</f>
        <v>SI</v>
      </c>
      <c r="L376" s="15">
        <f>+_xlfn.XLOOKUP(B376,MERMA!B:B,MERMA!D:D,"No es merma")</f>
        <v>2025</v>
      </c>
    </row>
    <row r="377" spans="1:12" s="15" hidden="1" x14ac:dyDescent="0.35">
      <c r="A377" s="502">
        <v>100022276</v>
      </c>
      <c r="B377" s="505">
        <v>75004415</v>
      </c>
      <c r="C377" s="502" t="s">
        <v>418</v>
      </c>
      <c r="D377" s="502" t="s">
        <v>11</v>
      </c>
      <c r="E377" s="503" t="s">
        <v>33</v>
      </c>
      <c r="F377" s="503" t="s">
        <v>46</v>
      </c>
      <c r="G377" s="503" t="s">
        <v>14</v>
      </c>
      <c r="H377" s="502" t="s">
        <v>36</v>
      </c>
      <c r="I377" s="502" t="s">
        <v>109</v>
      </c>
      <c r="J377" s="15" t="str">
        <f>+_xlfn.XLOOKUP(B377,INNOVACIÓN!A:A,INNOVACIÓN!B:B,"NO")</f>
        <v>NO</v>
      </c>
      <c r="K377" s="15" t="str">
        <f>+_xlfn.XLOOKUP(B377,MERMA!B:B,MERMA!C:C,"No")</f>
        <v>SI</v>
      </c>
      <c r="L377" s="15">
        <f>+_xlfn.XLOOKUP(B377,MERMA!B:B,MERMA!D:D,"No es merma")</f>
        <v>2025</v>
      </c>
    </row>
    <row r="378" spans="1:12" s="15" hidden="1" x14ac:dyDescent="0.35">
      <c r="A378" s="502">
        <v>100023362</v>
      </c>
      <c r="B378" s="505">
        <v>7503031950533</v>
      </c>
      <c r="C378" s="502" t="s">
        <v>419</v>
      </c>
      <c r="D378" s="503" t="s">
        <v>11</v>
      </c>
      <c r="E378" s="503" t="s">
        <v>33</v>
      </c>
      <c r="F378" s="503" t="s">
        <v>41</v>
      </c>
      <c r="G378" s="502" t="s">
        <v>35</v>
      </c>
      <c r="H378" s="502" t="s">
        <v>36</v>
      </c>
      <c r="I378" s="502" t="s">
        <v>109</v>
      </c>
      <c r="J378" s="15" t="str">
        <f>+_xlfn.XLOOKUP(B378,INNOVACIÓN!A:A,INNOVACIÓN!B:B,"NO")</f>
        <v>NO</v>
      </c>
      <c r="K378" s="15" t="str">
        <f>+_xlfn.XLOOKUP(B378,MERMA!B:B,MERMA!C:C,"No")</f>
        <v>SI</v>
      </c>
      <c r="L378" s="15">
        <f>+_xlfn.XLOOKUP(B378,MERMA!B:B,MERMA!D:D,"No es merma")</f>
        <v>2025</v>
      </c>
    </row>
    <row r="379" spans="1:12" s="15" hidden="1" x14ac:dyDescent="0.35">
      <c r="A379" s="502">
        <v>100020137</v>
      </c>
      <c r="B379" s="505">
        <v>7503031950168</v>
      </c>
      <c r="C379" s="502" t="s">
        <v>420</v>
      </c>
      <c r="D379" s="502" t="s">
        <v>11</v>
      </c>
      <c r="E379" s="503" t="s">
        <v>33</v>
      </c>
      <c r="F379" s="502" t="s">
        <v>41</v>
      </c>
      <c r="G379" s="502" t="s">
        <v>35</v>
      </c>
      <c r="H379" s="502" t="s">
        <v>36</v>
      </c>
      <c r="I379" s="502" t="s">
        <v>109</v>
      </c>
      <c r="J379" s="15" t="str">
        <f>+_xlfn.XLOOKUP(B379,INNOVACIÓN!A:A,INNOVACIÓN!B:B,"NO")</f>
        <v>NO</v>
      </c>
      <c r="K379" s="15" t="str">
        <f>+_xlfn.XLOOKUP(B379,MERMA!B:B,MERMA!C:C,"No")</f>
        <v>No</v>
      </c>
      <c r="L379" s="15" t="str">
        <f>+_xlfn.XLOOKUP(B379,MERMA!B:B,MERMA!D:D,"No es merma")</f>
        <v>No es merma</v>
      </c>
    </row>
    <row r="380" spans="1:12" s="15" hidden="1" x14ac:dyDescent="0.35">
      <c r="A380" s="502">
        <v>100080937</v>
      </c>
      <c r="B380" s="505">
        <v>75046781</v>
      </c>
      <c r="C380" s="502" t="s">
        <v>421</v>
      </c>
      <c r="D380" s="502" t="s">
        <v>11</v>
      </c>
      <c r="E380" s="503" t="s">
        <v>33</v>
      </c>
      <c r="F380" s="502" t="s">
        <v>39</v>
      </c>
      <c r="G380" s="502" t="s">
        <v>35</v>
      </c>
      <c r="H380" s="502" t="s">
        <v>36</v>
      </c>
      <c r="I380" s="502" t="s">
        <v>109</v>
      </c>
      <c r="J380" s="15" t="str">
        <f>+_xlfn.XLOOKUP(B380,INNOVACIÓN!A:A,INNOVACIÓN!B:B,"NO")</f>
        <v>NO</v>
      </c>
      <c r="K380" s="15" t="str">
        <f>+_xlfn.XLOOKUP(B380,MERMA!B:B,MERMA!C:C,"No")</f>
        <v>SI</v>
      </c>
      <c r="L380" s="15">
        <f>+_xlfn.XLOOKUP(B380,MERMA!B:B,MERMA!D:D,"No es merma")</f>
        <v>2025</v>
      </c>
    </row>
    <row r="381" spans="1:12" s="15" hidden="1" x14ac:dyDescent="0.35">
      <c r="A381" s="502">
        <v>100080829</v>
      </c>
      <c r="B381" s="505">
        <v>75034375</v>
      </c>
      <c r="C381" s="502" t="s">
        <v>422</v>
      </c>
      <c r="D381" s="502" t="s">
        <v>11</v>
      </c>
      <c r="E381" s="503" t="s">
        <v>33</v>
      </c>
      <c r="F381" s="502" t="s">
        <v>39</v>
      </c>
      <c r="G381" s="502" t="s">
        <v>35</v>
      </c>
      <c r="H381" s="502" t="s">
        <v>36</v>
      </c>
      <c r="I381" s="502" t="s">
        <v>109</v>
      </c>
      <c r="J381" s="15" t="str">
        <f>+_xlfn.XLOOKUP(B381,INNOVACIÓN!A:A,INNOVACIÓN!B:B,"NO")</f>
        <v>NO</v>
      </c>
      <c r="K381" s="15" t="str">
        <f>+_xlfn.XLOOKUP(B381,MERMA!B:B,MERMA!C:C,"No")</f>
        <v>SI</v>
      </c>
      <c r="L381" s="15">
        <f>+_xlfn.XLOOKUP(B381,MERMA!B:B,MERMA!D:D,"No es merma")</f>
        <v>2025</v>
      </c>
    </row>
    <row r="382" spans="1:12" s="15" hidden="1" x14ac:dyDescent="0.35">
      <c r="A382" s="503">
        <v>100007987</v>
      </c>
      <c r="B382" s="505">
        <v>9583</v>
      </c>
      <c r="C382" s="503" t="s">
        <v>423</v>
      </c>
      <c r="D382" s="503" t="s">
        <v>11</v>
      </c>
      <c r="E382" s="503" t="s">
        <v>33</v>
      </c>
      <c r="F382" s="503" t="s">
        <v>46</v>
      </c>
      <c r="G382" s="503" t="s">
        <v>35</v>
      </c>
      <c r="H382" s="502" t="s">
        <v>36</v>
      </c>
      <c r="I382" s="502" t="s">
        <v>247</v>
      </c>
      <c r="J382" s="15" t="str">
        <f>+_xlfn.XLOOKUP(B382,INNOVACIÓN!A:A,INNOVACIÓN!B:B,"NO")</f>
        <v>NO</v>
      </c>
      <c r="K382" s="15" t="str">
        <f>+_xlfn.XLOOKUP(B382,MERMA!B:B,MERMA!C:C,"No")</f>
        <v>No</v>
      </c>
      <c r="L382" s="15" t="str">
        <f>+_xlfn.XLOOKUP(B382,MERMA!B:B,MERMA!D:D,"No es merma")</f>
        <v>No es merma</v>
      </c>
    </row>
    <row r="383" spans="1:12" s="15" hidden="1" x14ac:dyDescent="0.35">
      <c r="A383" s="502">
        <v>100080029</v>
      </c>
      <c r="B383" s="505">
        <v>75001292</v>
      </c>
      <c r="C383" s="502" t="s">
        <v>424</v>
      </c>
      <c r="D383" s="502" t="s">
        <v>11</v>
      </c>
      <c r="E383" s="503" t="s">
        <v>33</v>
      </c>
      <c r="F383" s="502" t="s">
        <v>39</v>
      </c>
      <c r="G383" s="502" t="s">
        <v>71</v>
      </c>
      <c r="H383" s="502" t="s">
        <v>36</v>
      </c>
      <c r="I383" s="502" t="s">
        <v>109</v>
      </c>
      <c r="J383" s="15" t="str">
        <f>+_xlfn.XLOOKUP(B383,INNOVACIÓN!A:A,INNOVACIÓN!B:B,"NO")</f>
        <v>NO</v>
      </c>
      <c r="K383" s="15" t="str">
        <f>+_xlfn.XLOOKUP(B383,MERMA!B:B,MERMA!C:C,"No")</f>
        <v>SI</v>
      </c>
      <c r="L383" s="15">
        <f>+_xlfn.XLOOKUP(B383,MERMA!B:B,MERMA!D:D,"No es merma")</f>
        <v>2025</v>
      </c>
    </row>
    <row r="384" spans="1:12" s="15" hidden="1" x14ac:dyDescent="0.35">
      <c r="A384" s="503">
        <v>100007989</v>
      </c>
      <c r="B384" s="505">
        <v>9584</v>
      </c>
      <c r="C384" s="503" t="s">
        <v>425</v>
      </c>
      <c r="D384" s="503" t="s">
        <v>11</v>
      </c>
      <c r="E384" s="503" t="s">
        <v>33</v>
      </c>
      <c r="F384" s="503" t="s">
        <v>46</v>
      </c>
      <c r="G384" s="503" t="s">
        <v>71</v>
      </c>
      <c r="H384" s="502" t="s">
        <v>36</v>
      </c>
      <c r="I384" s="502" t="s">
        <v>109</v>
      </c>
      <c r="J384" s="15" t="str">
        <f>+_xlfn.XLOOKUP(B384,INNOVACIÓN!A:A,INNOVACIÓN!B:B,"NO")</f>
        <v>NO</v>
      </c>
      <c r="K384" s="15" t="str">
        <f>+_xlfn.XLOOKUP(B384,MERMA!B:B,MERMA!C:C,"No")</f>
        <v>No</v>
      </c>
      <c r="L384" s="15" t="str">
        <f>+_xlfn.XLOOKUP(B384,MERMA!B:B,MERMA!D:D,"No es merma")</f>
        <v>No es merma</v>
      </c>
    </row>
    <row r="385" spans="1:12" s="15" hidden="1" x14ac:dyDescent="0.35">
      <c r="A385" s="502">
        <v>100080420</v>
      </c>
      <c r="B385" s="505">
        <v>75014551</v>
      </c>
      <c r="C385" s="502" t="s">
        <v>426</v>
      </c>
      <c r="D385" s="502" t="s">
        <v>11</v>
      </c>
      <c r="E385" s="503" t="s">
        <v>33</v>
      </c>
      <c r="F385" s="502" t="s">
        <v>39</v>
      </c>
      <c r="G385" s="502" t="s">
        <v>71</v>
      </c>
      <c r="H385" s="502" t="s">
        <v>36</v>
      </c>
      <c r="I385" s="502" t="s">
        <v>109</v>
      </c>
      <c r="J385" s="15" t="str">
        <f>+_xlfn.XLOOKUP(B385,INNOVACIÓN!A:A,INNOVACIÓN!B:B,"NO")</f>
        <v>NO</v>
      </c>
      <c r="K385" s="15" t="str">
        <f>+_xlfn.XLOOKUP(B385,MERMA!B:B,MERMA!C:C,"No")</f>
        <v>No</v>
      </c>
      <c r="L385" s="15" t="str">
        <f>+_xlfn.XLOOKUP(B385,MERMA!B:B,MERMA!D:D,"No es merma")</f>
        <v>No es merma</v>
      </c>
    </row>
    <row r="386" spans="1:12" s="15" hidden="1" x14ac:dyDescent="0.35">
      <c r="A386" s="502">
        <v>100080769</v>
      </c>
      <c r="B386" s="505">
        <v>75027018</v>
      </c>
      <c r="C386" s="502" t="s">
        <v>427</v>
      </c>
      <c r="D386" s="502" t="s">
        <v>11</v>
      </c>
      <c r="E386" s="503" t="s">
        <v>33</v>
      </c>
      <c r="F386" s="502" t="s">
        <v>39</v>
      </c>
      <c r="G386" s="502" t="s">
        <v>71</v>
      </c>
      <c r="H386" s="502" t="s">
        <v>36</v>
      </c>
      <c r="I386" s="502" t="s">
        <v>109</v>
      </c>
      <c r="J386" s="15" t="str">
        <f>+_xlfn.XLOOKUP(B386,INNOVACIÓN!A:A,INNOVACIÓN!B:B,"NO")</f>
        <v>NO</v>
      </c>
      <c r="K386" s="15" t="str">
        <f>+_xlfn.XLOOKUP(B386,MERMA!B:B,MERMA!C:C,"No")</f>
        <v>SI</v>
      </c>
      <c r="L386" s="15">
        <f>+_xlfn.XLOOKUP(B386,MERMA!B:B,MERMA!D:D,"No es merma")</f>
        <v>2025</v>
      </c>
    </row>
    <row r="387" spans="1:12" s="15" hidden="1" x14ac:dyDescent="0.35">
      <c r="A387" s="502">
        <v>100080797</v>
      </c>
      <c r="B387" s="505">
        <v>75029388</v>
      </c>
      <c r="C387" s="502" t="s">
        <v>428</v>
      </c>
      <c r="D387" s="502" t="s">
        <v>11</v>
      </c>
      <c r="E387" s="503" t="s">
        <v>33</v>
      </c>
      <c r="F387" s="502" t="s">
        <v>39</v>
      </c>
      <c r="G387" s="502" t="s">
        <v>54</v>
      </c>
      <c r="H387" s="502" t="s">
        <v>36</v>
      </c>
      <c r="I387" s="502" t="s">
        <v>109</v>
      </c>
      <c r="J387" s="15" t="str">
        <f>+_xlfn.XLOOKUP(B387,INNOVACIÓN!A:A,INNOVACIÓN!B:B,"NO")</f>
        <v>NO</v>
      </c>
      <c r="K387" s="15" t="str">
        <f>+_xlfn.XLOOKUP(B387,MERMA!B:B,MERMA!C:C,"No")</f>
        <v>SI</v>
      </c>
      <c r="L387" s="15">
        <f>+_xlfn.XLOOKUP(B387,MERMA!B:B,MERMA!D:D,"No es merma")</f>
        <v>2025</v>
      </c>
    </row>
    <row r="388" spans="1:12" s="15" hidden="1" x14ac:dyDescent="0.35">
      <c r="A388" s="502">
        <v>100022848</v>
      </c>
      <c r="B388" s="505">
        <v>7503031950496</v>
      </c>
      <c r="C388" s="502" t="s">
        <v>429</v>
      </c>
      <c r="D388" s="503" t="s">
        <v>11</v>
      </c>
      <c r="E388" s="503" t="s">
        <v>33</v>
      </c>
      <c r="F388" s="503" t="s">
        <v>46</v>
      </c>
      <c r="G388" s="503" t="s">
        <v>14</v>
      </c>
      <c r="H388" s="502" t="s">
        <v>36</v>
      </c>
      <c r="I388" s="502" t="s">
        <v>109</v>
      </c>
      <c r="J388" s="15" t="str">
        <f>+_xlfn.XLOOKUP(B388,INNOVACIÓN!A:A,INNOVACIÓN!B:B,"NO")</f>
        <v>NO</v>
      </c>
      <c r="K388" s="15" t="str">
        <f>+_xlfn.XLOOKUP(B388,MERMA!B:B,MERMA!C:C,"No")</f>
        <v>SI</v>
      </c>
      <c r="L388" s="15">
        <f>+_xlfn.XLOOKUP(B388,MERMA!B:B,MERMA!D:D,"No es merma")</f>
        <v>2025</v>
      </c>
    </row>
    <row r="389" spans="1:12" s="15" hidden="1" x14ac:dyDescent="0.35">
      <c r="A389" s="502">
        <v>101000061</v>
      </c>
      <c r="B389" s="505">
        <v>75006204</v>
      </c>
      <c r="C389" s="502" t="s">
        <v>430</v>
      </c>
      <c r="D389" s="502" t="s">
        <v>11</v>
      </c>
      <c r="E389" s="503" t="s">
        <v>33</v>
      </c>
      <c r="F389" s="502" t="s">
        <v>46</v>
      </c>
      <c r="G389" s="502" t="s">
        <v>14</v>
      </c>
      <c r="H389" s="502" t="s">
        <v>36</v>
      </c>
      <c r="I389" s="502" t="s">
        <v>109</v>
      </c>
      <c r="J389" s="15" t="str">
        <f>+_xlfn.XLOOKUP(B389,INNOVACIÓN!A:A,INNOVACIÓN!B:B,"NO")</f>
        <v>NO</v>
      </c>
      <c r="K389" s="15" t="str">
        <f>+_xlfn.XLOOKUP(B389,MERMA!B:B,MERMA!C:C,"No")</f>
        <v>SI</v>
      </c>
      <c r="L389" s="15">
        <f>+_xlfn.XLOOKUP(B389,MERMA!B:B,MERMA!D:D,"No es merma")</f>
        <v>2025</v>
      </c>
    </row>
    <row r="390" spans="1:12" s="15" hidden="1" x14ac:dyDescent="0.35">
      <c r="A390" s="502">
        <v>100022137</v>
      </c>
      <c r="B390" s="505">
        <v>7503031950311</v>
      </c>
      <c r="C390" s="502" t="s">
        <v>431</v>
      </c>
      <c r="D390" s="503" t="s">
        <v>11</v>
      </c>
      <c r="E390" s="503" t="s">
        <v>33</v>
      </c>
      <c r="F390" s="503" t="s">
        <v>46</v>
      </c>
      <c r="G390" s="503" t="s">
        <v>14</v>
      </c>
      <c r="H390" s="502" t="s">
        <v>36</v>
      </c>
      <c r="I390" s="502" t="s">
        <v>109</v>
      </c>
      <c r="J390" s="15" t="str">
        <f>+_xlfn.XLOOKUP(B390,INNOVACIÓN!A:A,INNOVACIÓN!B:B,"NO")</f>
        <v>NO</v>
      </c>
      <c r="K390" s="15" t="str">
        <f>+_xlfn.XLOOKUP(B390,MERMA!B:B,MERMA!C:C,"No")</f>
        <v>SI</v>
      </c>
      <c r="L390" s="15">
        <f>+_xlfn.XLOOKUP(B390,MERMA!B:B,MERMA!D:D,"No es merma")</f>
        <v>2025</v>
      </c>
    </row>
    <row r="391" spans="1:12" s="15" hidden="1" x14ac:dyDescent="0.35">
      <c r="A391" s="502">
        <v>100023892</v>
      </c>
      <c r="B391" s="505">
        <v>7503031950946</v>
      </c>
      <c r="C391" s="502" t="s">
        <v>432</v>
      </c>
      <c r="D391" s="503" t="s">
        <v>11</v>
      </c>
      <c r="E391" s="503" t="s">
        <v>33</v>
      </c>
      <c r="F391" s="503" t="s">
        <v>46</v>
      </c>
      <c r="G391" s="503" t="s">
        <v>14</v>
      </c>
      <c r="H391" s="502" t="s">
        <v>36</v>
      </c>
      <c r="I391" s="502" t="s">
        <v>109</v>
      </c>
      <c r="J391" s="15" t="str">
        <f>+_xlfn.XLOOKUP(B391,INNOVACIÓN!A:A,INNOVACIÓN!B:B,"NO")</f>
        <v>NO</v>
      </c>
      <c r="K391" s="15" t="str">
        <f>+_xlfn.XLOOKUP(B391,MERMA!B:B,MERMA!C:C,"No")</f>
        <v>SI</v>
      </c>
      <c r="L391" s="15">
        <f>+_xlfn.XLOOKUP(B391,MERMA!B:B,MERMA!D:D,"No es merma")</f>
        <v>2025</v>
      </c>
    </row>
    <row r="392" spans="1:12" s="15" hidden="1" x14ac:dyDescent="0.35">
      <c r="A392" s="502">
        <v>100022846</v>
      </c>
      <c r="B392" s="505">
        <v>7503031950489</v>
      </c>
      <c r="C392" s="502" t="s">
        <v>433</v>
      </c>
      <c r="D392" s="503" t="s">
        <v>11</v>
      </c>
      <c r="E392" s="503" t="s">
        <v>33</v>
      </c>
      <c r="F392" s="503" t="s">
        <v>46</v>
      </c>
      <c r="G392" s="503" t="s">
        <v>14</v>
      </c>
      <c r="H392" s="502" t="s">
        <v>36</v>
      </c>
      <c r="I392" s="502" t="s">
        <v>109</v>
      </c>
      <c r="J392" s="15" t="str">
        <f>+_xlfn.XLOOKUP(B392,INNOVACIÓN!A:A,INNOVACIÓN!B:B,"NO")</f>
        <v>NO</v>
      </c>
      <c r="K392" s="15" t="str">
        <f>+_xlfn.XLOOKUP(B392,MERMA!B:B,MERMA!C:C,"No")</f>
        <v>No</v>
      </c>
      <c r="L392" s="15" t="str">
        <f>+_xlfn.XLOOKUP(B392,MERMA!B:B,MERMA!D:D,"No es merma")</f>
        <v>No es merma</v>
      </c>
    </row>
    <row r="393" spans="1:12" s="15" hidden="1" x14ac:dyDescent="0.35">
      <c r="A393" s="502">
        <v>100022136</v>
      </c>
      <c r="B393" s="505">
        <v>7503031950304</v>
      </c>
      <c r="C393" s="502" t="s">
        <v>434</v>
      </c>
      <c r="D393" s="503" t="s">
        <v>11</v>
      </c>
      <c r="E393" s="503" t="s">
        <v>33</v>
      </c>
      <c r="F393" s="503" t="s">
        <v>46</v>
      </c>
      <c r="G393" s="503" t="s">
        <v>14</v>
      </c>
      <c r="H393" s="502" t="s">
        <v>36</v>
      </c>
      <c r="I393" s="502" t="s">
        <v>109</v>
      </c>
      <c r="J393" s="15" t="str">
        <f>+_xlfn.XLOOKUP(B393,INNOVACIÓN!A:A,INNOVACIÓN!B:B,"NO")</f>
        <v>NO</v>
      </c>
      <c r="K393" s="15" t="str">
        <f>+_xlfn.XLOOKUP(B393,MERMA!B:B,MERMA!C:C,"No")</f>
        <v>SI</v>
      </c>
      <c r="L393" s="15">
        <f>+_xlfn.XLOOKUP(B393,MERMA!B:B,MERMA!D:D,"No es merma")</f>
        <v>2025</v>
      </c>
    </row>
    <row r="394" spans="1:12" s="15" hidden="1" x14ac:dyDescent="0.35">
      <c r="A394" s="502">
        <v>100022847</v>
      </c>
      <c r="B394" s="505">
        <v>7503031950472</v>
      </c>
      <c r="C394" s="502" t="s">
        <v>435</v>
      </c>
      <c r="D394" s="503" t="s">
        <v>11</v>
      </c>
      <c r="E394" s="503" t="s">
        <v>33</v>
      </c>
      <c r="F394" s="503" t="s">
        <v>46</v>
      </c>
      <c r="G394" s="502" t="s">
        <v>54</v>
      </c>
      <c r="H394" s="502" t="s">
        <v>36</v>
      </c>
      <c r="I394" s="502" t="s">
        <v>109</v>
      </c>
      <c r="J394" s="15" t="str">
        <f>+_xlfn.XLOOKUP(B394,INNOVACIÓN!A:A,INNOVACIÓN!B:B,"NO")</f>
        <v>NO</v>
      </c>
      <c r="K394" s="15" t="str">
        <f>+_xlfn.XLOOKUP(B394,MERMA!B:B,MERMA!C:C,"No")</f>
        <v>SI</v>
      </c>
      <c r="L394" s="15">
        <f>+_xlfn.XLOOKUP(B394,MERMA!B:B,MERMA!D:D,"No es merma")</f>
        <v>2025</v>
      </c>
    </row>
    <row r="395" spans="1:12" s="15" hidden="1" x14ac:dyDescent="0.35">
      <c r="A395" s="502">
        <v>100022134</v>
      </c>
      <c r="B395" s="505">
        <v>7503031950298</v>
      </c>
      <c r="C395" s="502" t="s">
        <v>436</v>
      </c>
      <c r="D395" s="503" t="s">
        <v>11</v>
      </c>
      <c r="E395" s="503" t="s">
        <v>33</v>
      </c>
      <c r="F395" s="503" t="s">
        <v>46</v>
      </c>
      <c r="G395" s="502" t="s">
        <v>54</v>
      </c>
      <c r="H395" s="502" t="s">
        <v>36</v>
      </c>
      <c r="I395" s="502" t="s">
        <v>109</v>
      </c>
      <c r="J395" s="15" t="str">
        <f>+_xlfn.XLOOKUP(B395,INNOVACIÓN!A:A,INNOVACIÓN!B:B,"NO")</f>
        <v>NO</v>
      </c>
      <c r="K395" s="15" t="str">
        <f>+_xlfn.XLOOKUP(B395,MERMA!B:B,MERMA!C:C,"No")</f>
        <v>SI</v>
      </c>
      <c r="L395" s="15">
        <f>+_xlfn.XLOOKUP(B395,MERMA!B:B,MERMA!D:D,"No es merma")</f>
        <v>2025</v>
      </c>
    </row>
    <row r="396" spans="1:12" s="15" hidden="1" x14ac:dyDescent="0.35">
      <c r="A396" s="15">
        <v>100007424</v>
      </c>
      <c r="B396" s="505">
        <v>75056001</v>
      </c>
      <c r="C396" s="15" t="s">
        <v>437</v>
      </c>
      <c r="D396" s="502" t="s">
        <v>11</v>
      </c>
      <c r="E396" s="503" t="s">
        <v>33</v>
      </c>
      <c r="F396" s="502" t="s">
        <v>39</v>
      </c>
      <c r="G396" s="502" t="s">
        <v>14</v>
      </c>
      <c r="H396" s="502" t="s">
        <v>36</v>
      </c>
      <c r="I396" s="502" t="s">
        <v>109</v>
      </c>
      <c r="J396" s="15" t="str">
        <f>+_xlfn.XLOOKUP(B396,INNOVACIÓN!A:A,INNOVACIÓN!B:B,"NO")</f>
        <v>NO</v>
      </c>
      <c r="K396" s="15" t="str">
        <f>+_xlfn.XLOOKUP(B396,MERMA!B:B,MERMA!C:C,"No")</f>
        <v>No</v>
      </c>
      <c r="L396" s="15" t="str">
        <f>+_xlfn.XLOOKUP(B396,MERMA!B:B,MERMA!D:D,"No es merma")</f>
        <v>No es merma</v>
      </c>
    </row>
    <row r="397" spans="1:12" s="15" hidden="1" x14ac:dyDescent="0.35">
      <c r="A397" s="502">
        <v>100015222</v>
      </c>
      <c r="B397" s="505">
        <v>75068790</v>
      </c>
      <c r="C397" s="502" t="s">
        <v>438</v>
      </c>
      <c r="D397" s="503" t="s">
        <v>11</v>
      </c>
      <c r="E397" s="503" t="s">
        <v>33</v>
      </c>
      <c r="F397" s="503" t="s">
        <v>39</v>
      </c>
      <c r="G397" s="503" t="s">
        <v>14</v>
      </c>
      <c r="H397" s="502" t="s">
        <v>36</v>
      </c>
      <c r="I397" s="502" t="s">
        <v>109</v>
      </c>
      <c r="J397" s="15" t="str">
        <f>+_xlfn.XLOOKUP(B397,INNOVACIÓN!A:A,INNOVACIÓN!B:B,"NO")</f>
        <v>NO</v>
      </c>
      <c r="K397" s="15" t="str">
        <f>+_xlfn.XLOOKUP(B397,MERMA!B:B,MERMA!C:C,"No")</f>
        <v>SI</v>
      </c>
      <c r="L397" s="15">
        <f>+_xlfn.XLOOKUP(B397,MERMA!B:B,MERMA!D:D,"No es merma")</f>
        <v>2025</v>
      </c>
    </row>
    <row r="398" spans="1:12" s="15" hidden="1" x14ac:dyDescent="0.35">
      <c r="A398" s="502">
        <v>100023361</v>
      </c>
      <c r="B398" s="505">
        <v>7503031950540</v>
      </c>
      <c r="C398" s="502" t="s">
        <v>439</v>
      </c>
      <c r="D398" s="503" t="s">
        <v>11</v>
      </c>
      <c r="E398" s="503" t="s">
        <v>33</v>
      </c>
      <c r="F398" s="503" t="s">
        <v>41</v>
      </c>
      <c r="G398" s="503" t="s">
        <v>71</v>
      </c>
      <c r="H398" s="502" t="s">
        <v>36</v>
      </c>
      <c r="I398" s="502" t="s">
        <v>109</v>
      </c>
      <c r="J398" s="15" t="str">
        <f>+_xlfn.XLOOKUP(B398,INNOVACIÓN!A:A,INNOVACIÓN!B:B,"NO")</f>
        <v>NO</v>
      </c>
      <c r="K398" s="15" t="str">
        <f>+_xlfn.XLOOKUP(B398,MERMA!B:B,MERMA!C:C,"No")</f>
        <v>SI</v>
      </c>
      <c r="L398" s="15">
        <f>+_xlfn.XLOOKUP(B398,MERMA!B:B,MERMA!D:D,"No es merma")</f>
        <v>2025</v>
      </c>
    </row>
    <row r="399" spans="1:12" s="15" hidden="1" x14ac:dyDescent="0.35">
      <c r="A399" s="15">
        <v>100080977</v>
      </c>
      <c r="B399" s="505">
        <v>75047078</v>
      </c>
      <c r="C399" s="15" t="s">
        <v>440</v>
      </c>
      <c r="D399" s="502" t="s">
        <v>11</v>
      </c>
      <c r="E399" s="503" t="s">
        <v>33</v>
      </c>
      <c r="F399" s="502" t="s">
        <v>39</v>
      </c>
      <c r="G399" s="502" t="s">
        <v>54</v>
      </c>
      <c r="H399" s="502" t="s">
        <v>36</v>
      </c>
      <c r="I399" s="502" t="s">
        <v>109</v>
      </c>
      <c r="J399" s="15" t="str">
        <f>+_xlfn.XLOOKUP(B399,INNOVACIÓN!A:A,INNOVACIÓN!B:B,"NO")</f>
        <v>NO</v>
      </c>
      <c r="K399" s="15" t="str">
        <f>+_xlfn.XLOOKUP(B399,MERMA!B:B,MERMA!C:C,"No")</f>
        <v>No</v>
      </c>
      <c r="L399" s="15" t="str">
        <f>+_xlfn.XLOOKUP(B399,MERMA!B:B,MERMA!D:D,"No es merma")</f>
        <v>No es merma</v>
      </c>
    </row>
    <row r="400" spans="1:12" s="15" hidden="1" x14ac:dyDescent="0.35">
      <c r="A400" s="502">
        <v>100023423</v>
      </c>
      <c r="B400" s="502">
        <v>75079888</v>
      </c>
      <c r="C400" s="502" t="s">
        <v>441</v>
      </c>
      <c r="D400" s="502" t="s">
        <v>44</v>
      </c>
      <c r="E400" s="503" t="s">
        <v>33</v>
      </c>
      <c r="F400" s="502" t="s">
        <v>39</v>
      </c>
      <c r="G400" s="502" t="s">
        <v>58</v>
      </c>
      <c r="H400" s="502" t="s">
        <v>36</v>
      </c>
      <c r="I400" s="502" t="s">
        <v>109</v>
      </c>
      <c r="J400" s="15" t="str">
        <f>+_xlfn.XLOOKUP(B400,INNOVACIÓN!A:A,INNOVACIÓN!B:B,"NO")</f>
        <v>NO</v>
      </c>
      <c r="K400" s="15" t="str">
        <f>+_xlfn.XLOOKUP(B400,MERMA!B:B,MERMA!C:C,"No")</f>
        <v>SI</v>
      </c>
      <c r="L400" s="15">
        <f>+_xlfn.XLOOKUP(B400,MERMA!B:B,MERMA!D:D,"No es merma")</f>
        <v>2025</v>
      </c>
    </row>
    <row r="401" spans="1:12" s="15" hidden="1" x14ac:dyDescent="0.35">
      <c r="A401" s="503">
        <v>100023422</v>
      </c>
      <c r="B401" s="504">
        <v>75079901</v>
      </c>
      <c r="C401" s="503" t="s">
        <v>442</v>
      </c>
      <c r="D401" s="503" t="s">
        <v>44</v>
      </c>
      <c r="E401" s="503" t="s">
        <v>33</v>
      </c>
      <c r="F401" s="503" t="s">
        <v>39</v>
      </c>
      <c r="G401" s="503" t="s">
        <v>35</v>
      </c>
      <c r="H401" s="502" t="s">
        <v>36</v>
      </c>
      <c r="I401" s="502" t="s">
        <v>109</v>
      </c>
      <c r="J401" s="15" t="str">
        <f>+_xlfn.XLOOKUP(B401,INNOVACIÓN!A:A,INNOVACIÓN!B:B,"NO")</f>
        <v>NO</v>
      </c>
      <c r="K401" s="15" t="str">
        <f>+_xlfn.XLOOKUP(B401,MERMA!B:B,MERMA!C:C,"No")</f>
        <v>SI</v>
      </c>
      <c r="L401" s="15">
        <f>+_xlfn.XLOOKUP(B401,MERMA!B:B,MERMA!D:D,"No es merma")</f>
        <v>2025</v>
      </c>
    </row>
    <row r="402" spans="1:12" s="15" hidden="1" x14ac:dyDescent="0.35">
      <c r="A402" s="503">
        <v>100023424</v>
      </c>
      <c r="B402" s="504">
        <v>75079895</v>
      </c>
      <c r="C402" s="503" t="s">
        <v>443</v>
      </c>
      <c r="D402" s="503" t="s">
        <v>44</v>
      </c>
      <c r="E402" s="503" t="s">
        <v>33</v>
      </c>
      <c r="F402" s="503" t="s">
        <v>39</v>
      </c>
      <c r="G402" s="503" t="s">
        <v>35</v>
      </c>
      <c r="H402" s="502" t="s">
        <v>36</v>
      </c>
      <c r="I402" s="502" t="s">
        <v>109</v>
      </c>
      <c r="J402" s="15" t="str">
        <f>+_xlfn.XLOOKUP(B402,INNOVACIÓN!A:A,INNOVACIÓN!B:B,"NO")</f>
        <v>NO</v>
      </c>
      <c r="K402" s="15" t="str">
        <f>+_xlfn.XLOOKUP(B402,MERMA!B:B,MERMA!C:C,"No")</f>
        <v>SI</v>
      </c>
      <c r="L402" s="15">
        <f>+_xlfn.XLOOKUP(B402,MERMA!B:B,MERMA!D:D,"No es merma")</f>
        <v>2025</v>
      </c>
    </row>
    <row r="403" spans="1:12" s="15" hidden="1" x14ac:dyDescent="0.35">
      <c r="A403" s="503">
        <v>100023426</v>
      </c>
      <c r="B403" s="504">
        <v>75079956</v>
      </c>
      <c r="C403" s="503" t="s">
        <v>444</v>
      </c>
      <c r="D403" s="503" t="s">
        <v>44</v>
      </c>
      <c r="E403" s="503" t="s">
        <v>33</v>
      </c>
      <c r="F403" s="503" t="s">
        <v>41</v>
      </c>
      <c r="G403" s="503" t="s">
        <v>35</v>
      </c>
      <c r="H403" s="502" t="s">
        <v>36</v>
      </c>
      <c r="I403" s="502" t="s">
        <v>109</v>
      </c>
      <c r="J403" s="15" t="str">
        <f>+_xlfn.XLOOKUP(B403,INNOVACIÓN!A:A,INNOVACIÓN!B:B,"NO")</f>
        <v>NO</v>
      </c>
      <c r="K403" s="15" t="str">
        <f>+_xlfn.XLOOKUP(B403,MERMA!B:B,MERMA!C:C,"No")</f>
        <v>SI</v>
      </c>
      <c r="L403" s="15">
        <f>+_xlfn.XLOOKUP(B403,MERMA!B:B,MERMA!D:D,"No es merma")</f>
        <v>2025</v>
      </c>
    </row>
    <row r="404" spans="1:12" s="15" hidden="1" x14ac:dyDescent="0.35">
      <c r="A404" s="503">
        <v>100019548</v>
      </c>
      <c r="B404" s="504">
        <v>75073978</v>
      </c>
      <c r="C404" s="503" t="s">
        <v>445</v>
      </c>
      <c r="D404" s="503" t="s">
        <v>44</v>
      </c>
      <c r="E404" s="503" t="s">
        <v>33</v>
      </c>
      <c r="F404" s="503" t="s">
        <v>41</v>
      </c>
      <c r="G404" s="503" t="s">
        <v>14</v>
      </c>
      <c r="H404" s="502" t="s">
        <v>36</v>
      </c>
      <c r="I404" s="502" t="s">
        <v>109</v>
      </c>
      <c r="J404" s="15" t="str">
        <f>+_xlfn.XLOOKUP(B404,INNOVACIÓN!A:A,INNOVACIÓN!B:B,"NO")</f>
        <v>NO</v>
      </c>
      <c r="K404" s="15" t="str">
        <f>+_xlfn.XLOOKUP(B404,MERMA!B:B,MERMA!C:C,"No")</f>
        <v>SI</v>
      </c>
      <c r="L404" s="15">
        <f>+_xlfn.XLOOKUP(B404,MERMA!B:B,MERMA!D:D,"No es merma")</f>
        <v>2025</v>
      </c>
    </row>
    <row r="405" spans="1:12" s="15" hidden="1" x14ac:dyDescent="0.35">
      <c r="A405" s="502">
        <v>100019549</v>
      </c>
      <c r="B405" s="502">
        <v>75073985</v>
      </c>
      <c r="C405" s="502" t="s">
        <v>446</v>
      </c>
      <c r="D405" s="503" t="s">
        <v>44</v>
      </c>
      <c r="E405" s="503" t="s">
        <v>33</v>
      </c>
      <c r="F405" s="65535" t="s">
        <v>46</v>
      </c>
      <c r="G405" s="65535" t="s">
        <v>54</v>
      </c>
      <c r="H405" s="502" t="s">
        <v>36</v>
      </c>
      <c r="I405" s="502" t="s">
        <v>247</v>
      </c>
      <c r="J405" s="15" t="str">
        <f>+_xlfn.XLOOKUP(B405,INNOVACIÓN!A:A,INNOVACIÓN!B:B,"NO")</f>
        <v>NO</v>
      </c>
      <c r="K405" s="15" t="str">
        <f>+_xlfn.XLOOKUP(B405,MERMA!B:B,MERMA!C:C,"No")</f>
        <v>SI</v>
      </c>
      <c r="L405" s="15">
        <f>+_xlfn.XLOOKUP(B405,MERMA!B:B,MERMA!D:D,"No es merma")</f>
        <v>2025</v>
      </c>
    </row>
    <row r="406" spans="1:12" s="15" hidden="1" x14ac:dyDescent="0.35">
      <c r="A406" s="502">
        <v>100007451</v>
      </c>
      <c r="B406" s="502">
        <v>75057732</v>
      </c>
      <c r="C406" s="502" t="s">
        <v>447</v>
      </c>
      <c r="D406" s="503" t="s">
        <v>44</v>
      </c>
      <c r="E406" s="65535" t="s">
        <v>33</v>
      </c>
      <c r="F406" s="65535" t="s">
        <v>46</v>
      </c>
      <c r="G406" s="65535" t="s">
        <v>54</v>
      </c>
      <c r="H406" s="502" t="s">
        <v>36</v>
      </c>
      <c r="I406" s="502" t="s">
        <v>247</v>
      </c>
      <c r="J406" s="15" t="str">
        <f>+_xlfn.XLOOKUP(B406,INNOVACIÓN!A:A,INNOVACIÓN!B:B,"NO")</f>
        <v>NO</v>
      </c>
      <c r="K406" s="15" t="str">
        <f>+_xlfn.XLOOKUP(B406,MERMA!B:B,MERMA!C:C,"No")</f>
        <v>No</v>
      </c>
      <c r="L406" s="15" t="str">
        <f>+_xlfn.XLOOKUP(B406,MERMA!B:B,MERMA!D:D,"No es merma")</f>
        <v>No es merma</v>
      </c>
    </row>
    <row r="407" spans="1:12" s="15" hidden="1" x14ac:dyDescent="0.35">
      <c r="A407" s="503">
        <v>100023714</v>
      </c>
      <c r="B407" s="504">
        <v>75080105</v>
      </c>
      <c r="C407" s="503" t="s">
        <v>448</v>
      </c>
      <c r="D407" s="503" t="s">
        <v>44</v>
      </c>
      <c r="E407" s="503" t="s">
        <v>33</v>
      </c>
      <c r="F407" s="503" t="s">
        <v>41</v>
      </c>
      <c r="G407" s="503" t="s">
        <v>35</v>
      </c>
      <c r="H407" s="502" t="s">
        <v>36</v>
      </c>
      <c r="I407" s="502" t="s">
        <v>109</v>
      </c>
      <c r="J407" s="15" t="str">
        <f>+_xlfn.XLOOKUP(B407,INNOVACIÓN!A:A,INNOVACIÓN!B:B,"NO")</f>
        <v>NO</v>
      </c>
      <c r="K407" s="15" t="str">
        <f>+_xlfn.XLOOKUP(B407,MERMA!B:B,MERMA!C:C,"No")</f>
        <v>SI</v>
      </c>
      <c r="L407" s="15">
        <f>+_xlfn.XLOOKUP(B407,MERMA!B:B,MERMA!D:D,"No es merma")</f>
        <v>2025</v>
      </c>
    </row>
    <row r="408" spans="1:12" s="15" hidden="1" x14ac:dyDescent="0.35">
      <c r="A408" s="502">
        <v>100017662</v>
      </c>
      <c r="B408" s="502">
        <v>75072506</v>
      </c>
      <c r="C408" s="502" t="s">
        <v>449</v>
      </c>
      <c r="D408" s="503" t="s">
        <v>44</v>
      </c>
      <c r="E408" s="503" t="s">
        <v>33</v>
      </c>
      <c r="F408" s="65535" t="s">
        <v>46</v>
      </c>
      <c r="G408" s="65535" t="s">
        <v>35</v>
      </c>
      <c r="H408" s="502" t="s">
        <v>36</v>
      </c>
      <c r="I408" s="502" t="s">
        <v>247</v>
      </c>
      <c r="J408" s="15" t="str">
        <f>+_xlfn.XLOOKUP(B408,INNOVACIÓN!A:A,INNOVACIÓN!B:B,"NO")</f>
        <v>NO</v>
      </c>
      <c r="K408" s="15" t="str">
        <f>+_xlfn.XLOOKUP(B408,MERMA!B:B,MERMA!C:C,"No")</f>
        <v>SI</v>
      </c>
      <c r="L408" s="15">
        <f>+_xlfn.XLOOKUP(B408,MERMA!B:B,MERMA!D:D,"No es merma")</f>
        <v>2025</v>
      </c>
    </row>
    <row r="409" spans="1:12" s="15" hidden="1" x14ac:dyDescent="0.35">
      <c r="A409" s="502">
        <v>100011378</v>
      </c>
      <c r="B409" s="502">
        <v>75063351</v>
      </c>
      <c r="C409" s="502" t="s">
        <v>450</v>
      </c>
      <c r="D409" s="502" t="s">
        <v>44</v>
      </c>
      <c r="E409" s="503" t="s">
        <v>33</v>
      </c>
      <c r="F409" s="502" t="s">
        <v>39</v>
      </c>
      <c r="G409" s="502" t="s">
        <v>58</v>
      </c>
      <c r="H409" s="502" t="s">
        <v>36</v>
      </c>
      <c r="I409" s="502" t="s">
        <v>247</v>
      </c>
      <c r="J409" s="15" t="str">
        <f>+_xlfn.XLOOKUP(B409,INNOVACIÓN!A:A,INNOVACIÓN!B:B,"NO")</f>
        <v>NO</v>
      </c>
      <c r="K409" s="15" t="str">
        <f>+_xlfn.XLOOKUP(B409,MERMA!B:B,MERMA!C:C,"No")</f>
        <v>No</v>
      </c>
      <c r="L409" s="15" t="str">
        <f>+_xlfn.XLOOKUP(B409,MERMA!B:B,MERMA!D:D,"No es merma")</f>
        <v>No es merma</v>
      </c>
    </row>
    <row r="410" spans="1:12" s="15" hidden="1" x14ac:dyDescent="0.35">
      <c r="A410" s="502">
        <v>100011380</v>
      </c>
      <c r="B410" s="502">
        <v>75063344</v>
      </c>
      <c r="C410" s="502" t="s">
        <v>451</v>
      </c>
      <c r="D410" s="502" t="s">
        <v>44</v>
      </c>
      <c r="E410" s="503" t="s">
        <v>33</v>
      </c>
      <c r="F410" s="502" t="s">
        <v>39</v>
      </c>
      <c r="G410" s="502" t="s">
        <v>58</v>
      </c>
      <c r="H410" s="502" t="s">
        <v>36</v>
      </c>
      <c r="I410" s="502" t="s">
        <v>247</v>
      </c>
      <c r="J410" s="15" t="str">
        <f>+_xlfn.XLOOKUP(B410,INNOVACIÓN!A:A,INNOVACIÓN!B:B,"NO")</f>
        <v>NO</v>
      </c>
      <c r="K410" s="15" t="str">
        <f>+_xlfn.XLOOKUP(B410,MERMA!B:B,MERMA!C:C,"No")</f>
        <v>No</v>
      </c>
      <c r="L410" s="15" t="str">
        <f>+_xlfn.XLOOKUP(B410,MERMA!B:B,MERMA!D:D,"No es merma")</f>
        <v>No es merma</v>
      </c>
    </row>
    <row r="411" spans="1:12" s="15" hidden="1" x14ac:dyDescent="0.35">
      <c r="A411" s="502">
        <v>100018747</v>
      </c>
      <c r="B411" s="502">
        <v>75074197</v>
      </c>
      <c r="C411" s="502" t="s">
        <v>452</v>
      </c>
      <c r="D411" s="503" t="s">
        <v>44</v>
      </c>
      <c r="E411" s="503" t="s">
        <v>33</v>
      </c>
      <c r="F411" s="65535" t="s">
        <v>46</v>
      </c>
      <c r="G411" s="65535" t="s">
        <v>35</v>
      </c>
      <c r="H411" s="502" t="s">
        <v>36</v>
      </c>
      <c r="I411" s="502" t="s">
        <v>247</v>
      </c>
      <c r="J411" s="15" t="str">
        <f>+_xlfn.XLOOKUP(B411,INNOVACIÓN!A:A,INNOVACIÓN!B:B,"NO")</f>
        <v>NO</v>
      </c>
      <c r="K411" s="15" t="str">
        <f>+_xlfn.XLOOKUP(B411,MERMA!B:B,MERMA!C:C,"No")</f>
        <v>No</v>
      </c>
      <c r="L411" s="15" t="str">
        <f>+_xlfn.XLOOKUP(B411,MERMA!B:B,MERMA!D:D,"No es merma")</f>
        <v>No es merma</v>
      </c>
    </row>
    <row r="412" spans="1:12" s="15" hidden="1" x14ac:dyDescent="0.35">
      <c r="A412" s="502">
        <v>100018748</v>
      </c>
      <c r="B412" s="502">
        <v>75074203</v>
      </c>
      <c r="C412" s="502" t="s">
        <v>453</v>
      </c>
      <c r="D412" s="503" t="s">
        <v>44</v>
      </c>
      <c r="E412" s="503" t="s">
        <v>33</v>
      </c>
      <c r="F412" s="65535" t="s">
        <v>46</v>
      </c>
      <c r="G412" s="65535" t="s">
        <v>35</v>
      </c>
      <c r="H412" s="502" t="s">
        <v>36</v>
      </c>
      <c r="I412" s="502" t="s">
        <v>247</v>
      </c>
      <c r="J412" s="15" t="str">
        <f>+_xlfn.XLOOKUP(B412,INNOVACIÓN!A:A,INNOVACIÓN!B:B,"NO")</f>
        <v>NO</v>
      </c>
      <c r="K412" s="15" t="str">
        <f>+_xlfn.XLOOKUP(B412,MERMA!B:B,MERMA!C:C,"No")</f>
        <v>SI</v>
      </c>
      <c r="L412" s="15">
        <f>+_xlfn.XLOOKUP(B412,MERMA!B:B,MERMA!D:D,"No es merma")</f>
        <v>2025</v>
      </c>
    </row>
    <row r="413" spans="1:12" s="15" hidden="1" x14ac:dyDescent="0.35">
      <c r="A413" s="502">
        <v>100008777</v>
      </c>
      <c r="B413" s="502">
        <v>75061135</v>
      </c>
      <c r="C413" s="502" t="s">
        <v>454</v>
      </c>
      <c r="D413" s="502" t="s">
        <v>44</v>
      </c>
      <c r="E413" s="503" t="s">
        <v>33</v>
      </c>
      <c r="F413" s="502" t="s">
        <v>46</v>
      </c>
      <c r="G413" s="502" t="s">
        <v>58</v>
      </c>
      <c r="H413" s="502" t="s">
        <v>36</v>
      </c>
      <c r="I413" s="502" t="s">
        <v>247</v>
      </c>
      <c r="J413" s="15" t="str">
        <f>+_xlfn.XLOOKUP(B413,INNOVACIÓN!A:A,INNOVACIÓN!B:B,"NO")</f>
        <v>NO</v>
      </c>
      <c r="K413" s="15" t="str">
        <f>+_xlfn.XLOOKUP(B413,MERMA!B:B,MERMA!C:C,"No")</f>
        <v>SI</v>
      </c>
      <c r="L413" s="15">
        <f>+_xlfn.XLOOKUP(B413,MERMA!B:B,MERMA!D:D,"No es merma")</f>
        <v>2025</v>
      </c>
    </row>
    <row r="414" spans="1:12" s="15" hidden="1" x14ac:dyDescent="0.35">
      <c r="A414" s="502">
        <v>100080954</v>
      </c>
      <c r="B414" s="502">
        <v>75047283</v>
      </c>
      <c r="C414" s="502" t="s">
        <v>455</v>
      </c>
      <c r="D414" s="502" t="s">
        <v>44</v>
      </c>
      <c r="E414" s="503" t="s">
        <v>33</v>
      </c>
      <c r="F414" s="502" t="s">
        <v>39</v>
      </c>
      <c r="G414" s="502" t="s">
        <v>58</v>
      </c>
      <c r="H414" s="502" t="s">
        <v>36</v>
      </c>
      <c r="I414" s="502" t="s">
        <v>247</v>
      </c>
      <c r="J414" s="15" t="str">
        <f>+_xlfn.XLOOKUP(B414,INNOVACIÓN!A:A,INNOVACIÓN!B:B,"NO")</f>
        <v>NO</v>
      </c>
      <c r="K414" s="15" t="str">
        <f>+_xlfn.XLOOKUP(B414,MERMA!B:B,MERMA!C:C,"No")</f>
        <v>No</v>
      </c>
      <c r="L414" s="15" t="str">
        <f>+_xlfn.XLOOKUP(B414,MERMA!B:B,MERMA!D:D,"No es merma")</f>
        <v>No es merma</v>
      </c>
    </row>
    <row r="415" spans="1:12" s="15" hidden="1" x14ac:dyDescent="0.35">
      <c r="A415" s="502">
        <v>100013301</v>
      </c>
      <c r="B415" s="502">
        <v>75066611</v>
      </c>
      <c r="C415" s="502" t="s">
        <v>456</v>
      </c>
      <c r="D415" s="502" t="s">
        <v>44</v>
      </c>
      <c r="E415" s="503" t="s">
        <v>33</v>
      </c>
      <c r="F415" s="502" t="s">
        <v>39</v>
      </c>
      <c r="G415" s="502" t="s">
        <v>52</v>
      </c>
      <c r="H415" s="502" t="s">
        <v>36</v>
      </c>
      <c r="I415" s="502" t="s">
        <v>247</v>
      </c>
      <c r="J415" s="15" t="str">
        <f>+_xlfn.XLOOKUP(B415,INNOVACIÓN!A:A,INNOVACIÓN!B:B,"NO")</f>
        <v>NO</v>
      </c>
      <c r="K415" s="15" t="str">
        <f>+_xlfn.XLOOKUP(B415,MERMA!B:B,MERMA!C:C,"No")</f>
        <v>SI</v>
      </c>
      <c r="L415" s="15">
        <f>+_xlfn.XLOOKUP(B415,MERMA!B:B,MERMA!D:D,"No es merma")</f>
        <v>2025</v>
      </c>
    </row>
    <row r="416" spans="1:12" s="15" hidden="1" x14ac:dyDescent="0.35">
      <c r="A416" s="503">
        <v>100015645</v>
      </c>
      <c r="B416" s="504">
        <v>75070373</v>
      </c>
      <c r="C416" s="503" t="s">
        <v>457</v>
      </c>
      <c r="D416" s="503" t="s">
        <v>44</v>
      </c>
      <c r="E416" s="503" t="s">
        <v>33</v>
      </c>
      <c r="F416" s="503" t="s">
        <v>39</v>
      </c>
      <c r="G416" s="503" t="s">
        <v>54</v>
      </c>
      <c r="H416" s="502" t="s">
        <v>36</v>
      </c>
      <c r="I416" s="502" t="s">
        <v>109</v>
      </c>
      <c r="J416" s="15" t="str">
        <f>+_xlfn.XLOOKUP(B416,INNOVACIÓN!A:A,INNOVACIÓN!B:B,"NO")</f>
        <v>NO</v>
      </c>
      <c r="K416" s="15" t="str">
        <f>+_xlfn.XLOOKUP(B416,MERMA!B:B,MERMA!C:C,"No")</f>
        <v>SI</v>
      </c>
      <c r="L416" s="15">
        <f>+_xlfn.XLOOKUP(B416,MERMA!B:B,MERMA!D:D,"No es merma")</f>
        <v>2025</v>
      </c>
    </row>
    <row r="417" spans="1:12" s="15" hidden="1" x14ac:dyDescent="0.35">
      <c r="A417" s="502">
        <v>100015174</v>
      </c>
      <c r="B417" s="502">
        <v>75067878</v>
      </c>
      <c r="C417" s="502" t="s">
        <v>458</v>
      </c>
      <c r="D417" s="503" t="s">
        <v>44</v>
      </c>
      <c r="E417" s="503" t="s">
        <v>33</v>
      </c>
      <c r="F417" s="65535" t="s">
        <v>39</v>
      </c>
      <c r="G417" s="65535" t="s">
        <v>54</v>
      </c>
      <c r="H417" s="502" t="s">
        <v>36</v>
      </c>
      <c r="I417" s="502" t="s">
        <v>109</v>
      </c>
      <c r="J417" s="15" t="str">
        <f>+_xlfn.XLOOKUP(B417,INNOVACIÓN!A:A,INNOVACIÓN!B:B,"NO")</f>
        <v>NO</v>
      </c>
      <c r="K417" s="15" t="str">
        <f>+_xlfn.XLOOKUP(B417,MERMA!B:B,MERMA!C:C,"No")</f>
        <v>SI</v>
      </c>
      <c r="L417" s="15">
        <f>+_xlfn.XLOOKUP(B417,MERMA!B:B,MERMA!D:D,"No es merma")</f>
        <v>2025</v>
      </c>
    </row>
    <row r="418" spans="1:12" s="15" hidden="1" x14ac:dyDescent="0.35">
      <c r="A418" s="502">
        <v>100015648</v>
      </c>
      <c r="B418" s="502">
        <v>75070588</v>
      </c>
      <c r="C418" s="502" t="s">
        <v>459</v>
      </c>
      <c r="D418" s="503" t="s">
        <v>44</v>
      </c>
      <c r="E418" s="503" t="s">
        <v>33</v>
      </c>
      <c r="F418" s="65535" t="s">
        <v>46</v>
      </c>
      <c r="G418" s="65535" t="s">
        <v>35</v>
      </c>
      <c r="H418" s="502" t="s">
        <v>36</v>
      </c>
      <c r="I418" s="502" t="s">
        <v>247</v>
      </c>
      <c r="J418" s="15" t="str">
        <f>+_xlfn.XLOOKUP(B418,INNOVACIÓN!A:A,INNOVACIÓN!B:B,"NO")</f>
        <v>NO</v>
      </c>
      <c r="K418" s="15" t="str">
        <f>+_xlfn.XLOOKUP(B418,MERMA!B:B,MERMA!C:C,"No")</f>
        <v>SI</v>
      </c>
      <c r="L418" s="15">
        <f>+_xlfn.XLOOKUP(B418,MERMA!B:B,MERMA!D:D,"No es merma")</f>
        <v>2025</v>
      </c>
    </row>
    <row r="419" spans="1:12" s="15" hidden="1" x14ac:dyDescent="0.35">
      <c r="A419" s="503">
        <v>100017624</v>
      </c>
      <c r="B419" s="504">
        <v>75072674</v>
      </c>
      <c r="C419" s="503" t="s">
        <v>460</v>
      </c>
      <c r="D419" s="503" t="s">
        <v>44</v>
      </c>
      <c r="E419" s="503" t="s">
        <v>33</v>
      </c>
      <c r="F419" s="503" t="s">
        <v>46</v>
      </c>
      <c r="G419" s="503" t="s">
        <v>54</v>
      </c>
      <c r="H419" s="502" t="s">
        <v>36</v>
      </c>
      <c r="I419" s="502" t="s">
        <v>109</v>
      </c>
      <c r="J419" s="15" t="str">
        <f>+_xlfn.XLOOKUP(B419,INNOVACIÓN!A:A,INNOVACIÓN!B:B,"NO")</f>
        <v>NO</v>
      </c>
      <c r="K419" s="15" t="str">
        <f>+_xlfn.XLOOKUP(B419,MERMA!B:B,MERMA!C:C,"No")</f>
        <v>No</v>
      </c>
      <c r="L419" s="15" t="str">
        <f>+_xlfn.XLOOKUP(B419,MERMA!B:B,MERMA!D:D,"No es merma")</f>
        <v>No es merma</v>
      </c>
    </row>
    <row r="420" spans="1:12" s="15" hidden="1" x14ac:dyDescent="0.35">
      <c r="A420" s="502">
        <v>100008441</v>
      </c>
      <c r="B420" s="502">
        <v>75058470</v>
      </c>
      <c r="C420" s="502" t="s">
        <v>461</v>
      </c>
      <c r="D420" s="502" t="s">
        <v>44</v>
      </c>
      <c r="E420" s="503" t="s">
        <v>33</v>
      </c>
      <c r="F420" s="502" t="s">
        <v>46</v>
      </c>
      <c r="G420" s="502" t="s">
        <v>58</v>
      </c>
      <c r="H420" s="502" t="s">
        <v>36</v>
      </c>
      <c r="I420" s="502" t="s">
        <v>247</v>
      </c>
      <c r="J420" s="15" t="str">
        <f>+_xlfn.XLOOKUP(B420,INNOVACIÓN!A:A,INNOVACIÓN!B:B,"NO")</f>
        <v>NO</v>
      </c>
      <c r="K420" s="15" t="str">
        <f>+_xlfn.XLOOKUP(B420,MERMA!B:B,MERMA!C:C,"No")</f>
        <v>No</v>
      </c>
      <c r="L420" s="15" t="str">
        <f>+_xlfn.XLOOKUP(B420,MERMA!B:B,MERMA!D:D,"No es merma")</f>
        <v>No es merma</v>
      </c>
    </row>
    <row r="421" spans="1:12" s="15" hidden="1" x14ac:dyDescent="0.35">
      <c r="A421" s="502">
        <v>100010934</v>
      </c>
      <c r="B421" s="502">
        <v>75062675</v>
      </c>
      <c r="C421" s="502" t="s">
        <v>462</v>
      </c>
      <c r="D421" s="502" t="s">
        <v>44</v>
      </c>
      <c r="E421" s="503" t="s">
        <v>33</v>
      </c>
      <c r="F421" s="502" t="s">
        <v>39</v>
      </c>
      <c r="G421" s="502" t="s">
        <v>58</v>
      </c>
      <c r="H421" s="502" t="s">
        <v>36</v>
      </c>
      <c r="I421" s="502" t="s">
        <v>247</v>
      </c>
      <c r="J421" s="15" t="str">
        <f>+_xlfn.XLOOKUP(B421,INNOVACIÓN!A:A,INNOVACIÓN!B:B,"NO")</f>
        <v>NO</v>
      </c>
      <c r="K421" s="15" t="str">
        <f>+_xlfn.XLOOKUP(B421,MERMA!B:B,MERMA!C:C,"No")</f>
        <v>SI</v>
      </c>
      <c r="L421" s="15">
        <f>+_xlfn.XLOOKUP(B421,MERMA!B:B,MERMA!D:D,"No es merma")</f>
        <v>2025</v>
      </c>
    </row>
    <row r="422" spans="1:12" s="15" hidden="1" x14ac:dyDescent="0.35">
      <c r="A422" s="503">
        <v>900000012</v>
      </c>
      <c r="B422" s="505">
        <v>8356</v>
      </c>
      <c r="C422" s="503" t="s">
        <v>463</v>
      </c>
      <c r="D422" s="503" t="s">
        <v>11</v>
      </c>
      <c r="E422" s="503" t="s">
        <v>33</v>
      </c>
      <c r="F422" s="503" t="s">
        <v>100</v>
      </c>
      <c r="G422" s="503" t="s">
        <v>35</v>
      </c>
      <c r="H422" s="502" t="s">
        <v>36</v>
      </c>
      <c r="I422" s="502" t="s">
        <v>247</v>
      </c>
      <c r="J422" s="15" t="str">
        <f>+_xlfn.XLOOKUP(B422,INNOVACIÓN!A:A,INNOVACIÓN!B:B,"NO")</f>
        <v>NO</v>
      </c>
      <c r="K422" s="15" t="str">
        <f>+_xlfn.XLOOKUP(B422,MERMA!B:B,MERMA!C:C,"No")</f>
        <v>No</v>
      </c>
      <c r="L422" s="15" t="str">
        <f>+_xlfn.XLOOKUP(B422,MERMA!B:B,MERMA!D:D,"No es merma")</f>
        <v>No es merma</v>
      </c>
    </row>
    <row r="423" spans="1:12" s="15" hidden="1" x14ac:dyDescent="0.35">
      <c r="A423" s="15">
        <v>100020228</v>
      </c>
      <c r="B423" s="505">
        <v>5410706884555</v>
      </c>
      <c r="C423" s="15" t="s">
        <v>464</v>
      </c>
      <c r="D423" s="502" t="s">
        <v>11</v>
      </c>
      <c r="E423" s="503" t="s">
        <v>33</v>
      </c>
      <c r="F423" s="502" t="s">
        <v>70</v>
      </c>
      <c r="G423" s="502" t="s">
        <v>239</v>
      </c>
      <c r="H423" s="502" t="s">
        <v>70</v>
      </c>
      <c r="I423" s="502" t="s">
        <v>109</v>
      </c>
      <c r="J423" s="15" t="str">
        <f>+_xlfn.XLOOKUP(B423,INNOVACIÓN!A:A,INNOVACIÓN!B:B,"NO")</f>
        <v>NO</v>
      </c>
      <c r="K423" s="15" t="str">
        <f>+_xlfn.XLOOKUP(B423,MERMA!B:B,MERMA!C:C,"No")</f>
        <v>No</v>
      </c>
      <c r="L423" s="15" t="str">
        <f>+_xlfn.XLOOKUP(B423,MERMA!B:B,MERMA!D:D,"No es merma")</f>
        <v>No es merma</v>
      </c>
    </row>
    <row r="424" spans="1:12" s="15" hidden="1" x14ac:dyDescent="0.35">
      <c r="A424" s="502">
        <v>100017011</v>
      </c>
      <c r="B424" s="505">
        <v>5410706851496</v>
      </c>
      <c r="C424" s="502" t="s">
        <v>465</v>
      </c>
      <c r="D424" s="503" t="s">
        <v>11</v>
      </c>
      <c r="E424" s="503" t="s">
        <v>33</v>
      </c>
      <c r="F424" s="502" t="s">
        <v>70</v>
      </c>
      <c r="G424" s="502" t="s">
        <v>239</v>
      </c>
      <c r="H424" s="502" t="s">
        <v>70</v>
      </c>
      <c r="I424" s="502" t="s">
        <v>109</v>
      </c>
      <c r="J424" s="15" t="str">
        <f>+_xlfn.XLOOKUP(B424,INNOVACIÓN!A:A,INNOVACIÓN!B:B,"NO")</f>
        <v>NO</v>
      </c>
      <c r="K424" s="15" t="str">
        <f>+_xlfn.XLOOKUP(B424,MERMA!B:B,MERMA!C:C,"No")</f>
        <v>No</v>
      </c>
      <c r="L424" s="15" t="str">
        <f>+_xlfn.XLOOKUP(B424,MERMA!B:B,MERMA!D:D,"No es merma")</f>
        <v>No es merma</v>
      </c>
    </row>
    <row r="425" spans="1:12" s="15" hidden="1" x14ac:dyDescent="0.35">
      <c r="A425" s="502">
        <v>100021272</v>
      </c>
      <c r="B425" s="505">
        <v>7622100711049</v>
      </c>
      <c r="C425" s="502" t="s">
        <v>466</v>
      </c>
      <c r="D425" s="503" t="s">
        <v>11</v>
      </c>
      <c r="E425" s="503" t="s">
        <v>33</v>
      </c>
      <c r="F425" s="502" t="s">
        <v>70</v>
      </c>
      <c r="G425" s="502" t="s">
        <v>239</v>
      </c>
      <c r="H425" s="502" t="s">
        <v>70</v>
      </c>
      <c r="I425" s="502" t="s">
        <v>109</v>
      </c>
      <c r="J425" s="15" t="str">
        <f>+_xlfn.XLOOKUP(B425,INNOVACIÓN!A:A,INNOVACIÓN!B:B,"NO")</f>
        <v>NO</v>
      </c>
      <c r="K425" s="15" t="str">
        <f>+_xlfn.XLOOKUP(B425,MERMA!B:B,MERMA!C:C,"No")</f>
        <v>SI</v>
      </c>
      <c r="L425" s="15">
        <f>+_xlfn.XLOOKUP(B425,MERMA!B:B,MERMA!D:D,"No es merma")</f>
        <v>2025</v>
      </c>
    </row>
    <row r="426" spans="1:12" s="15" hidden="1" x14ac:dyDescent="0.35">
      <c r="A426" s="502">
        <v>100018398</v>
      </c>
      <c r="B426" s="505">
        <v>7622100806332</v>
      </c>
      <c r="C426" s="502" t="s">
        <v>467</v>
      </c>
      <c r="D426" s="503" t="s">
        <v>11</v>
      </c>
      <c r="E426" s="503" t="s">
        <v>33</v>
      </c>
      <c r="F426" s="502" t="s">
        <v>70</v>
      </c>
      <c r="G426" s="502" t="s">
        <v>239</v>
      </c>
      <c r="H426" s="502" t="s">
        <v>70</v>
      </c>
      <c r="I426" s="502" t="s">
        <v>109</v>
      </c>
      <c r="J426" s="15" t="str">
        <f>+_xlfn.XLOOKUP(B426,INNOVACIÓN!A:A,INNOVACIÓN!B:B,"NO")</f>
        <v>NO</v>
      </c>
      <c r="K426" s="15" t="str">
        <f>+_xlfn.XLOOKUP(B426,MERMA!B:B,MERMA!C:C,"No")</f>
        <v>No</v>
      </c>
      <c r="L426" s="15" t="str">
        <f>+_xlfn.XLOOKUP(B426,MERMA!B:B,MERMA!D:D,"No es merma")</f>
        <v>No es merma</v>
      </c>
    </row>
    <row r="427" spans="1:12" s="15" hidden="1" x14ac:dyDescent="0.35">
      <c r="A427" s="15">
        <v>100020901</v>
      </c>
      <c r="B427" s="505">
        <v>5410706903331</v>
      </c>
      <c r="C427" s="15" t="s">
        <v>468</v>
      </c>
      <c r="D427" s="502" t="s">
        <v>11</v>
      </c>
      <c r="E427" s="503" t="s">
        <v>33</v>
      </c>
      <c r="F427" s="502" t="s">
        <v>70</v>
      </c>
      <c r="G427" s="502" t="s">
        <v>239</v>
      </c>
      <c r="H427" s="502" t="s">
        <v>70</v>
      </c>
      <c r="I427" s="502" t="s">
        <v>109</v>
      </c>
      <c r="J427" s="15" t="str">
        <f>+_xlfn.XLOOKUP(B427,INNOVACIÓN!A:A,INNOVACIÓN!B:B,"NO")</f>
        <v>NO</v>
      </c>
      <c r="K427" s="15" t="str">
        <f>+_xlfn.XLOOKUP(B427,MERMA!B:B,MERMA!C:C,"No")</f>
        <v>No</v>
      </c>
      <c r="L427" s="15" t="str">
        <f>+_xlfn.XLOOKUP(B427,MERMA!B:B,MERMA!D:D,"No es merma")</f>
        <v>No es merma</v>
      </c>
    </row>
    <row r="428" spans="1:12" s="15" hidden="1" x14ac:dyDescent="0.35">
      <c r="A428" s="15">
        <v>100020906</v>
      </c>
      <c r="B428" s="505">
        <v>5410706903317</v>
      </c>
      <c r="C428" s="15" t="s">
        <v>469</v>
      </c>
      <c r="D428" s="502" t="s">
        <v>11</v>
      </c>
      <c r="E428" s="503" t="s">
        <v>33</v>
      </c>
      <c r="F428" s="502" t="s">
        <v>70</v>
      </c>
      <c r="G428" s="502" t="s">
        <v>239</v>
      </c>
      <c r="H428" s="502" t="s">
        <v>70</v>
      </c>
      <c r="I428" s="502" t="s">
        <v>109</v>
      </c>
      <c r="J428" s="15" t="str">
        <f>+_xlfn.XLOOKUP(B428,INNOVACIÓN!A:A,INNOVACIÓN!B:B,"NO")</f>
        <v>NO</v>
      </c>
      <c r="K428" s="15" t="str">
        <f>+_xlfn.XLOOKUP(B428,MERMA!B:B,MERMA!C:C,"No")</f>
        <v>No</v>
      </c>
      <c r="L428" s="15" t="str">
        <f>+_xlfn.XLOOKUP(B428,MERMA!B:B,MERMA!D:D,"No es merma")</f>
        <v>No es merma</v>
      </c>
    </row>
    <row r="429" spans="1:12" s="15" hidden="1" x14ac:dyDescent="0.35">
      <c r="A429" s="502">
        <v>100020904</v>
      </c>
      <c r="B429" s="505">
        <v>5410706903294</v>
      </c>
      <c r="C429" s="502" t="s">
        <v>470</v>
      </c>
      <c r="D429" s="503" t="s">
        <v>11</v>
      </c>
      <c r="E429" s="503" t="s">
        <v>33</v>
      </c>
      <c r="F429" s="502" t="s">
        <v>70</v>
      </c>
      <c r="G429" s="502" t="s">
        <v>239</v>
      </c>
      <c r="H429" s="502" t="s">
        <v>70</v>
      </c>
      <c r="I429" s="502" t="s">
        <v>109</v>
      </c>
      <c r="J429" s="15" t="str">
        <f>+_xlfn.XLOOKUP(B429,INNOVACIÓN!A:A,INNOVACIÓN!B:B,"NO")</f>
        <v>NO</v>
      </c>
      <c r="K429" s="15" t="str">
        <f>+_xlfn.XLOOKUP(B429,MERMA!B:B,MERMA!C:C,"No")</f>
        <v>No</v>
      </c>
      <c r="L429" s="15" t="str">
        <f>+_xlfn.XLOOKUP(B429,MERMA!B:B,MERMA!D:D,"No es merma")</f>
        <v>No es merma</v>
      </c>
    </row>
    <row r="430" spans="1:12" s="15" hidden="1" x14ac:dyDescent="0.35">
      <c r="A430" s="15">
        <v>100020905</v>
      </c>
      <c r="B430" s="505">
        <v>5410706903355</v>
      </c>
      <c r="C430" s="15" t="s">
        <v>471</v>
      </c>
      <c r="D430" s="502" t="s">
        <v>11</v>
      </c>
      <c r="E430" s="503" t="s">
        <v>33</v>
      </c>
      <c r="F430" s="502" t="s">
        <v>70</v>
      </c>
      <c r="G430" s="502" t="s">
        <v>239</v>
      </c>
      <c r="H430" s="502" t="s">
        <v>70</v>
      </c>
      <c r="I430" s="502" t="s">
        <v>109</v>
      </c>
      <c r="J430" s="15" t="str">
        <f>+_xlfn.XLOOKUP(B430,INNOVACIÓN!A:A,INNOVACIÓN!B:B,"NO")</f>
        <v>NO</v>
      </c>
      <c r="K430" s="15" t="str">
        <f>+_xlfn.XLOOKUP(B430,MERMA!B:B,MERMA!C:C,"No")</f>
        <v>No</v>
      </c>
      <c r="L430" s="15" t="str">
        <f>+_xlfn.XLOOKUP(B430,MERMA!B:B,MERMA!D:D,"No es merma")</f>
        <v>No es merma</v>
      </c>
    </row>
    <row r="431" spans="1:12" s="15" hidden="1" x14ac:dyDescent="0.35">
      <c r="A431" s="15">
        <v>100020177</v>
      </c>
      <c r="B431" s="505">
        <v>5410706884739</v>
      </c>
      <c r="C431" s="15" t="s">
        <v>472</v>
      </c>
      <c r="D431" s="502" t="s">
        <v>11</v>
      </c>
      <c r="E431" s="503" t="s">
        <v>33</v>
      </c>
      <c r="F431" s="502" t="s">
        <v>70</v>
      </c>
      <c r="G431" s="502" t="s">
        <v>239</v>
      </c>
      <c r="H431" s="502" t="s">
        <v>70</v>
      </c>
      <c r="I431" s="502" t="s">
        <v>109</v>
      </c>
      <c r="J431" s="15" t="str">
        <f>+_xlfn.XLOOKUP(B431,INNOVACIÓN!A:A,INNOVACIÓN!B:B,"NO")</f>
        <v>NO</v>
      </c>
      <c r="K431" s="15" t="str">
        <f>+_xlfn.XLOOKUP(B431,MERMA!B:B,MERMA!C:C,"No")</f>
        <v>No</v>
      </c>
      <c r="L431" s="15" t="str">
        <f>+_xlfn.XLOOKUP(B431,MERMA!B:B,MERMA!D:D,"No es merma")</f>
        <v>No es merma</v>
      </c>
    </row>
    <row r="432" spans="1:12" s="15" hidden="1" x14ac:dyDescent="0.35">
      <c r="A432" s="15">
        <v>100020178</v>
      </c>
      <c r="B432" s="505">
        <v>5410706884715</v>
      </c>
      <c r="C432" s="15" t="s">
        <v>473</v>
      </c>
      <c r="D432" s="502" t="s">
        <v>11</v>
      </c>
      <c r="E432" s="503" t="s">
        <v>33</v>
      </c>
      <c r="F432" s="502" t="s">
        <v>70</v>
      </c>
      <c r="G432" s="502" t="s">
        <v>239</v>
      </c>
      <c r="H432" s="502" t="s">
        <v>70</v>
      </c>
      <c r="I432" s="502" t="s">
        <v>109</v>
      </c>
      <c r="J432" s="15" t="str">
        <f>+_xlfn.XLOOKUP(B432,INNOVACIÓN!A:A,INNOVACIÓN!B:B,"NO")</f>
        <v>NO</v>
      </c>
      <c r="K432" s="15" t="str">
        <f>+_xlfn.XLOOKUP(B432,MERMA!B:B,MERMA!C:C,"No")</f>
        <v>No</v>
      </c>
      <c r="L432" s="15" t="str">
        <f>+_xlfn.XLOOKUP(B432,MERMA!B:B,MERMA!D:D,"No es merma")</f>
        <v>No es merma</v>
      </c>
    </row>
    <row r="433" spans="1:12" s="15" hidden="1" x14ac:dyDescent="0.35">
      <c r="A433" s="15">
        <v>100020179</v>
      </c>
      <c r="B433" s="505">
        <v>5410706884654</v>
      </c>
      <c r="C433" s="15" t="s">
        <v>474</v>
      </c>
      <c r="D433" s="502" t="s">
        <v>11</v>
      </c>
      <c r="E433" s="503" t="s">
        <v>33</v>
      </c>
      <c r="F433" s="502" t="s">
        <v>70</v>
      </c>
      <c r="G433" s="502" t="s">
        <v>239</v>
      </c>
      <c r="H433" s="502" t="s">
        <v>70</v>
      </c>
      <c r="I433" s="502" t="s">
        <v>109</v>
      </c>
      <c r="J433" s="15" t="str">
        <f>+_xlfn.XLOOKUP(B433,INNOVACIÓN!A:A,INNOVACIÓN!B:B,"NO")</f>
        <v>NO</v>
      </c>
      <c r="K433" s="15" t="str">
        <f>+_xlfn.XLOOKUP(B433,MERMA!B:B,MERMA!C:C,"No")</f>
        <v>No</v>
      </c>
      <c r="L433" s="15" t="str">
        <f>+_xlfn.XLOOKUP(B433,MERMA!B:B,MERMA!D:D,"No es merma")</f>
        <v>No es merma</v>
      </c>
    </row>
    <row r="434" spans="1:12" s="15" hidden="1" x14ac:dyDescent="0.35">
      <c r="A434" s="503">
        <v>100020992</v>
      </c>
      <c r="B434" s="505">
        <v>5410710000000</v>
      </c>
      <c r="C434" s="503" t="s">
        <v>475</v>
      </c>
      <c r="D434" s="503" t="s">
        <v>11</v>
      </c>
      <c r="E434" s="503" t="s">
        <v>33</v>
      </c>
      <c r="F434" s="502" t="s">
        <v>70</v>
      </c>
      <c r="G434" s="502" t="s">
        <v>239</v>
      </c>
      <c r="H434" s="502" t="s">
        <v>70</v>
      </c>
      <c r="I434" s="502" t="s">
        <v>109</v>
      </c>
      <c r="J434" s="15" t="str">
        <f>+_xlfn.XLOOKUP(B434,INNOVACIÓN!A:A,INNOVACIÓN!B:B,"NO")</f>
        <v>NO</v>
      </c>
      <c r="K434" s="15" t="str">
        <f>+_xlfn.XLOOKUP(B434,MERMA!B:B,MERMA!C:C,"No")</f>
        <v>No</v>
      </c>
      <c r="L434" s="15" t="str">
        <f>+_xlfn.XLOOKUP(B434,MERMA!B:B,MERMA!D:D,"No es merma")</f>
        <v>No es merma</v>
      </c>
    </row>
    <row r="435" spans="1:12" s="15" hidden="1" x14ac:dyDescent="0.35">
      <c r="A435" s="502">
        <v>100015421</v>
      </c>
      <c r="B435" s="505">
        <v>7501045357423</v>
      </c>
      <c r="C435" s="502" t="s">
        <v>476</v>
      </c>
      <c r="D435" s="503" t="s">
        <v>11</v>
      </c>
      <c r="E435" s="503" t="s">
        <v>33</v>
      </c>
      <c r="F435" s="503" t="s">
        <v>46</v>
      </c>
      <c r="G435" s="503" t="s">
        <v>75</v>
      </c>
      <c r="H435" s="502" t="s">
        <v>70</v>
      </c>
      <c r="I435" s="502" t="s">
        <v>109</v>
      </c>
      <c r="J435" s="15" t="str">
        <f>+_xlfn.XLOOKUP(B435,INNOVACIÓN!A:A,INNOVACIÓN!B:B,"NO")</f>
        <v>NO</v>
      </c>
      <c r="K435" s="15" t="str">
        <f>+_xlfn.XLOOKUP(B435,MERMA!B:B,MERMA!C:C,"No")</f>
        <v>SI</v>
      </c>
      <c r="L435" s="15">
        <f>+_xlfn.XLOOKUP(B435,MERMA!B:B,MERMA!D:D,"No es merma")</f>
        <v>2025</v>
      </c>
    </row>
    <row r="436" spans="1:12" s="15" hidden="1" x14ac:dyDescent="0.35">
      <c r="A436" s="502">
        <v>100015420</v>
      </c>
      <c r="B436" s="507">
        <v>7501045357416</v>
      </c>
      <c r="C436" s="502" t="s">
        <v>477</v>
      </c>
      <c r="D436" s="503" t="s">
        <v>11</v>
      </c>
      <c r="E436" s="503" t="s">
        <v>33</v>
      </c>
      <c r="F436" s="503" t="s">
        <v>46</v>
      </c>
      <c r="G436" s="503" t="s">
        <v>75</v>
      </c>
      <c r="H436" s="502" t="s">
        <v>70</v>
      </c>
      <c r="I436" s="502" t="s">
        <v>109</v>
      </c>
      <c r="J436" s="15" t="str">
        <f>+_xlfn.XLOOKUP(B436,INNOVACIÓN!A:A,INNOVACIÓN!B:B,"NO")</f>
        <v>NO</v>
      </c>
      <c r="K436" s="15" t="str">
        <f>+_xlfn.XLOOKUP(B436,MERMA!B:B,MERMA!C:C,"No")</f>
        <v>SI</v>
      </c>
      <c r="L436" s="15">
        <f>+_xlfn.XLOOKUP(B436,MERMA!B:B,MERMA!D:D,"No es merma")</f>
        <v>2025</v>
      </c>
    </row>
    <row r="437" spans="1:12" s="15" hidden="1" x14ac:dyDescent="0.35">
      <c r="A437" s="502">
        <v>100015419</v>
      </c>
      <c r="B437" s="505">
        <v>7501045357430</v>
      </c>
      <c r="C437" s="502" t="s">
        <v>478</v>
      </c>
      <c r="D437" s="503" t="s">
        <v>11</v>
      </c>
      <c r="E437" s="503" t="s">
        <v>33</v>
      </c>
      <c r="F437" s="503" t="s">
        <v>46</v>
      </c>
      <c r="G437" s="503" t="s">
        <v>75</v>
      </c>
      <c r="H437" s="502" t="s">
        <v>70</v>
      </c>
      <c r="I437" s="502" t="s">
        <v>109</v>
      </c>
      <c r="J437" s="15" t="str">
        <f>+_xlfn.XLOOKUP(B437,INNOVACIÓN!A:A,INNOVACIÓN!B:B,"NO")</f>
        <v>NO</v>
      </c>
      <c r="K437" s="15" t="str">
        <f>+_xlfn.XLOOKUP(B437,MERMA!B:B,MERMA!C:C,"No")</f>
        <v>SI</v>
      </c>
      <c r="L437" s="15">
        <f>+_xlfn.XLOOKUP(B437,MERMA!B:B,MERMA!D:D,"No es merma")</f>
        <v>2025</v>
      </c>
    </row>
    <row r="438" spans="1:12" s="15" hidden="1" x14ac:dyDescent="0.35">
      <c r="A438" s="502">
        <v>100018638</v>
      </c>
      <c r="B438" s="505">
        <v>7501045357898</v>
      </c>
      <c r="C438" s="502" t="s">
        <v>479</v>
      </c>
      <c r="D438" s="503" t="s">
        <v>11</v>
      </c>
      <c r="E438" s="503" t="s">
        <v>33</v>
      </c>
      <c r="F438" s="503" t="s">
        <v>46</v>
      </c>
      <c r="G438" s="503" t="s">
        <v>75</v>
      </c>
      <c r="H438" s="502" t="s">
        <v>70</v>
      </c>
      <c r="I438" s="502" t="s">
        <v>109</v>
      </c>
      <c r="J438" s="15" t="str">
        <f>+_xlfn.XLOOKUP(B438,INNOVACIÓN!A:A,INNOVACIÓN!B:B,"NO")</f>
        <v>NO</v>
      </c>
      <c r="K438" s="15" t="str">
        <f>+_xlfn.XLOOKUP(B438,MERMA!B:B,MERMA!C:C,"No")</f>
        <v>SI</v>
      </c>
      <c r="L438" s="15">
        <f>+_xlfn.XLOOKUP(B438,MERMA!B:B,MERMA!D:D,"No es merma")</f>
        <v>2025</v>
      </c>
    </row>
    <row r="439" spans="1:12" s="15" hidden="1" x14ac:dyDescent="0.35">
      <c r="A439" s="502">
        <v>100015418</v>
      </c>
      <c r="B439" s="505">
        <v>7501045357454</v>
      </c>
      <c r="C439" s="502" t="s">
        <v>480</v>
      </c>
      <c r="D439" s="503" t="s">
        <v>11</v>
      </c>
      <c r="E439" s="503" t="s">
        <v>33</v>
      </c>
      <c r="F439" s="503" t="s">
        <v>46</v>
      </c>
      <c r="G439" s="503" t="s">
        <v>75</v>
      </c>
      <c r="H439" s="502" t="s">
        <v>70</v>
      </c>
      <c r="I439" s="502" t="s">
        <v>109</v>
      </c>
      <c r="J439" s="15" t="str">
        <f>+_xlfn.XLOOKUP(B439,INNOVACIÓN!A:A,INNOVACIÓN!B:B,"NO")</f>
        <v>NO</v>
      </c>
      <c r="K439" s="15" t="str">
        <f>+_xlfn.XLOOKUP(B439,MERMA!B:B,MERMA!C:C,"No")</f>
        <v>SI</v>
      </c>
      <c r="L439" s="15">
        <f>+_xlfn.XLOOKUP(B439,MERMA!B:B,MERMA!D:D,"No es merma")</f>
        <v>2025</v>
      </c>
    </row>
    <row r="440" spans="1:12" s="15" hidden="1" x14ac:dyDescent="0.35">
      <c r="A440" s="502">
        <v>100018639</v>
      </c>
      <c r="B440" s="505">
        <v>7501045357966</v>
      </c>
      <c r="C440" s="502" t="s">
        <v>481</v>
      </c>
      <c r="D440" s="503" t="s">
        <v>11</v>
      </c>
      <c r="E440" s="503" t="s">
        <v>33</v>
      </c>
      <c r="F440" s="503" t="s">
        <v>46</v>
      </c>
      <c r="G440" s="503" t="s">
        <v>75</v>
      </c>
      <c r="H440" s="502" t="s">
        <v>70</v>
      </c>
      <c r="I440" s="502" t="s">
        <v>109</v>
      </c>
      <c r="J440" s="15" t="str">
        <f>+_xlfn.XLOOKUP(B440,INNOVACIÓN!A:A,INNOVACIÓN!B:B,"NO")</f>
        <v>NO</v>
      </c>
      <c r="K440" s="15" t="str">
        <f>+_xlfn.XLOOKUP(B440,MERMA!B:B,MERMA!C:C,"No")</f>
        <v>SI</v>
      </c>
      <c r="L440" s="15">
        <f>+_xlfn.XLOOKUP(B440,MERMA!B:B,MERMA!D:D,"No es merma")</f>
        <v>2025</v>
      </c>
    </row>
    <row r="441" spans="1:12" s="15" hidden="1" x14ac:dyDescent="0.35">
      <c r="A441" s="503">
        <v>100017980</v>
      </c>
      <c r="B441" s="505">
        <v>7501050000000</v>
      </c>
      <c r="C441" s="503" t="s">
        <v>482</v>
      </c>
      <c r="D441" s="503" t="s">
        <v>11</v>
      </c>
      <c r="E441" s="503" t="s">
        <v>33</v>
      </c>
      <c r="F441" s="503" t="s">
        <v>46</v>
      </c>
      <c r="G441" s="503" t="s">
        <v>75</v>
      </c>
      <c r="H441" s="502" t="s">
        <v>70</v>
      </c>
      <c r="I441" s="502" t="s">
        <v>109</v>
      </c>
      <c r="J441" s="15" t="str">
        <f>+_xlfn.XLOOKUP(B441,INNOVACIÓN!A:A,INNOVACIÓN!B:B,"NO")</f>
        <v>NO</v>
      </c>
      <c r="K441" s="15" t="str">
        <f>+_xlfn.XLOOKUP(B441,MERMA!B:B,MERMA!C:C,"No")</f>
        <v>No</v>
      </c>
      <c r="L441" s="15" t="str">
        <f>+_xlfn.XLOOKUP(B441,MERMA!B:B,MERMA!D:D,"No es merma")</f>
        <v>No es merma</v>
      </c>
    </row>
    <row r="442" spans="1:12" s="15" hidden="1" x14ac:dyDescent="0.35">
      <c r="A442" s="502">
        <v>100017980</v>
      </c>
      <c r="B442" s="505">
        <v>7501045357881</v>
      </c>
      <c r="C442" s="502" t="s">
        <v>482</v>
      </c>
      <c r="D442" s="503" t="s">
        <v>11</v>
      </c>
      <c r="E442" s="503" t="s">
        <v>33</v>
      </c>
      <c r="F442" s="503" t="s">
        <v>46</v>
      </c>
      <c r="G442" s="503" t="s">
        <v>75</v>
      </c>
      <c r="H442" s="502" t="s">
        <v>70</v>
      </c>
      <c r="I442" s="502" t="s">
        <v>109</v>
      </c>
      <c r="J442" s="15" t="str">
        <f>+_xlfn.XLOOKUP(B442,INNOVACIÓN!A:A,INNOVACIÓN!B:B,"NO")</f>
        <v>NO</v>
      </c>
      <c r="K442" s="15" t="str">
        <f>+_xlfn.XLOOKUP(B442,MERMA!B:B,MERMA!C:C,"No")</f>
        <v>SI</v>
      </c>
      <c r="L442" s="15">
        <f>+_xlfn.XLOOKUP(B442,MERMA!B:B,MERMA!D:D,"No es merma")</f>
        <v>2025</v>
      </c>
    </row>
    <row r="443" spans="1:12" s="15" hidden="1" x14ac:dyDescent="0.35">
      <c r="A443" s="502">
        <v>100015417</v>
      </c>
      <c r="B443" s="505">
        <v>7501045357447</v>
      </c>
      <c r="C443" s="502" t="s">
        <v>483</v>
      </c>
      <c r="D443" s="503" t="s">
        <v>11</v>
      </c>
      <c r="E443" s="503" t="s">
        <v>33</v>
      </c>
      <c r="F443" s="503" t="s">
        <v>46</v>
      </c>
      <c r="G443" s="503" t="s">
        <v>75</v>
      </c>
      <c r="H443" s="502" t="s">
        <v>70</v>
      </c>
      <c r="I443" s="502" t="s">
        <v>109</v>
      </c>
      <c r="J443" s="15" t="str">
        <f>+_xlfn.XLOOKUP(B443,INNOVACIÓN!A:A,INNOVACIÓN!B:B,"NO")</f>
        <v>NO</v>
      </c>
      <c r="K443" s="15" t="str">
        <f>+_xlfn.XLOOKUP(B443,MERMA!B:B,MERMA!C:C,"No")</f>
        <v>SI</v>
      </c>
      <c r="L443" s="15">
        <f>+_xlfn.XLOOKUP(B443,MERMA!B:B,MERMA!D:D,"No es merma")</f>
        <v>2025</v>
      </c>
    </row>
    <row r="444" spans="1:12" s="15" hidden="1" x14ac:dyDescent="0.35">
      <c r="A444" s="502">
        <v>100022970</v>
      </c>
      <c r="B444" s="505">
        <v>7503031950571</v>
      </c>
      <c r="C444" s="502" t="s">
        <v>484</v>
      </c>
      <c r="D444" s="503" t="s">
        <v>11</v>
      </c>
      <c r="E444" s="503" t="s">
        <v>33</v>
      </c>
      <c r="F444" s="503" t="s">
        <v>46</v>
      </c>
      <c r="G444" s="503" t="s">
        <v>75</v>
      </c>
      <c r="H444" s="502" t="s">
        <v>70</v>
      </c>
      <c r="I444" s="502" t="s">
        <v>109</v>
      </c>
      <c r="J444" s="15" t="str">
        <f>+_xlfn.XLOOKUP(B444,INNOVACIÓN!A:A,INNOVACIÓN!B:B,"NO")</f>
        <v>NO</v>
      </c>
      <c r="K444" s="15" t="str">
        <f>+_xlfn.XLOOKUP(B444,MERMA!B:B,MERMA!C:C,"No")</f>
        <v>SI</v>
      </c>
      <c r="L444" s="15">
        <f>+_xlfn.XLOOKUP(B444,MERMA!B:B,MERMA!D:D,"No es merma")</f>
        <v>2025</v>
      </c>
    </row>
    <row r="445" spans="1:12" s="15" hidden="1" x14ac:dyDescent="0.35">
      <c r="A445" s="502">
        <v>100015416</v>
      </c>
      <c r="B445" s="505">
        <v>7501045356259</v>
      </c>
      <c r="C445" s="502" t="s">
        <v>485</v>
      </c>
      <c r="D445" s="503" t="s">
        <v>11</v>
      </c>
      <c r="E445" s="503" t="s">
        <v>33</v>
      </c>
      <c r="F445" s="503" t="s">
        <v>46</v>
      </c>
      <c r="G445" s="503" t="s">
        <v>75</v>
      </c>
      <c r="H445" s="502" t="s">
        <v>70</v>
      </c>
      <c r="I445" s="502" t="s">
        <v>109</v>
      </c>
      <c r="J445" s="15" t="str">
        <f>+_xlfn.XLOOKUP(B445,INNOVACIÓN!A:A,INNOVACIÓN!B:B,"NO")</f>
        <v>NO</v>
      </c>
      <c r="K445" s="15" t="str">
        <f>+_xlfn.XLOOKUP(B445,MERMA!B:B,MERMA!C:C,"No")</f>
        <v>SI</v>
      </c>
      <c r="L445" s="15">
        <f>+_xlfn.XLOOKUP(B445,MERMA!B:B,MERMA!D:D,"No es merma")</f>
        <v>2025</v>
      </c>
    </row>
    <row r="446" spans="1:12" s="15" hidden="1" x14ac:dyDescent="0.35">
      <c r="A446" s="503">
        <v>100021950</v>
      </c>
      <c r="B446" s="505">
        <v>75004392</v>
      </c>
      <c r="C446" s="503" t="s">
        <v>486</v>
      </c>
      <c r="D446" s="503" t="s">
        <v>11</v>
      </c>
      <c r="E446" s="503" t="s">
        <v>214</v>
      </c>
      <c r="F446" s="503" t="s">
        <v>609</v>
      </c>
      <c r="G446" s="503" t="s">
        <v>35</v>
      </c>
      <c r="H446" s="502" t="s">
        <v>36</v>
      </c>
      <c r="I446" s="502" t="s">
        <v>16</v>
      </c>
      <c r="J446" s="15" t="str">
        <f>+_xlfn.XLOOKUP(B446,INNOVACIÓN!A:A,INNOVACIÓN!B:B,"NO")</f>
        <v>NO</v>
      </c>
      <c r="K446" s="15" t="str">
        <f>+_xlfn.XLOOKUP(B446,MERMA!B:B,MERMA!C:C,"No")</f>
        <v>No</v>
      </c>
      <c r="L446" s="15" t="str">
        <f>+_xlfn.XLOOKUP(B446,MERMA!B:B,MERMA!D:D,"No es merma")</f>
        <v>No es merma</v>
      </c>
    </row>
    <row r="447" spans="1:12" s="15" hidden="1" x14ac:dyDescent="0.35">
      <c r="A447" s="15">
        <v>100012007</v>
      </c>
      <c r="B447" s="505">
        <v>75063900</v>
      </c>
      <c r="C447" s="15" t="s">
        <v>487</v>
      </c>
      <c r="D447" s="502" t="s">
        <v>11</v>
      </c>
      <c r="E447" s="503" t="s">
        <v>33</v>
      </c>
      <c r="F447" s="502" t="s">
        <v>41</v>
      </c>
      <c r="G447" s="502" t="s">
        <v>35</v>
      </c>
      <c r="H447" s="502" t="s">
        <v>36</v>
      </c>
      <c r="I447" s="502" t="s">
        <v>109</v>
      </c>
      <c r="J447" s="15" t="str">
        <f>+_xlfn.XLOOKUP(B447,INNOVACIÓN!A:A,INNOVACIÓN!B:B,"NO")</f>
        <v>NO</v>
      </c>
      <c r="K447" s="15" t="str">
        <f>+_xlfn.XLOOKUP(B447,MERMA!B:B,MERMA!C:C,"No")</f>
        <v>No</v>
      </c>
      <c r="L447" s="15" t="str">
        <f>+_xlfn.XLOOKUP(B447,MERMA!B:B,MERMA!D:D,"No es merma")</f>
        <v>No es merma</v>
      </c>
    </row>
    <row r="448" spans="1:12" s="15" hidden="1" x14ac:dyDescent="0.35">
      <c r="A448" s="15">
        <v>100011702</v>
      </c>
      <c r="B448" s="505">
        <v>75063894</v>
      </c>
      <c r="C448" s="15" t="s">
        <v>488</v>
      </c>
      <c r="D448" s="502" t="s">
        <v>11</v>
      </c>
      <c r="E448" s="503" t="s">
        <v>33</v>
      </c>
      <c r="F448" s="502" t="s">
        <v>41</v>
      </c>
      <c r="G448" s="502" t="s">
        <v>35</v>
      </c>
      <c r="H448" s="502" t="s">
        <v>36</v>
      </c>
      <c r="I448" s="502" t="s">
        <v>109</v>
      </c>
      <c r="J448" s="15" t="str">
        <f>+_xlfn.XLOOKUP(B448,INNOVACIÓN!A:A,INNOVACIÓN!B:B,"NO")</f>
        <v>NO</v>
      </c>
      <c r="K448" s="15" t="str">
        <f>+_xlfn.XLOOKUP(B448,MERMA!B:B,MERMA!C:C,"No")</f>
        <v>No</v>
      </c>
      <c r="L448" s="15" t="str">
        <f>+_xlfn.XLOOKUP(B448,MERMA!B:B,MERMA!D:D,"No es merma")</f>
        <v>No es merma</v>
      </c>
    </row>
    <row r="449" spans="1:12" s="15" hidden="1" x14ac:dyDescent="0.35">
      <c r="A449" s="502">
        <v>100010267</v>
      </c>
      <c r="B449" s="505">
        <v>75061463</v>
      </c>
      <c r="C449" s="502" t="s">
        <v>489</v>
      </c>
      <c r="D449" s="502" t="s">
        <v>11</v>
      </c>
      <c r="E449" s="503" t="s">
        <v>33</v>
      </c>
      <c r="F449" s="502" t="s">
        <v>41</v>
      </c>
      <c r="G449" s="502" t="s">
        <v>54</v>
      </c>
      <c r="H449" s="502" t="s">
        <v>36</v>
      </c>
      <c r="I449" s="502" t="s">
        <v>109</v>
      </c>
      <c r="J449" s="15" t="str">
        <f>+_xlfn.XLOOKUP(B449,INNOVACIÓN!A:A,INNOVACIÓN!B:B,"NO")</f>
        <v>NO</v>
      </c>
      <c r="K449" s="15" t="str">
        <f>+_xlfn.XLOOKUP(B449,MERMA!B:B,MERMA!C:C,"No")</f>
        <v>No</v>
      </c>
      <c r="L449" s="15" t="str">
        <f>+_xlfn.XLOOKUP(B449,MERMA!B:B,MERMA!D:D,"No es merma")</f>
        <v>No es merma</v>
      </c>
    </row>
    <row r="450" spans="1:12" s="15" hidden="1" x14ac:dyDescent="0.35">
      <c r="A450" s="15">
        <v>100012003</v>
      </c>
      <c r="B450" s="505">
        <v>75063863</v>
      </c>
      <c r="C450" s="15" t="s">
        <v>490</v>
      </c>
      <c r="D450" s="502" t="s">
        <v>11</v>
      </c>
      <c r="E450" s="503" t="s">
        <v>33</v>
      </c>
      <c r="F450" s="502" t="s">
        <v>41</v>
      </c>
      <c r="G450" s="502" t="s">
        <v>54</v>
      </c>
      <c r="H450" s="502" t="s">
        <v>36</v>
      </c>
      <c r="I450" s="502" t="s">
        <v>109</v>
      </c>
      <c r="J450" s="15" t="str">
        <f>+_xlfn.XLOOKUP(B450,INNOVACIÓN!A:A,INNOVACIÓN!B:B,"NO")</f>
        <v>NO</v>
      </c>
      <c r="K450" s="15" t="str">
        <f>+_xlfn.XLOOKUP(B450,MERMA!B:B,MERMA!C:C,"No")</f>
        <v>No</v>
      </c>
      <c r="L450" s="15" t="str">
        <f>+_xlfn.XLOOKUP(B450,MERMA!B:B,MERMA!D:D,"No es merma")</f>
        <v>No es merma</v>
      </c>
    </row>
    <row r="451" spans="1:12" s="15" hidden="1" x14ac:dyDescent="0.35">
      <c r="A451" s="15">
        <v>100009575</v>
      </c>
      <c r="B451" s="505">
        <v>75061449</v>
      </c>
      <c r="C451" s="15" t="s">
        <v>491</v>
      </c>
      <c r="D451" s="502" t="s">
        <v>11</v>
      </c>
      <c r="E451" s="503" t="s">
        <v>33</v>
      </c>
      <c r="F451" s="502" t="s">
        <v>41</v>
      </c>
      <c r="G451" s="502" t="s">
        <v>35</v>
      </c>
      <c r="H451" s="502" t="s">
        <v>36</v>
      </c>
      <c r="I451" s="502" t="s">
        <v>109</v>
      </c>
      <c r="J451" s="15" t="str">
        <f>+_xlfn.XLOOKUP(B451,INNOVACIÓN!A:A,INNOVACIÓN!B:B,"NO")</f>
        <v>NO</v>
      </c>
      <c r="K451" s="15" t="str">
        <f>+_xlfn.XLOOKUP(B451,MERMA!B:B,MERMA!C:C,"No")</f>
        <v>No</v>
      </c>
      <c r="L451" s="15" t="str">
        <f>+_xlfn.XLOOKUP(B451,MERMA!B:B,MERMA!D:D,"No es merma")</f>
        <v>No es merma</v>
      </c>
    </row>
    <row r="452" spans="1:12" s="15" hidden="1" x14ac:dyDescent="0.35">
      <c r="A452" s="15">
        <v>100012005</v>
      </c>
      <c r="B452" s="505">
        <v>75063948</v>
      </c>
      <c r="C452" s="15" t="s">
        <v>492</v>
      </c>
      <c r="D452" s="502" t="s">
        <v>11</v>
      </c>
      <c r="E452" s="503" t="s">
        <v>33</v>
      </c>
      <c r="F452" s="502" t="s">
        <v>41</v>
      </c>
      <c r="G452" s="502" t="s">
        <v>71</v>
      </c>
      <c r="H452" s="502" t="s">
        <v>36</v>
      </c>
      <c r="I452" s="502" t="s">
        <v>109</v>
      </c>
      <c r="J452" s="15" t="str">
        <f>+_xlfn.XLOOKUP(B452,INNOVACIÓN!A:A,INNOVACIÓN!B:B,"NO")</f>
        <v>NO</v>
      </c>
      <c r="K452" s="15" t="str">
        <f>+_xlfn.XLOOKUP(B452,MERMA!B:B,MERMA!C:C,"No")</f>
        <v>No</v>
      </c>
      <c r="L452" s="15" t="str">
        <f>+_xlfn.XLOOKUP(B452,MERMA!B:B,MERMA!D:D,"No es merma")</f>
        <v>No es merma</v>
      </c>
    </row>
    <row r="453" spans="1:12" s="15" hidden="1" x14ac:dyDescent="0.35">
      <c r="A453" s="15">
        <v>100011705</v>
      </c>
      <c r="B453" s="505">
        <v>75063931</v>
      </c>
      <c r="C453" s="15" t="s">
        <v>493</v>
      </c>
      <c r="D453" s="502" t="s">
        <v>11</v>
      </c>
      <c r="E453" s="503" t="s">
        <v>33</v>
      </c>
      <c r="F453" s="502" t="s">
        <v>41</v>
      </c>
      <c r="G453" s="502" t="s">
        <v>71</v>
      </c>
      <c r="H453" s="502" t="s">
        <v>36</v>
      </c>
      <c r="I453" s="502" t="s">
        <v>109</v>
      </c>
      <c r="J453" s="15" t="str">
        <f>+_xlfn.XLOOKUP(B453,INNOVACIÓN!A:A,INNOVACIÓN!B:B,"NO")</f>
        <v>NO</v>
      </c>
      <c r="K453" s="15" t="str">
        <f>+_xlfn.XLOOKUP(B453,MERMA!B:B,MERMA!C:C,"No")</f>
        <v>No</v>
      </c>
      <c r="L453" s="15" t="str">
        <f>+_xlfn.XLOOKUP(B453,MERMA!B:B,MERMA!D:D,"No es merma")</f>
        <v>No es merma</v>
      </c>
    </row>
    <row r="454" spans="1:12" s="15" hidden="1" x14ac:dyDescent="0.35">
      <c r="A454" s="502">
        <v>100080984</v>
      </c>
      <c r="B454" s="505">
        <v>75049607</v>
      </c>
      <c r="C454" s="502" t="s">
        <v>494</v>
      </c>
      <c r="D454" s="502" t="s">
        <v>11</v>
      </c>
      <c r="E454" s="503" t="s">
        <v>33</v>
      </c>
      <c r="F454" s="502" t="s">
        <v>41</v>
      </c>
      <c r="G454" s="502" t="s">
        <v>71</v>
      </c>
      <c r="H454" s="502" t="s">
        <v>36</v>
      </c>
      <c r="I454" s="502" t="s">
        <v>109</v>
      </c>
      <c r="J454" s="15" t="str">
        <f>+_xlfn.XLOOKUP(B454,INNOVACIÓN!A:A,INNOVACIÓN!B:B,"NO")</f>
        <v>NO</v>
      </c>
      <c r="K454" s="15" t="str">
        <f>+_xlfn.XLOOKUP(B454,MERMA!B:B,MERMA!C:C,"No")</f>
        <v>No</v>
      </c>
      <c r="L454" s="15" t="str">
        <f>+_xlfn.XLOOKUP(B454,MERMA!B:B,MERMA!D:D,"No es merma")</f>
        <v>No es merma</v>
      </c>
    </row>
    <row r="455" spans="1:12" s="15" hidden="1" x14ac:dyDescent="0.35">
      <c r="A455" s="15">
        <v>100012002</v>
      </c>
      <c r="B455" s="505">
        <v>75063849</v>
      </c>
      <c r="C455" s="15" t="s">
        <v>495</v>
      </c>
      <c r="D455" s="502" t="s">
        <v>11</v>
      </c>
      <c r="E455" s="503" t="s">
        <v>33</v>
      </c>
      <c r="F455" s="502" t="s">
        <v>41</v>
      </c>
      <c r="G455" s="502" t="s">
        <v>71</v>
      </c>
      <c r="H455" s="502" t="s">
        <v>36</v>
      </c>
      <c r="I455" s="502" t="s">
        <v>109</v>
      </c>
      <c r="J455" s="15" t="str">
        <f>+_xlfn.XLOOKUP(B455,INNOVACIÓN!A:A,INNOVACIÓN!B:B,"NO")</f>
        <v>NO</v>
      </c>
      <c r="K455" s="15" t="str">
        <f>+_xlfn.XLOOKUP(B455,MERMA!B:B,MERMA!C:C,"No")</f>
        <v>No</v>
      </c>
      <c r="L455" s="15" t="str">
        <f>+_xlfn.XLOOKUP(B455,MERMA!B:B,MERMA!D:D,"No es merma")</f>
        <v>No es merma</v>
      </c>
    </row>
    <row r="456" spans="1:12" s="15" hidden="1" x14ac:dyDescent="0.35">
      <c r="A456" s="502">
        <v>100011706</v>
      </c>
      <c r="B456" s="505">
        <v>75063832</v>
      </c>
      <c r="C456" s="502" t="s">
        <v>496</v>
      </c>
      <c r="D456" s="502" t="s">
        <v>11</v>
      </c>
      <c r="E456" s="503" t="s">
        <v>33</v>
      </c>
      <c r="F456" s="502" t="s">
        <v>41</v>
      </c>
      <c r="G456" s="502" t="s">
        <v>71</v>
      </c>
      <c r="H456" s="502" t="s">
        <v>36</v>
      </c>
      <c r="I456" s="502" t="s">
        <v>109</v>
      </c>
      <c r="J456" s="15" t="str">
        <f>+_xlfn.XLOOKUP(B456,INNOVACIÓN!A:A,INNOVACIÓN!B:B,"NO")</f>
        <v>NO</v>
      </c>
      <c r="K456" s="15" t="str">
        <f>+_xlfn.XLOOKUP(B456,MERMA!B:B,MERMA!C:C,"No")</f>
        <v>SI</v>
      </c>
      <c r="L456" s="15">
        <f>+_xlfn.XLOOKUP(B456,MERMA!B:B,MERMA!D:D,"No es merma")</f>
        <v>2025</v>
      </c>
    </row>
    <row r="457" spans="1:12" s="15" hidden="1" x14ac:dyDescent="0.35">
      <c r="A457" s="502">
        <v>100080976</v>
      </c>
      <c r="B457" s="505">
        <v>75049591</v>
      </c>
      <c r="C457" s="502" t="s">
        <v>497</v>
      </c>
      <c r="D457" s="502" t="s">
        <v>11</v>
      </c>
      <c r="E457" s="503" t="s">
        <v>33</v>
      </c>
      <c r="F457" s="502" t="s">
        <v>41</v>
      </c>
      <c r="G457" s="502" t="s">
        <v>71</v>
      </c>
      <c r="H457" s="502" t="s">
        <v>36</v>
      </c>
      <c r="I457" s="502" t="s">
        <v>109</v>
      </c>
      <c r="J457" s="15" t="str">
        <f>+_xlfn.XLOOKUP(B457,INNOVACIÓN!A:A,INNOVACIÓN!B:B,"NO")</f>
        <v>NO</v>
      </c>
      <c r="K457" s="15" t="str">
        <f>+_xlfn.XLOOKUP(B457,MERMA!B:B,MERMA!C:C,"No")</f>
        <v>SI</v>
      </c>
      <c r="L457" s="15">
        <f>+_xlfn.XLOOKUP(B457,MERMA!B:B,MERMA!D:D,"No es merma")</f>
        <v>2025</v>
      </c>
    </row>
    <row r="458" spans="1:12" s="15" hidden="1" x14ac:dyDescent="0.35">
      <c r="A458" s="15">
        <v>100080951</v>
      </c>
      <c r="B458" s="505">
        <v>75047092</v>
      </c>
      <c r="C458" s="15" t="s">
        <v>498</v>
      </c>
      <c r="D458" s="502" t="s">
        <v>11</v>
      </c>
      <c r="E458" s="503" t="s">
        <v>33</v>
      </c>
      <c r="F458" s="502" t="s">
        <v>41</v>
      </c>
      <c r="G458" s="502" t="s">
        <v>71</v>
      </c>
      <c r="H458" s="502" t="s">
        <v>36</v>
      </c>
      <c r="I458" s="502" t="s">
        <v>109</v>
      </c>
      <c r="J458" s="15" t="str">
        <f>+_xlfn.XLOOKUP(B458,INNOVACIÓN!A:A,INNOVACIÓN!B:B,"NO")</f>
        <v>NO</v>
      </c>
      <c r="K458" s="15" t="str">
        <f>+_xlfn.XLOOKUP(B458,MERMA!B:B,MERMA!C:C,"No")</f>
        <v>No</v>
      </c>
      <c r="L458" s="15" t="str">
        <f>+_xlfn.XLOOKUP(B458,MERMA!B:B,MERMA!D:D,"No es merma")</f>
        <v>No es merma</v>
      </c>
    </row>
    <row r="459" spans="1:12" s="15" hidden="1" x14ac:dyDescent="0.35">
      <c r="A459" s="15">
        <v>100080869</v>
      </c>
      <c r="B459" s="505">
        <v>75037048</v>
      </c>
      <c r="C459" s="15" t="s">
        <v>499</v>
      </c>
      <c r="D459" s="502" t="s">
        <v>11</v>
      </c>
      <c r="E459" s="503" t="s">
        <v>33</v>
      </c>
      <c r="F459" s="502" t="s">
        <v>41</v>
      </c>
      <c r="G459" s="502" t="s">
        <v>35</v>
      </c>
      <c r="H459" s="502" t="s">
        <v>36</v>
      </c>
      <c r="I459" s="502" t="s">
        <v>109</v>
      </c>
      <c r="J459" s="15" t="str">
        <f>+_xlfn.XLOOKUP(B459,INNOVACIÓN!A:A,INNOVACIÓN!B:B,"NO")</f>
        <v>NO</v>
      </c>
      <c r="K459" s="15" t="str">
        <f>+_xlfn.XLOOKUP(B459,MERMA!B:B,MERMA!C:C,"No")</f>
        <v>No</v>
      </c>
      <c r="L459" s="15" t="str">
        <f>+_xlfn.XLOOKUP(B459,MERMA!B:B,MERMA!D:D,"No es merma")</f>
        <v>No es merma</v>
      </c>
    </row>
    <row r="460" spans="1:12" s="15" hidden="1" x14ac:dyDescent="0.35">
      <c r="A460" s="15">
        <v>100005287</v>
      </c>
      <c r="B460" s="505">
        <v>75053048</v>
      </c>
      <c r="C460" s="15" t="s">
        <v>500</v>
      </c>
      <c r="D460" s="502" t="s">
        <v>11</v>
      </c>
      <c r="E460" s="503" t="s">
        <v>33</v>
      </c>
      <c r="F460" s="502" t="s">
        <v>41</v>
      </c>
      <c r="G460" s="502" t="s">
        <v>54</v>
      </c>
      <c r="H460" s="502" t="s">
        <v>36</v>
      </c>
      <c r="I460" s="502" t="s">
        <v>109</v>
      </c>
      <c r="J460" s="15" t="str">
        <f>+_xlfn.XLOOKUP(B460,INNOVACIÓN!A:A,INNOVACIÓN!B:B,"NO")</f>
        <v>NO</v>
      </c>
      <c r="K460" s="15" t="str">
        <f>+_xlfn.XLOOKUP(B460,MERMA!B:B,MERMA!C:C,"No")</f>
        <v>No</v>
      </c>
      <c r="L460" s="15" t="str">
        <f>+_xlfn.XLOOKUP(B460,MERMA!B:B,MERMA!D:D,"No es merma")</f>
        <v>No es merma</v>
      </c>
    </row>
    <row r="461" spans="1:12" s="15" hidden="1" x14ac:dyDescent="0.35">
      <c r="A461" s="15">
        <v>100012006</v>
      </c>
      <c r="B461" s="505">
        <v>75063924</v>
      </c>
      <c r="C461" s="15" t="s">
        <v>501</v>
      </c>
      <c r="D461" s="502" t="s">
        <v>11</v>
      </c>
      <c r="E461" s="503" t="s">
        <v>33</v>
      </c>
      <c r="F461" s="502" t="s">
        <v>41</v>
      </c>
      <c r="G461" s="502" t="s">
        <v>35</v>
      </c>
      <c r="H461" s="502" t="s">
        <v>36</v>
      </c>
      <c r="I461" s="502" t="s">
        <v>109</v>
      </c>
      <c r="J461" s="15" t="str">
        <f>+_xlfn.XLOOKUP(B461,INNOVACIÓN!A:A,INNOVACIÓN!B:B,"NO")</f>
        <v>NO</v>
      </c>
      <c r="K461" s="15" t="str">
        <f>+_xlfn.XLOOKUP(B461,MERMA!B:B,MERMA!C:C,"No")</f>
        <v>No</v>
      </c>
      <c r="L461" s="15" t="str">
        <f>+_xlfn.XLOOKUP(B461,MERMA!B:B,MERMA!D:D,"No es merma")</f>
        <v>No es merma</v>
      </c>
    </row>
    <row r="462" spans="1:12" s="15" hidden="1" x14ac:dyDescent="0.35">
      <c r="A462" s="15">
        <v>100011704</v>
      </c>
      <c r="B462" s="505">
        <v>75063917</v>
      </c>
      <c r="C462" s="15" t="s">
        <v>502</v>
      </c>
      <c r="D462" s="502" t="s">
        <v>11</v>
      </c>
      <c r="E462" s="503" t="s">
        <v>33</v>
      </c>
      <c r="F462" s="502" t="s">
        <v>41</v>
      </c>
      <c r="G462" s="502" t="s">
        <v>35</v>
      </c>
      <c r="H462" s="502" t="s">
        <v>36</v>
      </c>
      <c r="I462" s="502" t="s">
        <v>109</v>
      </c>
      <c r="J462" s="15" t="str">
        <f>+_xlfn.XLOOKUP(B462,INNOVACIÓN!A:A,INNOVACIÓN!B:B,"NO")</f>
        <v>NO</v>
      </c>
      <c r="K462" s="15" t="str">
        <f>+_xlfn.XLOOKUP(B462,MERMA!B:B,MERMA!C:C,"No")</f>
        <v>No</v>
      </c>
      <c r="L462" s="15" t="str">
        <f>+_xlfn.XLOOKUP(B462,MERMA!B:B,MERMA!D:D,"No es merma")</f>
        <v>No es merma</v>
      </c>
    </row>
    <row r="463" spans="1:12" s="15" hidden="1" x14ac:dyDescent="0.35">
      <c r="A463" s="502">
        <v>100011708</v>
      </c>
      <c r="B463" s="505">
        <v>75063870</v>
      </c>
      <c r="C463" s="502" t="s">
        <v>503</v>
      </c>
      <c r="D463" s="502" t="s">
        <v>11</v>
      </c>
      <c r="E463" s="503" t="s">
        <v>33</v>
      </c>
      <c r="F463" s="502" t="s">
        <v>41</v>
      </c>
      <c r="G463" s="502" t="s">
        <v>35</v>
      </c>
      <c r="H463" s="502" t="s">
        <v>36</v>
      </c>
      <c r="I463" s="502" t="s">
        <v>109</v>
      </c>
      <c r="J463" s="15" t="str">
        <f>+_xlfn.XLOOKUP(B463,INNOVACIÓN!A:A,INNOVACIÓN!B:B,"NO")</f>
        <v>NO</v>
      </c>
      <c r="K463" s="15" t="str">
        <f>+_xlfn.XLOOKUP(B463,MERMA!B:B,MERMA!C:C,"No")</f>
        <v>SI</v>
      </c>
      <c r="L463" s="15">
        <f>+_xlfn.XLOOKUP(B463,MERMA!B:B,MERMA!D:D,"No es merma")</f>
        <v>2025</v>
      </c>
    </row>
    <row r="464" spans="1:12" s="15" hidden="1" x14ac:dyDescent="0.35">
      <c r="A464" s="15">
        <v>100008186</v>
      </c>
      <c r="B464" s="505">
        <v>75057817</v>
      </c>
      <c r="C464" s="15" t="s">
        <v>504</v>
      </c>
      <c r="D464" s="502" t="s">
        <v>11</v>
      </c>
      <c r="E464" s="503" t="s">
        <v>33</v>
      </c>
      <c r="F464" s="502" t="s">
        <v>41</v>
      </c>
      <c r="G464" s="502" t="s">
        <v>35</v>
      </c>
      <c r="H464" s="502" t="s">
        <v>36</v>
      </c>
      <c r="I464" s="502" t="s">
        <v>109</v>
      </c>
      <c r="J464" s="15" t="str">
        <f>+_xlfn.XLOOKUP(B464,INNOVACIÓN!A:A,INNOVACIÓN!B:B,"NO")</f>
        <v>NO</v>
      </c>
      <c r="K464" s="15" t="str">
        <f>+_xlfn.XLOOKUP(B464,MERMA!B:B,MERMA!C:C,"No")</f>
        <v>No</v>
      </c>
      <c r="L464" s="15" t="str">
        <f>+_xlfn.XLOOKUP(B464,MERMA!B:B,MERMA!D:D,"No es merma")</f>
        <v>No es merma</v>
      </c>
    </row>
    <row r="465" spans="1:12" s="15" hidden="1" x14ac:dyDescent="0.35">
      <c r="A465" s="502">
        <v>100011671</v>
      </c>
      <c r="B465" s="505">
        <v>75063771</v>
      </c>
      <c r="C465" s="502" t="s">
        <v>505</v>
      </c>
      <c r="D465" s="503" t="s">
        <v>11</v>
      </c>
      <c r="E465" s="503" t="s">
        <v>33</v>
      </c>
      <c r="F465" s="502" t="s">
        <v>41</v>
      </c>
      <c r="G465" s="502" t="s">
        <v>14</v>
      </c>
      <c r="H465" s="502" t="s">
        <v>36</v>
      </c>
      <c r="I465" s="502" t="s">
        <v>109</v>
      </c>
      <c r="J465" s="15" t="str">
        <f>+_xlfn.XLOOKUP(B465,INNOVACIÓN!A:A,INNOVACIÓN!B:B,"NO")</f>
        <v>NO</v>
      </c>
      <c r="K465" s="15" t="str">
        <f>+_xlfn.XLOOKUP(B465,MERMA!B:B,MERMA!C:C,"No")</f>
        <v>SI</v>
      </c>
      <c r="L465" s="15">
        <f>+_xlfn.XLOOKUP(B465,MERMA!B:B,MERMA!D:D,"No es merma")</f>
        <v>2025</v>
      </c>
    </row>
    <row r="466" spans="1:12" s="15" hidden="1" x14ac:dyDescent="0.35">
      <c r="A466" s="502">
        <v>100018204</v>
      </c>
      <c r="B466" s="505">
        <v>7501045300139</v>
      </c>
      <c r="C466" s="502" t="s">
        <v>506</v>
      </c>
      <c r="D466" s="503" t="s">
        <v>11</v>
      </c>
      <c r="E466" s="503" t="s">
        <v>33</v>
      </c>
      <c r="F466" s="502" t="s">
        <v>41</v>
      </c>
      <c r="G466" s="502" t="s">
        <v>14</v>
      </c>
      <c r="H466" s="502" t="s">
        <v>36</v>
      </c>
      <c r="I466" s="502" t="s">
        <v>109</v>
      </c>
      <c r="J466" s="15" t="str">
        <f>+_xlfn.XLOOKUP(B466,INNOVACIÓN!A:A,INNOVACIÓN!B:B,"NO")</f>
        <v>NO</v>
      </c>
      <c r="K466" s="15" t="str">
        <f>+_xlfn.XLOOKUP(B466,MERMA!B:B,MERMA!C:C,"No")</f>
        <v>No</v>
      </c>
      <c r="L466" s="15" t="str">
        <f>+_xlfn.XLOOKUP(B466,MERMA!B:B,MERMA!D:D,"No es merma")</f>
        <v>No es merma</v>
      </c>
    </row>
    <row r="467" spans="1:12" s="15" hidden="1" x14ac:dyDescent="0.35">
      <c r="A467" s="502">
        <v>100018203</v>
      </c>
      <c r="B467" s="505">
        <v>7501045300122</v>
      </c>
      <c r="C467" s="502" t="s">
        <v>507</v>
      </c>
      <c r="D467" s="503" t="s">
        <v>11</v>
      </c>
      <c r="E467" s="503" t="s">
        <v>33</v>
      </c>
      <c r="F467" s="502" t="s">
        <v>41</v>
      </c>
      <c r="G467" s="502" t="s">
        <v>54</v>
      </c>
      <c r="H467" s="502" t="s">
        <v>36</v>
      </c>
      <c r="I467" s="502" t="s">
        <v>109</v>
      </c>
      <c r="J467" s="15" t="str">
        <f>+_xlfn.XLOOKUP(B467,INNOVACIÓN!A:A,INNOVACIÓN!B:B,"NO")</f>
        <v>NO</v>
      </c>
      <c r="K467" s="15" t="str">
        <f>+_xlfn.XLOOKUP(B467,MERMA!B:B,MERMA!C:C,"No")</f>
        <v>No</v>
      </c>
      <c r="L467" s="15" t="str">
        <f>+_xlfn.XLOOKUP(B467,MERMA!B:B,MERMA!D:D,"No es merma")</f>
        <v>No es merma</v>
      </c>
    </row>
    <row r="468" spans="1:12" s="15" hidden="1" x14ac:dyDescent="0.35">
      <c r="A468" s="15">
        <v>100004742</v>
      </c>
      <c r="B468" s="505">
        <v>75052867</v>
      </c>
      <c r="C468" s="15" t="s">
        <v>508</v>
      </c>
      <c r="D468" s="502" t="s">
        <v>11</v>
      </c>
      <c r="E468" s="503" t="s">
        <v>33</v>
      </c>
      <c r="F468" s="502" t="s">
        <v>41</v>
      </c>
      <c r="G468" s="502" t="s">
        <v>35</v>
      </c>
      <c r="H468" s="502" t="s">
        <v>36</v>
      </c>
      <c r="I468" s="502" t="s">
        <v>109</v>
      </c>
      <c r="J468" s="15" t="str">
        <f>+_xlfn.XLOOKUP(B468,INNOVACIÓN!A:A,INNOVACIÓN!B:B,"NO")</f>
        <v>NO</v>
      </c>
      <c r="K468" s="15" t="str">
        <f>+_xlfn.XLOOKUP(B468,MERMA!B:B,MERMA!C:C,"No")</f>
        <v>No</v>
      </c>
      <c r="L468" s="15" t="str">
        <f>+_xlfn.XLOOKUP(B468,MERMA!B:B,MERMA!D:D,"No es merma")</f>
        <v>No es merma</v>
      </c>
    </row>
    <row r="469" spans="1:12" s="15" hidden="1" x14ac:dyDescent="0.35">
      <c r="A469" s="502">
        <v>100080980</v>
      </c>
      <c r="B469" s="505">
        <v>75049577</v>
      </c>
      <c r="C469" s="502" t="s">
        <v>509</v>
      </c>
      <c r="D469" s="502" t="s">
        <v>11</v>
      </c>
      <c r="E469" s="503" t="s">
        <v>33</v>
      </c>
      <c r="F469" s="502" t="s">
        <v>41</v>
      </c>
      <c r="G469" s="502" t="s">
        <v>14</v>
      </c>
      <c r="H469" s="502" t="s">
        <v>36</v>
      </c>
      <c r="I469" s="502" t="s">
        <v>109</v>
      </c>
      <c r="J469" s="15" t="str">
        <f>+_xlfn.XLOOKUP(B469,INNOVACIÓN!A:A,INNOVACIÓN!B:B,"NO")</f>
        <v>NO</v>
      </c>
      <c r="K469" s="15" t="str">
        <f>+_xlfn.XLOOKUP(B469,MERMA!B:B,MERMA!C:C,"No")</f>
        <v>No</v>
      </c>
      <c r="L469" s="15" t="str">
        <f>+_xlfn.XLOOKUP(B469,MERMA!B:B,MERMA!D:D,"No es merma")</f>
        <v>No es merma</v>
      </c>
    </row>
    <row r="470" spans="1:12" s="15" hidden="1" x14ac:dyDescent="0.35">
      <c r="A470" s="502">
        <v>100012202</v>
      </c>
      <c r="B470" s="505">
        <v>75064112</v>
      </c>
      <c r="C470" s="502" t="s">
        <v>510</v>
      </c>
      <c r="D470" s="502" t="s">
        <v>11</v>
      </c>
      <c r="E470" s="503" t="s">
        <v>33</v>
      </c>
      <c r="F470" s="502" t="s">
        <v>41</v>
      </c>
      <c r="G470" s="502" t="s">
        <v>35</v>
      </c>
      <c r="H470" s="502" t="s">
        <v>36</v>
      </c>
      <c r="I470" s="502" t="s">
        <v>109</v>
      </c>
      <c r="J470" s="15" t="str">
        <f>+_xlfn.XLOOKUP(B470,INNOVACIÓN!A:A,INNOVACIÓN!B:B,"NO")</f>
        <v>NO</v>
      </c>
      <c r="K470" s="15" t="str">
        <f>+_xlfn.XLOOKUP(B470,MERMA!B:B,MERMA!C:C,"No")</f>
        <v>SI</v>
      </c>
      <c r="L470" s="15">
        <f>+_xlfn.XLOOKUP(B470,MERMA!B:B,MERMA!D:D,"No es merma")</f>
        <v>2025</v>
      </c>
    </row>
    <row r="471" spans="1:12" s="15" hidden="1" x14ac:dyDescent="0.35">
      <c r="A471" s="502">
        <v>100011674</v>
      </c>
      <c r="B471" s="505">
        <v>75063726</v>
      </c>
      <c r="C471" s="502" t="s">
        <v>511</v>
      </c>
      <c r="D471" s="503" t="s">
        <v>11</v>
      </c>
      <c r="E471" s="503" t="s">
        <v>33</v>
      </c>
      <c r="F471" s="502" t="s">
        <v>41</v>
      </c>
      <c r="G471" s="503" t="s">
        <v>35</v>
      </c>
      <c r="H471" s="502" t="s">
        <v>36</v>
      </c>
      <c r="I471" s="502" t="s">
        <v>109</v>
      </c>
      <c r="J471" s="15" t="str">
        <f>+_xlfn.XLOOKUP(B471,INNOVACIÓN!A:A,INNOVACIÓN!B:B,"NO")</f>
        <v>NO</v>
      </c>
      <c r="K471" s="15" t="str">
        <f>+_xlfn.XLOOKUP(B471,MERMA!B:B,MERMA!C:C,"No")</f>
        <v>No</v>
      </c>
      <c r="L471" s="15" t="str">
        <f>+_xlfn.XLOOKUP(B471,MERMA!B:B,MERMA!D:D,"No es merma")</f>
        <v>No es merma</v>
      </c>
    </row>
    <row r="472" spans="1:12" s="15" hidden="1" x14ac:dyDescent="0.35">
      <c r="A472" s="502">
        <v>100011678</v>
      </c>
      <c r="B472" s="505">
        <v>75063757</v>
      </c>
      <c r="C472" s="502" t="s">
        <v>512</v>
      </c>
      <c r="D472" s="502" t="s">
        <v>11</v>
      </c>
      <c r="E472" s="503" t="s">
        <v>33</v>
      </c>
      <c r="F472" s="502" t="s">
        <v>41</v>
      </c>
      <c r="G472" s="502" t="s">
        <v>35</v>
      </c>
      <c r="H472" s="502" t="s">
        <v>36</v>
      </c>
      <c r="I472" s="502" t="s">
        <v>109</v>
      </c>
      <c r="J472" s="15" t="str">
        <f>+_xlfn.XLOOKUP(B472,INNOVACIÓN!A:A,INNOVACIÓN!B:B,"NO")</f>
        <v>NO</v>
      </c>
      <c r="K472" s="15" t="str">
        <f>+_xlfn.XLOOKUP(B472,MERMA!B:B,MERMA!C:C,"No")</f>
        <v>No</v>
      </c>
      <c r="L472" s="15" t="str">
        <f>+_xlfn.XLOOKUP(B472,MERMA!B:B,MERMA!D:D,"No es merma")</f>
        <v>No es merma</v>
      </c>
    </row>
    <row r="473" spans="1:12" s="15" hidden="1" x14ac:dyDescent="0.35">
      <c r="A473" s="15">
        <v>100018490</v>
      </c>
      <c r="B473" s="505">
        <v>7501045300146</v>
      </c>
      <c r="C473" s="15" t="s">
        <v>513</v>
      </c>
      <c r="D473" s="502" t="s">
        <v>11</v>
      </c>
      <c r="E473" s="503" t="s">
        <v>33</v>
      </c>
      <c r="F473" s="502" t="s">
        <v>41</v>
      </c>
      <c r="G473" s="502" t="s">
        <v>35</v>
      </c>
      <c r="H473" s="502" t="s">
        <v>36</v>
      </c>
      <c r="I473" s="502" t="s">
        <v>109</v>
      </c>
      <c r="J473" s="15" t="str">
        <f>+_xlfn.XLOOKUP(B473,INNOVACIÓN!A:A,INNOVACIÓN!B:B,"NO")</f>
        <v>NO</v>
      </c>
      <c r="K473" s="15" t="str">
        <f>+_xlfn.XLOOKUP(B473,MERMA!B:B,MERMA!C:C,"No")</f>
        <v>No</v>
      </c>
      <c r="L473" s="15" t="str">
        <f>+_xlfn.XLOOKUP(B473,MERMA!B:B,MERMA!D:D,"No es merma")</f>
        <v>No es merma</v>
      </c>
    </row>
    <row r="474" spans="1:12" s="15" hidden="1" x14ac:dyDescent="0.35">
      <c r="A474" s="502">
        <v>100014571</v>
      </c>
      <c r="B474" s="505">
        <v>75069506</v>
      </c>
      <c r="C474" s="502" t="s">
        <v>514</v>
      </c>
      <c r="D474" s="502" t="s">
        <v>11</v>
      </c>
      <c r="E474" s="503" t="s">
        <v>33</v>
      </c>
      <c r="F474" s="502" t="s">
        <v>41</v>
      </c>
      <c r="G474" s="502" t="s">
        <v>54</v>
      </c>
      <c r="H474" s="502" t="s">
        <v>36</v>
      </c>
      <c r="I474" s="502" t="s">
        <v>109</v>
      </c>
      <c r="J474" s="15" t="str">
        <f>+_xlfn.XLOOKUP(B474,INNOVACIÓN!A:A,INNOVACIÓN!B:B,"NO")</f>
        <v>NO</v>
      </c>
      <c r="K474" s="15" t="str">
        <f>+_xlfn.XLOOKUP(B474,MERMA!B:B,MERMA!C:C,"No")</f>
        <v>SI</v>
      </c>
      <c r="L474" s="15">
        <f>+_xlfn.XLOOKUP(B474,MERMA!B:B,MERMA!D:D,"No es merma")</f>
        <v>2025</v>
      </c>
    </row>
    <row r="475" spans="1:12" s="15" hidden="1" x14ac:dyDescent="0.35">
      <c r="A475" s="502">
        <v>100013983</v>
      </c>
      <c r="B475" s="505">
        <v>75067854</v>
      </c>
      <c r="C475" s="502" t="s">
        <v>515</v>
      </c>
      <c r="D475" s="502" t="s">
        <v>11</v>
      </c>
      <c r="E475" s="503" t="s">
        <v>33</v>
      </c>
      <c r="F475" s="502" t="s">
        <v>41</v>
      </c>
      <c r="G475" s="502" t="s">
        <v>35</v>
      </c>
      <c r="H475" s="502" t="s">
        <v>36</v>
      </c>
      <c r="I475" s="502" t="s">
        <v>109</v>
      </c>
      <c r="J475" s="15" t="str">
        <f>+_xlfn.XLOOKUP(B475,INNOVACIÓN!A:A,INNOVACIÓN!B:B,"NO")</f>
        <v>NO</v>
      </c>
      <c r="K475" s="15" t="str">
        <f>+_xlfn.XLOOKUP(B475,MERMA!B:B,MERMA!C:C,"No")</f>
        <v>SI</v>
      </c>
      <c r="L475" s="15">
        <f>+_xlfn.XLOOKUP(B475,MERMA!B:B,MERMA!D:D,"No es merma")</f>
        <v>2025</v>
      </c>
    </row>
    <row r="476" spans="1:12" s="15" hidden="1" x14ac:dyDescent="0.35">
      <c r="A476" s="15">
        <v>100013785</v>
      </c>
      <c r="B476" s="505">
        <v>75067892</v>
      </c>
      <c r="C476" s="15" t="s">
        <v>516</v>
      </c>
      <c r="D476" s="502" t="s">
        <v>11</v>
      </c>
      <c r="E476" s="503" t="s">
        <v>33</v>
      </c>
      <c r="F476" s="502" t="s">
        <v>41</v>
      </c>
      <c r="G476" s="502" t="s">
        <v>35</v>
      </c>
      <c r="H476" s="502" t="s">
        <v>36</v>
      </c>
      <c r="I476" s="502" t="s">
        <v>109</v>
      </c>
      <c r="J476" s="15" t="str">
        <f>+_xlfn.XLOOKUP(B476,INNOVACIÓN!A:A,INNOVACIÓN!B:B,"NO")</f>
        <v>NO</v>
      </c>
      <c r="K476" s="15" t="str">
        <f>+_xlfn.XLOOKUP(B476,MERMA!B:B,MERMA!C:C,"No")</f>
        <v>No</v>
      </c>
      <c r="L476" s="15" t="str">
        <f>+_xlfn.XLOOKUP(B476,MERMA!B:B,MERMA!D:D,"No es merma")</f>
        <v>No es merma</v>
      </c>
    </row>
    <row r="477" spans="1:12" s="15" hidden="1" x14ac:dyDescent="0.35">
      <c r="A477" s="502">
        <v>100013982</v>
      </c>
      <c r="B477" s="505">
        <v>75067823</v>
      </c>
      <c r="C477" s="502" t="s">
        <v>517</v>
      </c>
      <c r="D477" s="502" t="s">
        <v>11</v>
      </c>
      <c r="E477" s="503" t="s">
        <v>33</v>
      </c>
      <c r="F477" s="502" t="s">
        <v>41</v>
      </c>
      <c r="G477" s="502" t="s">
        <v>35</v>
      </c>
      <c r="H477" s="502" t="s">
        <v>36</v>
      </c>
      <c r="I477" s="502" t="s">
        <v>109</v>
      </c>
      <c r="J477" s="15" t="str">
        <f>+_xlfn.XLOOKUP(B477,INNOVACIÓN!A:A,INNOVACIÓN!B:B,"NO")</f>
        <v>NO</v>
      </c>
      <c r="K477" s="15" t="str">
        <f>+_xlfn.XLOOKUP(B477,MERMA!B:B,MERMA!C:C,"No")</f>
        <v>No</v>
      </c>
      <c r="L477" s="15" t="str">
        <f>+_xlfn.XLOOKUP(B477,MERMA!B:B,MERMA!D:D,"No es merma")</f>
        <v>No es merma</v>
      </c>
    </row>
    <row r="478" spans="1:12" s="15" hidden="1" x14ac:dyDescent="0.35">
      <c r="A478" s="502">
        <v>100008185</v>
      </c>
      <c r="B478" s="505">
        <v>75057824</v>
      </c>
      <c r="C478" s="502" t="s">
        <v>518</v>
      </c>
      <c r="D478" s="502" t="s">
        <v>11</v>
      </c>
      <c r="E478" s="503" t="s">
        <v>33</v>
      </c>
      <c r="F478" s="502" t="s">
        <v>41</v>
      </c>
      <c r="G478" s="502" t="s">
        <v>54</v>
      </c>
      <c r="H478" s="502" t="s">
        <v>36</v>
      </c>
      <c r="I478" s="502" t="s">
        <v>109</v>
      </c>
      <c r="J478" s="15" t="str">
        <f>+_xlfn.XLOOKUP(B478,INNOVACIÓN!A:A,INNOVACIÓN!B:B,"NO")</f>
        <v>NO</v>
      </c>
      <c r="K478" s="15" t="str">
        <f>+_xlfn.XLOOKUP(B478,MERMA!B:B,MERMA!C:C,"No")</f>
        <v>SI</v>
      </c>
      <c r="L478" s="15">
        <f>+_xlfn.XLOOKUP(B478,MERMA!B:B,MERMA!D:D,"No es merma")</f>
        <v>2025</v>
      </c>
    </row>
    <row r="479" spans="1:12" s="15" hidden="1" x14ac:dyDescent="0.35">
      <c r="A479" s="15">
        <v>100080979</v>
      </c>
      <c r="B479" s="505">
        <v>75049584</v>
      </c>
      <c r="C479" s="15" t="s">
        <v>519</v>
      </c>
      <c r="D479" s="502" t="s">
        <v>11</v>
      </c>
      <c r="E479" s="503" t="s">
        <v>33</v>
      </c>
      <c r="F479" s="502" t="s">
        <v>41</v>
      </c>
      <c r="G479" s="502" t="s">
        <v>54</v>
      </c>
      <c r="H479" s="502" t="s">
        <v>36</v>
      </c>
      <c r="I479" s="502" t="s">
        <v>109</v>
      </c>
      <c r="J479" s="15" t="str">
        <f>+_xlfn.XLOOKUP(B479,INNOVACIÓN!A:A,INNOVACIÓN!B:B,"NO")</f>
        <v>NO</v>
      </c>
      <c r="K479" s="15" t="str">
        <f>+_xlfn.XLOOKUP(B479,MERMA!B:B,MERMA!C:C,"No")</f>
        <v>No</v>
      </c>
      <c r="L479" s="15" t="str">
        <f>+_xlfn.XLOOKUP(B479,MERMA!B:B,MERMA!D:D,"No es merma")</f>
        <v>No es merma</v>
      </c>
    </row>
    <row r="480" spans="1:12" s="15" hidden="1" x14ac:dyDescent="0.35">
      <c r="A480" s="502">
        <v>100021797</v>
      </c>
      <c r="B480" s="505">
        <v>7503031950267</v>
      </c>
      <c r="C480" s="502" t="s">
        <v>520</v>
      </c>
      <c r="D480" s="503" t="s">
        <v>11</v>
      </c>
      <c r="E480" s="503" t="s">
        <v>33</v>
      </c>
      <c r="F480" s="502" t="s">
        <v>41</v>
      </c>
      <c r="G480" s="503" t="s">
        <v>35</v>
      </c>
      <c r="H480" s="502" t="s">
        <v>36</v>
      </c>
      <c r="I480" s="502" t="s">
        <v>109</v>
      </c>
      <c r="J480" s="15" t="str">
        <f>+_xlfn.XLOOKUP(B480,INNOVACIÓN!A:A,INNOVACIÓN!B:B,"NO")</f>
        <v>NO</v>
      </c>
      <c r="K480" s="15" t="str">
        <f>+_xlfn.XLOOKUP(B480,MERMA!B:B,MERMA!C:C,"No")</f>
        <v>SI</v>
      </c>
      <c r="L480" s="15">
        <f>+_xlfn.XLOOKUP(B480,MERMA!B:B,MERMA!D:D,"No es merma")</f>
        <v>2025</v>
      </c>
    </row>
    <row r="481" spans="1:12" s="15" hidden="1" x14ac:dyDescent="0.35">
      <c r="A481" s="502">
        <v>100019960</v>
      </c>
      <c r="B481" s="505">
        <v>7503031950113</v>
      </c>
      <c r="C481" s="502" t="s">
        <v>521</v>
      </c>
      <c r="D481" s="503" t="s">
        <v>11</v>
      </c>
      <c r="E481" s="503" t="s">
        <v>33</v>
      </c>
      <c r="F481" s="502" t="s">
        <v>41</v>
      </c>
      <c r="G481" s="502" t="s">
        <v>14</v>
      </c>
      <c r="H481" s="502" t="s">
        <v>36</v>
      </c>
      <c r="I481" s="502" t="s">
        <v>109</v>
      </c>
      <c r="J481" s="15" t="str">
        <f>+_xlfn.XLOOKUP(B481,INNOVACIÓN!A:A,INNOVACIÓN!B:B,"NO")</f>
        <v>NO</v>
      </c>
      <c r="K481" s="15" t="str">
        <f>+_xlfn.XLOOKUP(B481,MERMA!B:B,MERMA!C:C,"No")</f>
        <v>No</v>
      </c>
      <c r="L481" s="15" t="str">
        <f>+_xlfn.XLOOKUP(B481,MERMA!B:B,MERMA!D:D,"No es merma")</f>
        <v>No es merma</v>
      </c>
    </row>
    <row r="482" spans="1:12" s="15" hidden="1" x14ac:dyDescent="0.35">
      <c r="A482" s="502">
        <v>100019961</v>
      </c>
      <c r="B482" s="505">
        <v>7503031950106</v>
      </c>
      <c r="C482" s="502" t="s">
        <v>522</v>
      </c>
      <c r="D482" s="503" t="s">
        <v>11</v>
      </c>
      <c r="E482" s="503" t="s">
        <v>33</v>
      </c>
      <c r="F482" s="502" t="s">
        <v>41</v>
      </c>
      <c r="G482" s="502" t="s">
        <v>54</v>
      </c>
      <c r="H482" s="502" t="s">
        <v>36</v>
      </c>
      <c r="I482" s="502" t="s">
        <v>109</v>
      </c>
      <c r="J482" s="15" t="str">
        <f>+_xlfn.XLOOKUP(B482,INNOVACIÓN!A:A,INNOVACIÓN!B:B,"NO")</f>
        <v>NO</v>
      </c>
      <c r="K482" s="15" t="str">
        <f>+_xlfn.XLOOKUP(B482,MERMA!B:B,MERMA!C:C,"No")</f>
        <v>No</v>
      </c>
      <c r="L482" s="15" t="str">
        <f>+_xlfn.XLOOKUP(B482,MERMA!B:B,MERMA!D:D,"No es merma")</f>
        <v>No es merma</v>
      </c>
    </row>
    <row r="483" spans="1:12" s="15" hidden="1" x14ac:dyDescent="0.35">
      <c r="A483" s="502">
        <v>100014579</v>
      </c>
      <c r="B483" s="505">
        <v>75069773</v>
      </c>
      <c r="C483" s="502" t="s">
        <v>523</v>
      </c>
      <c r="D483" s="503" t="s">
        <v>11</v>
      </c>
      <c r="E483" s="503" t="s">
        <v>33</v>
      </c>
      <c r="F483" s="502" t="s">
        <v>41</v>
      </c>
      <c r="G483" s="502" t="s">
        <v>14</v>
      </c>
      <c r="H483" s="502" t="s">
        <v>36</v>
      </c>
      <c r="I483" s="502" t="s">
        <v>109</v>
      </c>
      <c r="J483" s="15" t="str">
        <f>+_xlfn.XLOOKUP(B483,INNOVACIÓN!A:A,INNOVACIÓN!B:B,"NO")</f>
        <v>NO</v>
      </c>
      <c r="K483" s="15" t="str">
        <f>+_xlfn.XLOOKUP(B483,MERMA!B:B,MERMA!C:C,"No")</f>
        <v>No</v>
      </c>
      <c r="L483" s="15" t="str">
        <f>+_xlfn.XLOOKUP(B483,MERMA!B:B,MERMA!D:D,"No es merma")</f>
        <v>No es merma</v>
      </c>
    </row>
    <row r="484" spans="1:12" s="15" hidden="1" x14ac:dyDescent="0.35">
      <c r="A484" s="502">
        <v>100080958</v>
      </c>
      <c r="B484" s="505">
        <v>75047498</v>
      </c>
      <c r="C484" s="502" t="s">
        <v>524</v>
      </c>
      <c r="D484" s="503" t="s">
        <v>11</v>
      </c>
      <c r="E484" s="503" t="s">
        <v>33</v>
      </c>
      <c r="F484" s="502" t="s">
        <v>41</v>
      </c>
      <c r="G484" s="502" t="s">
        <v>35</v>
      </c>
      <c r="H484" s="502" t="s">
        <v>36</v>
      </c>
      <c r="I484" s="502" t="s">
        <v>109</v>
      </c>
      <c r="J484" s="15" t="str">
        <f>+_xlfn.XLOOKUP(B484,INNOVACIÓN!A:A,INNOVACIÓN!B:B,"NO")</f>
        <v>NO</v>
      </c>
      <c r="K484" s="15" t="str">
        <f>+_xlfn.XLOOKUP(B484,MERMA!B:B,MERMA!C:C,"No")</f>
        <v>No</v>
      </c>
      <c r="L484" s="15" t="str">
        <f>+_xlfn.XLOOKUP(B484,MERMA!B:B,MERMA!D:D,"No es merma")</f>
        <v>No es merma</v>
      </c>
    </row>
    <row r="485" spans="1:12" s="15" hidden="1" x14ac:dyDescent="0.35">
      <c r="A485" s="502">
        <v>100080961</v>
      </c>
      <c r="B485" s="505">
        <v>75047467</v>
      </c>
      <c r="C485" s="502" t="s">
        <v>525</v>
      </c>
      <c r="D485" s="503" t="s">
        <v>11</v>
      </c>
      <c r="E485" s="503" t="s">
        <v>33</v>
      </c>
      <c r="F485" s="502" t="s">
        <v>41</v>
      </c>
      <c r="G485" s="502" t="s">
        <v>14</v>
      </c>
      <c r="H485" s="502" t="s">
        <v>36</v>
      </c>
      <c r="I485" s="502" t="s">
        <v>109</v>
      </c>
      <c r="J485" s="15" t="str">
        <f>+_xlfn.XLOOKUP(B485,INNOVACIÓN!A:A,INNOVACIÓN!B:B,"NO")</f>
        <v>NO</v>
      </c>
      <c r="K485" s="15" t="str">
        <f>+_xlfn.XLOOKUP(B485,MERMA!B:B,MERMA!C:C,"No")</f>
        <v>No</v>
      </c>
      <c r="L485" s="15" t="str">
        <f>+_xlfn.XLOOKUP(B485,MERMA!B:B,MERMA!D:D,"No es merma")</f>
        <v>No es merma</v>
      </c>
    </row>
    <row r="486" spans="1:12" s="15" hidden="1" x14ac:dyDescent="0.35">
      <c r="A486" s="502">
        <v>100012203</v>
      </c>
      <c r="B486" s="505">
        <v>75061715</v>
      </c>
      <c r="C486" s="502" t="s">
        <v>526</v>
      </c>
      <c r="D486" s="503" t="s">
        <v>11</v>
      </c>
      <c r="E486" s="503" t="s">
        <v>33</v>
      </c>
      <c r="F486" s="502" t="s">
        <v>41</v>
      </c>
      <c r="G486" s="503" t="s">
        <v>71</v>
      </c>
      <c r="H486" s="502" t="s">
        <v>36</v>
      </c>
      <c r="I486" s="502" t="s">
        <v>109</v>
      </c>
      <c r="J486" s="15" t="str">
        <f>+_xlfn.XLOOKUP(B486,INNOVACIÓN!A:A,INNOVACIÓN!B:B,"NO")</f>
        <v>NO</v>
      </c>
      <c r="K486" s="15" t="str">
        <f>+_xlfn.XLOOKUP(B486,MERMA!B:B,MERMA!C:C,"No")</f>
        <v>No</v>
      </c>
      <c r="L486" s="15" t="str">
        <f>+_xlfn.XLOOKUP(B486,MERMA!B:B,MERMA!D:D,"No es merma")</f>
        <v>No es merma</v>
      </c>
    </row>
    <row r="487" spans="1:12" s="15" hidden="1" x14ac:dyDescent="0.35">
      <c r="A487" s="502">
        <v>100011673</v>
      </c>
      <c r="B487" s="505">
        <v>75063825</v>
      </c>
      <c r="C487" s="502" t="s">
        <v>527</v>
      </c>
      <c r="D487" s="503" t="s">
        <v>11</v>
      </c>
      <c r="E487" s="503" t="s">
        <v>33</v>
      </c>
      <c r="F487" s="502" t="s">
        <v>41</v>
      </c>
      <c r="G487" s="503" t="s">
        <v>71</v>
      </c>
      <c r="H487" s="502" t="s">
        <v>36</v>
      </c>
      <c r="I487" s="502" t="s">
        <v>109</v>
      </c>
      <c r="J487" s="15" t="str">
        <f>+_xlfn.XLOOKUP(B487,INNOVACIÓN!A:A,INNOVACIÓN!B:B,"NO")</f>
        <v>NO</v>
      </c>
      <c r="K487" s="15" t="str">
        <f>+_xlfn.XLOOKUP(B487,MERMA!B:B,MERMA!C:C,"No")</f>
        <v>SI</v>
      </c>
      <c r="L487" s="15">
        <f>+_xlfn.XLOOKUP(B487,MERMA!B:B,MERMA!D:D,"No es merma")</f>
        <v>2025</v>
      </c>
    </row>
    <row r="488" spans="1:12" s="15" hidden="1" x14ac:dyDescent="0.35">
      <c r="A488" s="502">
        <v>100008184</v>
      </c>
      <c r="B488" s="505">
        <v>75057800</v>
      </c>
      <c r="C488" s="502" t="s">
        <v>528</v>
      </c>
      <c r="D488" s="502" t="s">
        <v>11</v>
      </c>
      <c r="E488" s="503" t="s">
        <v>33</v>
      </c>
      <c r="F488" s="502" t="s">
        <v>41</v>
      </c>
      <c r="G488" s="502" t="s">
        <v>71</v>
      </c>
      <c r="H488" s="502" t="s">
        <v>36</v>
      </c>
      <c r="I488" s="502" t="s">
        <v>109</v>
      </c>
      <c r="J488" s="15" t="str">
        <f>+_xlfn.XLOOKUP(B488,INNOVACIÓN!A:A,INNOVACIÓN!B:B,"NO")</f>
        <v>NO</v>
      </c>
      <c r="K488" s="15" t="str">
        <f>+_xlfn.XLOOKUP(B488,MERMA!B:B,MERMA!C:C,"No")</f>
        <v>No</v>
      </c>
      <c r="L488" s="15" t="str">
        <f>+_xlfn.XLOOKUP(B488,MERMA!B:B,MERMA!D:D,"No es merma")</f>
        <v>No es merma</v>
      </c>
    </row>
    <row r="489" spans="1:12" s="15" hidden="1" x14ac:dyDescent="0.35">
      <c r="A489" s="502">
        <v>100011677</v>
      </c>
      <c r="B489" s="505">
        <v>75063740</v>
      </c>
      <c r="C489" s="502" t="s">
        <v>529</v>
      </c>
      <c r="D489" s="503" t="s">
        <v>11</v>
      </c>
      <c r="E489" s="503" t="s">
        <v>33</v>
      </c>
      <c r="F489" s="502" t="s">
        <v>41</v>
      </c>
      <c r="G489" s="503" t="s">
        <v>71</v>
      </c>
      <c r="H489" s="502" t="s">
        <v>36</v>
      </c>
      <c r="I489" s="502" t="s">
        <v>109</v>
      </c>
      <c r="J489" s="15" t="str">
        <f>+_xlfn.XLOOKUP(B489,INNOVACIÓN!A:A,INNOVACIÓN!B:B,"NO")</f>
        <v>NO</v>
      </c>
      <c r="K489" s="15" t="str">
        <f>+_xlfn.XLOOKUP(B489,MERMA!B:B,MERMA!C:C,"No")</f>
        <v>SI</v>
      </c>
      <c r="L489" s="15">
        <f>+_xlfn.XLOOKUP(B489,MERMA!B:B,MERMA!D:D,"No es merma")</f>
        <v>2025</v>
      </c>
    </row>
    <row r="490" spans="1:12" s="15" hidden="1" x14ac:dyDescent="0.35">
      <c r="A490" s="502">
        <v>100018931</v>
      </c>
      <c r="B490" s="505">
        <v>7503023959346</v>
      </c>
      <c r="C490" s="502" t="s">
        <v>530</v>
      </c>
      <c r="D490" s="503" t="s">
        <v>32</v>
      </c>
      <c r="E490" s="503" t="s">
        <v>33</v>
      </c>
      <c r="F490" s="502" t="s">
        <v>39</v>
      </c>
      <c r="G490" s="502" t="s">
        <v>35</v>
      </c>
      <c r="H490" s="502" t="s">
        <v>36</v>
      </c>
      <c r="I490" s="502" t="s">
        <v>247</v>
      </c>
      <c r="J490" s="15" t="str">
        <f>+_xlfn.XLOOKUP(B490,INNOVACIÓN!A:A,INNOVACIÓN!B:B,"NO")</f>
        <v>NO</v>
      </c>
      <c r="K490" s="15" t="str">
        <f>+_xlfn.XLOOKUP(B490,MERMA!B:B,MERMA!C:C,"No")</f>
        <v>SI</v>
      </c>
      <c r="L490" s="15">
        <f>+_xlfn.XLOOKUP(B490,MERMA!B:B,MERMA!D:D,"No es merma")</f>
        <v>2025</v>
      </c>
    </row>
    <row r="491" spans="1:12" s="15" hidden="1" x14ac:dyDescent="0.35">
      <c r="A491" s="502">
        <v>100017393</v>
      </c>
      <c r="B491" s="505">
        <v>7503023959230</v>
      </c>
      <c r="C491" s="502" t="s">
        <v>531</v>
      </c>
      <c r="D491" s="503" t="s">
        <v>32</v>
      </c>
      <c r="E491" s="503" t="s">
        <v>33</v>
      </c>
      <c r="F491" s="502" t="s">
        <v>39</v>
      </c>
      <c r="G491" s="502" t="s">
        <v>35</v>
      </c>
      <c r="H491" s="502" t="s">
        <v>36</v>
      </c>
      <c r="I491" s="502" t="s">
        <v>247</v>
      </c>
      <c r="J491" s="15" t="str">
        <f>+_xlfn.XLOOKUP(B491,INNOVACIÓN!A:A,INNOVACIÓN!B:B,"NO")</f>
        <v>NO</v>
      </c>
      <c r="K491" s="15" t="str">
        <f>+_xlfn.XLOOKUP(B491,MERMA!B:B,MERMA!C:C,"No")</f>
        <v>No</v>
      </c>
      <c r="L491" s="15" t="str">
        <f>+_xlfn.XLOOKUP(B491,MERMA!B:B,MERMA!D:D,"No es merma")</f>
        <v>No es merma</v>
      </c>
    </row>
    <row r="492" spans="1:12" s="15" hidden="1" x14ac:dyDescent="0.35">
      <c r="A492" s="502">
        <v>100080917</v>
      </c>
      <c r="B492" s="502">
        <v>75045135</v>
      </c>
      <c r="C492" s="502" t="s">
        <v>532</v>
      </c>
      <c r="D492" s="502" t="s">
        <v>32</v>
      </c>
      <c r="E492" s="503" t="s">
        <v>33</v>
      </c>
      <c r="F492" s="502" t="s">
        <v>46</v>
      </c>
      <c r="G492" s="502" t="s">
        <v>35</v>
      </c>
      <c r="H492" s="502" t="s">
        <v>36</v>
      </c>
      <c r="I492" s="502" t="s">
        <v>247</v>
      </c>
      <c r="J492" s="15" t="str">
        <f>+_xlfn.XLOOKUP(B492,INNOVACIÓN!A:A,INNOVACIÓN!B:B,"NO")</f>
        <v>NO</v>
      </c>
      <c r="K492" s="15" t="str">
        <f>+_xlfn.XLOOKUP(B492,MERMA!B:B,MERMA!C:C,"No")</f>
        <v>SI</v>
      </c>
      <c r="L492" s="15">
        <f>+_xlfn.XLOOKUP(B492,MERMA!B:B,MERMA!D:D,"No es merma")</f>
        <v>2025</v>
      </c>
    </row>
    <row r="493" spans="1:12" s="15" hidden="1" x14ac:dyDescent="0.35">
      <c r="A493" s="502">
        <v>100080184</v>
      </c>
      <c r="B493" s="505">
        <v>8308315</v>
      </c>
      <c r="C493" s="502" t="s">
        <v>533</v>
      </c>
      <c r="D493" s="503" t="s">
        <v>32</v>
      </c>
      <c r="E493" s="503" t="s">
        <v>33</v>
      </c>
      <c r="F493" s="502" t="s">
        <v>46</v>
      </c>
      <c r="G493" s="502" t="s">
        <v>35</v>
      </c>
      <c r="H493" s="502" t="s">
        <v>36</v>
      </c>
      <c r="I493" s="502" t="s">
        <v>247</v>
      </c>
      <c r="J493" s="15" t="str">
        <f>+_xlfn.XLOOKUP(B493,INNOVACIÓN!A:A,INNOVACIÓN!B:B,"NO")</f>
        <v>NO</v>
      </c>
      <c r="K493" s="15" t="str">
        <f>+_xlfn.XLOOKUP(B493,MERMA!B:B,MERMA!C:C,"No")</f>
        <v>SI</v>
      </c>
      <c r="L493" s="15">
        <f>+_xlfn.XLOOKUP(B493,MERMA!B:B,MERMA!D:D,"No es merma")</f>
        <v>2025</v>
      </c>
    </row>
    <row r="494" spans="1:12" s="15" hidden="1" x14ac:dyDescent="0.35">
      <c r="A494" s="502">
        <v>100080865</v>
      </c>
      <c r="B494" s="502">
        <v>75039370</v>
      </c>
      <c r="C494" s="502" t="s">
        <v>534</v>
      </c>
      <c r="D494" s="502" t="s">
        <v>32</v>
      </c>
      <c r="E494" s="503" t="s">
        <v>33</v>
      </c>
      <c r="F494" s="502" t="s">
        <v>46</v>
      </c>
      <c r="G494" s="502" t="s">
        <v>14</v>
      </c>
      <c r="H494" s="502" t="s">
        <v>36</v>
      </c>
      <c r="I494" s="502" t="s">
        <v>247</v>
      </c>
      <c r="J494" s="15" t="str">
        <f>+_xlfn.XLOOKUP(B494,INNOVACIÓN!A:A,INNOVACIÓN!B:B,"NO")</f>
        <v>NO</v>
      </c>
      <c r="K494" s="15" t="str">
        <f>+_xlfn.XLOOKUP(B494,MERMA!B:B,MERMA!C:C,"No")</f>
        <v>SI</v>
      </c>
      <c r="L494" s="15">
        <f>+_xlfn.XLOOKUP(B494,MERMA!B:B,MERMA!D:D,"No es merma")</f>
        <v>2025</v>
      </c>
    </row>
    <row r="495" spans="1:12" s="15" hidden="1" x14ac:dyDescent="0.35">
      <c r="A495" s="502">
        <v>100080895</v>
      </c>
      <c r="B495" s="502">
        <v>75043230</v>
      </c>
      <c r="C495" s="502" t="s">
        <v>535</v>
      </c>
      <c r="D495" s="502" t="s">
        <v>32</v>
      </c>
      <c r="E495" s="503" t="s">
        <v>33</v>
      </c>
      <c r="F495" s="502" t="s">
        <v>46</v>
      </c>
      <c r="G495" s="502" t="s">
        <v>14</v>
      </c>
      <c r="H495" s="502" t="s">
        <v>36</v>
      </c>
      <c r="I495" s="502" t="s">
        <v>247</v>
      </c>
      <c r="J495" s="15" t="str">
        <f>+_xlfn.XLOOKUP(B495,INNOVACIÓN!A:A,INNOVACIÓN!B:B,"NO")</f>
        <v>NO</v>
      </c>
      <c r="K495" s="15" t="str">
        <f>+_xlfn.XLOOKUP(B495,MERMA!B:B,MERMA!C:C,"No")</f>
        <v>SI</v>
      </c>
      <c r="L495" s="15">
        <f>+_xlfn.XLOOKUP(B495,MERMA!B:B,MERMA!D:D,"No es merma")</f>
        <v>2025</v>
      </c>
    </row>
    <row r="496" spans="1:12" s="15" hidden="1" x14ac:dyDescent="0.35">
      <c r="A496" s="502">
        <v>100080695</v>
      </c>
      <c r="B496" s="505">
        <v>8338918</v>
      </c>
      <c r="C496" s="502" t="s">
        <v>536</v>
      </c>
      <c r="D496" s="503" t="s">
        <v>32</v>
      </c>
      <c r="E496" s="503" t="s">
        <v>33</v>
      </c>
      <c r="F496" s="502" t="s">
        <v>46</v>
      </c>
      <c r="G496" s="502" t="s">
        <v>35</v>
      </c>
      <c r="H496" s="502" t="s">
        <v>36</v>
      </c>
      <c r="I496" s="502" t="s">
        <v>247</v>
      </c>
      <c r="J496" s="15" t="str">
        <f>+_xlfn.XLOOKUP(B496,INNOVACIÓN!A:A,INNOVACIÓN!B:B,"NO")</f>
        <v>NO</v>
      </c>
      <c r="K496" s="15" t="str">
        <f>+_xlfn.XLOOKUP(B496,MERMA!B:B,MERMA!C:C,"No")</f>
        <v>SI</v>
      </c>
      <c r="L496" s="15">
        <f>+_xlfn.XLOOKUP(B496,MERMA!B:B,MERMA!D:D,"No es merma")</f>
        <v>2025</v>
      </c>
    </row>
    <row r="497" spans="1:12" s="15" hidden="1" x14ac:dyDescent="0.35">
      <c r="A497" s="502">
        <v>100014240</v>
      </c>
      <c r="B497" s="505">
        <v>7503023959025</v>
      </c>
      <c r="C497" s="502" t="s">
        <v>537</v>
      </c>
      <c r="D497" s="503" t="s">
        <v>32</v>
      </c>
      <c r="E497" s="503" t="s">
        <v>33</v>
      </c>
      <c r="F497" s="502" t="s">
        <v>46</v>
      </c>
      <c r="G497" s="502" t="s">
        <v>35</v>
      </c>
      <c r="H497" s="502" t="s">
        <v>36</v>
      </c>
      <c r="I497" s="502" t="s">
        <v>247</v>
      </c>
      <c r="J497" s="15" t="str">
        <f>+_xlfn.XLOOKUP(B497,INNOVACIÓN!A:A,INNOVACIÓN!B:B,"NO")</f>
        <v>NO</v>
      </c>
      <c r="K497" s="15" t="str">
        <f>+_xlfn.XLOOKUP(B497,MERMA!B:B,MERMA!C:C,"No")</f>
        <v>No</v>
      </c>
      <c r="L497" s="15" t="str">
        <f>+_xlfn.XLOOKUP(B497,MERMA!B:B,MERMA!D:D,"No es merma")</f>
        <v>No es merma</v>
      </c>
    </row>
    <row r="498" spans="1:12" s="15" hidden="1" x14ac:dyDescent="0.35">
      <c r="A498" s="502">
        <v>100014242</v>
      </c>
      <c r="B498" s="505">
        <v>7503023959117</v>
      </c>
      <c r="C498" s="502" t="s">
        <v>538</v>
      </c>
      <c r="D498" s="503" t="s">
        <v>32</v>
      </c>
      <c r="E498" s="503" t="s">
        <v>33</v>
      </c>
      <c r="F498" s="502" t="s">
        <v>46</v>
      </c>
      <c r="G498" s="502" t="s">
        <v>14</v>
      </c>
      <c r="H498" s="502" t="s">
        <v>36</v>
      </c>
      <c r="I498" s="502" t="s">
        <v>247</v>
      </c>
      <c r="J498" s="15" t="str">
        <f>+_xlfn.XLOOKUP(B498,INNOVACIÓN!A:A,INNOVACIÓN!B:B,"NO")</f>
        <v>NO</v>
      </c>
      <c r="K498" s="15" t="str">
        <f>+_xlfn.XLOOKUP(B498,MERMA!B:B,MERMA!C:C,"No")</f>
        <v>No</v>
      </c>
      <c r="L498" s="15" t="str">
        <f>+_xlfn.XLOOKUP(B498,MERMA!B:B,MERMA!D:D,"No es merma")</f>
        <v>No es merma</v>
      </c>
    </row>
    <row r="499" spans="1:12" s="15" hidden="1" x14ac:dyDescent="0.35">
      <c r="A499" s="502">
        <v>100014243</v>
      </c>
      <c r="B499" s="505">
        <v>7503023959131</v>
      </c>
      <c r="C499" s="502" t="s">
        <v>539</v>
      </c>
      <c r="D499" s="503" t="s">
        <v>32</v>
      </c>
      <c r="E499" s="503" t="s">
        <v>33</v>
      </c>
      <c r="F499" s="502" t="s">
        <v>46</v>
      </c>
      <c r="G499" s="502" t="s">
        <v>35</v>
      </c>
      <c r="H499" s="502" t="s">
        <v>36</v>
      </c>
      <c r="I499" s="502" t="s">
        <v>247</v>
      </c>
      <c r="J499" s="15" t="str">
        <f>+_xlfn.XLOOKUP(B499,INNOVACIÓN!A:A,INNOVACIÓN!B:B,"NO")</f>
        <v>NO</v>
      </c>
      <c r="K499" s="15" t="str">
        <f>+_xlfn.XLOOKUP(B499,MERMA!B:B,MERMA!C:C,"No")</f>
        <v>No</v>
      </c>
      <c r="L499" s="15" t="str">
        <f>+_xlfn.XLOOKUP(B499,MERMA!B:B,MERMA!D:D,"No es merma")</f>
        <v>No es merma</v>
      </c>
    </row>
    <row r="500" spans="1:12" s="15" hidden="1" x14ac:dyDescent="0.35">
      <c r="A500" s="503">
        <v>100020727</v>
      </c>
      <c r="B500" s="505">
        <v>75015725</v>
      </c>
      <c r="C500" s="503" t="s">
        <v>540</v>
      </c>
      <c r="D500" s="503" t="s">
        <v>11</v>
      </c>
      <c r="E500" s="503" t="s">
        <v>33</v>
      </c>
      <c r="F500" s="503" t="s">
        <v>46</v>
      </c>
      <c r="G500" s="503" t="s">
        <v>54</v>
      </c>
      <c r="H500" s="502" t="s">
        <v>36</v>
      </c>
      <c r="I500" s="502" t="s">
        <v>109</v>
      </c>
      <c r="J500" s="15" t="str">
        <f>+_xlfn.XLOOKUP(B500,INNOVACIÓN!A:A,INNOVACIÓN!B:B,"NO")</f>
        <v>NO</v>
      </c>
      <c r="K500" s="15" t="str">
        <f>+_xlfn.XLOOKUP(B500,MERMA!B:B,MERMA!C:C,"No")</f>
        <v>SI</v>
      </c>
      <c r="L500" s="15">
        <f>+_xlfn.XLOOKUP(B500,MERMA!B:B,MERMA!D:D,"No es merma")</f>
        <v>2025</v>
      </c>
    </row>
    <row r="501" spans="1:12" s="15" hidden="1" x14ac:dyDescent="0.35">
      <c r="A501" s="502">
        <v>100022210</v>
      </c>
      <c r="B501" s="505">
        <v>75012694</v>
      </c>
      <c r="C501" s="502" t="s">
        <v>541</v>
      </c>
      <c r="D501" s="503" t="s">
        <v>11</v>
      </c>
      <c r="E501" s="503" t="s">
        <v>33</v>
      </c>
      <c r="F501" s="503" t="s">
        <v>46</v>
      </c>
      <c r="G501" s="503" t="s">
        <v>14</v>
      </c>
      <c r="H501" s="502" t="s">
        <v>36</v>
      </c>
      <c r="I501" s="502" t="s">
        <v>109</v>
      </c>
      <c r="J501" s="15" t="str">
        <f>+_xlfn.XLOOKUP(B501,INNOVACIÓN!A:A,INNOVACIÓN!B:B,"NO")</f>
        <v>NO</v>
      </c>
      <c r="K501" s="15" t="str">
        <f>+_xlfn.XLOOKUP(B501,MERMA!B:B,MERMA!C:C,"No")</f>
        <v>SI</v>
      </c>
      <c r="L501" s="15">
        <f>+_xlfn.XLOOKUP(B501,MERMA!B:B,MERMA!D:D,"No es merma")</f>
        <v>2025</v>
      </c>
    </row>
    <row r="502" spans="1:12" s="15" hidden="1" x14ac:dyDescent="0.35">
      <c r="A502" s="502">
        <v>100020728</v>
      </c>
      <c r="B502" s="505">
        <v>75018825</v>
      </c>
      <c r="C502" s="502" t="s">
        <v>542</v>
      </c>
      <c r="D502" s="503" t="s">
        <v>11</v>
      </c>
      <c r="E502" s="503" t="s">
        <v>33</v>
      </c>
      <c r="F502" s="503" t="s">
        <v>46</v>
      </c>
      <c r="G502" s="503" t="s">
        <v>14</v>
      </c>
      <c r="H502" s="502" t="s">
        <v>36</v>
      </c>
      <c r="I502" s="502" t="s">
        <v>109</v>
      </c>
      <c r="J502" s="15" t="str">
        <f>+_xlfn.XLOOKUP(B502,INNOVACIÓN!A:A,INNOVACIÓN!B:B,"NO")</f>
        <v>NO</v>
      </c>
      <c r="K502" s="15" t="str">
        <f>+_xlfn.XLOOKUP(B502,MERMA!B:B,MERMA!C:C,"No")</f>
        <v>SI</v>
      </c>
      <c r="L502" s="15">
        <f>+_xlfn.XLOOKUP(B502,MERMA!B:B,MERMA!D:D,"No es merma")</f>
        <v>2025</v>
      </c>
    </row>
    <row r="503" spans="1:12" s="15" hidden="1" x14ac:dyDescent="0.35">
      <c r="A503" s="502">
        <v>100020729</v>
      </c>
      <c r="B503" s="505">
        <v>75012564</v>
      </c>
      <c r="C503" s="502" t="s">
        <v>543</v>
      </c>
      <c r="D503" s="503" t="s">
        <v>11</v>
      </c>
      <c r="E503" s="503" t="s">
        <v>33</v>
      </c>
      <c r="F503" s="503" t="s">
        <v>46</v>
      </c>
      <c r="G503" s="503" t="s">
        <v>14</v>
      </c>
      <c r="H503" s="502" t="s">
        <v>36</v>
      </c>
      <c r="I503" s="502" t="s">
        <v>109</v>
      </c>
      <c r="J503" s="15" t="str">
        <f>+_xlfn.XLOOKUP(B503,INNOVACIÓN!A:A,INNOVACIÓN!B:B,"NO")</f>
        <v>NO</v>
      </c>
      <c r="K503" s="15" t="str">
        <f>+_xlfn.XLOOKUP(B503,MERMA!B:B,MERMA!C:C,"No")</f>
        <v>SI</v>
      </c>
      <c r="L503" s="15">
        <f>+_xlfn.XLOOKUP(B503,MERMA!B:B,MERMA!D:D,"No es merma")</f>
        <v>2025</v>
      </c>
    </row>
    <row r="504" spans="1:12" s="15" hidden="1" x14ac:dyDescent="0.35">
      <c r="A504" s="502">
        <v>100015187</v>
      </c>
      <c r="B504" s="505">
        <v>75068752</v>
      </c>
      <c r="C504" s="502" t="s">
        <v>544</v>
      </c>
      <c r="D504" s="503" t="s">
        <v>11</v>
      </c>
      <c r="E504" s="503" t="s">
        <v>33</v>
      </c>
      <c r="F504" s="503" t="s">
        <v>39</v>
      </c>
      <c r="G504" s="503" t="s">
        <v>71</v>
      </c>
      <c r="H504" s="502" t="s">
        <v>36</v>
      </c>
      <c r="I504" s="502" t="s">
        <v>109</v>
      </c>
      <c r="J504" s="15" t="str">
        <f>+_xlfn.XLOOKUP(B504,INNOVACIÓN!A:A,INNOVACIÓN!B:B,"NO")</f>
        <v>NO</v>
      </c>
      <c r="K504" s="15" t="str">
        <f>+_xlfn.XLOOKUP(B504,MERMA!B:B,MERMA!C:C,"No")</f>
        <v>No</v>
      </c>
      <c r="L504" s="15" t="str">
        <f>+_xlfn.XLOOKUP(B504,MERMA!B:B,MERMA!D:D,"No es merma")</f>
        <v>No es merma</v>
      </c>
    </row>
    <row r="505" spans="1:12" s="15" hidden="1" x14ac:dyDescent="0.35">
      <c r="A505" s="502">
        <v>100014718</v>
      </c>
      <c r="B505" s="505">
        <v>75068806</v>
      </c>
      <c r="C505" s="502" t="s">
        <v>545</v>
      </c>
      <c r="D505" s="502" t="s">
        <v>11</v>
      </c>
      <c r="E505" s="503" t="s">
        <v>33</v>
      </c>
      <c r="F505" s="503" t="s">
        <v>39</v>
      </c>
      <c r="G505" s="502" t="s">
        <v>71</v>
      </c>
      <c r="H505" s="502" t="s">
        <v>36</v>
      </c>
      <c r="I505" s="502" t="s">
        <v>109</v>
      </c>
      <c r="J505" s="15" t="str">
        <f>+_xlfn.XLOOKUP(B505,INNOVACIÓN!A:A,INNOVACIÓN!B:B,"NO")</f>
        <v>NO</v>
      </c>
      <c r="K505" s="15" t="str">
        <f>+_xlfn.XLOOKUP(B505,MERMA!B:B,MERMA!C:C,"No")</f>
        <v>SI</v>
      </c>
      <c r="L505" s="15">
        <f>+_xlfn.XLOOKUP(B505,MERMA!B:B,MERMA!D:D,"No es merma")</f>
        <v>2025</v>
      </c>
    </row>
    <row r="506" spans="1:12" s="15" hidden="1" x14ac:dyDescent="0.35">
      <c r="A506" s="502">
        <v>100080033</v>
      </c>
      <c r="B506" s="505">
        <v>75001247</v>
      </c>
      <c r="C506" s="502" t="s">
        <v>546</v>
      </c>
      <c r="D506" s="503" t="s">
        <v>11</v>
      </c>
      <c r="E506" s="503" t="s">
        <v>33</v>
      </c>
      <c r="F506" s="503" t="s">
        <v>39</v>
      </c>
      <c r="G506" s="502" t="s">
        <v>54</v>
      </c>
      <c r="H506" s="502" t="s">
        <v>36</v>
      </c>
      <c r="I506" s="502" t="s">
        <v>109</v>
      </c>
      <c r="J506" s="15" t="str">
        <f>+_xlfn.XLOOKUP(B506,INNOVACIÓN!A:A,INNOVACIÓN!B:B,"NO")</f>
        <v>NO</v>
      </c>
      <c r="K506" s="15" t="str">
        <f>+_xlfn.XLOOKUP(B506,MERMA!B:B,MERMA!C:C,"No")</f>
        <v>No</v>
      </c>
      <c r="L506" s="15" t="str">
        <f>+_xlfn.XLOOKUP(B506,MERMA!B:B,MERMA!D:D,"No es merma")</f>
        <v>No es merma</v>
      </c>
    </row>
    <row r="507" spans="1:12" s="15" hidden="1" x14ac:dyDescent="0.35">
      <c r="A507" s="502">
        <v>100080862</v>
      </c>
      <c r="B507" s="505">
        <v>75038007</v>
      </c>
      <c r="C507" s="502" t="s">
        <v>547</v>
      </c>
      <c r="D507" s="502" t="s">
        <v>11</v>
      </c>
      <c r="E507" s="503" t="s">
        <v>33</v>
      </c>
      <c r="F507" s="502" t="s">
        <v>39</v>
      </c>
      <c r="G507" s="502" t="s">
        <v>54</v>
      </c>
      <c r="H507" s="502" t="s">
        <v>36</v>
      </c>
      <c r="I507" s="502" t="s">
        <v>109</v>
      </c>
      <c r="J507" s="15" t="str">
        <f>+_xlfn.XLOOKUP(B507,INNOVACIÓN!A:A,INNOVACIÓN!B:B,"NO")</f>
        <v>NO</v>
      </c>
      <c r="K507" s="15" t="str">
        <f>+_xlfn.XLOOKUP(B507,MERMA!B:B,MERMA!C:C,"No")</f>
        <v>SI</v>
      </c>
      <c r="L507" s="15">
        <f>+_xlfn.XLOOKUP(B507,MERMA!B:B,MERMA!D:D,"No es merma")</f>
        <v>2025</v>
      </c>
    </row>
    <row r="508" spans="1:12" s="15" hidden="1" x14ac:dyDescent="0.35">
      <c r="A508" s="15">
        <v>100080439</v>
      </c>
      <c r="B508" s="505">
        <v>75016760</v>
      </c>
      <c r="C508" s="15" t="s">
        <v>548</v>
      </c>
      <c r="D508" s="502" t="s">
        <v>11</v>
      </c>
      <c r="E508" s="503" t="s">
        <v>33</v>
      </c>
      <c r="F508" s="502" t="s">
        <v>39</v>
      </c>
      <c r="G508" s="502" t="s">
        <v>71</v>
      </c>
      <c r="H508" s="502" t="s">
        <v>36</v>
      </c>
      <c r="I508" s="502" t="s">
        <v>109</v>
      </c>
      <c r="J508" s="15" t="str">
        <f>+_xlfn.XLOOKUP(B508,INNOVACIÓN!A:A,INNOVACIÓN!B:B,"NO")</f>
        <v>NO</v>
      </c>
      <c r="K508" s="15" t="str">
        <f>+_xlfn.XLOOKUP(B508,MERMA!B:B,MERMA!C:C,"No")</f>
        <v>No</v>
      </c>
      <c r="L508" s="15" t="str">
        <f>+_xlfn.XLOOKUP(B508,MERMA!B:B,MERMA!D:D,"No es merma")</f>
        <v>No es merma</v>
      </c>
    </row>
    <row r="509" spans="1:12" s="15" hidden="1" x14ac:dyDescent="0.35">
      <c r="A509" s="502">
        <v>100080861</v>
      </c>
      <c r="B509" s="505">
        <v>75037994</v>
      </c>
      <c r="C509" s="502" t="s">
        <v>549</v>
      </c>
      <c r="D509" s="503" t="s">
        <v>11</v>
      </c>
      <c r="E509" s="503" t="s">
        <v>33</v>
      </c>
      <c r="F509" s="503" t="s">
        <v>39</v>
      </c>
      <c r="G509" s="503" t="s">
        <v>71</v>
      </c>
      <c r="H509" s="502" t="s">
        <v>36</v>
      </c>
      <c r="I509" s="502" t="s">
        <v>109</v>
      </c>
      <c r="J509" s="15" t="str">
        <f>+_xlfn.XLOOKUP(B509,INNOVACIÓN!A:A,INNOVACIÓN!B:B,"NO")</f>
        <v>NO</v>
      </c>
      <c r="K509" s="15" t="str">
        <f>+_xlfn.XLOOKUP(B509,MERMA!B:B,MERMA!C:C,"No")</f>
        <v>SI</v>
      </c>
      <c r="L509" s="15">
        <f>+_xlfn.XLOOKUP(B509,MERMA!B:B,MERMA!D:D,"No es merma")</f>
        <v>2025</v>
      </c>
    </row>
    <row r="510" spans="1:12" s="15" hidden="1" x14ac:dyDescent="0.35">
      <c r="A510" s="502">
        <v>100080031</v>
      </c>
      <c r="B510" s="505">
        <v>75001254</v>
      </c>
      <c r="C510" s="502" t="s">
        <v>550</v>
      </c>
      <c r="D510" s="503" t="s">
        <v>11</v>
      </c>
      <c r="E510" s="503" t="s">
        <v>33</v>
      </c>
      <c r="F510" s="503" t="s">
        <v>39</v>
      </c>
      <c r="G510" s="503" t="s">
        <v>71</v>
      </c>
      <c r="H510" s="502" t="s">
        <v>36</v>
      </c>
      <c r="I510" s="502" t="s">
        <v>109</v>
      </c>
      <c r="J510" s="15" t="str">
        <f>+_xlfn.XLOOKUP(B510,INNOVACIÓN!A:A,INNOVACIÓN!B:B,"NO")</f>
        <v>NO</v>
      </c>
      <c r="K510" s="15" t="str">
        <f>+_xlfn.XLOOKUP(B510,MERMA!B:B,MERMA!C:C,"No")</f>
        <v>SI</v>
      </c>
      <c r="L510" s="15">
        <f>+_xlfn.XLOOKUP(B510,MERMA!B:B,MERMA!D:D,"No es merma")</f>
        <v>2025</v>
      </c>
    </row>
    <row r="511" spans="1:12" s="15" hidden="1" x14ac:dyDescent="0.35">
      <c r="A511" s="502">
        <v>100080926</v>
      </c>
      <c r="B511" s="505">
        <v>75045692</v>
      </c>
      <c r="C511" s="502" t="s">
        <v>551</v>
      </c>
      <c r="D511" s="502" t="s">
        <v>11</v>
      </c>
      <c r="E511" s="503" t="s">
        <v>33</v>
      </c>
      <c r="F511" s="502" t="s">
        <v>39</v>
      </c>
      <c r="G511" s="502" t="s">
        <v>54</v>
      </c>
      <c r="H511" s="502" t="s">
        <v>36</v>
      </c>
      <c r="I511" s="502" t="s">
        <v>109</v>
      </c>
      <c r="J511" s="15" t="str">
        <f>+_xlfn.XLOOKUP(B511,INNOVACIÓN!A:A,INNOVACIÓN!B:B,"NO")</f>
        <v>NO</v>
      </c>
      <c r="K511" s="15" t="str">
        <f>+_xlfn.XLOOKUP(B511,MERMA!B:B,MERMA!C:C,"No")</f>
        <v>No</v>
      </c>
      <c r="L511" s="15" t="str">
        <f>+_xlfn.XLOOKUP(B511,MERMA!B:B,MERMA!D:D,"No es merma")</f>
        <v>No es merma</v>
      </c>
    </row>
    <row r="512" spans="1:12" s="15" hidden="1" x14ac:dyDescent="0.35">
      <c r="A512" s="503">
        <v>100022054</v>
      </c>
      <c r="B512" s="504">
        <v>7503023959438</v>
      </c>
      <c r="C512" s="503" t="s">
        <v>552</v>
      </c>
      <c r="D512" s="503" t="s">
        <v>32</v>
      </c>
      <c r="E512" s="503" t="s">
        <v>33</v>
      </c>
      <c r="F512" s="503" t="s">
        <v>609</v>
      </c>
      <c r="G512" s="503" t="s">
        <v>14</v>
      </c>
      <c r="H512" s="502" t="s">
        <v>36</v>
      </c>
      <c r="I512" s="502" t="s">
        <v>247</v>
      </c>
      <c r="J512" s="15" t="str">
        <f>+_xlfn.XLOOKUP(B512,INNOVACIÓN!A:A,INNOVACIÓN!B:B,"NO")</f>
        <v>SI</v>
      </c>
      <c r="K512" s="15" t="str">
        <f>+_xlfn.XLOOKUP(B512,MERMA!B:B,MERMA!C:C,"No")</f>
        <v>SI</v>
      </c>
      <c r="L512" s="15">
        <f>+_xlfn.XLOOKUP(B512,MERMA!B:B,MERMA!D:D,"No es merma")</f>
        <v>2025</v>
      </c>
    </row>
    <row r="513" spans="1:12" s="15" hidden="1" x14ac:dyDescent="0.35">
      <c r="A513" s="15">
        <v>100026143</v>
      </c>
      <c r="B513" s="15">
        <v>75084011</v>
      </c>
      <c r="C513" s="15" t="s">
        <v>553</v>
      </c>
      <c r="D513" s="503" t="s">
        <v>11</v>
      </c>
      <c r="E513" s="503" t="s">
        <v>74</v>
      </c>
      <c r="F513" s="503" t="s">
        <v>41</v>
      </c>
      <c r="G513" s="503" t="s">
        <v>75</v>
      </c>
      <c r="H513" s="502" t="s">
        <v>70</v>
      </c>
      <c r="I513" s="502" t="s">
        <v>16</v>
      </c>
      <c r="J513" s="15" t="str">
        <f>+_xlfn.XLOOKUP(B513,INNOVACIÓN!A:A,INNOVACIÓN!B:B,"NO")</f>
        <v>NO</v>
      </c>
      <c r="K513" s="15" t="str">
        <f>+_xlfn.XLOOKUP(B513,MERMA!B:B,MERMA!C:C,"No")</f>
        <v>No</v>
      </c>
      <c r="L513" s="15" t="str">
        <f>+_xlfn.XLOOKUP(B513,MERMA!B:B,MERMA!D:D,"No es merma")</f>
        <v>No es merma</v>
      </c>
    </row>
    <row r="514" spans="1:12" s="15" hidden="1" x14ac:dyDescent="0.35">
      <c r="A514" s="15">
        <v>100024418</v>
      </c>
      <c r="B514" s="506">
        <v>7702303253338</v>
      </c>
      <c r="C514" s="15" t="s">
        <v>554</v>
      </c>
      <c r="D514" s="502" t="s">
        <v>44</v>
      </c>
      <c r="E514" s="502" t="s">
        <v>146</v>
      </c>
      <c r="F514" s="502" t="s">
        <v>13</v>
      </c>
      <c r="G514" s="503" t="s">
        <v>14</v>
      </c>
      <c r="H514" s="502" t="s">
        <v>15</v>
      </c>
      <c r="I514" s="502" t="s">
        <v>16</v>
      </c>
      <c r="J514" s="15" t="str">
        <f>+_xlfn.XLOOKUP(B514,INNOVACIÓN!A:A,INNOVACIÓN!B:B,"NO")</f>
        <v>NO</v>
      </c>
      <c r="K514" s="15" t="str">
        <f>+_xlfn.XLOOKUP(B514,MERMA!B:B,MERMA!C:C,"No")</f>
        <v>No</v>
      </c>
      <c r="L514" s="15" t="str">
        <f>+_xlfn.XLOOKUP(B514,MERMA!B:B,MERMA!D:D,"No es merma")</f>
        <v>No es merma</v>
      </c>
    </row>
    <row r="515" spans="1:12" s="15" hidden="1" x14ac:dyDescent="0.35">
      <c r="A515" s="15">
        <v>100026302</v>
      </c>
      <c r="B515" s="506">
        <v>7503039738553</v>
      </c>
      <c r="C515" s="15" t="s">
        <v>555</v>
      </c>
      <c r="D515" s="503" t="s">
        <v>44</v>
      </c>
      <c r="E515" s="503" t="s">
        <v>146</v>
      </c>
      <c r="F515" s="503" t="s">
        <v>13</v>
      </c>
      <c r="G515" s="503" t="s">
        <v>14</v>
      </c>
      <c r="H515" s="502" t="s">
        <v>15</v>
      </c>
      <c r="I515" s="502" t="s">
        <v>16</v>
      </c>
      <c r="J515" s="15" t="str">
        <f>+_xlfn.XLOOKUP(B515,INNOVACIÓN!A:A,INNOVACIÓN!B:B,"NO")</f>
        <v>NO</v>
      </c>
      <c r="K515" s="15" t="str">
        <f>+_xlfn.XLOOKUP(B515,MERMA!B:B,MERMA!C:C,"No")</f>
        <v>No</v>
      </c>
      <c r="L515" s="15" t="str">
        <f>+_xlfn.XLOOKUP(B515,MERMA!B:B,MERMA!D:D,"No es merma")</f>
        <v>No es merma</v>
      </c>
    </row>
    <row r="516" spans="1:12" s="15" hidden="1" x14ac:dyDescent="0.35">
      <c r="A516" s="15">
        <v>100025296</v>
      </c>
      <c r="B516" s="506">
        <v>7503039738409</v>
      </c>
      <c r="C516" s="15" t="s">
        <v>556</v>
      </c>
      <c r="D516" s="503" t="s">
        <v>44</v>
      </c>
      <c r="E516" s="15" t="s">
        <v>33</v>
      </c>
      <c r="F516" s="502" t="s">
        <v>13</v>
      </c>
      <c r="G516" s="503" t="s">
        <v>14</v>
      </c>
      <c r="H516" s="502" t="s">
        <v>15</v>
      </c>
      <c r="I516" s="502" t="s">
        <v>109</v>
      </c>
      <c r="J516" s="15" t="str">
        <f>+_xlfn.XLOOKUP(B516,INNOVACIÓN!A:A,INNOVACIÓN!B:B,"NO")</f>
        <v>NO</v>
      </c>
      <c r="K516" s="15" t="str">
        <f>+_xlfn.XLOOKUP(B516,MERMA!B:B,MERMA!C:C,"No")</f>
        <v>No</v>
      </c>
      <c r="L516" s="15" t="str">
        <f>+_xlfn.XLOOKUP(B516,MERMA!B:B,MERMA!D:D,"No es merma")</f>
        <v>No es merma</v>
      </c>
    </row>
    <row r="517" spans="1:12" s="15" hidden="1" x14ac:dyDescent="0.35">
      <c r="A517" s="15">
        <v>100026069</v>
      </c>
      <c r="B517" s="506">
        <v>7503039738430</v>
      </c>
      <c r="C517" s="15" t="s">
        <v>557</v>
      </c>
      <c r="D517" s="503" t="s">
        <v>44</v>
      </c>
      <c r="E517" s="503" t="s">
        <v>146</v>
      </c>
      <c r="F517" s="502" t="s">
        <v>13</v>
      </c>
      <c r="G517" s="503" t="s">
        <v>14</v>
      </c>
      <c r="H517" s="503" t="s">
        <v>15</v>
      </c>
      <c r="I517" s="502" t="s">
        <v>16</v>
      </c>
      <c r="J517" s="15" t="str">
        <f>+_xlfn.XLOOKUP(B517,INNOVACIÓN!A:A,INNOVACIÓN!B:B,"NO")</f>
        <v>NO</v>
      </c>
      <c r="K517" s="15" t="str">
        <f>+_xlfn.XLOOKUP(B517,MERMA!B:B,MERMA!C:C,"No")</f>
        <v>No</v>
      </c>
      <c r="L517" s="15" t="str">
        <f>+_xlfn.XLOOKUP(B517,MERMA!B:B,MERMA!D:D,"No es merma")</f>
        <v>No es merma</v>
      </c>
    </row>
    <row r="518" spans="1:12" s="15" hidden="1" x14ac:dyDescent="0.35">
      <c r="A518" s="15">
        <v>100024415</v>
      </c>
      <c r="B518" s="506">
        <v>7702303630924</v>
      </c>
      <c r="C518" s="15" t="s">
        <v>558</v>
      </c>
      <c r="D518" s="502" t="s">
        <v>44</v>
      </c>
      <c r="E518" s="502" t="s">
        <v>146</v>
      </c>
      <c r="F518" s="502" t="s">
        <v>13</v>
      </c>
      <c r="G518" s="503" t="s">
        <v>14</v>
      </c>
      <c r="H518" s="502" t="s">
        <v>15</v>
      </c>
      <c r="I518" s="502" t="s">
        <v>16</v>
      </c>
      <c r="J518" s="15" t="str">
        <f>+_xlfn.XLOOKUP(B518,INNOVACIÓN!A:A,INNOVACIÓN!B:B,"NO")</f>
        <v>NO</v>
      </c>
      <c r="K518" s="15" t="str">
        <f>+_xlfn.XLOOKUP(B518,MERMA!B:B,MERMA!C:C,"No")</f>
        <v>No</v>
      </c>
      <c r="L518" s="15" t="str">
        <f>+_xlfn.XLOOKUP(B518,MERMA!B:B,MERMA!D:D,"No es merma")</f>
        <v>No es merma</v>
      </c>
    </row>
    <row r="519" spans="1:12" s="15" hidden="1" x14ac:dyDescent="0.35">
      <c r="A519" s="15">
        <v>100026074</v>
      </c>
      <c r="B519" s="506">
        <v>7503039738522</v>
      </c>
      <c r="C519" s="15" t="s">
        <v>559</v>
      </c>
      <c r="D519" s="503" t="s">
        <v>44</v>
      </c>
      <c r="E519" s="503" t="s">
        <v>146</v>
      </c>
      <c r="F519" s="502" t="s">
        <v>13</v>
      </c>
      <c r="G519" s="503" t="s">
        <v>14</v>
      </c>
      <c r="H519" s="503" t="s">
        <v>15</v>
      </c>
      <c r="I519" s="502" t="s">
        <v>16</v>
      </c>
      <c r="J519" s="15" t="str">
        <f>+_xlfn.XLOOKUP(B519,INNOVACIÓN!A:A,INNOVACIÓN!B:B,"NO")</f>
        <v>NO</v>
      </c>
      <c r="K519" s="15" t="str">
        <f>+_xlfn.XLOOKUP(B519,MERMA!B:B,MERMA!C:C,"No")</f>
        <v>No</v>
      </c>
      <c r="L519" s="15" t="str">
        <f>+_xlfn.XLOOKUP(B519,MERMA!B:B,MERMA!D:D,"No es merma")</f>
        <v>No es merma</v>
      </c>
    </row>
    <row r="520" spans="1:12" s="15" hidden="1" x14ac:dyDescent="0.35">
      <c r="A520" s="15">
        <v>100024416</v>
      </c>
      <c r="B520" s="506">
        <v>7702303813235</v>
      </c>
      <c r="C520" s="15" t="s">
        <v>560</v>
      </c>
      <c r="D520" s="502" t="s">
        <v>44</v>
      </c>
      <c r="E520" s="502" t="s">
        <v>146</v>
      </c>
      <c r="F520" s="502" t="s">
        <v>13</v>
      </c>
      <c r="G520" s="503" t="s">
        <v>14</v>
      </c>
      <c r="H520" s="502" t="s">
        <v>15</v>
      </c>
      <c r="I520" s="502" t="s">
        <v>16</v>
      </c>
      <c r="J520" s="15" t="str">
        <f>+_xlfn.XLOOKUP(B520,INNOVACIÓN!A:A,INNOVACIÓN!B:B,"NO")</f>
        <v>NO</v>
      </c>
      <c r="K520" s="15" t="str">
        <f>+_xlfn.XLOOKUP(B520,MERMA!B:B,MERMA!C:C,"No")</f>
        <v>No</v>
      </c>
      <c r="L520" s="15" t="str">
        <f>+_xlfn.XLOOKUP(B520,MERMA!B:B,MERMA!D:D,"No es merma")</f>
        <v>No es merma</v>
      </c>
    </row>
    <row r="521" spans="1:12" s="15" hidden="1" x14ac:dyDescent="0.35">
      <c r="A521" s="15">
        <v>100026304</v>
      </c>
      <c r="B521" s="506">
        <v>7503039738560</v>
      </c>
      <c r="C521" s="15" t="s">
        <v>561</v>
      </c>
      <c r="D521" s="503" t="s">
        <v>44</v>
      </c>
      <c r="E521" s="503" t="s">
        <v>33</v>
      </c>
      <c r="F521" s="503" t="s">
        <v>13</v>
      </c>
      <c r="G521" s="503" t="s">
        <v>14</v>
      </c>
      <c r="H521" s="502" t="s">
        <v>15</v>
      </c>
      <c r="I521" s="502" t="s">
        <v>16</v>
      </c>
      <c r="J521" s="15" t="str">
        <f>+_xlfn.XLOOKUP(B521,INNOVACIÓN!A:A,INNOVACIÓN!B:B,"NO")</f>
        <v>NO</v>
      </c>
      <c r="K521" s="15" t="str">
        <f>+_xlfn.XLOOKUP(B521,MERMA!B:B,MERMA!C:C,"No")</f>
        <v>No</v>
      </c>
      <c r="L521" s="15" t="str">
        <f>+_xlfn.XLOOKUP(B521,MERMA!B:B,MERMA!D:D,"No es merma")</f>
        <v>No es merma</v>
      </c>
    </row>
    <row r="522" spans="1:12" s="15" hidden="1" x14ac:dyDescent="0.35">
      <c r="A522" s="15">
        <v>100026383</v>
      </c>
      <c r="B522" s="506">
        <v>75084004</v>
      </c>
      <c r="C522" s="15" t="s">
        <v>562</v>
      </c>
      <c r="D522" s="502" t="s">
        <v>11</v>
      </c>
      <c r="E522" s="503" t="s">
        <v>33</v>
      </c>
      <c r="F522" s="503" t="s">
        <v>46</v>
      </c>
      <c r="G522" s="503" t="s">
        <v>75</v>
      </c>
      <c r="H522" s="502" t="s">
        <v>70</v>
      </c>
      <c r="I522" s="502" t="s">
        <v>16</v>
      </c>
      <c r="J522" s="15" t="str">
        <f>+_xlfn.XLOOKUP(B522,INNOVACIÓN!A:A,INNOVACIÓN!B:B,"NO")</f>
        <v>NO</v>
      </c>
      <c r="K522" s="15" t="str">
        <f>+_xlfn.XLOOKUP(B522,MERMA!B:B,MERMA!C:C,"No")</f>
        <v>No</v>
      </c>
      <c r="L522" s="15" t="str">
        <f>+_xlfn.XLOOKUP(B522,MERMA!B:B,MERMA!D:D,"No es merma")</f>
        <v>No es merma</v>
      </c>
    </row>
    <row r="523" spans="1:12" s="15" hidden="1" x14ac:dyDescent="0.35">
      <c r="A523" s="15">
        <v>100025292</v>
      </c>
      <c r="B523" s="506">
        <v>7503039738386</v>
      </c>
      <c r="C523" s="15" t="s">
        <v>563</v>
      </c>
      <c r="D523" s="503" t="s">
        <v>44</v>
      </c>
      <c r="E523" s="15" t="s">
        <v>33</v>
      </c>
      <c r="F523" s="502" t="s">
        <v>13</v>
      </c>
      <c r="G523" s="503" t="s">
        <v>14</v>
      </c>
      <c r="H523" s="502" t="s">
        <v>15</v>
      </c>
      <c r="I523" s="502" t="s">
        <v>109</v>
      </c>
      <c r="J523" s="15" t="str">
        <f>+_xlfn.XLOOKUP(B523,INNOVACIÓN!A:A,INNOVACIÓN!B:B,"NO")</f>
        <v>NO</v>
      </c>
      <c r="K523" s="15" t="str">
        <f>+_xlfn.XLOOKUP(B523,MERMA!B:B,MERMA!C:C,"No")</f>
        <v>No</v>
      </c>
      <c r="L523" s="15" t="str">
        <f>+_xlfn.XLOOKUP(B523,MERMA!B:B,MERMA!D:D,"No es merma")</f>
        <v>No es merma</v>
      </c>
    </row>
    <row r="524" spans="1:12" s="15" hidden="1" x14ac:dyDescent="0.35">
      <c r="A524" s="15">
        <v>100025895</v>
      </c>
      <c r="B524" s="506">
        <v>7503039738478</v>
      </c>
      <c r="C524" s="15" t="s">
        <v>564</v>
      </c>
      <c r="D524" s="503" t="s">
        <v>44</v>
      </c>
      <c r="E524" s="503" t="s">
        <v>146</v>
      </c>
      <c r="F524" s="502" t="s">
        <v>13</v>
      </c>
      <c r="G524" s="503" t="s">
        <v>14</v>
      </c>
      <c r="H524" s="502" t="s">
        <v>15</v>
      </c>
      <c r="I524" s="502" t="s">
        <v>16</v>
      </c>
      <c r="J524" s="15" t="str">
        <f>+_xlfn.XLOOKUP(B524,INNOVACIÓN!A:A,INNOVACIÓN!B:B,"NO")</f>
        <v>NO</v>
      </c>
      <c r="K524" s="15" t="str">
        <f>+_xlfn.XLOOKUP(B524,MERMA!B:B,MERMA!C:C,"No")</f>
        <v>No</v>
      </c>
      <c r="L524" s="15" t="str">
        <f>+_xlfn.XLOOKUP(B524,MERMA!B:B,MERMA!D:D,"No es merma")</f>
        <v>No es merma</v>
      </c>
    </row>
    <row r="525" spans="1:12" s="15" hidden="1" x14ac:dyDescent="0.35">
      <c r="A525" s="15">
        <v>100026382</v>
      </c>
      <c r="B525" s="506">
        <v>75085384</v>
      </c>
      <c r="C525" s="15" t="s">
        <v>565</v>
      </c>
      <c r="D525" s="502" t="s">
        <v>11</v>
      </c>
      <c r="E525" s="503" t="s">
        <v>161</v>
      </c>
      <c r="F525" s="503" t="s">
        <v>608</v>
      </c>
      <c r="G525" s="503" t="s">
        <v>71</v>
      </c>
      <c r="H525" s="502" t="s">
        <v>36</v>
      </c>
      <c r="I525" s="502" t="s">
        <v>16</v>
      </c>
      <c r="J525" s="15" t="str">
        <f>+_xlfn.XLOOKUP(B525,INNOVACIÓN!A:A,INNOVACIÓN!B:B,"NO")</f>
        <v>NO</v>
      </c>
      <c r="K525" s="15" t="str">
        <f>+_xlfn.XLOOKUP(B525,MERMA!B:B,MERMA!C:C,"No")</f>
        <v>No</v>
      </c>
      <c r="L525" s="15" t="str">
        <f>+_xlfn.XLOOKUP(B525,MERMA!B:B,MERMA!D:D,"No es merma")</f>
        <v>No es merma</v>
      </c>
    </row>
    <row r="526" spans="1:12" s="15" hidden="1" x14ac:dyDescent="0.35">
      <c r="A526" s="15">
        <v>100026305</v>
      </c>
      <c r="B526" s="506">
        <v>7503039738577</v>
      </c>
      <c r="C526" s="15" t="s">
        <v>566</v>
      </c>
      <c r="D526" s="503" t="s">
        <v>44</v>
      </c>
      <c r="E526" s="503" t="s">
        <v>33</v>
      </c>
      <c r="F526" s="503" t="s">
        <v>13</v>
      </c>
      <c r="G526" s="503" t="s">
        <v>14</v>
      </c>
      <c r="H526" s="502" t="s">
        <v>15</v>
      </c>
      <c r="I526" s="502" t="s">
        <v>16</v>
      </c>
      <c r="J526" s="15" t="str">
        <f>+_xlfn.XLOOKUP(B526,INNOVACIÓN!A:A,INNOVACIÓN!B:B,"NO")</f>
        <v>NO</v>
      </c>
      <c r="K526" s="15" t="str">
        <f>+_xlfn.XLOOKUP(B526,MERMA!B:B,MERMA!C:C,"No")</f>
        <v>No</v>
      </c>
      <c r="L526" s="15" t="str">
        <f>+_xlfn.XLOOKUP(B526,MERMA!B:B,MERMA!D:D,"No es merma")</f>
        <v>No es merma</v>
      </c>
    </row>
    <row r="527" spans="1:12" s="15" hidden="1" x14ac:dyDescent="0.35">
      <c r="A527" s="15">
        <v>100026380</v>
      </c>
      <c r="B527" s="506">
        <v>75086091</v>
      </c>
      <c r="C527" s="15" t="s">
        <v>567</v>
      </c>
      <c r="D527" s="502" t="s">
        <v>11</v>
      </c>
      <c r="E527" s="503" t="s">
        <v>161</v>
      </c>
      <c r="F527" s="503" t="s">
        <v>608</v>
      </c>
      <c r="G527" s="503" t="s">
        <v>71</v>
      </c>
      <c r="H527" s="502" t="s">
        <v>36</v>
      </c>
      <c r="I527" s="502" t="s">
        <v>16</v>
      </c>
      <c r="J527" s="15" t="str">
        <f>+_xlfn.XLOOKUP(B527,INNOVACIÓN!A:A,INNOVACIÓN!B:B,"NO")</f>
        <v>NO</v>
      </c>
      <c r="K527" s="15" t="str">
        <f>+_xlfn.XLOOKUP(B527,MERMA!B:B,MERMA!C:C,"No")</f>
        <v>No</v>
      </c>
      <c r="L527" s="15" t="str">
        <f>+_xlfn.XLOOKUP(B527,MERMA!B:B,MERMA!D:D,"No es merma")</f>
        <v>No es merma</v>
      </c>
    </row>
    <row r="528" spans="1:12" s="15" hidden="1" x14ac:dyDescent="0.35">
      <c r="A528" s="502">
        <v>100011672</v>
      </c>
      <c r="B528" s="505">
        <v>75063801</v>
      </c>
      <c r="C528" s="502" t="s">
        <v>568</v>
      </c>
      <c r="D528" s="503" t="s">
        <v>11</v>
      </c>
      <c r="E528" s="503" t="s">
        <v>161</v>
      </c>
      <c r="F528" s="503" t="s">
        <v>608</v>
      </c>
      <c r="G528" s="503" t="s">
        <v>54</v>
      </c>
      <c r="H528" s="502" t="s">
        <v>36</v>
      </c>
      <c r="I528" s="502" t="s">
        <v>16</v>
      </c>
      <c r="J528" s="15" t="str">
        <f>+_xlfn.XLOOKUP(B528,INNOVACIÓN!A:A,INNOVACIÓN!B:B,"NO")</f>
        <v>NO</v>
      </c>
      <c r="K528" s="15" t="str">
        <f>+_xlfn.XLOOKUP(B528,MERMA!B:B,MERMA!C:C,"No")</f>
        <v>No</v>
      </c>
      <c r="L528" s="15" t="str">
        <f>+_xlfn.XLOOKUP(B528,MERMA!B:B,MERMA!D:D,"No es merma")</f>
        <v>No es merma</v>
      </c>
    </row>
    <row r="529" spans="1:12" s="15" hidden="1" x14ac:dyDescent="0.35">
      <c r="A529" s="15">
        <v>100026471</v>
      </c>
      <c r="B529" s="506">
        <v>7622100510727</v>
      </c>
      <c r="C529" s="15" t="s">
        <v>569</v>
      </c>
      <c r="D529" s="503" t="s">
        <v>11</v>
      </c>
      <c r="E529" s="503" t="s">
        <v>242</v>
      </c>
      <c r="F529" s="502" t="s">
        <v>70</v>
      </c>
      <c r="G529" s="502" t="s">
        <v>239</v>
      </c>
      <c r="H529" s="502" t="s">
        <v>70</v>
      </c>
      <c r="I529" s="502" t="s">
        <v>16</v>
      </c>
      <c r="J529" s="15" t="str">
        <f>+_xlfn.XLOOKUP(B529,INNOVACIÓN!A:A,INNOVACIÓN!B:B,"NO")</f>
        <v>NO</v>
      </c>
      <c r="K529" s="15" t="str">
        <f>+_xlfn.XLOOKUP(B529,MERMA!B:B,MERMA!C:C,"No")</f>
        <v>No</v>
      </c>
      <c r="L529" s="15" t="str">
        <f>+_xlfn.XLOOKUP(B529,MERMA!B:B,MERMA!D:D,"No es merma")</f>
        <v>No es merma</v>
      </c>
    </row>
    <row r="530" spans="1:12" s="15" hidden="1" x14ac:dyDescent="0.35">
      <c r="A530" s="15">
        <v>100026467</v>
      </c>
      <c r="B530" s="506">
        <v>7622100511076</v>
      </c>
      <c r="C530" s="15" t="s">
        <v>570</v>
      </c>
      <c r="D530" s="503" t="s">
        <v>11</v>
      </c>
      <c r="E530" s="503" t="s">
        <v>242</v>
      </c>
      <c r="F530" s="502" t="s">
        <v>70</v>
      </c>
      <c r="G530" s="502" t="s">
        <v>239</v>
      </c>
      <c r="H530" s="502" t="s">
        <v>70</v>
      </c>
      <c r="I530" s="502" t="s">
        <v>16</v>
      </c>
      <c r="J530" s="15" t="str">
        <f>+_xlfn.XLOOKUP(B530,INNOVACIÓN!A:A,INNOVACIÓN!B:B,"NO")</f>
        <v>NO</v>
      </c>
      <c r="K530" s="15" t="str">
        <f>+_xlfn.XLOOKUP(B530,MERMA!B:B,MERMA!C:C,"No")</f>
        <v>No</v>
      </c>
      <c r="L530" s="15" t="str">
        <f>+_xlfn.XLOOKUP(B530,MERMA!B:B,MERMA!D:D,"No es merma")</f>
        <v>No es merma</v>
      </c>
    </row>
    <row r="531" spans="1:12" s="15" hidden="1" x14ac:dyDescent="0.35">
      <c r="A531" s="15">
        <v>100026473</v>
      </c>
      <c r="B531" s="506">
        <v>7622100510765</v>
      </c>
      <c r="C531" s="15" t="s">
        <v>571</v>
      </c>
      <c r="D531" s="503" t="s">
        <v>11</v>
      </c>
      <c r="E531" s="503" t="s">
        <v>242</v>
      </c>
      <c r="F531" s="502" t="s">
        <v>70</v>
      </c>
      <c r="G531" s="502" t="s">
        <v>239</v>
      </c>
      <c r="H531" s="502" t="s">
        <v>70</v>
      </c>
      <c r="I531" s="502" t="s">
        <v>16</v>
      </c>
      <c r="J531" s="15" t="str">
        <f>+_xlfn.XLOOKUP(B531,INNOVACIÓN!A:A,INNOVACIÓN!B:B,"NO")</f>
        <v>NO</v>
      </c>
      <c r="K531" s="15" t="str">
        <f>+_xlfn.XLOOKUP(B531,MERMA!B:B,MERMA!C:C,"No")</f>
        <v>No</v>
      </c>
      <c r="L531" s="15" t="str">
        <f>+_xlfn.XLOOKUP(B531,MERMA!B:B,MERMA!D:D,"No es merma")</f>
        <v>No es merma</v>
      </c>
    </row>
    <row r="532" spans="1:12" s="15" hidden="1" x14ac:dyDescent="0.35">
      <c r="A532" s="15">
        <v>100026616</v>
      </c>
      <c r="B532" s="506">
        <v>7622100511038</v>
      </c>
      <c r="C532" s="15" t="s">
        <v>587</v>
      </c>
      <c r="D532" s="503" t="s">
        <v>11</v>
      </c>
      <c r="E532" s="503" t="s">
        <v>242</v>
      </c>
      <c r="F532" s="502" t="s">
        <v>70</v>
      </c>
      <c r="G532" s="502" t="s">
        <v>239</v>
      </c>
      <c r="H532" s="502" t="s">
        <v>70</v>
      </c>
      <c r="I532" s="502" t="s">
        <v>16</v>
      </c>
      <c r="J532" s="15" t="str">
        <f>+_xlfn.XLOOKUP(B532,INNOVACIÓN!A:A,INNOVACIÓN!B:B,"NO")</f>
        <v>NO</v>
      </c>
      <c r="K532" s="15" t="str">
        <f>+_xlfn.XLOOKUP(B532,MERMA!B:B,MERMA!C:C,"No")</f>
        <v>No</v>
      </c>
      <c r="L532" s="15" t="str">
        <f>+_xlfn.XLOOKUP(B532,MERMA!B:B,MERMA!D:D,"No es merma")</f>
        <v>No es merma</v>
      </c>
    </row>
    <row r="533" spans="1:12" s="15" x14ac:dyDescent="0.35">
      <c r="A533" s="15">
        <v>100026687</v>
      </c>
      <c r="B533" s="15">
        <v>75084585</v>
      </c>
      <c r="C533" s="15" t="s">
        <v>591</v>
      </c>
      <c r="D533" s="503" t="s">
        <v>44</v>
      </c>
      <c r="E533" s="503" t="s">
        <v>33</v>
      </c>
      <c r="F533" s="503" t="s">
        <v>46</v>
      </c>
      <c r="H533" s="502" t="s">
        <v>36</v>
      </c>
      <c r="I533" s="502" t="s">
        <v>16</v>
      </c>
      <c r="J533" s="15" t="str">
        <f>+_xlfn.XLOOKUP(B533,INNOVACIÓN!A:A,INNOVACIÓN!B:B,"NO")</f>
        <v>NO</v>
      </c>
      <c r="K533" s="15" t="str">
        <f>+_xlfn.XLOOKUP(B533,MERMA!B:B,MERMA!C:C,"No")</f>
        <v>No</v>
      </c>
      <c r="L533" s="15" t="str">
        <f>+_xlfn.XLOOKUP(B533,MERMA!B:B,MERMA!D:D,"No es merma")</f>
        <v>No es merma</v>
      </c>
    </row>
    <row r="534" spans="1:12" s="15" hidden="1" x14ac:dyDescent="0.35">
      <c r="A534" s="15">
        <v>100026688</v>
      </c>
      <c r="B534" s="15">
        <v>75084608</v>
      </c>
      <c r="C534" s="15" t="s">
        <v>592</v>
      </c>
      <c r="D534" s="503" t="s">
        <v>44</v>
      </c>
      <c r="E534" s="503" t="s">
        <v>33</v>
      </c>
      <c r="F534" s="503" t="s">
        <v>46</v>
      </c>
      <c r="H534" s="502" t="s">
        <v>36</v>
      </c>
      <c r="I534" s="502" t="s">
        <v>16</v>
      </c>
      <c r="J534" s="15" t="str">
        <f>+_xlfn.XLOOKUP(B534,INNOVACIÓN!A:A,INNOVACIÓN!B:B,"NO")</f>
        <v>NO</v>
      </c>
      <c r="K534" s="15" t="str">
        <f>+_xlfn.XLOOKUP(B534,MERMA!B:B,MERMA!C:C,"No")</f>
        <v>No</v>
      </c>
      <c r="L534" s="15" t="str">
        <f>+_xlfn.XLOOKUP(B534,MERMA!B:B,MERMA!D:D,"No es merma")</f>
        <v>No es merma</v>
      </c>
    </row>
    <row r="535" spans="1:12" s="15" hidden="1" x14ac:dyDescent="0.35">
      <c r="A535" s="15">
        <v>100026689</v>
      </c>
      <c r="B535" s="15">
        <v>75084592</v>
      </c>
      <c r="C535" s="15" t="s">
        <v>593</v>
      </c>
      <c r="D535" s="503" t="s">
        <v>44</v>
      </c>
      <c r="E535" s="503" t="s">
        <v>33</v>
      </c>
      <c r="F535" s="503" t="s">
        <v>46</v>
      </c>
      <c r="H535" s="502" t="s">
        <v>36</v>
      </c>
      <c r="I535" s="502" t="s">
        <v>16</v>
      </c>
      <c r="J535" s="15" t="str">
        <f>+_xlfn.XLOOKUP(B535,INNOVACIÓN!A:A,INNOVACIÓN!B:B,"NO")</f>
        <v>NO</v>
      </c>
      <c r="K535" s="15" t="str">
        <f>+_xlfn.XLOOKUP(B535,MERMA!B:B,MERMA!C:C,"No")</f>
        <v>No</v>
      </c>
      <c r="L535" s="15" t="str">
        <f>+_xlfn.XLOOKUP(B535,MERMA!B:B,MERMA!D:D,"No es merma")</f>
        <v>No es merma</v>
      </c>
    </row>
    <row r="536" spans="1:12" s="15" hidden="1" x14ac:dyDescent="0.35">
      <c r="A536" s="15">
        <v>100026690</v>
      </c>
      <c r="B536" s="15">
        <v>75084646</v>
      </c>
      <c r="C536" s="15" t="s">
        <v>594</v>
      </c>
      <c r="D536" s="503" t="s">
        <v>44</v>
      </c>
      <c r="E536" s="503" t="s">
        <v>33</v>
      </c>
      <c r="F536" s="503" t="s">
        <v>46</v>
      </c>
      <c r="H536" s="502" t="s">
        <v>36</v>
      </c>
      <c r="I536" s="502" t="s">
        <v>16</v>
      </c>
      <c r="J536" s="15" t="str">
        <f>+_xlfn.XLOOKUP(B536,INNOVACIÓN!A:A,INNOVACIÓN!B:B,"NO")</f>
        <v>NO</v>
      </c>
      <c r="K536" s="15" t="str">
        <f>+_xlfn.XLOOKUP(B536,MERMA!B:B,MERMA!C:C,"No")</f>
        <v>No</v>
      </c>
      <c r="L536" s="15" t="str">
        <f>+_xlfn.XLOOKUP(B536,MERMA!B:B,MERMA!D:D,"No es merma")</f>
        <v>No es merma</v>
      </c>
    </row>
    <row r="537" spans="1:12" s="15" hidden="1" x14ac:dyDescent="0.35">
      <c r="A537" s="15">
        <v>100026691</v>
      </c>
      <c r="B537" s="15">
        <v>75084639</v>
      </c>
      <c r="C537" s="15" t="s">
        <v>595</v>
      </c>
      <c r="D537" s="503" t="s">
        <v>44</v>
      </c>
      <c r="E537" s="503" t="s">
        <v>33</v>
      </c>
      <c r="F537" s="503" t="s">
        <v>46</v>
      </c>
      <c r="H537" s="502" t="s">
        <v>36</v>
      </c>
      <c r="I537" s="502" t="s">
        <v>16</v>
      </c>
      <c r="J537" s="15" t="str">
        <f>+_xlfn.XLOOKUP(B537,INNOVACIÓN!A:A,INNOVACIÓN!B:B,"NO")</f>
        <v>NO</v>
      </c>
      <c r="K537" s="15" t="str">
        <f>+_xlfn.XLOOKUP(B537,MERMA!B:B,MERMA!C:C,"No")</f>
        <v>No</v>
      </c>
      <c r="L537" s="15" t="str">
        <f>+_xlfn.XLOOKUP(B537,MERMA!B:B,MERMA!D:D,"No es merma")</f>
        <v>No es merma</v>
      </c>
    </row>
    <row r="538" spans="1:12" s="15" hidden="1" x14ac:dyDescent="0.35">
      <c r="A538" s="15">
        <v>100026692</v>
      </c>
      <c r="B538" s="15">
        <v>75084653</v>
      </c>
      <c r="C538" s="15" t="s">
        <v>596</v>
      </c>
      <c r="D538" s="503" t="s">
        <v>44</v>
      </c>
      <c r="E538" s="503" t="s">
        <v>33</v>
      </c>
      <c r="F538" s="503" t="s">
        <v>46</v>
      </c>
      <c r="H538" s="502" t="s">
        <v>36</v>
      </c>
      <c r="I538" s="502" t="s">
        <v>16</v>
      </c>
      <c r="J538" s="15" t="str">
        <f>+_xlfn.XLOOKUP(B538,INNOVACIÓN!A:A,INNOVACIÓN!B:B,"NO")</f>
        <v>NO</v>
      </c>
      <c r="K538" s="15" t="str">
        <f>+_xlfn.XLOOKUP(B538,MERMA!B:B,MERMA!C:C,"No")</f>
        <v>No</v>
      </c>
      <c r="L538" s="15" t="str">
        <f>+_xlfn.XLOOKUP(B538,MERMA!B:B,MERMA!D:D,"No es merma")</f>
        <v>No es merma</v>
      </c>
    </row>
    <row r="539" spans="1:12" s="15" x14ac:dyDescent="0.35">
      <c r="A539" s="15">
        <v>100026676</v>
      </c>
      <c r="B539" s="15">
        <v>75087142</v>
      </c>
      <c r="C539" s="15" t="s">
        <v>597</v>
      </c>
      <c r="D539" s="503" t="s">
        <v>44</v>
      </c>
      <c r="E539" s="503" t="s">
        <v>33</v>
      </c>
      <c r="F539" s="503" t="s">
        <v>39</v>
      </c>
      <c r="H539" s="502" t="s">
        <v>36</v>
      </c>
      <c r="I539" s="502" t="s">
        <v>16</v>
      </c>
      <c r="J539" s="15" t="str">
        <f>+_xlfn.XLOOKUP(B539,INNOVACIÓN!A:A,INNOVACIÓN!B:B,"NO")</f>
        <v>SI</v>
      </c>
      <c r="K539" s="15" t="str">
        <f>+_xlfn.XLOOKUP(B539,MERMA!B:B,MERMA!C:C,"No")</f>
        <v>No</v>
      </c>
      <c r="L539" s="15" t="str">
        <f>+_xlfn.XLOOKUP(B539,MERMA!B:B,MERMA!D:D,"No es merma")</f>
        <v>No es merma</v>
      </c>
    </row>
    <row r="540" spans="1:12" s="15" hidden="1" x14ac:dyDescent="0.35">
      <c r="A540" s="15">
        <v>100026677</v>
      </c>
      <c r="B540" s="15">
        <v>75087159</v>
      </c>
      <c r="C540" s="15" t="s">
        <v>598</v>
      </c>
      <c r="D540" s="503" t="s">
        <v>44</v>
      </c>
      <c r="E540" s="503" t="s">
        <v>33</v>
      </c>
      <c r="F540" s="503" t="s">
        <v>39</v>
      </c>
      <c r="H540" s="502" t="s">
        <v>36</v>
      </c>
      <c r="I540" s="502" t="s">
        <v>16</v>
      </c>
      <c r="J540" s="15" t="str">
        <f>+_xlfn.XLOOKUP(B540,INNOVACIÓN!A:A,INNOVACIÓN!B:B,"NO")</f>
        <v>SI</v>
      </c>
      <c r="K540" s="15" t="str">
        <f>+_xlfn.XLOOKUP(B540,MERMA!B:B,MERMA!C:C,"No")</f>
        <v>No</v>
      </c>
      <c r="L540" s="15" t="str">
        <f>+_xlfn.XLOOKUP(B540,MERMA!B:B,MERMA!D:D,"No es merma")</f>
        <v>No es merma</v>
      </c>
    </row>
    <row r="541" spans="1:12" s="15" hidden="1" x14ac:dyDescent="0.35">
      <c r="A541" s="15">
        <v>100026678</v>
      </c>
      <c r="B541" s="15">
        <v>75087166</v>
      </c>
      <c r="C541" s="15" t="s">
        <v>599</v>
      </c>
      <c r="D541" s="503" t="s">
        <v>44</v>
      </c>
      <c r="E541" s="503" t="s">
        <v>33</v>
      </c>
      <c r="F541" s="503" t="s">
        <v>39</v>
      </c>
      <c r="H541" s="502" t="s">
        <v>36</v>
      </c>
      <c r="I541" s="502" t="s">
        <v>16</v>
      </c>
      <c r="J541" s="15" t="str">
        <f>+_xlfn.XLOOKUP(B541,INNOVACIÓN!A:A,INNOVACIÓN!B:B,"NO")</f>
        <v>SI</v>
      </c>
      <c r="K541" s="15" t="str">
        <f>+_xlfn.XLOOKUP(B541,MERMA!B:B,MERMA!C:C,"No")</f>
        <v>No</v>
      </c>
      <c r="L541" s="15" t="str">
        <f>+_xlfn.XLOOKUP(B541,MERMA!B:B,MERMA!D:D,"No es merma")</f>
        <v>No es merma</v>
      </c>
    </row>
    <row r="542" spans="1:12" s="15" hidden="1" x14ac:dyDescent="0.35">
      <c r="A542" s="15">
        <v>100026679</v>
      </c>
      <c r="B542" s="15">
        <v>75087173</v>
      </c>
      <c r="C542" s="15" t="s">
        <v>600</v>
      </c>
      <c r="D542" s="503" t="s">
        <v>44</v>
      </c>
      <c r="E542" s="503" t="s">
        <v>33</v>
      </c>
      <c r="F542" s="503" t="s">
        <v>39</v>
      </c>
      <c r="H542" s="502" t="s">
        <v>36</v>
      </c>
      <c r="I542" s="502" t="s">
        <v>16</v>
      </c>
      <c r="J542" s="15" t="str">
        <f>+_xlfn.XLOOKUP(B542,INNOVACIÓN!A:A,INNOVACIÓN!B:B,"NO")</f>
        <v>SI</v>
      </c>
      <c r="K542" s="15" t="str">
        <f>+_xlfn.XLOOKUP(B542,MERMA!B:B,MERMA!C:C,"No")</f>
        <v>No</v>
      </c>
      <c r="L542" s="15" t="str">
        <f>+_xlfn.XLOOKUP(B542,MERMA!B:B,MERMA!D:D,"No es merma")</f>
        <v>No es merma</v>
      </c>
    </row>
    <row r="543" spans="1:12" s="15" hidden="1" x14ac:dyDescent="0.35">
      <c r="A543" s="15">
        <v>100026680</v>
      </c>
      <c r="B543" s="15">
        <v>75087180</v>
      </c>
      <c r="C543" s="15" t="s">
        <v>601</v>
      </c>
      <c r="D543" s="503" t="s">
        <v>44</v>
      </c>
      <c r="E543" s="503" t="s">
        <v>33</v>
      </c>
      <c r="F543" s="503" t="s">
        <v>39</v>
      </c>
      <c r="H543" s="502" t="s">
        <v>36</v>
      </c>
      <c r="I543" s="502" t="s">
        <v>16</v>
      </c>
      <c r="J543" s="15" t="str">
        <f>+_xlfn.XLOOKUP(B543,INNOVACIÓN!A:A,INNOVACIÓN!B:B,"NO")</f>
        <v>SI</v>
      </c>
      <c r="K543" s="15" t="str">
        <f>+_xlfn.XLOOKUP(B543,MERMA!B:B,MERMA!C:C,"No")</f>
        <v>No</v>
      </c>
      <c r="L543" s="15" t="str">
        <f>+_xlfn.XLOOKUP(B543,MERMA!B:B,MERMA!D:D,"No es merma")</f>
        <v>No es merma</v>
      </c>
    </row>
    <row r="544" spans="1:12" s="15" hidden="1" x14ac:dyDescent="0.35">
      <c r="A544" s="15">
        <v>100026684</v>
      </c>
      <c r="B544" s="15">
        <v>75084493</v>
      </c>
      <c r="C544" s="15" t="s">
        <v>602</v>
      </c>
      <c r="D544" s="503" t="s">
        <v>44</v>
      </c>
      <c r="E544" s="503" t="s">
        <v>67</v>
      </c>
      <c r="F544" s="503" t="s">
        <v>608</v>
      </c>
      <c r="H544" s="502" t="s">
        <v>36</v>
      </c>
      <c r="I544" s="502" t="s">
        <v>16</v>
      </c>
      <c r="J544" s="15" t="str">
        <f>+_xlfn.XLOOKUP(B544,INNOVACIÓN!A:A,INNOVACIÓN!B:B,"NO")</f>
        <v>SI</v>
      </c>
      <c r="K544" s="15" t="str">
        <f>+_xlfn.XLOOKUP(B544,MERMA!B:B,MERMA!C:C,"No")</f>
        <v>No</v>
      </c>
      <c r="L544" s="15" t="str">
        <f>+_xlfn.XLOOKUP(B544,MERMA!B:B,MERMA!D:D,"No es merma")</f>
        <v>No es merma</v>
      </c>
    </row>
    <row r="545" spans="1:12" s="15" hidden="1" x14ac:dyDescent="0.35">
      <c r="A545" s="15">
        <v>100026681</v>
      </c>
      <c r="B545" s="15">
        <v>75087197</v>
      </c>
      <c r="C545" s="15" t="s">
        <v>603</v>
      </c>
      <c r="D545" s="503" t="s">
        <v>44</v>
      </c>
      <c r="E545" s="503" t="s">
        <v>33</v>
      </c>
      <c r="F545" s="503" t="s">
        <v>609</v>
      </c>
      <c r="H545" s="502" t="s">
        <v>36</v>
      </c>
      <c r="I545" s="502" t="s">
        <v>16</v>
      </c>
      <c r="J545" s="15" t="str">
        <f>+_xlfn.XLOOKUP(B545,INNOVACIÓN!A:A,INNOVACIÓN!B:B,"NO")</f>
        <v>SI</v>
      </c>
      <c r="K545" s="15" t="str">
        <f>+_xlfn.XLOOKUP(B545,MERMA!B:B,MERMA!C:C,"No")</f>
        <v>No</v>
      </c>
      <c r="L545" s="15" t="str">
        <f>+_xlfn.XLOOKUP(B545,MERMA!B:B,MERMA!D:D,"No es merma")</f>
        <v>No es merma</v>
      </c>
    </row>
    <row r="546" spans="1:12" s="15" hidden="1" x14ac:dyDescent="0.35">
      <c r="A546" s="15">
        <v>100026682</v>
      </c>
      <c r="B546" s="15">
        <v>75087203</v>
      </c>
      <c r="C546" s="15" t="s">
        <v>604</v>
      </c>
      <c r="D546" s="503" t="s">
        <v>44</v>
      </c>
      <c r="E546" s="503" t="s">
        <v>33</v>
      </c>
      <c r="F546" s="503" t="s">
        <v>46</v>
      </c>
      <c r="H546" s="502" t="s">
        <v>36</v>
      </c>
      <c r="I546" s="502" t="s">
        <v>16</v>
      </c>
      <c r="J546" s="15" t="str">
        <f>+_xlfn.XLOOKUP(B546,INNOVACIÓN!A:A,INNOVACIÓN!B:B,"NO")</f>
        <v>SI</v>
      </c>
      <c r="K546" s="15" t="str">
        <f>+_xlfn.XLOOKUP(B546,MERMA!B:B,MERMA!C:C,"No")</f>
        <v>No</v>
      </c>
      <c r="L546" s="15" t="str">
        <f>+_xlfn.XLOOKUP(B546,MERMA!B:B,MERMA!D:D,"No es merma")</f>
        <v>No es merma</v>
      </c>
    </row>
    <row r="547" spans="1:12" s="15" hidden="1" x14ac:dyDescent="0.35">
      <c r="A547" s="15">
        <v>100026683</v>
      </c>
      <c r="B547" s="15">
        <v>75087210</v>
      </c>
      <c r="C547" s="15" t="s">
        <v>605</v>
      </c>
      <c r="D547" s="503" t="s">
        <v>44</v>
      </c>
      <c r="E547" s="503" t="s">
        <v>33</v>
      </c>
      <c r="F547" s="503" t="s">
        <v>609</v>
      </c>
      <c r="H547" s="502" t="s">
        <v>36</v>
      </c>
      <c r="I547" s="502" t="s">
        <v>16</v>
      </c>
      <c r="J547" s="15" t="str">
        <f>+_xlfn.XLOOKUP(B547,INNOVACIÓN!A:A,INNOVACIÓN!B:B,"NO")</f>
        <v>SI</v>
      </c>
      <c r="K547" s="15" t="str">
        <f>+_xlfn.XLOOKUP(B547,MERMA!B:B,MERMA!C:C,"No")</f>
        <v>No</v>
      </c>
      <c r="L547" s="15" t="str">
        <f>+_xlfn.XLOOKUP(B547,MERMA!B:B,MERMA!D:D,"No es merma")</f>
        <v>No es merma</v>
      </c>
    </row>
    <row r="548" spans="1:12" s="15" hidden="1" x14ac:dyDescent="0.35">
      <c r="A548" s="15">
        <v>100026685</v>
      </c>
      <c r="B548" s="15">
        <v>75086381</v>
      </c>
      <c r="C548" s="15" t="s">
        <v>606</v>
      </c>
      <c r="D548" s="503" t="s">
        <v>11</v>
      </c>
      <c r="E548" s="503" t="s">
        <v>161</v>
      </c>
      <c r="F548" s="503" t="s">
        <v>608</v>
      </c>
      <c r="H548" s="502" t="s">
        <v>36</v>
      </c>
      <c r="I548" s="502" t="s">
        <v>16</v>
      </c>
      <c r="J548" s="15" t="str">
        <f>+_xlfn.XLOOKUP(B548,INNOVACIÓN!A:A,INNOVACIÓN!B:B,"NO")</f>
        <v>NO</v>
      </c>
      <c r="K548" s="15" t="str">
        <f>+_xlfn.XLOOKUP(B548,MERMA!B:B,MERMA!C:C,"No")</f>
        <v>No</v>
      </c>
      <c r="L548" s="15" t="str">
        <f>+_xlfn.XLOOKUP(B548,MERMA!B:B,MERMA!D:D,"No es merma")</f>
        <v>No es merma</v>
      </c>
    </row>
    <row r="549" spans="1:12" s="15" hidden="1" x14ac:dyDescent="0.35">
      <c r="A549" s="15">
        <v>100026614</v>
      </c>
      <c r="B549" s="506">
        <v>7501045300177</v>
      </c>
      <c r="C549" s="15" t="s">
        <v>607</v>
      </c>
      <c r="D549" s="503" t="s">
        <v>11</v>
      </c>
      <c r="E549" s="503" t="s">
        <v>161</v>
      </c>
      <c r="F549" s="503" t="s">
        <v>39</v>
      </c>
      <c r="H549" s="502" t="s">
        <v>36</v>
      </c>
      <c r="I549" s="502" t="s">
        <v>16</v>
      </c>
      <c r="J549" s="15" t="str">
        <f>+_xlfn.XLOOKUP(B549,INNOVACIÓN!A:A,INNOVACIÓN!B:B,"NO")</f>
        <v>NO</v>
      </c>
      <c r="K549" s="15" t="str">
        <f>+_xlfn.XLOOKUP(B549,MERMA!B:B,MERMA!C:C,"No")</f>
        <v>No</v>
      </c>
      <c r="L549" s="15" t="str">
        <f>+_xlfn.XLOOKUP(B549,MERMA!B:B,MERMA!D:D,"No es merma")</f>
        <v>No es merma</v>
      </c>
    </row>
    <row r="550" spans="1:12" s="15" hidden="1" x14ac:dyDescent="0.35">
      <c r="A550" s="15">
        <v>100027095</v>
      </c>
      <c r="B550" s="508">
        <v>75087586</v>
      </c>
      <c r="C550" s="65535" t="s">
        <v>610</v>
      </c>
      <c r="D550" s="503" t="s">
        <v>11</v>
      </c>
      <c r="E550" s="503" t="s">
        <v>161</v>
      </c>
      <c r="F550" s="503" t="s">
        <v>608</v>
      </c>
      <c r="H550" s="502" t="s">
        <v>36</v>
      </c>
      <c r="I550" s="502" t="s">
        <v>16</v>
      </c>
      <c r="J550" s="15" t="str">
        <f>+_xlfn.XLOOKUP(B550,INNOVACIÓN!A:A,INNOVACIÓN!B:B,"NO")</f>
        <v>SI</v>
      </c>
      <c r="K550" s="15" t="str">
        <f>+_xlfn.XLOOKUP(B550,MERMA!B:B,MERMA!C:C,"No")</f>
        <v>No</v>
      </c>
      <c r="L550" s="15" t="str">
        <f>+_xlfn.XLOOKUP(B550,MERMA!B:B,MERMA!D:D,"No es merma")</f>
        <v>No es merma</v>
      </c>
    </row>
    <row r="551" spans="1:12" s="15" hidden="1" x14ac:dyDescent="0.35">
      <c r="A551" s="15">
        <v>100027096</v>
      </c>
      <c r="B551" s="508">
        <v>7311250035586</v>
      </c>
      <c r="C551" s="65535" t="s">
        <v>611</v>
      </c>
      <c r="D551" s="503" t="s">
        <v>11</v>
      </c>
      <c r="E551" s="503" t="s">
        <v>12</v>
      </c>
      <c r="F551" s="503" t="s">
        <v>13</v>
      </c>
      <c r="H551" s="502" t="s">
        <v>15</v>
      </c>
      <c r="I551" s="502" t="s">
        <v>16</v>
      </c>
      <c r="J551" s="15" t="str">
        <f>+_xlfn.XLOOKUP(B551,INNOVACIÓN!A:A,INNOVACIÓN!B:B,"NO")</f>
        <v>SI</v>
      </c>
      <c r="K551" s="15" t="str">
        <f>+_xlfn.XLOOKUP(B551,MERMA!B:B,MERMA!C:C,"No")</f>
        <v>No</v>
      </c>
      <c r="L551" s="15" t="str">
        <f>+_xlfn.XLOOKUP(B551,MERMA!B:B,MERMA!D:D,"No es merma")</f>
        <v>No es merma</v>
      </c>
    </row>
    <row r="552" spans="1:12" s="15" hidden="1" x14ac:dyDescent="0.35">
      <c r="A552" s="15">
        <v>100027097</v>
      </c>
      <c r="B552" s="508">
        <v>7311250035609</v>
      </c>
      <c r="C552" s="65535" t="s">
        <v>612</v>
      </c>
      <c r="D552" s="503" t="s">
        <v>11</v>
      </c>
      <c r="E552" s="503" t="s">
        <v>12</v>
      </c>
      <c r="F552" s="503" t="s">
        <v>13</v>
      </c>
      <c r="H552" s="502" t="s">
        <v>15</v>
      </c>
      <c r="I552" s="502" t="s">
        <v>16</v>
      </c>
      <c r="J552" s="15" t="str">
        <f>+_xlfn.XLOOKUP(B552,INNOVACIÓN!A:A,INNOVACIÓN!B:B,"NO")</f>
        <v>SI</v>
      </c>
      <c r="K552" s="15" t="str">
        <f>+_xlfn.XLOOKUP(B552,MERMA!B:B,MERMA!C:C,"No")</f>
        <v>No</v>
      </c>
      <c r="L552" s="15" t="str">
        <f>+_xlfn.XLOOKUP(B552,MERMA!B:B,MERMA!D:D,"No es merma")</f>
        <v>No es merma</v>
      </c>
    </row>
    <row r="553" spans="1:12" s="15" hidden="1" x14ac:dyDescent="0.35">
      <c r="A553" s="15">
        <v>100027103</v>
      </c>
      <c r="B553" s="508">
        <v>7503039738805</v>
      </c>
      <c r="C553" s="65535" t="s">
        <v>613</v>
      </c>
      <c r="D553" s="503" t="s">
        <v>44</v>
      </c>
      <c r="E553" s="503" t="s">
        <v>146</v>
      </c>
      <c r="F553" s="503" t="s">
        <v>13</v>
      </c>
      <c r="H553" s="502" t="s">
        <v>15</v>
      </c>
      <c r="I553" s="502" t="s">
        <v>16</v>
      </c>
      <c r="J553" s="15" t="str">
        <f>+_xlfn.XLOOKUP(B553,INNOVACIÓN!A:A,INNOVACIÓN!B:B,"NO")</f>
        <v>NO</v>
      </c>
      <c r="K553" s="15" t="str">
        <f>+_xlfn.XLOOKUP(B553,MERMA!B:B,MERMA!C:C,"No")</f>
        <v>No</v>
      </c>
      <c r="L553" s="15" t="str">
        <f>+_xlfn.XLOOKUP(B553,MERMA!B:B,MERMA!D:D,"No es merma")</f>
        <v>No es merma</v>
      </c>
    </row>
    <row r="554" spans="1:12" s="15" hidden="1" x14ac:dyDescent="0.35">
      <c r="A554" s="15">
        <v>100027104</v>
      </c>
      <c r="B554" s="508">
        <v>7503039738812</v>
      </c>
      <c r="C554" s="65535" t="s">
        <v>614</v>
      </c>
      <c r="D554" s="503" t="s">
        <v>44</v>
      </c>
      <c r="E554" s="503" t="s">
        <v>146</v>
      </c>
      <c r="F554" s="503" t="s">
        <v>13</v>
      </c>
      <c r="H554" s="502" t="s">
        <v>15</v>
      </c>
      <c r="I554" s="502" t="s">
        <v>16</v>
      </c>
      <c r="J554" s="15" t="str">
        <f>+_xlfn.XLOOKUP(B554,INNOVACIÓN!A:A,INNOVACIÓN!B:B,"NO")</f>
        <v>NO</v>
      </c>
      <c r="K554" s="15" t="str">
        <f>+_xlfn.XLOOKUP(B554,MERMA!B:B,MERMA!C:C,"No")</f>
        <v>No</v>
      </c>
      <c r="L554" s="15" t="str">
        <f>+_xlfn.XLOOKUP(B554,MERMA!B:B,MERMA!D:D,"No es merma")</f>
        <v>No es merma</v>
      </c>
    </row>
    <row r="555" spans="1:12" s="15" hidden="1" x14ac:dyDescent="0.35">
      <c r="A555" s="15">
        <v>100027105</v>
      </c>
      <c r="B555" s="508">
        <v>7503039738829</v>
      </c>
      <c r="C555" s="65535" t="s">
        <v>615</v>
      </c>
      <c r="D555" s="503" t="s">
        <v>44</v>
      </c>
      <c r="E555" s="503" t="s">
        <v>146</v>
      </c>
      <c r="F555" s="503" t="s">
        <v>13</v>
      </c>
      <c r="H555" s="502" t="s">
        <v>15</v>
      </c>
      <c r="I555" s="502" t="s">
        <v>16</v>
      </c>
      <c r="J555" s="15" t="str">
        <f>+_xlfn.XLOOKUP(B555,INNOVACIÓN!A:A,INNOVACIÓN!B:B,"NO")</f>
        <v>NO</v>
      </c>
      <c r="K555" s="15" t="str">
        <f>+_xlfn.XLOOKUP(B555,MERMA!B:B,MERMA!C:C,"No")</f>
        <v>No</v>
      </c>
      <c r="L555" s="15" t="str">
        <f>+_xlfn.XLOOKUP(B555,MERMA!B:B,MERMA!D:D,"No es merma")</f>
        <v>No es merma</v>
      </c>
    </row>
    <row r="556" spans="1:12" s="15" hidden="1" x14ac:dyDescent="0.35">
      <c r="A556" s="15">
        <v>100027106</v>
      </c>
      <c r="B556" s="508">
        <v>7503039738836</v>
      </c>
      <c r="C556" s="65535" t="s">
        <v>616</v>
      </c>
      <c r="D556" s="503" t="s">
        <v>44</v>
      </c>
      <c r="E556" s="503" t="s">
        <v>146</v>
      </c>
      <c r="F556" s="503" t="s">
        <v>13</v>
      </c>
      <c r="H556" s="502" t="s">
        <v>15</v>
      </c>
      <c r="I556" s="502" t="s">
        <v>16</v>
      </c>
      <c r="J556" s="15" t="str">
        <f>+_xlfn.XLOOKUP(B556,INNOVACIÓN!A:A,INNOVACIÓN!B:B,"NO")</f>
        <v>NO</v>
      </c>
      <c r="K556" s="15" t="str">
        <f>+_xlfn.XLOOKUP(B556,MERMA!B:B,MERMA!C:C,"No")</f>
        <v>No</v>
      </c>
      <c r="L556" s="15" t="str">
        <f>+_xlfn.XLOOKUP(B556,MERMA!B:B,MERMA!D:D,"No es merma")</f>
        <v>No es merma</v>
      </c>
    </row>
    <row r="557" spans="1:12" s="15" hidden="1" x14ac:dyDescent="0.35">
      <c r="A557" s="15">
        <v>100027098</v>
      </c>
      <c r="B557" s="508">
        <v>7503039738843</v>
      </c>
      <c r="C557" s="65535" t="s">
        <v>617</v>
      </c>
      <c r="D557" s="503" t="s">
        <v>44</v>
      </c>
      <c r="E557" s="503" t="s">
        <v>146</v>
      </c>
      <c r="F557" s="503" t="s">
        <v>13</v>
      </c>
      <c r="H557" s="502" t="s">
        <v>15</v>
      </c>
      <c r="I557" s="502" t="s">
        <v>16</v>
      </c>
      <c r="J557" s="15" t="str">
        <f>+_xlfn.XLOOKUP(B557,INNOVACIÓN!A:A,INNOVACIÓN!B:B,"NO")</f>
        <v>SI</v>
      </c>
      <c r="K557" s="15" t="str">
        <f>+_xlfn.XLOOKUP(B557,MERMA!B:B,MERMA!C:C,"No")</f>
        <v>No</v>
      </c>
      <c r="L557" s="15" t="str">
        <f>+_xlfn.XLOOKUP(B557,MERMA!B:B,MERMA!D:D,"No es merma")</f>
        <v>No es merma</v>
      </c>
    </row>
    <row r="558" spans="1:12" s="15" hidden="1" x14ac:dyDescent="0.35">
      <c r="A558" s="15">
        <v>100027099</v>
      </c>
      <c r="B558" s="508">
        <v>7503039738867</v>
      </c>
      <c r="C558" s="65535" t="s">
        <v>618</v>
      </c>
      <c r="D558" s="503" t="s">
        <v>44</v>
      </c>
      <c r="E558" s="503" t="s">
        <v>146</v>
      </c>
      <c r="F558" s="503" t="s">
        <v>13</v>
      </c>
      <c r="H558" s="502" t="s">
        <v>15</v>
      </c>
      <c r="I558" s="502" t="s">
        <v>16</v>
      </c>
      <c r="J558" s="15" t="str">
        <f>+_xlfn.XLOOKUP(B558,INNOVACIÓN!A:A,INNOVACIÓN!B:B,"NO")</f>
        <v>SI</v>
      </c>
      <c r="K558" s="15" t="str">
        <f>+_xlfn.XLOOKUP(B558,MERMA!B:B,MERMA!C:C,"No")</f>
        <v>No</v>
      </c>
      <c r="L558" s="15" t="str">
        <f>+_xlfn.XLOOKUP(B558,MERMA!B:B,MERMA!D:D,"No es merma")</f>
        <v>No es merma</v>
      </c>
    </row>
    <row r="559" spans="1:12" s="15" hidden="1" x14ac:dyDescent="0.35">
      <c r="A559" s="15">
        <v>100027102</v>
      </c>
      <c r="B559" s="508">
        <v>7503039738874</v>
      </c>
      <c r="C559" s="65535" t="s">
        <v>619</v>
      </c>
      <c r="D559" s="503" t="s">
        <v>44</v>
      </c>
      <c r="E559" s="503" t="s">
        <v>146</v>
      </c>
      <c r="F559" s="503" t="s">
        <v>13</v>
      </c>
      <c r="H559" s="502" t="s">
        <v>15</v>
      </c>
      <c r="I559" s="502" t="s">
        <v>16</v>
      </c>
      <c r="J559" s="15" t="str">
        <f>+_xlfn.XLOOKUP(B559,INNOVACIÓN!A:A,INNOVACIÓN!B:B,"NO")</f>
        <v>SI</v>
      </c>
      <c r="K559" s="15" t="str">
        <f>+_xlfn.XLOOKUP(B559,MERMA!B:B,MERMA!C:C,"No")</f>
        <v>No</v>
      </c>
      <c r="L559" s="15" t="str">
        <f>+_xlfn.XLOOKUP(B559,MERMA!B:B,MERMA!D:D,"No es merma")</f>
        <v>No es merma</v>
      </c>
    </row>
    <row r="560" spans="1:12" s="15" hidden="1" x14ac:dyDescent="0.35">
      <c r="A560" s="15">
        <v>100080354</v>
      </c>
      <c r="C560" s="15" t="s">
        <v>622</v>
      </c>
      <c r="D560" s="15" t="s">
        <v>87</v>
      </c>
      <c r="E560" s="15" t="s">
        <v>33</v>
      </c>
      <c r="F560" s="15" t="s">
        <v>87</v>
      </c>
      <c r="G560" s="503" t="s">
        <v>87</v>
      </c>
      <c r="H560" s="502" t="s">
        <v>87</v>
      </c>
      <c r="I560" s="502" t="s">
        <v>16</v>
      </c>
      <c r="J560" s="15" t="str">
        <f>+_xlfn.XLOOKUP(B560,INNOVACIÓN!A:A,INNOVACIÓN!B:B,"NO")</f>
        <v>NO</v>
      </c>
      <c r="K560" s="15">
        <f>+_xlfn.XLOOKUP(B560,MERMA!B:B,MERMA!C:C,"No")</f>
        <v>0</v>
      </c>
      <c r="L560" s="15">
        <f>+_xlfn.XLOOKUP(B560,MERMA!B:B,MERMA!D:D,"No es merma")</f>
        <v>0</v>
      </c>
    </row>
    <row r="561" spans="1:12" s="15" hidden="1" x14ac:dyDescent="0.35">
      <c r="A561" s="15">
        <v>100080382</v>
      </c>
      <c r="C561" s="15" t="s">
        <v>623</v>
      </c>
      <c r="D561" s="15" t="s">
        <v>87</v>
      </c>
      <c r="E561" s="15" t="s">
        <v>33</v>
      </c>
      <c r="F561" s="15" t="s">
        <v>87</v>
      </c>
      <c r="G561" s="503" t="s">
        <v>87</v>
      </c>
      <c r="H561" s="502" t="s">
        <v>87</v>
      </c>
      <c r="I561" s="502" t="s">
        <v>16</v>
      </c>
      <c r="J561" s="15" t="str">
        <f>+_xlfn.XLOOKUP(B561,INNOVACIÓN!A:A,INNOVACIÓN!B:B,"NO")</f>
        <v>NO</v>
      </c>
      <c r="K561" s="15">
        <f>+_xlfn.XLOOKUP(B561,MERMA!B:B,MERMA!C:C,"No")</f>
        <v>0</v>
      </c>
      <c r="L561" s="15">
        <f>+_xlfn.XLOOKUP(B561,MERMA!B:B,MERMA!D:D,"No es merma")</f>
        <v>0</v>
      </c>
    </row>
    <row r="562" spans="1:12" s="15" hidden="1" x14ac:dyDescent="0.35">
      <c r="A562" s="15">
        <v>100013782</v>
      </c>
      <c r="C562" s="15" t="s">
        <v>624</v>
      </c>
      <c r="D562" s="15" t="s">
        <v>11</v>
      </c>
      <c r="E562" s="15" t="s">
        <v>33</v>
      </c>
      <c r="F562" s="15" t="s">
        <v>41</v>
      </c>
      <c r="H562" s="502" t="s">
        <v>36</v>
      </c>
      <c r="I562" s="502" t="s">
        <v>109</v>
      </c>
      <c r="J562" s="15" t="str">
        <f>+_xlfn.XLOOKUP(B562,INNOVACIÓN!A:A,INNOVACIÓN!B:B,"NO")</f>
        <v>NO</v>
      </c>
      <c r="K562" s="15">
        <f>+_xlfn.XLOOKUP(B562,MERMA!B:B,MERMA!C:C,"No")</f>
        <v>0</v>
      </c>
      <c r="L562" s="15">
        <f>+_xlfn.XLOOKUP(B562,MERMA!B:B,MERMA!D:D,"No es merma")</f>
        <v>0</v>
      </c>
    </row>
    <row r="563" spans="1:12" s="15" hidden="1" x14ac:dyDescent="0.35">
      <c r="A563" s="15">
        <v>100024718</v>
      </c>
      <c r="C563" s="15" t="s">
        <v>579</v>
      </c>
      <c r="D563" s="15" t="s">
        <v>44</v>
      </c>
      <c r="E563" s="15" t="s">
        <v>33</v>
      </c>
      <c r="F563" s="502" t="s">
        <v>252</v>
      </c>
      <c r="H563" s="502" t="s">
        <v>252</v>
      </c>
      <c r="I563" s="502" t="s">
        <v>247</v>
      </c>
      <c r="J563" s="15" t="str">
        <f>+_xlfn.XLOOKUP(B563,INNOVACIÓN!A:A,INNOVACIÓN!B:B,"NO")</f>
        <v>NO</v>
      </c>
      <c r="K563" s="15">
        <f>+_xlfn.XLOOKUP(B563,MERMA!B:B,MERMA!C:C,"No")</f>
        <v>0</v>
      </c>
      <c r="L563" s="15">
        <f>+_xlfn.XLOOKUP(B563,MERMA!B:B,MERMA!D:D,"No es merma")</f>
        <v>0</v>
      </c>
    </row>
    <row r="564" spans="1:12" s="15" hidden="1" x14ac:dyDescent="0.35">
      <c r="A564" s="15">
        <v>101000060</v>
      </c>
      <c r="C564" s="15" t="s">
        <v>625</v>
      </c>
      <c r="D564" s="15" t="s">
        <v>11</v>
      </c>
      <c r="E564" s="15" t="s">
        <v>33</v>
      </c>
      <c r="F564" s="15" t="s">
        <v>46</v>
      </c>
      <c r="H564" s="502" t="s">
        <v>36</v>
      </c>
      <c r="I564" s="502" t="s">
        <v>109</v>
      </c>
      <c r="J564" s="15" t="str">
        <f>+_xlfn.XLOOKUP(B564,INNOVACIÓN!A:A,INNOVACIÓN!B:B,"NO")</f>
        <v>NO</v>
      </c>
      <c r="K564" s="15">
        <f>+_xlfn.XLOOKUP(B564,MERMA!B:B,MERMA!C:C,"No")</f>
        <v>0</v>
      </c>
      <c r="L564" s="15">
        <f>+_xlfn.XLOOKUP(B564,MERMA!B:B,MERMA!D:D,"No es merma")</f>
        <v>0</v>
      </c>
    </row>
    <row r="565" spans="1:12" s="15" hidden="1" x14ac:dyDescent="0.35">
      <c r="A565" s="15">
        <v>100017238</v>
      </c>
      <c r="C565" s="15" t="s">
        <v>626</v>
      </c>
      <c r="D565" s="15" t="s">
        <v>628</v>
      </c>
      <c r="E565" s="15" t="s">
        <v>33</v>
      </c>
      <c r="F565" s="15" t="s">
        <v>39</v>
      </c>
      <c r="H565" s="502" t="s">
        <v>36</v>
      </c>
      <c r="I565" s="502" t="s">
        <v>16</v>
      </c>
      <c r="J565" s="15" t="str">
        <f>+_xlfn.XLOOKUP(B565,INNOVACIÓN!A:A,INNOVACIÓN!B:B,"NO")</f>
        <v>NO</v>
      </c>
      <c r="K565" s="15">
        <f>+_xlfn.XLOOKUP(B565,MERMA!B:B,MERMA!C:C,"No")</f>
        <v>0</v>
      </c>
      <c r="L565" s="15">
        <f>+_xlfn.XLOOKUP(B565,MERMA!B:B,MERMA!D:D,"No es merma")</f>
        <v>0</v>
      </c>
    </row>
    <row r="566" spans="1:12" s="15" hidden="1" x14ac:dyDescent="0.35">
      <c r="A566" s="15">
        <v>100024719</v>
      </c>
      <c r="B566" s="506">
        <v>7707200945799</v>
      </c>
      <c r="C566" s="15" t="s">
        <v>627</v>
      </c>
      <c r="D566" s="15" t="s">
        <v>44</v>
      </c>
      <c r="E566" s="15" t="s">
        <v>33</v>
      </c>
      <c r="F566" s="15" t="s">
        <v>252</v>
      </c>
      <c r="H566" s="15" t="s">
        <v>252</v>
      </c>
      <c r="I566" s="502" t="s">
        <v>247</v>
      </c>
      <c r="J566" s="15" t="str">
        <f>+_xlfn.XLOOKUP(B566,INNOVACIÓN!A:A,INNOVACIÓN!B:B,"NO")</f>
        <v>NO</v>
      </c>
      <c r="K566" s="15" t="str">
        <f>+_xlfn.XLOOKUP(B566,MERMA!B:B,MERMA!C:C,"No")</f>
        <v>No</v>
      </c>
      <c r="L566" s="15" t="str">
        <f>+_xlfn.XLOOKUP(B566,MERMA!B:B,MERMA!D:D,"No es merma")</f>
        <v>No es merma</v>
      </c>
    </row>
    <row r="567" spans="1:12" s="15" hidden="1" x14ac:dyDescent="0.35">
      <c r="A567" s="15">
        <v>100080894</v>
      </c>
      <c r="B567" s="506">
        <v>75043209</v>
      </c>
      <c r="C567" s="15" t="s">
        <v>629</v>
      </c>
      <c r="D567" s="15" t="s">
        <v>32</v>
      </c>
      <c r="E567" s="15" t="s">
        <v>33</v>
      </c>
      <c r="F567" s="15" t="s">
        <v>46</v>
      </c>
      <c r="H567" s="15" t="s">
        <v>36</v>
      </c>
      <c r="I567" s="502" t="s">
        <v>247</v>
      </c>
      <c r="J567" s="15" t="str">
        <f>+_xlfn.XLOOKUP(B567,INNOVACIÓN!A:A,INNOVACIÓN!B:B,"NO")</f>
        <v>NO</v>
      </c>
      <c r="K567" s="15" t="str">
        <f>+_xlfn.XLOOKUP(B567,MERMA!B:B,MERMA!C:C,"No")</f>
        <v>No</v>
      </c>
      <c r="L567" s="15" t="str">
        <f>+_xlfn.XLOOKUP(B567,MERMA!B:B,MERMA!D:D,"No es merma")</f>
        <v>No es merma</v>
      </c>
    </row>
    <row r="568" spans="1:12" s="15" hidden="1" x14ac:dyDescent="0.35">
      <c r="A568" s="15">
        <v>100011675</v>
      </c>
      <c r="B568" s="506">
        <v>75063702</v>
      </c>
      <c r="C568" s="15" t="s">
        <v>630</v>
      </c>
      <c r="D568" s="15" t="s">
        <v>11</v>
      </c>
      <c r="E568" s="15" t="s">
        <v>33</v>
      </c>
      <c r="F568" s="15" t="s">
        <v>41</v>
      </c>
      <c r="H568" s="15" t="s">
        <v>36</v>
      </c>
      <c r="I568" s="502" t="s">
        <v>247</v>
      </c>
      <c r="J568" s="15" t="str">
        <f>+_xlfn.XLOOKUP(B568,INNOVACIÓN!A:A,INNOVACIÓN!B:B,"NO")</f>
        <v>NO</v>
      </c>
      <c r="K568" s="15" t="str">
        <f>+_xlfn.XLOOKUP(B568,MERMA!B:B,MERMA!C:C,"No")</f>
        <v>No</v>
      </c>
      <c r="L568" s="15" t="str">
        <f>+_xlfn.XLOOKUP(B568,MERMA!B:B,MERMA!D:D,"No es merma")</f>
        <v>No es merma</v>
      </c>
    </row>
    <row r="569" spans="1:12" s="15" hidden="1" x14ac:dyDescent="0.35">
      <c r="A569" s="15">
        <v>100009363</v>
      </c>
      <c r="B569" s="506">
        <v>7503023648035</v>
      </c>
      <c r="C569" s="15" t="s">
        <v>631</v>
      </c>
      <c r="D569" s="15" t="s">
        <v>87</v>
      </c>
      <c r="E569" s="15" t="s">
        <v>33</v>
      </c>
      <c r="F569" s="15" t="s">
        <v>87</v>
      </c>
      <c r="G569" s="15" t="s">
        <v>33</v>
      </c>
      <c r="H569" s="15" t="s">
        <v>87</v>
      </c>
      <c r="I569" s="502" t="s">
        <v>247</v>
      </c>
      <c r="J569" s="15" t="str">
        <f>+_xlfn.XLOOKUP(B569,INNOVACIÓN!A:A,INNOVACIÓN!B:B,"NO")</f>
        <v>NO</v>
      </c>
      <c r="K569" s="15" t="str">
        <f>+_xlfn.XLOOKUP(B569,MERMA!B:B,MERMA!C:C,"No")</f>
        <v>No</v>
      </c>
      <c r="L569" s="15" t="str">
        <f>+_xlfn.XLOOKUP(B569,MERMA!B:B,MERMA!D:D,"No es merma")</f>
        <v>No es merma</v>
      </c>
    </row>
    <row r="570" spans="1:12" s="15" hidden="1" x14ac:dyDescent="0.35">
      <c r="A570" s="15">
        <v>100009365</v>
      </c>
      <c r="B570" s="506">
        <v>7503023648028</v>
      </c>
      <c r="C570" s="15" t="s">
        <v>632</v>
      </c>
      <c r="D570" s="15" t="s">
        <v>87</v>
      </c>
      <c r="E570" s="15" t="s">
        <v>33</v>
      </c>
      <c r="F570" s="15" t="s">
        <v>87</v>
      </c>
      <c r="G570" s="15" t="s">
        <v>33</v>
      </c>
      <c r="H570" s="15" t="s">
        <v>87</v>
      </c>
      <c r="I570" s="502" t="s">
        <v>247</v>
      </c>
      <c r="J570" s="15" t="str">
        <f>+_xlfn.XLOOKUP(B570,INNOVACIÓN!A:A,INNOVACIÓN!B:B,"NO")</f>
        <v>NO</v>
      </c>
      <c r="K570" s="15" t="str">
        <f>+_xlfn.XLOOKUP(B570,MERMA!B:B,MERMA!C:C,"No")</f>
        <v>No</v>
      </c>
      <c r="L570" s="15" t="str">
        <f>+_xlfn.XLOOKUP(B570,MERMA!B:B,MERMA!D:D,"No es merma")</f>
        <v>No es merma</v>
      </c>
    </row>
    <row r="571" spans="1:12" s="15" hidden="1" x14ac:dyDescent="0.35">
      <c r="A571" s="15">
        <v>100080406</v>
      </c>
      <c r="B571" s="506">
        <v>7501609500968</v>
      </c>
      <c r="C571" s="15" t="s">
        <v>633</v>
      </c>
      <c r="D571" s="15" t="s">
        <v>87</v>
      </c>
      <c r="E571" s="15" t="s">
        <v>33</v>
      </c>
      <c r="F571" s="15" t="s">
        <v>87</v>
      </c>
      <c r="G571" s="15" t="s">
        <v>33</v>
      </c>
      <c r="H571" s="15" t="s">
        <v>87</v>
      </c>
      <c r="I571" s="502" t="s">
        <v>247</v>
      </c>
      <c r="J571" s="15" t="str">
        <f>+_xlfn.XLOOKUP(B571,INNOVACIÓN!A:A,INNOVACIÓN!B:B,"NO")</f>
        <v>NO</v>
      </c>
      <c r="K571" s="15" t="str">
        <f>+_xlfn.XLOOKUP(B571,MERMA!B:B,MERMA!C:C,"No")</f>
        <v>No</v>
      </c>
      <c r="L571" s="15" t="str">
        <f>+_xlfn.XLOOKUP(B571,MERMA!B:B,MERMA!D:D,"No es merma")</f>
        <v>No es merma</v>
      </c>
    </row>
    <row r="572" spans="1:12" s="15" hidden="1" x14ac:dyDescent="0.35">
      <c r="A572" s="15">
        <v>100011025</v>
      </c>
      <c r="B572" s="506">
        <v>10000</v>
      </c>
      <c r="C572" s="15" t="s">
        <v>182</v>
      </c>
      <c r="D572" s="15" t="s">
        <v>11</v>
      </c>
      <c r="E572" s="15" t="s">
        <v>33</v>
      </c>
      <c r="F572" s="15" t="s">
        <v>46</v>
      </c>
      <c r="H572" s="15" t="s">
        <v>36</v>
      </c>
      <c r="I572" s="502" t="s">
        <v>247</v>
      </c>
      <c r="J572" s="15" t="str">
        <f>+_xlfn.XLOOKUP(B572,INNOVACIÓN!A:A,INNOVACIÓN!B:B,"NO")</f>
        <v>NO</v>
      </c>
      <c r="K572" s="15" t="str">
        <f>+_xlfn.XLOOKUP(B572,MERMA!B:B,MERMA!C:C,"No")</f>
        <v>No</v>
      </c>
      <c r="L572" s="15" t="str">
        <f>+_xlfn.XLOOKUP(B572,MERMA!B:B,MERMA!D:D,"No es merma")</f>
        <v>No es merma</v>
      </c>
    </row>
    <row r="573" spans="1:12" s="15" hidden="1" x14ac:dyDescent="0.35">
      <c r="A573" s="15">
        <v>100013300</v>
      </c>
      <c r="B573" s="506">
        <v>75066901</v>
      </c>
      <c r="C573" s="15" t="s">
        <v>634</v>
      </c>
      <c r="D573" s="15" t="s">
        <v>44</v>
      </c>
      <c r="E573" s="15" t="s">
        <v>33</v>
      </c>
      <c r="F573" s="15" t="s">
        <v>608</v>
      </c>
      <c r="H573" s="15" t="s">
        <v>36</v>
      </c>
      <c r="I573" s="502" t="s">
        <v>247</v>
      </c>
      <c r="J573" s="15" t="str">
        <f>+_xlfn.XLOOKUP(B573,INNOVACIÓN!A:A,INNOVACIÓN!B:B,"NO")</f>
        <v>NO</v>
      </c>
      <c r="K573" s="15" t="str">
        <f>+_xlfn.XLOOKUP(B573,MERMA!B:B,MERMA!C:C,"No")</f>
        <v>No</v>
      </c>
      <c r="L573" s="15" t="str">
        <f>+_xlfn.XLOOKUP(B573,MERMA!B:B,MERMA!D:D,"No es merma")</f>
        <v>No es merma</v>
      </c>
    </row>
    <row r="574" spans="1:12" s="15" hidden="1" x14ac:dyDescent="0.35">
      <c r="A574" s="15">
        <v>100016260</v>
      </c>
      <c r="B574" s="506">
        <v>25900000288</v>
      </c>
      <c r="C574" s="15" t="s">
        <v>635</v>
      </c>
      <c r="D574" s="15" t="s">
        <v>87</v>
      </c>
      <c r="E574" s="15" t="s">
        <v>33</v>
      </c>
      <c r="F574" s="15" t="s">
        <v>87</v>
      </c>
      <c r="G574" s="15" t="s">
        <v>33</v>
      </c>
      <c r="H574" s="15" t="s">
        <v>87</v>
      </c>
      <c r="I574" s="502" t="s">
        <v>247</v>
      </c>
      <c r="J574" s="15" t="str">
        <f>+_xlfn.XLOOKUP(B574,INNOVACIÓN!A:A,INNOVACIÓN!B:B,"NO")</f>
        <v>NO</v>
      </c>
      <c r="K574" s="15" t="str">
        <f>+_xlfn.XLOOKUP(B574,MERMA!B:B,MERMA!C:C,"No")</f>
        <v>No</v>
      </c>
      <c r="L574" s="15" t="str">
        <f>+_xlfn.XLOOKUP(B574,MERMA!B:B,MERMA!D:D,"No es merma")</f>
        <v>No es merma</v>
      </c>
    </row>
    <row r="575" spans="1:12" s="15" hidden="1" x14ac:dyDescent="0.35">
      <c r="A575" s="15">
        <v>100017183</v>
      </c>
      <c r="B575" s="506">
        <v>42230748</v>
      </c>
      <c r="C575" s="15" t="s">
        <v>586</v>
      </c>
      <c r="D575" s="15" t="s">
        <v>87</v>
      </c>
      <c r="E575" s="15" t="s">
        <v>33</v>
      </c>
      <c r="F575" s="15" t="s">
        <v>87</v>
      </c>
      <c r="G575" s="15" t="s">
        <v>33</v>
      </c>
      <c r="H575" s="15" t="s">
        <v>87</v>
      </c>
      <c r="I575" s="502" t="s">
        <v>16</v>
      </c>
      <c r="J575" s="15" t="str">
        <f>+_xlfn.XLOOKUP(B575,INNOVACIÓN!A:A,INNOVACIÓN!B:B,"NO")</f>
        <v>NO</v>
      </c>
      <c r="K575" s="15" t="str">
        <f>+_xlfn.XLOOKUP(B575,MERMA!B:B,MERMA!C:C,"No")</f>
        <v>No</v>
      </c>
      <c r="L575" s="15" t="str">
        <f>+_xlfn.XLOOKUP(B575,MERMA!B:B,MERMA!D:D,"No es merma")</f>
        <v>No es merma</v>
      </c>
    </row>
    <row r="576" spans="1:12" s="15" hidden="1" x14ac:dyDescent="0.35">
      <c r="A576" s="15">
        <v>100016041</v>
      </c>
      <c r="B576" s="506">
        <v>25900213053</v>
      </c>
      <c r="C576" s="15" t="s">
        <v>584</v>
      </c>
      <c r="D576" s="15" t="s">
        <v>87</v>
      </c>
      <c r="E576" s="15" t="s">
        <v>33</v>
      </c>
      <c r="F576" s="15" t="s">
        <v>87</v>
      </c>
      <c r="G576" s="15" t="s">
        <v>33</v>
      </c>
      <c r="H576" s="15" t="s">
        <v>87</v>
      </c>
      <c r="I576" s="502" t="s">
        <v>247</v>
      </c>
      <c r="J576" s="15" t="str">
        <f>+_xlfn.XLOOKUP(B576,INNOVACIÓN!A:A,INNOVACIÓN!B:B,"NO")</f>
        <v>NO</v>
      </c>
      <c r="K576" s="15" t="str">
        <f>+_xlfn.XLOOKUP(B576,MERMA!B:B,MERMA!C:C,"No")</f>
        <v>No</v>
      </c>
      <c r="L576" s="15" t="str">
        <f>+_xlfn.XLOOKUP(B576,MERMA!B:B,MERMA!D:D,"No es merma")</f>
        <v>No es merma</v>
      </c>
    </row>
    <row r="577" spans="1:12" s="15" hidden="1" x14ac:dyDescent="0.35">
      <c r="A577" s="15">
        <v>100080949</v>
      </c>
      <c r="B577" s="506">
        <v>7503006684265</v>
      </c>
      <c r="C577" s="15" t="s">
        <v>636</v>
      </c>
      <c r="D577" s="15" t="s">
        <v>87</v>
      </c>
      <c r="E577" s="15" t="s">
        <v>33</v>
      </c>
      <c r="F577" s="15" t="s">
        <v>87</v>
      </c>
      <c r="G577" s="15" t="s">
        <v>33</v>
      </c>
      <c r="H577" s="15" t="s">
        <v>87</v>
      </c>
      <c r="I577" s="502" t="s">
        <v>247</v>
      </c>
      <c r="J577" s="15" t="str">
        <f>+_xlfn.XLOOKUP(B577,INNOVACIÓN!A:A,INNOVACIÓN!B:B,"NO")</f>
        <v>NO</v>
      </c>
      <c r="K577" s="15" t="str">
        <f>+_xlfn.XLOOKUP(B577,MERMA!B:B,MERMA!C:C,"No")</f>
        <v>No</v>
      </c>
      <c r="L577" s="15" t="str">
        <f>+_xlfn.XLOOKUP(B577,MERMA!B:B,MERMA!D:D,"No es merma")</f>
        <v>No es merma</v>
      </c>
    </row>
    <row r="578" spans="1:12" s="15" hidden="1" x14ac:dyDescent="0.35">
      <c r="A578" s="15">
        <v>100015384</v>
      </c>
      <c r="B578" s="506">
        <v>85000100</v>
      </c>
      <c r="C578" s="15" t="s">
        <v>637</v>
      </c>
      <c r="D578" s="15" t="s">
        <v>87</v>
      </c>
      <c r="E578" s="15" t="s">
        <v>33</v>
      </c>
      <c r="F578" s="15" t="s">
        <v>87</v>
      </c>
      <c r="G578" s="15" t="s">
        <v>33</v>
      </c>
      <c r="H578" s="15" t="s">
        <v>87</v>
      </c>
      <c r="I578" s="502" t="s">
        <v>247</v>
      </c>
      <c r="J578" s="15" t="str">
        <f>+_xlfn.XLOOKUP(B578,INNOVACIÓN!A:A,INNOVACIÓN!B:B,"NO")</f>
        <v>NO</v>
      </c>
      <c r="K578" s="15" t="str">
        <f>+_xlfn.XLOOKUP(B578,MERMA!B:B,MERMA!C:C,"No")</f>
        <v>No</v>
      </c>
      <c r="L578" s="15" t="str">
        <f>+_xlfn.XLOOKUP(B578,MERMA!B:B,MERMA!D:D,"No es merma")</f>
        <v>No es merma</v>
      </c>
    </row>
    <row r="579" spans="1:12" s="15" hidden="1" x14ac:dyDescent="0.35">
      <c r="A579" s="15">
        <v>100024717</v>
      </c>
      <c r="B579" s="506">
        <v>7707200947854</v>
      </c>
      <c r="C579" s="15" t="s">
        <v>638</v>
      </c>
      <c r="D579" s="15" t="s">
        <v>44</v>
      </c>
      <c r="E579" s="15" t="s">
        <v>33</v>
      </c>
      <c r="F579" s="15" t="s">
        <v>252</v>
      </c>
      <c r="H579" s="15" t="s">
        <v>252</v>
      </c>
      <c r="I579" s="502" t="s">
        <v>247</v>
      </c>
      <c r="J579" s="15" t="str">
        <f>+_xlfn.XLOOKUP(B579,INNOVACIÓN!A:A,INNOVACIÓN!B:B,"NO")</f>
        <v>NO</v>
      </c>
      <c r="K579" s="15" t="str">
        <f>+_xlfn.XLOOKUP(B579,MERMA!B:B,MERMA!C:C,"No")</f>
        <v>No</v>
      </c>
      <c r="L579" s="15" t="str">
        <f>+_xlfn.XLOOKUP(B579,MERMA!B:B,MERMA!D:D,"No es merma")</f>
        <v>No es merma</v>
      </c>
    </row>
    <row r="580" spans="1:12" s="15" hidden="1" x14ac:dyDescent="0.35">
      <c r="A580" s="15">
        <v>100024723</v>
      </c>
      <c r="B580" s="506">
        <v>7707200947311</v>
      </c>
      <c r="C580" s="15" t="s">
        <v>639</v>
      </c>
      <c r="D580" s="15" t="s">
        <v>44</v>
      </c>
      <c r="E580" s="15" t="s">
        <v>33</v>
      </c>
      <c r="F580" s="15" t="s">
        <v>252</v>
      </c>
      <c r="H580" s="15" t="s">
        <v>252</v>
      </c>
      <c r="I580" s="502" t="s">
        <v>247</v>
      </c>
      <c r="J580" s="15" t="str">
        <f>+_xlfn.XLOOKUP(B580,INNOVACIÓN!A:A,INNOVACIÓN!B:B,"NO")</f>
        <v>NO</v>
      </c>
      <c r="K580" s="15" t="str">
        <f>+_xlfn.XLOOKUP(B580,MERMA!B:B,MERMA!C:C,"No")</f>
        <v>No</v>
      </c>
      <c r="L580" s="15" t="str">
        <f>+_xlfn.XLOOKUP(B580,MERMA!B:B,MERMA!D:D,"No es merma")</f>
        <v>No es merma</v>
      </c>
    </row>
    <row r="581" spans="1:12" s="15" hidden="1" x14ac:dyDescent="0.35">
      <c r="A581" s="15">
        <v>100024893</v>
      </c>
      <c r="B581" s="506">
        <v>7707200943825</v>
      </c>
      <c r="C581" s="15" t="s">
        <v>640</v>
      </c>
      <c r="D581" s="15" t="s">
        <v>44</v>
      </c>
      <c r="E581" s="15" t="s">
        <v>33</v>
      </c>
      <c r="F581" s="15" t="s">
        <v>252</v>
      </c>
      <c r="H581" s="15" t="s">
        <v>252</v>
      </c>
      <c r="I581" s="502" t="s">
        <v>247</v>
      </c>
      <c r="J581" s="15" t="str">
        <f>+_xlfn.XLOOKUP(B581,INNOVACIÓN!A:A,INNOVACIÓN!B:B,"NO")</f>
        <v>NO</v>
      </c>
      <c r="K581" s="15" t="str">
        <f>+_xlfn.XLOOKUP(B581,MERMA!B:B,MERMA!C:C,"No")</f>
        <v>No</v>
      </c>
      <c r="L581" s="15" t="str">
        <f>+_xlfn.XLOOKUP(B581,MERMA!B:B,MERMA!D:D,"No es merma")</f>
        <v>No es merma</v>
      </c>
    </row>
    <row r="582" spans="1:12" s="15" hidden="1" x14ac:dyDescent="0.35">
      <c r="A582" s="15">
        <v>100027108</v>
      </c>
      <c r="B582" s="506">
        <v>7502274777471</v>
      </c>
      <c r="C582" s="15" t="s">
        <v>641</v>
      </c>
      <c r="D582" s="15" t="s">
        <v>642</v>
      </c>
      <c r="E582" s="15" t="s">
        <v>643</v>
      </c>
      <c r="F582" s="15" t="s">
        <v>13</v>
      </c>
      <c r="H582" s="502" t="s">
        <v>15</v>
      </c>
      <c r="I582" s="502" t="s">
        <v>16</v>
      </c>
      <c r="J582" s="15" t="str">
        <f>+_xlfn.XLOOKUP(B582,INNOVACIÓN!A:A,INNOVACIÓN!B:B,"NO")</f>
        <v>SI</v>
      </c>
      <c r="K582" s="15" t="str">
        <f>+_xlfn.XLOOKUP(B582,MERMA!B:B,MERMA!C:C,"No")</f>
        <v>No</v>
      </c>
      <c r="L582" s="15" t="str">
        <f>+_xlfn.XLOOKUP(B582,MERMA!B:B,MERMA!D:D,"No es merma")</f>
        <v>No es merma</v>
      </c>
    </row>
    <row r="583" spans="1:12" s="15" hidden="1" x14ac:dyDescent="0.35">
      <c r="A583" s="15">
        <v>100027109</v>
      </c>
      <c r="B583" s="506">
        <v>7502274777501</v>
      </c>
      <c r="C583" s="15" t="s">
        <v>644</v>
      </c>
      <c r="D583" s="15" t="s">
        <v>642</v>
      </c>
      <c r="E583" s="15" t="s">
        <v>643</v>
      </c>
      <c r="F583" s="15" t="s">
        <v>13</v>
      </c>
      <c r="H583" s="502" t="s">
        <v>15</v>
      </c>
      <c r="I583" s="502" t="s">
        <v>16</v>
      </c>
      <c r="J583" s="15" t="str">
        <f>+_xlfn.XLOOKUP(B583,INNOVACIÓN!A:A,INNOVACIÓN!B:B,"NO")</f>
        <v>SI</v>
      </c>
      <c r="K583" s="15" t="str">
        <f>+_xlfn.XLOOKUP(B583,MERMA!B:B,MERMA!C:C,"No")</f>
        <v>No</v>
      </c>
      <c r="L583" s="15" t="str">
        <f>+_xlfn.XLOOKUP(B583,MERMA!B:B,MERMA!D:D,"No es merma")</f>
        <v>No es merma</v>
      </c>
    </row>
    <row r="584" spans="1:12" s="15" hidden="1" x14ac:dyDescent="0.35">
      <c r="A584" s="15">
        <v>100027110</v>
      </c>
      <c r="B584" s="506">
        <v>7502274777488</v>
      </c>
      <c r="C584" s="15" t="s">
        <v>645</v>
      </c>
      <c r="D584" s="15" t="s">
        <v>642</v>
      </c>
      <c r="E584" s="15" t="s">
        <v>643</v>
      </c>
      <c r="F584" s="15" t="s">
        <v>13</v>
      </c>
      <c r="H584" s="502" t="s">
        <v>15</v>
      </c>
      <c r="I584" s="502" t="s">
        <v>16</v>
      </c>
      <c r="J584" s="15" t="str">
        <f>+_xlfn.XLOOKUP(B584,INNOVACIÓN!A:A,INNOVACIÓN!B:B,"NO")</f>
        <v>SI</v>
      </c>
      <c r="K584" s="15" t="str">
        <f>+_xlfn.XLOOKUP(B584,MERMA!B:B,MERMA!C:C,"No")</f>
        <v>No</v>
      </c>
      <c r="L584" s="15" t="str">
        <f>+_xlfn.XLOOKUP(B584,MERMA!B:B,MERMA!D:D,"No es merma")</f>
        <v>No es merma</v>
      </c>
    </row>
    <row r="585" spans="1:12" s="15" hidden="1" x14ac:dyDescent="0.35">
      <c r="A585" s="15">
        <v>100027111</v>
      </c>
      <c r="B585" s="506">
        <v>7502274777464</v>
      </c>
      <c r="C585" s="15" t="s">
        <v>646</v>
      </c>
      <c r="D585" s="15" t="s">
        <v>642</v>
      </c>
      <c r="E585" s="15" t="s">
        <v>643</v>
      </c>
      <c r="F585" s="15" t="s">
        <v>13</v>
      </c>
      <c r="H585" s="502" t="s">
        <v>15</v>
      </c>
      <c r="I585" s="502" t="s">
        <v>16</v>
      </c>
      <c r="J585" s="15" t="str">
        <f>+_xlfn.XLOOKUP(B585,INNOVACIÓN!A:A,INNOVACIÓN!B:B,"NO")</f>
        <v>SI</v>
      </c>
      <c r="K585" s="15" t="str">
        <f>+_xlfn.XLOOKUP(B585,MERMA!B:B,MERMA!C:C,"No")</f>
        <v>No</v>
      </c>
      <c r="L585" s="15" t="str">
        <f>+_xlfn.XLOOKUP(B585,MERMA!B:B,MERMA!D:D,"No es merma")</f>
        <v>No es merma</v>
      </c>
    </row>
  </sheetData>
  <autoFilter ref="A1:M585" xr:uid="{BD754D6A-9EA9-4EE7-AC8A-EAEF58532C37}">
    <filterColumn colId="2">
      <filters>
        <filter val="PALL MALL 125 AÑOS CASE ALASKA 20 PZ"/>
        <filter val="PALL MALL AIRLINES ALASKA 20 PZ"/>
        <filter val="PALL MALL ALASKA DUSK 15"/>
        <filter val="PALL MALL ALASKA DUSK 20"/>
        <filter val="PALL MALL ALASKA ROADTRIP CAN 20 PZ"/>
        <filter val="PALL MALL ALASKA STRESS RELIEVER 15 PZ"/>
        <filter val="PALL MALL ALASKA STRESS RELIEVER 20 PZ"/>
        <filter val="PALL MALL ALASKA SUNSHINE LATA 20 PZ"/>
        <filter val="PALL MALL SUMMER ALASKA 20 PZ"/>
        <filter val="PALL MALL XL ALASKA 15S 1 CAJETILLA"/>
      </filters>
    </filterColumn>
  </autoFilter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style="15" bestFit="1" customWidth="1"/>
    <col min="2" max="2" width="10.08984375" style="15" bestFit="1" customWidth="1"/>
    <col min="3" max="3" width="10.08984375" style="15" customWidth="1"/>
    <col min="4" max="4" width="8.453125" style="15" bestFit="1" customWidth="1"/>
  </cols>
  <sheetData>
    <row r="1" spans="1:5" s="15" x14ac:dyDescent="0.35">
      <c r="A1" s="65535" t="s">
        <v>2</v>
      </c>
      <c r="B1" s="65535" t="s">
        <v>1</v>
      </c>
      <c r="C1" s="65535" t="s">
        <v>647</v>
      </c>
      <c r="D1" s="65535" t="s">
        <v>648</v>
      </c>
      <c r="E1" s="65535" t="s">
        <v>651</v>
      </c>
    </row>
    <row r="2" spans="1:5" s="15" x14ac:dyDescent="0.35">
      <c r="A2" s="65535" t="s">
        <v>533</v>
      </c>
      <c r="B2" s="65535">
        <v>8308315</v>
      </c>
      <c r="C2" s="65535" t="s">
        <v>588</v>
      </c>
      <c r="D2" s="15">
        <v>2025</v>
      </c>
      <c r="E2" s="15" t="s">
        <v>652</v>
      </c>
    </row>
    <row r="3" spans="1:5" s="15" x14ac:dyDescent="0.35">
      <c r="A3" s="65535" t="s">
        <v>536</v>
      </c>
      <c r="B3" s="65535">
        <v>8338918</v>
      </c>
      <c r="C3" s="65535" t="s">
        <v>588</v>
      </c>
      <c r="D3" s="15">
        <v>2025</v>
      </c>
      <c r="E3" s="15" t="s">
        <v>652</v>
      </c>
    </row>
    <row r="4" spans="1:5" s="15" x14ac:dyDescent="0.35">
      <c r="A4" s="65535" t="s">
        <v>250</v>
      </c>
      <c r="B4" s="65535">
        <v>40331379</v>
      </c>
      <c r="C4" s="65535" t="s">
        <v>588</v>
      </c>
      <c r="D4" s="15">
        <v>2025</v>
      </c>
      <c r="E4" s="15" t="s">
        <v>652</v>
      </c>
    </row>
    <row r="5" spans="1:5" s="15" x14ac:dyDescent="0.35">
      <c r="A5" s="65535" t="s">
        <v>550</v>
      </c>
      <c r="B5" s="65535">
        <v>75001254</v>
      </c>
      <c r="C5" s="65535" t="s">
        <v>588</v>
      </c>
      <c r="D5" s="15">
        <v>2025</v>
      </c>
      <c r="E5" s="15" t="s">
        <v>652</v>
      </c>
    </row>
    <row r="6" spans="1:5" s="15" x14ac:dyDescent="0.35">
      <c r="A6" s="65535" t="s">
        <v>424</v>
      </c>
      <c r="B6" s="65535">
        <v>75001292</v>
      </c>
      <c r="C6" s="65535" t="s">
        <v>588</v>
      </c>
      <c r="D6" s="15">
        <v>2025</v>
      </c>
      <c r="E6" s="15" t="s">
        <v>652</v>
      </c>
    </row>
    <row r="7" spans="1:5" s="15" x14ac:dyDescent="0.35">
      <c r="A7" s="65535" t="s">
        <v>391</v>
      </c>
      <c r="B7" s="65535">
        <v>75001414</v>
      </c>
      <c r="C7" s="65535" t="s">
        <v>588</v>
      </c>
      <c r="D7" s="15">
        <v>2025</v>
      </c>
      <c r="E7" s="15" t="s">
        <v>652</v>
      </c>
    </row>
    <row r="8" spans="1:5" s="15" x14ac:dyDescent="0.35">
      <c r="A8" s="65535" t="s">
        <v>382</v>
      </c>
      <c r="B8" s="65535">
        <v>75004408</v>
      </c>
      <c r="C8" s="65535" t="s">
        <v>588</v>
      </c>
      <c r="D8" s="15">
        <v>2025</v>
      </c>
      <c r="E8" s="15" t="s">
        <v>652</v>
      </c>
    </row>
    <row r="9" spans="1:5" s="15" x14ac:dyDescent="0.35">
      <c r="A9" s="65535" t="s">
        <v>418</v>
      </c>
      <c r="B9" s="65535">
        <v>75004415</v>
      </c>
      <c r="C9" s="65535" t="s">
        <v>588</v>
      </c>
      <c r="D9" s="15">
        <v>2025</v>
      </c>
      <c r="E9" s="15" t="s">
        <v>652</v>
      </c>
    </row>
    <row r="10" spans="1:5" s="15" x14ac:dyDescent="0.35">
      <c r="A10" s="65535" t="s">
        <v>430</v>
      </c>
      <c r="B10" s="65535">
        <v>75006204</v>
      </c>
      <c r="C10" s="65535" t="s">
        <v>588</v>
      </c>
      <c r="D10" s="15">
        <v>2025</v>
      </c>
      <c r="E10" s="15" t="s">
        <v>652</v>
      </c>
    </row>
    <row r="11" spans="1:5" s="15" x14ac:dyDescent="0.35">
      <c r="A11" s="65535" t="s">
        <v>320</v>
      </c>
      <c r="B11" s="65535">
        <v>75006341</v>
      </c>
      <c r="C11" s="65535" t="s">
        <v>588</v>
      </c>
      <c r="D11" s="15">
        <v>2025</v>
      </c>
      <c r="E11" s="15" t="s">
        <v>652</v>
      </c>
    </row>
    <row r="12" spans="1:5" s="15" x14ac:dyDescent="0.35">
      <c r="A12" s="65535" t="s">
        <v>170</v>
      </c>
      <c r="B12" s="65535">
        <v>75006587</v>
      </c>
      <c r="C12" s="65535" t="s">
        <v>588</v>
      </c>
      <c r="D12" s="15">
        <v>2025</v>
      </c>
      <c r="E12" s="15" t="s">
        <v>652</v>
      </c>
    </row>
    <row r="13" spans="1:5" s="15" x14ac:dyDescent="0.35">
      <c r="A13" s="65535" t="s">
        <v>319</v>
      </c>
      <c r="B13" s="65535">
        <v>75006952</v>
      </c>
      <c r="C13" s="65535" t="s">
        <v>588</v>
      </c>
      <c r="D13" s="15">
        <v>2025</v>
      </c>
      <c r="E13" s="15" t="s">
        <v>652</v>
      </c>
    </row>
    <row r="14" spans="1:5" s="15" x14ac:dyDescent="0.35">
      <c r="A14" s="65535" t="s">
        <v>543</v>
      </c>
      <c r="B14" s="65535">
        <v>75012564</v>
      </c>
      <c r="C14" s="65535" t="s">
        <v>588</v>
      </c>
      <c r="D14" s="15">
        <v>2025</v>
      </c>
      <c r="E14" s="15" t="s">
        <v>652</v>
      </c>
    </row>
    <row r="15" spans="1:5" s="15" x14ac:dyDescent="0.35">
      <c r="A15" s="65535" t="s">
        <v>541</v>
      </c>
      <c r="B15" s="65535">
        <v>75012694</v>
      </c>
      <c r="C15" s="65535" t="s">
        <v>588</v>
      </c>
      <c r="D15" s="15">
        <v>2025</v>
      </c>
      <c r="E15" s="15" t="s">
        <v>652</v>
      </c>
    </row>
    <row r="16" spans="1:5" s="15" x14ac:dyDescent="0.35">
      <c r="A16" s="65535" t="s">
        <v>398</v>
      </c>
      <c r="B16" s="65535">
        <v>75012717</v>
      </c>
      <c r="C16" s="65535" t="s">
        <v>588</v>
      </c>
      <c r="D16" s="15">
        <v>2025</v>
      </c>
      <c r="E16" s="15" t="s">
        <v>652</v>
      </c>
    </row>
    <row r="17" spans="1:5" s="15" x14ac:dyDescent="0.35">
      <c r="A17" s="65535" t="s">
        <v>540</v>
      </c>
      <c r="B17" s="65535">
        <v>75015725</v>
      </c>
      <c r="C17" s="65535" t="s">
        <v>588</v>
      </c>
      <c r="D17" s="15">
        <v>2025</v>
      </c>
      <c r="E17" s="15" t="s">
        <v>652</v>
      </c>
    </row>
    <row r="18" spans="1:5" s="15" x14ac:dyDescent="0.35">
      <c r="A18" s="65535" t="s">
        <v>542</v>
      </c>
      <c r="B18" s="65535">
        <v>75018825</v>
      </c>
      <c r="C18" s="65535" t="s">
        <v>588</v>
      </c>
      <c r="D18" s="15">
        <v>2025</v>
      </c>
      <c r="E18" s="15" t="s">
        <v>652</v>
      </c>
    </row>
    <row r="19" spans="1:5" s="15" x14ac:dyDescent="0.35">
      <c r="A19" s="65535" t="s">
        <v>380</v>
      </c>
      <c r="B19" s="65535">
        <v>75018832</v>
      </c>
      <c r="C19" s="65535" t="s">
        <v>588</v>
      </c>
      <c r="D19" s="15">
        <v>2025</v>
      </c>
      <c r="E19" s="15" t="s">
        <v>652</v>
      </c>
    </row>
    <row r="20" spans="1:5" s="15" x14ac:dyDescent="0.35">
      <c r="A20" s="65535" t="s">
        <v>399</v>
      </c>
      <c r="B20" s="65535">
        <v>75022259</v>
      </c>
      <c r="C20" s="65535" t="s">
        <v>588</v>
      </c>
      <c r="D20" s="15">
        <v>2025</v>
      </c>
      <c r="E20" s="15" t="s">
        <v>652</v>
      </c>
    </row>
    <row r="21" spans="1:5" s="15" x14ac:dyDescent="0.35">
      <c r="A21" s="65535" t="s">
        <v>388</v>
      </c>
      <c r="B21" s="65535">
        <v>75025359</v>
      </c>
      <c r="C21" s="65535" t="s">
        <v>588</v>
      </c>
      <c r="D21" s="15">
        <v>2025</v>
      </c>
      <c r="E21" s="15" t="s">
        <v>652</v>
      </c>
    </row>
    <row r="22" spans="1:5" s="15" x14ac:dyDescent="0.35">
      <c r="A22" s="65535" t="s">
        <v>427</v>
      </c>
      <c r="B22" s="65535">
        <v>75027018</v>
      </c>
      <c r="C22" s="65535" t="s">
        <v>588</v>
      </c>
      <c r="D22" s="15">
        <v>2025</v>
      </c>
      <c r="E22" s="15" t="s">
        <v>652</v>
      </c>
    </row>
    <row r="23" spans="1:5" s="15" x14ac:dyDescent="0.35">
      <c r="A23" s="65535" t="s">
        <v>428</v>
      </c>
      <c r="B23" s="65535">
        <v>75029388</v>
      </c>
      <c r="C23" s="65535" t="s">
        <v>588</v>
      </c>
      <c r="D23" s="15">
        <v>2025</v>
      </c>
      <c r="E23" s="15" t="s">
        <v>652</v>
      </c>
    </row>
    <row r="24" spans="1:5" s="15" x14ac:dyDescent="0.35">
      <c r="A24" s="65535" t="s">
        <v>321</v>
      </c>
      <c r="B24" s="65535">
        <v>75032777</v>
      </c>
      <c r="C24" s="65535" t="s">
        <v>588</v>
      </c>
      <c r="D24" s="15">
        <v>2025</v>
      </c>
      <c r="E24" s="15" t="s">
        <v>652</v>
      </c>
    </row>
    <row r="25" spans="1:5" s="15" x14ac:dyDescent="0.35">
      <c r="A25" s="65535" t="s">
        <v>422</v>
      </c>
      <c r="B25" s="65535">
        <v>75034375</v>
      </c>
      <c r="C25" s="65535" t="s">
        <v>588</v>
      </c>
      <c r="D25" s="15">
        <v>2025</v>
      </c>
      <c r="E25" s="15" t="s">
        <v>652</v>
      </c>
    </row>
    <row r="26" spans="1:5" s="15" x14ac:dyDescent="0.35">
      <c r="A26" s="65535" t="s">
        <v>549</v>
      </c>
      <c r="B26" s="65535">
        <v>75037994</v>
      </c>
      <c r="C26" s="65535" t="s">
        <v>588</v>
      </c>
      <c r="D26" s="15">
        <v>2025</v>
      </c>
      <c r="E26" s="15" t="s">
        <v>652</v>
      </c>
    </row>
    <row r="27" spans="1:5" s="15" x14ac:dyDescent="0.35">
      <c r="A27" s="65535" t="s">
        <v>547</v>
      </c>
      <c r="B27" s="65535">
        <v>75038007</v>
      </c>
      <c r="C27" s="65535" t="s">
        <v>588</v>
      </c>
      <c r="D27" s="15">
        <v>2025</v>
      </c>
      <c r="E27" s="15" t="s">
        <v>652</v>
      </c>
    </row>
    <row r="28" spans="1:5" s="15" x14ac:dyDescent="0.35">
      <c r="A28" s="65535" t="s">
        <v>534</v>
      </c>
      <c r="B28" s="65535">
        <v>75039370</v>
      </c>
      <c r="C28" s="65535" t="s">
        <v>588</v>
      </c>
      <c r="D28" s="15">
        <v>2025</v>
      </c>
      <c r="E28" s="15" t="s">
        <v>652</v>
      </c>
    </row>
    <row r="29" spans="1:5" s="15" x14ac:dyDescent="0.35">
      <c r="A29" s="65535" t="s">
        <v>535</v>
      </c>
      <c r="B29" s="65535">
        <v>75043230</v>
      </c>
      <c r="C29" s="65535" t="s">
        <v>588</v>
      </c>
      <c r="D29" s="15">
        <v>2025</v>
      </c>
      <c r="E29" s="15" t="s">
        <v>652</v>
      </c>
    </row>
    <row r="30" spans="1:5" s="15" x14ac:dyDescent="0.35">
      <c r="A30" s="65535" t="s">
        <v>532</v>
      </c>
      <c r="B30" s="65535">
        <v>75045135</v>
      </c>
      <c r="C30" s="65535" t="s">
        <v>588</v>
      </c>
      <c r="D30" s="15">
        <v>2025</v>
      </c>
      <c r="E30" s="15" t="s">
        <v>652</v>
      </c>
    </row>
    <row r="31" spans="1:5" s="15" x14ac:dyDescent="0.35">
      <c r="A31" s="65535" t="s">
        <v>421</v>
      </c>
      <c r="B31" s="65535">
        <v>75046781</v>
      </c>
      <c r="C31" s="65535" t="s">
        <v>588</v>
      </c>
      <c r="D31" s="15">
        <v>2025</v>
      </c>
      <c r="E31" s="15" t="s">
        <v>652</v>
      </c>
    </row>
    <row r="32" spans="1:5" s="15" x14ac:dyDescent="0.35">
      <c r="A32" s="65535" t="s">
        <v>497</v>
      </c>
      <c r="B32" s="65535">
        <v>75049591</v>
      </c>
      <c r="C32" s="65535" t="s">
        <v>588</v>
      </c>
      <c r="D32" s="15">
        <v>2025</v>
      </c>
      <c r="E32" s="15" t="s">
        <v>652</v>
      </c>
    </row>
    <row r="33" spans="1:5" s="15" x14ac:dyDescent="0.35">
      <c r="A33" s="65535" t="s">
        <v>334</v>
      </c>
      <c r="B33" s="65535">
        <v>75053673</v>
      </c>
      <c r="C33" s="65535" t="s">
        <v>588</v>
      </c>
      <c r="D33" s="15">
        <v>2025</v>
      </c>
      <c r="E33" s="15" t="s">
        <v>652</v>
      </c>
    </row>
    <row r="34" spans="1:5" s="15" x14ac:dyDescent="0.35">
      <c r="A34" s="65535" t="s">
        <v>384</v>
      </c>
      <c r="B34" s="65535">
        <v>75053758</v>
      </c>
      <c r="C34" s="65535" t="s">
        <v>588</v>
      </c>
      <c r="D34" s="15">
        <v>2025</v>
      </c>
      <c r="E34" s="15" t="s">
        <v>652</v>
      </c>
    </row>
    <row r="35" spans="1:5" s="15" x14ac:dyDescent="0.35">
      <c r="A35" s="65535" t="s">
        <v>390</v>
      </c>
      <c r="B35" s="65535">
        <v>75053765</v>
      </c>
      <c r="C35" s="65535" t="s">
        <v>588</v>
      </c>
      <c r="D35" s="15">
        <v>2025</v>
      </c>
      <c r="E35" s="15" t="s">
        <v>652</v>
      </c>
    </row>
    <row r="36" spans="1:5" s="15" x14ac:dyDescent="0.35">
      <c r="A36" s="65535" t="s">
        <v>518</v>
      </c>
      <c r="B36" s="65535">
        <v>75057824</v>
      </c>
      <c r="C36" s="65535" t="s">
        <v>588</v>
      </c>
      <c r="D36" s="15">
        <v>2025</v>
      </c>
      <c r="E36" s="15" t="s">
        <v>652</v>
      </c>
    </row>
    <row r="37" spans="1:5" s="15" x14ac:dyDescent="0.35">
      <c r="A37" s="65535" t="s">
        <v>454</v>
      </c>
      <c r="B37" s="65535">
        <v>75061135</v>
      </c>
      <c r="C37" s="65535" t="s">
        <v>588</v>
      </c>
      <c r="D37" s="15">
        <v>2025</v>
      </c>
      <c r="E37" s="15" t="s">
        <v>652</v>
      </c>
    </row>
    <row r="38" spans="1:5" s="15" x14ac:dyDescent="0.35">
      <c r="A38" s="65535" t="s">
        <v>462</v>
      </c>
      <c r="B38" s="65535">
        <v>75062675</v>
      </c>
      <c r="C38" s="65535" t="s">
        <v>588</v>
      </c>
      <c r="D38" s="15">
        <v>2025</v>
      </c>
      <c r="E38" s="15" t="s">
        <v>652</v>
      </c>
    </row>
    <row r="39" spans="1:5" s="15" x14ac:dyDescent="0.35">
      <c r="A39" s="65535" t="s">
        <v>389</v>
      </c>
      <c r="B39" s="65535">
        <v>75062736</v>
      </c>
      <c r="C39" s="65535" t="s">
        <v>588</v>
      </c>
      <c r="D39" s="15">
        <v>2025</v>
      </c>
      <c r="E39" s="15" t="s">
        <v>652</v>
      </c>
    </row>
    <row r="40" spans="1:5" s="15" x14ac:dyDescent="0.35">
      <c r="A40" s="65535" t="s">
        <v>529</v>
      </c>
      <c r="B40" s="65535">
        <v>75063740</v>
      </c>
      <c r="C40" s="65535" t="s">
        <v>588</v>
      </c>
      <c r="D40" s="15">
        <v>2025</v>
      </c>
      <c r="E40" s="15" t="s">
        <v>652</v>
      </c>
    </row>
    <row r="41" spans="1:5" s="15" x14ac:dyDescent="0.35">
      <c r="A41" s="65535" t="s">
        <v>505</v>
      </c>
      <c r="B41" s="65535">
        <v>75063771</v>
      </c>
      <c r="C41" s="65535" t="s">
        <v>588</v>
      </c>
      <c r="D41" s="15">
        <v>2025</v>
      </c>
      <c r="E41" s="15" t="s">
        <v>652</v>
      </c>
    </row>
    <row r="42" spans="1:5" s="15" x14ac:dyDescent="0.35">
      <c r="A42" s="65535" t="s">
        <v>527</v>
      </c>
      <c r="B42" s="65535">
        <v>75063825</v>
      </c>
      <c r="C42" s="65535" t="s">
        <v>588</v>
      </c>
      <c r="D42" s="15">
        <v>2025</v>
      </c>
      <c r="E42" s="15" t="s">
        <v>652</v>
      </c>
    </row>
    <row r="43" spans="1:5" s="15" x14ac:dyDescent="0.35">
      <c r="A43" s="65535" t="s">
        <v>496</v>
      </c>
      <c r="B43" s="65535">
        <v>75063832</v>
      </c>
      <c r="C43" s="65535" t="s">
        <v>588</v>
      </c>
      <c r="D43" s="15">
        <v>2025</v>
      </c>
      <c r="E43" s="15" t="s">
        <v>652</v>
      </c>
    </row>
    <row r="44" spans="1:5" s="15" x14ac:dyDescent="0.35">
      <c r="A44" s="65535" t="s">
        <v>503</v>
      </c>
      <c r="B44" s="65535">
        <v>75063870</v>
      </c>
      <c r="C44" s="65535" t="s">
        <v>588</v>
      </c>
      <c r="D44" s="15">
        <v>2025</v>
      </c>
      <c r="E44" s="15" t="s">
        <v>652</v>
      </c>
    </row>
    <row r="45" spans="1:5" s="15" x14ac:dyDescent="0.35">
      <c r="A45" s="65535" t="s">
        <v>510</v>
      </c>
      <c r="B45" s="65535">
        <v>75064112</v>
      </c>
      <c r="C45" s="65535" t="s">
        <v>588</v>
      </c>
      <c r="D45" s="15">
        <v>2025</v>
      </c>
      <c r="E45" s="15" t="s">
        <v>652</v>
      </c>
    </row>
    <row r="46" spans="1:5" s="15" x14ac:dyDescent="0.35">
      <c r="A46" s="65535" t="s">
        <v>456</v>
      </c>
      <c r="B46" s="65535">
        <v>75066611</v>
      </c>
      <c r="C46" s="65535" t="s">
        <v>588</v>
      </c>
      <c r="D46" s="15">
        <v>2025</v>
      </c>
      <c r="E46" s="15" t="s">
        <v>652</v>
      </c>
    </row>
    <row r="47" spans="1:5" s="15" x14ac:dyDescent="0.35">
      <c r="A47" s="65535" t="s">
        <v>515</v>
      </c>
      <c r="B47" s="65535">
        <v>75067854</v>
      </c>
      <c r="C47" s="65535" t="s">
        <v>588</v>
      </c>
      <c r="D47" s="15">
        <v>2025</v>
      </c>
      <c r="E47" s="15" t="s">
        <v>652</v>
      </c>
    </row>
    <row r="48" spans="1:5" s="15" x14ac:dyDescent="0.35">
      <c r="A48" s="65535" t="s">
        <v>458</v>
      </c>
      <c r="B48" s="65535">
        <v>75067878</v>
      </c>
      <c r="C48" s="65535" t="s">
        <v>588</v>
      </c>
      <c r="D48" s="15">
        <v>2025</v>
      </c>
      <c r="E48" s="15" t="s">
        <v>652</v>
      </c>
    </row>
    <row r="49" spans="1:5" s="15" x14ac:dyDescent="0.35">
      <c r="A49" s="65535" t="s">
        <v>438</v>
      </c>
      <c r="B49" s="65535">
        <v>75068790</v>
      </c>
      <c r="C49" s="65535" t="s">
        <v>588</v>
      </c>
      <c r="D49" s="15">
        <v>2025</v>
      </c>
      <c r="E49" s="15" t="s">
        <v>652</v>
      </c>
    </row>
    <row r="50" spans="1:5" s="15" x14ac:dyDescent="0.35">
      <c r="A50" s="65535" t="s">
        <v>545</v>
      </c>
      <c r="B50" s="65535">
        <v>75068806</v>
      </c>
      <c r="C50" s="65535" t="s">
        <v>588</v>
      </c>
      <c r="D50" s="15">
        <v>2025</v>
      </c>
      <c r="E50" s="15" t="s">
        <v>652</v>
      </c>
    </row>
    <row r="51" spans="1:5" s="15" x14ac:dyDescent="0.35">
      <c r="A51" s="65535" t="s">
        <v>358</v>
      </c>
      <c r="B51" s="65535">
        <v>75069490</v>
      </c>
      <c r="C51" s="65535" t="s">
        <v>588</v>
      </c>
      <c r="D51" s="15">
        <v>2025</v>
      </c>
      <c r="E51" s="15" t="s">
        <v>652</v>
      </c>
    </row>
    <row r="52" spans="1:5" s="15" x14ac:dyDescent="0.35">
      <c r="A52" s="65535" t="s">
        <v>514</v>
      </c>
      <c r="B52" s="65535">
        <v>75069506</v>
      </c>
      <c r="C52" s="65535" t="s">
        <v>588</v>
      </c>
      <c r="D52" s="15">
        <v>2025</v>
      </c>
      <c r="E52" s="15" t="s">
        <v>652</v>
      </c>
    </row>
    <row r="53" spans="1:5" s="15" x14ac:dyDescent="0.35">
      <c r="A53" s="65535" t="s">
        <v>395</v>
      </c>
      <c r="B53" s="65535">
        <v>75069933</v>
      </c>
      <c r="C53" s="65535" t="s">
        <v>588</v>
      </c>
      <c r="D53" s="15">
        <v>2025</v>
      </c>
      <c r="E53" s="15" t="s">
        <v>652</v>
      </c>
    </row>
    <row r="54" spans="1:5" s="15" x14ac:dyDescent="0.35">
      <c r="A54" s="65535" t="s">
        <v>457</v>
      </c>
      <c r="B54" s="65535">
        <v>75070373</v>
      </c>
      <c r="C54" s="65535" t="s">
        <v>588</v>
      </c>
      <c r="D54" s="15">
        <v>2025</v>
      </c>
      <c r="E54" s="15" t="s">
        <v>652</v>
      </c>
    </row>
    <row r="55" spans="1:5" s="15" x14ac:dyDescent="0.35">
      <c r="A55" s="65535" t="s">
        <v>459</v>
      </c>
      <c r="B55" s="65535">
        <v>75070588</v>
      </c>
      <c r="C55" s="65535" t="s">
        <v>588</v>
      </c>
      <c r="D55" s="15">
        <v>2025</v>
      </c>
      <c r="E55" s="15" t="s">
        <v>652</v>
      </c>
    </row>
    <row r="56" spans="1:5" s="15" x14ac:dyDescent="0.35">
      <c r="A56" s="65535" t="s">
        <v>449</v>
      </c>
      <c r="B56" s="65535">
        <v>75072506</v>
      </c>
      <c r="C56" s="65535" t="s">
        <v>588</v>
      </c>
      <c r="D56" s="15">
        <v>2025</v>
      </c>
      <c r="E56" s="15" t="s">
        <v>652</v>
      </c>
    </row>
    <row r="57" spans="1:5" s="15" x14ac:dyDescent="0.35">
      <c r="A57" s="65535" t="s">
        <v>396</v>
      </c>
      <c r="B57" s="65535">
        <v>75072605</v>
      </c>
      <c r="C57" s="65535" t="s">
        <v>588</v>
      </c>
      <c r="D57" s="15">
        <v>2025</v>
      </c>
      <c r="E57" s="15" t="s">
        <v>652</v>
      </c>
    </row>
    <row r="58" spans="1:5" s="15" x14ac:dyDescent="0.35">
      <c r="A58" s="65535" t="s">
        <v>445</v>
      </c>
      <c r="B58" s="65535">
        <v>75073978</v>
      </c>
      <c r="C58" s="65535" t="s">
        <v>588</v>
      </c>
      <c r="D58" s="15">
        <v>2025</v>
      </c>
      <c r="E58" s="15" t="s">
        <v>652</v>
      </c>
    </row>
    <row r="59" spans="1:5" s="15" x14ac:dyDescent="0.35">
      <c r="A59" s="65535" t="s">
        <v>446</v>
      </c>
      <c r="B59" s="65535">
        <v>75073985</v>
      </c>
      <c r="C59" s="65535" t="s">
        <v>588</v>
      </c>
      <c r="D59" s="15">
        <v>2025</v>
      </c>
      <c r="E59" s="15" t="s">
        <v>652</v>
      </c>
    </row>
    <row r="60" spans="1:5" s="15" x14ac:dyDescent="0.35">
      <c r="A60" s="65535" t="s">
        <v>453</v>
      </c>
      <c r="B60" s="65535">
        <v>75074203</v>
      </c>
      <c r="C60" s="65535" t="s">
        <v>588</v>
      </c>
      <c r="D60" s="15">
        <v>2025</v>
      </c>
      <c r="E60" s="15" t="s">
        <v>652</v>
      </c>
    </row>
    <row r="61" spans="1:5" s="15" x14ac:dyDescent="0.35">
      <c r="A61" s="65535" t="s">
        <v>372</v>
      </c>
      <c r="B61" s="65535">
        <v>75074753</v>
      </c>
      <c r="C61" s="65535" t="s">
        <v>588</v>
      </c>
      <c r="D61" s="15">
        <v>2025</v>
      </c>
      <c r="E61" s="15" t="s">
        <v>652</v>
      </c>
    </row>
    <row r="62" spans="1:5" s="15" x14ac:dyDescent="0.35">
      <c r="A62" s="65535" t="s">
        <v>370</v>
      </c>
      <c r="B62" s="65535">
        <v>75074784</v>
      </c>
      <c r="C62" s="65535" t="s">
        <v>588</v>
      </c>
      <c r="D62" s="15">
        <v>2025</v>
      </c>
      <c r="E62" s="15" t="s">
        <v>652</v>
      </c>
    </row>
    <row r="63" spans="1:5" s="15" x14ac:dyDescent="0.35">
      <c r="A63" s="65535" t="s">
        <v>332</v>
      </c>
      <c r="B63" s="65535">
        <v>75074913</v>
      </c>
      <c r="C63" s="65535" t="s">
        <v>588</v>
      </c>
      <c r="D63" s="15">
        <v>2025</v>
      </c>
      <c r="E63" s="15" t="s">
        <v>652</v>
      </c>
    </row>
    <row r="64" spans="1:5" s="15" x14ac:dyDescent="0.35">
      <c r="A64" s="65535" t="s">
        <v>329</v>
      </c>
      <c r="B64" s="65535">
        <v>75074937</v>
      </c>
      <c r="C64" s="65535" t="s">
        <v>588</v>
      </c>
      <c r="D64" s="15">
        <v>2025</v>
      </c>
      <c r="E64" s="15" t="s">
        <v>652</v>
      </c>
    </row>
    <row r="65" spans="1:5" s="15" x14ac:dyDescent="0.35">
      <c r="A65" s="65535" t="s">
        <v>347</v>
      </c>
      <c r="B65" s="65535">
        <v>75077389</v>
      </c>
      <c r="C65" s="65535" t="s">
        <v>588</v>
      </c>
      <c r="D65" s="15">
        <v>2025</v>
      </c>
      <c r="E65" s="15" t="s">
        <v>652</v>
      </c>
    </row>
    <row r="66" spans="1:5" s="15" x14ac:dyDescent="0.35">
      <c r="A66" s="65535" t="s">
        <v>441</v>
      </c>
      <c r="B66" s="65535">
        <v>75079888</v>
      </c>
      <c r="C66" s="65535" t="s">
        <v>588</v>
      </c>
      <c r="D66" s="15">
        <v>2025</v>
      </c>
      <c r="E66" s="15" t="s">
        <v>652</v>
      </c>
    </row>
    <row r="67" spans="1:5" s="15" x14ac:dyDescent="0.35">
      <c r="A67" s="65535" t="s">
        <v>443</v>
      </c>
      <c r="B67" s="65535">
        <v>75079895</v>
      </c>
      <c r="C67" s="65535" t="s">
        <v>588</v>
      </c>
      <c r="D67" s="15">
        <v>2025</v>
      </c>
      <c r="E67" s="15" t="s">
        <v>652</v>
      </c>
    </row>
    <row r="68" spans="1:5" s="15" x14ac:dyDescent="0.35">
      <c r="A68" s="65535" t="s">
        <v>442</v>
      </c>
      <c r="B68" s="65535">
        <v>75079901</v>
      </c>
      <c r="C68" s="65535" t="s">
        <v>588</v>
      </c>
      <c r="D68" s="15">
        <v>2025</v>
      </c>
      <c r="E68" s="15" t="s">
        <v>652</v>
      </c>
    </row>
    <row r="69" spans="1:5" s="15" x14ac:dyDescent="0.35">
      <c r="A69" s="65535" t="s">
        <v>444</v>
      </c>
      <c r="B69" s="65535">
        <v>75079956</v>
      </c>
      <c r="C69" s="65535" t="s">
        <v>588</v>
      </c>
      <c r="D69" s="15">
        <v>2025</v>
      </c>
      <c r="E69" s="15" t="s">
        <v>652</v>
      </c>
    </row>
    <row r="70" spans="1:5" s="15" x14ac:dyDescent="0.35">
      <c r="A70" s="65535" t="s">
        <v>448</v>
      </c>
      <c r="B70" s="65535">
        <v>75080105</v>
      </c>
      <c r="C70" s="65535" t="s">
        <v>588</v>
      </c>
      <c r="D70" s="15">
        <v>2025</v>
      </c>
      <c r="E70" s="15" t="s">
        <v>652</v>
      </c>
    </row>
    <row r="71" spans="1:5" s="15" x14ac:dyDescent="0.35">
      <c r="A71" s="65535" t="s">
        <v>485</v>
      </c>
      <c r="B71" s="65535">
        <v>7501045356259</v>
      </c>
      <c r="C71" s="65535" t="s">
        <v>588</v>
      </c>
      <c r="D71" s="15">
        <v>2025</v>
      </c>
      <c r="E71" s="15" t="s">
        <v>652</v>
      </c>
    </row>
    <row r="72" spans="1:5" s="15" x14ac:dyDescent="0.35">
      <c r="A72" s="65535" t="s">
        <v>477</v>
      </c>
      <c r="B72" s="65535">
        <v>7501045357416</v>
      </c>
      <c r="C72" s="65535" t="s">
        <v>588</v>
      </c>
      <c r="D72" s="15">
        <v>2025</v>
      </c>
      <c r="E72" s="15" t="s">
        <v>652</v>
      </c>
    </row>
    <row r="73" spans="1:5" s="15" x14ac:dyDescent="0.35">
      <c r="A73" s="65535" t="s">
        <v>476</v>
      </c>
      <c r="B73" s="65535">
        <v>7501045357423</v>
      </c>
      <c r="C73" s="65535" t="s">
        <v>588</v>
      </c>
      <c r="D73" s="15">
        <v>2025</v>
      </c>
      <c r="E73" s="15" t="s">
        <v>652</v>
      </c>
    </row>
    <row r="74" spans="1:5" s="15" x14ac:dyDescent="0.35">
      <c r="A74" s="65535" t="s">
        <v>478</v>
      </c>
      <c r="B74" s="65535">
        <v>7501045357430</v>
      </c>
      <c r="C74" s="65535" t="s">
        <v>588</v>
      </c>
      <c r="D74" s="15">
        <v>2025</v>
      </c>
      <c r="E74" s="15" t="s">
        <v>652</v>
      </c>
    </row>
    <row r="75" spans="1:5" s="15" x14ac:dyDescent="0.35">
      <c r="A75" s="65535" t="s">
        <v>483</v>
      </c>
      <c r="B75" s="65535">
        <v>7501045357447</v>
      </c>
      <c r="C75" s="65535" t="s">
        <v>588</v>
      </c>
      <c r="D75" s="15">
        <v>2025</v>
      </c>
      <c r="E75" s="15" t="s">
        <v>652</v>
      </c>
    </row>
    <row r="76" spans="1:5" s="15" x14ac:dyDescent="0.35">
      <c r="A76" s="65535" t="s">
        <v>480</v>
      </c>
      <c r="B76" s="65535">
        <v>7501045357454</v>
      </c>
      <c r="C76" s="65535" t="s">
        <v>588</v>
      </c>
      <c r="D76" s="15">
        <v>2025</v>
      </c>
      <c r="E76" s="15" t="s">
        <v>652</v>
      </c>
    </row>
    <row r="77" spans="1:5" s="15" x14ac:dyDescent="0.35">
      <c r="A77" s="65535" t="s">
        <v>482</v>
      </c>
      <c r="B77" s="65535">
        <v>7501045357881</v>
      </c>
      <c r="C77" s="65535" t="s">
        <v>588</v>
      </c>
      <c r="D77" s="15">
        <v>2025</v>
      </c>
      <c r="E77" s="15" t="s">
        <v>652</v>
      </c>
    </row>
    <row r="78" spans="1:5" s="15" x14ac:dyDescent="0.35">
      <c r="A78" s="65535" t="s">
        <v>479</v>
      </c>
      <c r="B78" s="65535">
        <v>7501045357898</v>
      </c>
      <c r="C78" s="65535" t="s">
        <v>588</v>
      </c>
      <c r="D78" s="15">
        <v>2025</v>
      </c>
      <c r="E78" s="15" t="s">
        <v>652</v>
      </c>
    </row>
    <row r="79" spans="1:5" s="15" x14ac:dyDescent="0.35">
      <c r="A79" s="65535" t="s">
        <v>481</v>
      </c>
      <c r="B79" s="65535">
        <v>7501045357966</v>
      </c>
      <c r="C79" s="65535" t="s">
        <v>588</v>
      </c>
      <c r="D79" s="15">
        <v>2025</v>
      </c>
      <c r="E79" s="15" t="s">
        <v>652</v>
      </c>
    </row>
    <row r="80" spans="1:5" s="15" x14ac:dyDescent="0.35">
      <c r="A80" s="65535" t="s">
        <v>246</v>
      </c>
      <c r="B80" s="65535">
        <v>7503023959162</v>
      </c>
      <c r="C80" s="65535" t="s">
        <v>588</v>
      </c>
      <c r="D80" s="15">
        <v>2025</v>
      </c>
      <c r="E80" s="15" t="s">
        <v>652</v>
      </c>
    </row>
    <row r="81" spans="1:5" s="15" x14ac:dyDescent="0.35">
      <c r="A81" s="65535" t="s">
        <v>530</v>
      </c>
      <c r="B81" s="65535">
        <v>7503023959346</v>
      </c>
      <c r="C81" s="65535" t="s">
        <v>588</v>
      </c>
      <c r="D81" s="15">
        <v>2025</v>
      </c>
      <c r="E81" s="15" t="s">
        <v>652</v>
      </c>
    </row>
    <row r="82" spans="1:5" s="15" x14ac:dyDescent="0.35">
      <c r="A82" s="65535" t="s">
        <v>552</v>
      </c>
      <c r="B82" s="65535">
        <v>7503023959438</v>
      </c>
      <c r="C82" s="65535" t="s">
        <v>588</v>
      </c>
      <c r="D82" s="15">
        <v>2025</v>
      </c>
      <c r="E82" s="15" t="s">
        <v>652</v>
      </c>
    </row>
    <row r="83" spans="1:5" s="15" x14ac:dyDescent="0.35">
      <c r="A83" s="65535" t="s">
        <v>378</v>
      </c>
      <c r="B83" s="65535">
        <v>7503031949001</v>
      </c>
      <c r="C83" s="65535" t="s">
        <v>588</v>
      </c>
      <c r="D83" s="15">
        <v>2025</v>
      </c>
      <c r="E83" s="15" t="s">
        <v>652</v>
      </c>
    </row>
    <row r="84" spans="1:5" s="15" x14ac:dyDescent="0.35">
      <c r="A84" s="65535" t="s">
        <v>376</v>
      </c>
      <c r="B84" s="65535">
        <v>7503031949094</v>
      </c>
      <c r="C84" s="65535" t="s">
        <v>588</v>
      </c>
      <c r="D84" s="15">
        <v>2025</v>
      </c>
      <c r="E84" s="15" t="s">
        <v>652</v>
      </c>
    </row>
    <row r="85" spans="1:5" s="15" x14ac:dyDescent="0.35">
      <c r="A85" s="65535" t="s">
        <v>414</v>
      </c>
      <c r="B85" s="65535">
        <v>7503031950212</v>
      </c>
      <c r="C85" s="65535" t="s">
        <v>588</v>
      </c>
      <c r="D85" s="15">
        <v>2025</v>
      </c>
      <c r="E85" s="15" t="s">
        <v>652</v>
      </c>
    </row>
    <row r="86" spans="1:5" s="15" x14ac:dyDescent="0.35">
      <c r="A86" s="65535" t="s">
        <v>520</v>
      </c>
      <c r="B86" s="65535">
        <v>7503031950267</v>
      </c>
      <c r="C86" s="65535" t="s">
        <v>588</v>
      </c>
      <c r="D86" s="15">
        <v>2025</v>
      </c>
      <c r="E86" s="15" t="s">
        <v>652</v>
      </c>
    </row>
    <row r="87" spans="1:5" s="15" x14ac:dyDescent="0.35">
      <c r="A87" s="65535" t="s">
        <v>385</v>
      </c>
      <c r="B87" s="65535">
        <v>7503031950274</v>
      </c>
      <c r="C87" s="65535" t="s">
        <v>588</v>
      </c>
      <c r="D87" s="15">
        <v>2025</v>
      </c>
      <c r="E87" s="15" t="s">
        <v>652</v>
      </c>
    </row>
    <row r="88" spans="1:5" s="15" x14ac:dyDescent="0.35">
      <c r="A88" s="65535" t="s">
        <v>415</v>
      </c>
      <c r="B88" s="65535">
        <v>7503031950281</v>
      </c>
      <c r="C88" s="65535" t="s">
        <v>588</v>
      </c>
      <c r="D88" s="15">
        <v>2025</v>
      </c>
      <c r="E88" s="15" t="s">
        <v>652</v>
      </c>
    </row>
    <row r="89" spans="1:5" s="15" x14ac:dyDescent="0.35">
      <c r="A89" s="65535" t="s">
        <v>436</v>
      </c>
      <c r="B89" s="65535">
        <v>7503031950298</v>
      </c>
      <c r="C89" s="65535" t="s">
        <v>588</v>
      </c>
      <c r="D89" s="15">
        <v>2025</v>
      </c>
      <c r="E89" s="15" t="s">
        <v>652</v>
      </c>
    </row>
    <row r="90" spans="1:5" s="15" x14ac:dyDescent="0.35">
      <c r="A90" s="65535" t="s">
        <v>434</v>
      </c>
      <c r="B90" s="65535">
        <v>7503031950304</v>
      </c>
      <c r="C90" s="65535" t="s">
        <v>588</v>
      </c>
      <c r="D90" s="15">
        <v>2025</v>
      </c>
      <c r="E90" s="15" t="s">
        <v>652</v>
      </c>
    </row>
    <row r="91" spans="1:5" s="15" x14ac:dyDescent="0.35">
      <c r="A91" s="65535" t="s">
        <v>431</v>
      </c>
      <c r="B91" s="65535">
        <v>7503031950311</v>
      </c>
      <c r="C91" s="65535" t="s">
        <v>588</v>
      </c>
      <c r="D91" s="15">
        <v>2025</v>
      </c>
      <c r="E91" s="15" t="s">
        <v>652</v>
      </c>
    </row>
    <row r="92" spans="1:5" s="15" x14ac:dyDescent="0.35">
      <c r="A92" s="65535" t="s">
        <v>386</v>
      </c>
      <c r="B92" s="65535">
        <v>7503031950458</v>
      </c>
      <c r="C92" s="65535" t="s">
        <v>588</v>
      </c>
      <c r="D92" s="15">
        <v>2025</v>
      </c>
      <c r="E92" s="15" t="s">
        <v>652</v>
      </c>
    </row>
    <row r="93" spans="1:5" s="15" x14ac:dyDescent="0.35">
      <c r="A93" s="65535" t="s">
        <v>416</v>
      </c>
      <c r="B93" s="65535">
        <v>7503031950465</v>
      </c>
      <c r="C93" s="65535" t="s">
        <v>588</v>
      </c>
      <c r="D93" s="15">
        <v>2025</v>
      </c>
      <c r="E93" s="15" t="s">
        <v>652</v>
      </c>
    </row>
    <row r="94" spans="1:5" s="15" x14ac:dyDescent="0.35">
      <c r="A94" s="65535" t="s">
        <v>435</v>
      </c>
      <c r="B94" s="65535">
        <v>7503031950472</v>
      </c>
      <c r="C94" s="65535" t="s">
        <v>588</v>
      </c>
      <c r="D94" s="15">
        <v>2025</v>
      </c>
      <c r="E94" s="15" t="s">
        <v>652</v>
      </c>
    </row>
    <row r="95" spans="1:5" s="15" x14ac:dyDescent="0.35">
      <c r="A95" s="65535" t="s">
        <v>429</v>
      </c>
      <c r="B95" s="65535">
        <v>7503031950496</v>
      </c>
      <c r="C95" s="65535" t="s">
        <v>588</v>
      </c>
      <c r="D95" s="15">
        <v>2025</v>
      </c>
      <c r="E95" s="15" t="s">
        <v>652</v>
      </c>
    </row>
    <row r="96" spans="1:5" s="15" x14ac:dyDescent="0.35">
      <c r="A96" s="65535" t="s">
        <v>419</v>
      </c>
      <c r="B96" s="65535">
        <v>7503031950533</v>
      </c>
      <c r="C96" s="65535" t="s">
        <v>588</v>
      </c>
      <c r="D96" s="15">
        <v>2025</v>
      </c>
      <c r="E96" s="15" t="s">
        <v>652</v>
      </c>
    </row>
    <row r="97" spans="1:5" s="15" x14ac:dyDescent="0.35">
      <c r="A97" s="65535" t="s">
        <v>439</v>
      </c>
      <c r="B97" s="65535">
        <v>7503031950540</v>
      </c>
      <c r="C97" s="65535" t="s">
        <v>588</v>
      </c>
      <c r="D97" s="15">
        <v>2025</v>
      </c>
      <c r="E97" s="15" t="s">
        <v>652</v>
      </c>
    </row>
    <row r="98" spans="1:5" s="15" x14ac:dyDescent="0.35">
      <c r="A98" s="65535" t="s">
        <v>484</v>
      </c>
      <c r="B98" s="65535">
        <v>7503031950571</v>
      </c>
      <c r="C98" s="65535" t="s">
        <v>588</v>
      </c>
      <c r="D98" s="15">
        <v>2025</v>
      </c>
      <c r="E98" s="15" t="s">
        <v>652</v>
      </c>
    </row>
    <row r="99" spans="1:5" s="15" x14ac:dyDescent="0.35">
      <c r="A99" s="65535" t="s">
        <v>387</v>
      </c>
      <c r="B99" s="65535">
        <v>7503031950939</v>
      </c>
      <c r="C99" s="65535" t="s">
        <v>588</v>
      </c>
      <c r="D99" s="15">
        <v>2025</v>
      </c>
      <c r="E99" s="15" t="s">
        <v>652</v>
      </c>
    </row>
    <row r="100" spans="1:5" s="15" x14ac:dyDescent="0.35">
      <c r="A100" s="65535" t="s">
        <v>432</v>
      </c>
      <c r="B100" s="65535">
        <v>7503031950946</v>
      </c>
      <c r="C100" s="65535" t="s">
        <v>588</v>
      </c>
      <c r="D100" s="15">
        <v>2025</v>
      </c>
      <c r="E100" s="15" t="s">
        <v>652</v>
      </c>
    </row>
    <row r="101" spans="1:5" s="15" x14ac:dyDescent="0.35">
      <c r="A101" s="65535" t="s">
        <v>417</v>
      </c>
      <c r="B101" s="65535">
        <v>7503031950953</v>
      </c>
      <c r="C101" s="65535" t="s">
        <v>588</v>
      </c>
      <c r="D101" s="15">
        <v>2025</v>
      </c>
      <c r="E101" s="15" t="s">
        <v>652</v>
      </c>
    </row>
    <row r="102" spans="1:5" s="15" x14ac:dyDescent="0.35">
      <c r="A102" s="65535" t="s">
        <v>381</v>
      </c>
      <c r="B102" s="65535">
        <v>7503031950991</v>
      </c>
      <c r="C102" s="65535" t="s">
        <v>588</v>
      </c>
      <c r="D102" s="15">
        <v>2025</v>
      </c>
      <c r="E102" s="15" t="s">
        <v>652</v>
      </c>
    </row>
    <row r="103" spans="1:5" s="15" x14ac:dyDescent="0.35">
      <c r="A103" s="65535" t="s">
        <v>466</v>
      </c>
      <c r="B103" s="65535">
        <v>7622100711049</v>
      </c>
      <c r="C103" s="65535" t="s">
        <v>588</v>
      </c>
      <c r="D103" s="15">
        <v>2025</v>
      </c>
      <c r="E103" s="15" t="s">
        <v>652</v>
      </c>
    </row>
    <row r="104" spans="1:5" s="15" x14ac:dyDescent="0.35">
      <c r="A104" s="65535" t="s">
        <v>462</v>
      </c>
      <c r="B104" s="65535">
        <v>75062675</v>
      </c>
      <c r="C104" s="65535" t="s">
        <v>588</v>
      </c>
      <c r="D104" s="15" t="s">
        <v>650</v>
      </c>
    </row>
    <row r="105" spans="1:5" s="15" x14ac:dyDescent="0.35">
      <c r="A105" s="65535" t="s">
        <v>43</v>
      </c>
      <c r="B105" s="65535">
        <v>75081942</v>
      </c>
      <c r="C105" s="65535" t="s">
        <v>588</v>
      </c>
      <c r="D105" s="15" t="s">
        <v>650</v>
      </c>
      <c r="E105" s="15" t="s">
        <v>653</v>
      </c>
    </row>
    <row r="106" spans="1:5" s="15" x14ac:dyDescent="0.35">
      <c r="A106" s="65535" t="s">
        <v>47</v>
      </c>
      <c r="B106" s="65535">
        <v>75080679</v>
      </c>
      <c r="C106" s="65535" t="s">
        <v>588</v>
      </c>
      <c r="D106" s="15" t="s">
        <v>650</v>
      </c>
      <c r="E106" s="15" t="s">
        <v>654</v>
      </c>
    </row>
    <row r="107" spans="1:5" s="15" x14ac:dyDescent="0.35">
      <c r="A107" s="65535" t="s">
        <v>458</v>
      </c>
      <c r="B107" s="65535">
        <v>75067878</v>
      </c>
      <c r="C107" s="65535" t="s">
        <v>588</v>
      </c>
      <c r="D107" s="15" t="s">
        <v>650</v>
      </c>
    </row>
    <row r="108" spans="1:5" s="15" x14ac:dyDescent="0.35">
      <c r="A108" s="65535" t="s">
        <v>457</v>
      </c>
      <c r="B108" s="65535">
        <v>75070373</v>
      </c>
      <c r="C108" s="65535" t="s">
        <v>588</v>
      </c>
      <c r="D108" s="15" t="s">
        <v>650</v>
      </c>
    </row>
    <row r="109" spans="1:5" s="15" x14ac:dyDescent="0.35">
      <c r="A109" s="65535" t="s">
        <v>448</v>
      </c>
      <c r="B109" s="65535">
        <v>75080105</v>
      </c>
      <c r="C109" s="65535" t="s">
        <v>588</v>
      </c>
      <c r="D109" s="15" t="s">
        <v>650</v>
      </c>
    </row>
    <row r="110" spans="1:5" s="15" x14ac:dyDescent="0.35">
      <c r="A110" s="65535" t="s">
        <v>56</v>
      </c>
      <c r="B110" s="65535">
        <v>75084332</v>
      </c>
      <c r="C110" s="65535" t="s">
        <v>588</v>
      </c>
      <c r="D110" s="15" t="s">
        <v>650</v>
      </c>
      <c r="E110" s="15" t="s">
        <v>655</v>
      </c>
    </row>
    <row r="111" spans="1:5" s="15" x14ac:dyDescent="0.35">
      <c r="A111" s="65535" t="s">
        <v>445</v>
      </c>
      <c r="B111" s="65535">
        <v>75073978</v>
      </c>
      <c r="C111" s="65535" t="s">
        <v>588</v>
      </c>
      <c r="D111" s="15" t="s">
        <v>650</v>
      </c>
    </row>
    <row r="112" spans="1:5" s="15" x14ac:dyDescent="0.35">
      <c r="A112" s="65535" t="s">
        <v>444</v>
      </c>
      <c r="B112" s="65535">
        <v>75079956</v>
      </c>
      <c r="C112" s="65535" t="s">
        <v>588</v>
      </c>
      <c r="D112" s="15" t="s">
        <v>650</v>
      </c>
    </row>
    <row r="113" spans="1:5" s="15" x14ac:dyDescent="0.35">
      <c r="A113" s="65535" t="s">
        <v>99</v>
      </c>
      <c r="B113" s="65535">
        <v>75071776</v>
      </c>
      <c r="C113" s="65535" t="s">
        <v>588</v>
      </c>
      <c r="D113" s="15" t="s">
        <v>650</v>
      </c>
      <c r="E113" s="15" t="s">
        <v>656</v>
      </c>
    </row>
    <row r="114" spans="1:5" s="15" x14ac:dyDescent="0.35">
      <c r="A114" s="65535" t="s">
        <v>101</v>
      </c>
      <c r="B114" s="65535">
        <v>75079963</v>
      </c>
      <c r="C114" s="65535" t="s">
        <v>588</v>
      </c>
      <c r="D114" s="15" t="s">
        <v>650</v>
      </c>
      <c r="E114" s="15" t="s">
        <v>656</v>
      </c>
    </row>
    <row r="115" spans="1:5" s="15" x14ac:dyDescent="0.35">
      <c r="A115" s="65535" t="s">
        <v>102</v>
      </c>
      <c r="B115" s="65535">
        <v>75074081</v>
      </c>
      <c r="C115" s="65535" t="s">
        <v>588</v>
      </c>
      <c r="D115" s="15" t="s">
        <v>650</v>
      </c>
      <c r="E115" s="15" t="s">
        <v>656</v>
      </c>
    </row>
    <row r="116" spans="1:5" s="15" x14ac:dyDescent="0.35">
      <c r="A116" s="65535" t="s">
        <v>105</v>
      </c>
      <c r="B116" s="65535">
        <v>75073534</v>
      </c>
      <c r="C116" s="65535" t="s">
        <v>588</v>
      </c>
      <c r="D116" s="15" t="s">
        <v>650</v>
      </c>
      <c r="E116" s="15" t="s">
        <v>654</v>
      </c>
    </row>
    <row r="117" spans="1:5" s="15" x14ac:dyDescent="0.35">
      <c r="A117" s="65535" t="s">
        <v>343</v>
      </c>
      <c r="B117" s="65535">
        <v>75083977</v>
      </c>
      <c r="C117" s="65535" t="s">
        <v>588</v>
      </c>
      <c r="D117" s="15" t="s">
        <v>650</v>
      </c>
      <c r="E117" s="15" t="s">
        <v>657</v>
      </c>
    </row>
    <row r="118" spans="1:5" s="15" x14ac:dyDescent="0.35">
      <c r="A118" s="65535" t="s">
        <v>342</v>
      </c>
      <c r="B118" s="65535">
        <v>75070090</v>
      </c>
      <c r="C118" s="65535" t="s">
        <v>588</v>
      </c>
      <c r="D118" s="15" t="s">
        <v>650</v>
      </c>
      <c r="E118" s="15" t="s">
        <v>658</v>
      </c>
    </row>
    <row r="119" spans="1:5" s="15" x14ac:dyDescent="0.35">
      <c r="A119" s="65535" t="s">
        <v>129</v>
      </c>
      <c r="B119" s="65535">
        <v>75064778</v>
      </c>
      <c r="C119" s="65535" t="s">
        <v>588</v>
      </c>
      <c r="D119" s="15" t="s">
        <v>650</v>
      </c>
      <c r="E119" s="15" t="s">
        <v>659</v>
      </c>
    </row>
    <row r="120" spans="1:5" s="15" x14ac:dyDescent="0.35">
      <c r="A120" s="65535" t="s">
        <v>138</v>
      </c>
      <c r="B120" s="65535">
        <v>75081058</v>
      </c>
      <c r="C120" s="65535" t="s">
        <v>588</v>
      </c>
      <c r="D120" s="15" t="s">
        <v>650</v>
      </c>
    </row>
    <row r="121" spans="1:5" s="15" x14ac:dyDescent="0.35">
      <c r="A121" s="65535" t="s">
        <v>143</v>
      </c>
      <c r="B121" s="65535">
        <v>75074944</v>
      </c>
      <c r="C121" s="65535" t="s">
        <v>588</v>
      </c>
      <c r="D121" s="15" t="s">
        <v>650</v>
      </c>
      <c r="E121" s="15" t="s">
        <v>655</v>
      </c>
    </row>
  </sheetData>
  <autoFilter ref="A1:E121" xr:uid="{8B0EEF4C-74EA-4391-AD53-B78C034FF2F7}"/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style="15" bestFit="1" customWidth="1"/>
    <col min="2" max="2" width="10.54296875" style="15" bestFit="1" customWidth="1"/>
    <col min="3" max="3" width="30.08984375" style="15" bestFit="1" customWidth="1"/>
    <col min="4" max="4" width="11.26953125" style="15" bestFit="1" customWidth="1"/>
    <col min="5" max="5" width="22.81640625" style="15" bestFit="1" customWidth="1"/>
    <col min="14" max="14" width="14.81640625" style="15" bestFit="1" customWidth="1"/>
    <col min="16" max="16" width="34.453125" style="15" bestFit="1" customWidth="1"/>
  </cols>
  <sheetData>
    <row r="1" spans="1:22" s="15" x14ac:dyDescent="0.35">
      <c r="A1" s="65535" t="s">
        <v>1</v>
      </c>
      <c r="B1" s="65535" t="s">
        <v>0</v>
      </c>
      <c r="C1" s="65535" t="s">
        <v>2</v>
      </c>
      <c r="D1" s="65535" t="s">
        <v>3</v>
      </c>
      <c r="E1" s="65535" t="s">
        <v>8</v>
      </c>
      <c r="G1" s="65535" t="s">
        <v>1</v>
      </c>
      <c r="H1" s="65535" t="s">
        <v>0</v>
      </c>
      <c r="I1" s="65535" t="s">
        <v>2</v>
      </c>
      <c r="J1" s="65535" t="s">
        <v>3</v>
      </c>
      <c r="K1" s="65535" t="s">
        <v>8</v>
      </c>
      <c r="N1" s="65535" t="s">
        <v>1</v>
      </c>
      <c r="O1" s="65535" t="s">
        <v>572</v>
      </c>
      <c r="P1" s="65535" t="s">
        <v>2</v>
      </c>
      <c r="Q1" s="65535" t="s">
        <v>3</v>
      </c>
      <c r="R1" s="65535" t="s">
        <v>8</v>
      </c>
      <c r="S1" s="65535" t="s">
        <v>620</v>
      </c>
    </row>
    <row r="2" spans="1:22" s="15" x14ac:dyDescent="0.35">
      <c r="A2" s="65535">
        <v>2168</v>
      </c>
      <c r="B2" s="65535">
        <f>+_xlfn.XLOOKUP(A2,MASTER!B:B,MASTER!A:A)</f>
        <v>100080353</v>
      </c>
      <c r="C2" s="65535" t="str">
        <f>+_xlfn.XLOOKUP(A2,MASTER!B:B,MASTER!C:C)</f>
        <v>LAGUNAS PURO C/5 PZAS CAJET</v>
      </c>
      <c r="D2" s="15" t="str">
        <f>+_xlfn.XLOOKUP(A2,MASTER!B:B,MASTER!D:D)</f>
        <v>PUROS</v>
      </c>
      <c r="E2" s="15" t="str">
        <f>+_xlfn.XLOOKUP(A2,MASTER!B:B,MASTER!I:I)</f>
        <v>Activo</v>
      </c>
      <c r="G2" s="65535">
        <v>9872</v>
      </c>
      <c r="H2" s="15">
        <f>+_xlfn.XLOOKUP(G2,MASTER!B:B,MASTER!A:A)</f>
        <v>100009965</v>
      </c>
      <c r="I2" s="15" t="str">
        <f>+_xlfn.XLOOKUP(G2,MASTER!B:B,MASTER!C:C)</f>
        <v>TOKIO MIDNIGHT PALL MALL 20PZ</v>
      </c>
      <c r="N2" s="65535">
        <v>8346917</v>
      </c>
      <c r="O2" s="15">
        <f>+_xlfn.XLOOKUP(N2,MASTER!B:B,MASTER!A:A)</f>
        <v>100080644</v>
      </c>
      <c r="P2" s="15" t="str">
        <f>+_xlfn.XLOOKUP(N2,MASTER!B:B,MASTER!C:C)</f>
        <v>PALL MALL WHITE AND CLICK 20</v>
      </c>
      <c r="Q2" s="15" t="str">
        <f>+_xlfn.XLOOKUP(N2,MASTER!B:B,MASTER!D:D)</f>
        <v>BAT</v>
      </c>
      <c r="R2" s="15" t="str">
        <f>+_xlfn.XLOOKUP(N2,MASTER!B:B,MASTER!I:I)</f>
        <v>Activo</v>
      </c>
      <c r="S2" s="15" t="str">
        <f>+_xlfn.XLOOKUP(N2,$U$2:$U$16,$V$2:$V$16,"no")</f>
        <v>no</v>
      </c>
      <c r="U2" s="65535">
        <v>75074944</v>
      </c>
      <c r="V2" s="15" t="s">
        <v>621</v>
      </c>
    </row>
    <row r="3" spans="1:22" s="15" x14ac:dyDescent="0.35">
      <c r="A3" s="65535">
        <v>2169</v>
      </c>
      <c r="B3" s="65535" t="e">
        <f>+_xlfn.XLOOKUP(A3,MASTER!B:B,MASTER!A:A)</f>
        <v>#N/A</v>
      </c>
      <c r="C3" s="65535" t="e">
        <f>+_xlfn.XLOOKUP(A3,MASTER!B:B,MASTER!C:C)</f>
        <v>#N/A</v>
      </c>
      <c r="D3" s="15" t="e">
        <f>+_xlfn.XLOOKUP(A3,MASTER!B:B,MASTER!D:D)</f>
        <v>#N/A</v>
      </c>
      <c r="E3" s="15" t="e">
        <f>+_xlfn.XLOOKUP(A3,MASTER!B:B,MASTER!I:I)</f>
        <v>#N/A</v>
      </c>
      <c r="G3" s="65535">
        <v>8346917</v>
      </c>
      <c r="H3" s="15">
        <f>+_xlfn.XLOOKUP(G3,MASTER!B:B,MASTER!A:A)</f>
        <v>100080644</v>
      </c>
      <c r="I3" s="15" t="str">
        <f>+_xlfn.XLOOKUP(G3,MASTER!B:B,MASTER!C:C)</f>
        <v>PALL MALL WHITE AND CLICK 20</v>
      </c>
      <c r="N3" s="65535">
        <v>75027766</v>
      </c>
      <c r="O3" s="15">
        <f>+_xlfn.XLOOKUP(N3,MASTER!B:B,MASTER!A:A)</f>
        <v>100080802</v>
      </c>
      <c r="P3" s="15" t="str">
        <f>+_xlfn.XLOOKUP(N3,MASTER!B:B,MASTER!C:C)</f>
        <v>PALL MALL RED AND CLICK 20</v>
      </c>
      <c r="Q3" s="15" t="str">
        <f>+_xlfn.XLOOKUP(N3,MASTER!B:B,MASTER!D:D)</f>
        <v>BAT</v>
      </c>
      <c r="R3" s="15" t="str">
        <f>+_xlfn.XLOOKUP(N3,MASTER!B:B,MASTER!I:I)</f>
        <v>Activo</v>
      </c>
      <c r="S3" s="15" t="str">
        <f t="shared" ref="S3:S41" si="0">+_xlfn.XLOOKUP(N3,$U$2:$U$16,$V$2:$V$16,"no")</f>
        <v>no</v>
      </c>
      <c r="U3" s="65535">
        <v>75081942</v>
      </c>
      <c r="V3" s="15" t="s">
        <v>621</v>
      </c>
    </row>
    <row r="4" spans="1:22" s="15" x14ac:dyDescent="0.35">
      <c r="A4" s="65535">
        <v>2712</v>
      </c>
      <c r="B4" s="65535" t="e">
        <f>+_xlfn.XLOOKUP(A4,MASTER!B:B,MASTER!A:A)</f>
        <v>#N/A</v>
      </c>
      <c r="C4" s="65535" t="e">
        <f>+_xlfn.XLOOKUP(A4,MASTER!B:B,MASTER!C:C)</f>
        <v>#N/A</v>
      </c>
      <c r="D4" s="15" t="e">
        <f>+_xlfn.XLOOKUP(A4,MASTER!B:B,MASTER!D:D)</f>
        <v>#N/A</v>
      </c>
      <c r="E4" s="15" t="e">
        <f>+_xlfn.XLOOKUP(A4,MASTER!B:B,MASTER!I:I)</f>
        <v>#N/A</v>
      </c>
      <c r="G4" s="65535">
        <v>75001254</v>
      </c>
      <c r="H4" s="15">
        <f>+_xlfn.XLOOKUP(G4,MASTER!B:B,MASTER!A:A)</f>
        <v>100080031</v>
      </c>
      <c r="I4" s="15" t="str">
        <f>+_xlfn.XLOOKUP(G4,MASTER!B:B,MASTER!C:C)</f>
        <v>BENSON&amp;HEDGE CIGARR CS CAJET</v>
      </c>
      <c r="N4" s="65535">
        <v>75046521</v>
      </c>
      <c r="O4" s="15">
        <f>+_xlfn.XLOOKUP(N4,MASTER!B:B,MASTER!A:A)</f>
        <v>100080955</v>
      </c>
      <c r="P4" s="15" t="str">
        <f>+_xlfn.XLOOKUP(N4,MASTER!B:B,MASTER!C:C)</f>
        <v>LUCKY STRIKE AMARILLOS 20S</v>
      </c>
      <c r="Q4" s="15" t="str">
        <f>+_xlfn.XLOOKUP(N4,MASTER!B:B,MASTER!D:D)</f>
        <v>BAT</v>
      </c>
      <c r="R4" s="15" t="str">
        <f>+_xlfn.XLOOKUP(N4,MASTER!B:B,MASTER!I:I)</f>
        <v>Activo</v>
      </c>
      <c r="S4" s="15" t="str">
        <f t="shared" si="0"/>
        <v>no</v>
      </c>
      <c r="U4" s="65535">
        <v>75080105</v>
      </c>
      <c r="V4" s="15" t="s">
        <v>621</v>
      </c>
    </row>
    <row r="5" spans="1:22" s="15" x14ac:dyDescent="0.35">
      <c r="A5" s="65535">
        <v>10000</v>
      </c>
      <c r="B5" s="65535">
        <f>+_xlfn.XLOOKUP(A5,MASTER!B:B,MASTER!A:A)</f>
        <v>100011025</v>
      </c>
      <c r="C5" s="65535" t="str">
        <f>+_xlfn.XLOOKUP(A5,MASTER!B:B,MASTER!C:C)</f>
        <v>MARLBORO CIGARR ROJO CD CAJET</v>
      </c>
      <c r="D5" s="15" t="str">
        <f>+_xlfn.XLOOKUP(A5,MASTER!B:B,MASTER!D:D)</f>
        <v>PMI</v>
      </c>
      <c r="E5" s="15" t="str">
        <f>+_xlfn.XLOOKUP(A5,MASTER!B:B,MASTER!I:I)</f>
        <v>Inactivo</v>
      </c>
      <c r="G5" s="65535">
        <v>75001292</v>
      </c>
      <c r="H5" s="15">
        <f>+_xlfn.XLOOKUP(G5,MASTER!B:B,MASTER!A:A)</f>
        <v>100080029</v>
      </c>
      <c r="I5" s="15" t="str">
        <f>+_xlfn.XLOOKUP(G5,MASTER!B:B,MASTER!C:C)</f>
        <v>MARLBORO CIGARR LIGTH EL CS CAJET</v>
      </c>
      <c r="N5" s="65535">
        <v>75046545</v>
      </c>
      <c r="O5" s="15">
        <f>+_xlfn.XLOOKUP(N5,MASTER!B:B,MASTER!A:A)</f>
        <v>100080952</v>
      </c>
      <c r="P5" s="15" t="str">
        <f>+_xlfn.XLOOKUP(N5,MASTER!B:B,MASTER!C:C)</f>
        <v>LUCKY STRIKE AMARILLOS 25S</v>
      </c>
      <c r="Q5" s="15" t="str">
        <f>+_xlfn.XLOOKUP(N5,MASTER!B:B,MASTER!D:D)</f>
        <v>BAT</v>
      </c>
      <c r="R5" s="15" t="str">
        <f>+_xlfn.XLOOKUP(N5,MASTER!B:B,MASTER!I:I)</f>
        <v>Activo</v>
      </c>
      <c r="S5" s="15" t="str">
        <f t="shared" si="0"/>
        <v>no</v>
      </c>
      <c r="U5" s="65535">
        <v>75080679</v>
      </c>
      <c r="V5" s="15" t="s">
        <v>621</v>
      </c>
    </row>
    <row r="6" spans="1:22" s="15" x14ac:dyDescent="0.35">
      <c r="A6" s="65535">
        <v>10578</v>
      </c>
      <c r="B6" s="65535" t="e">
        <f>+_xlfn.XLOOKUP(A6,MASTER!B:B,MASTER!A:A)</f>
        <v>#N/A</v>
      </c>
      <c r="C6" s="65535" t="e">
        <f>+_xlfn.XLOOKUP(A6,MASTER!B:B,MASTER!C:C)</f>
        <v>#N/A</v>
      </c>
      <c r="D6" s="15" t="e">
        <f>+_xlfn.XLOOKUP(A6,MASTER!B:B,MASTER!D:D)</f>
        <v>#N/A</v>
      </c>
      <c r="E6" s="15" t="e">
        <f>+_xlfn.XLOOKUP(A6,MASTER!B:B,MASTER!I:I)</f>
        <v>#N/A</v>
      </c>
      <c r="G6" s="65535">
        <v>75001315</v>
      </c>
      <c r="H6" s="15">
        <f>+_xlfn.XLOOKUP(G6,MASTER!B:B,MASTER!A:A)</f>
        <v>100080028</v>
      </c>
      <c r="I6" s="15" t="str">
        <f>+_xlfn.XLOOKUP(G6,MASTER!B:B,MASTER!C:C)</f>
        <v>MARLBORO CIGARR ROJO CL CS CAJET</v>
      </c>
      <c r="N6" s="65535">
        <v>75048129</v>
      </c>
      <c r="O6" s="15">
        <f>+_xlfn.XLOOKUP(N6,MASTER!B:B,MASTER!A:A)</f>
        <v>100080975</v>
      </c>
      <c r="P6" s="15" t="str">
        <f>+_xlfn.XLOOKUP(N6,MASTER!B:B,MASTER!C:C)</f>
        <v>LUCKY STRIKE ORIGINAL FF 20S TUBE</v>
      </c>
      <c r="Q6" s="15" t="str">
        <f>+_xlfn.XLOOKUP(N6,MASTER!B:B,MASTER!D:D)</f>
        <v>BAT</v>
      </c>
      <c r="R6" s="15" t="str">
        <f>+_xlfn.XLOOKUP(N6,MASTER!B:B,MASTER!I:I)</f>
        <v>Activo</v>
      </c>
      <c r="S6" s="15" t="str">
        <f t="shared" si="0"/>
        <v>no</v>
      </c>
      <c r="U6" s="65535">
        <v>75084332</v>
      </c>
      <c r="V6" s="15" t="s">
        <v>621</v>
      </c>
    </row>
    <row r="7" spans="1:22" s="15" x14ac:dyDescent="0.35">
      <c r="A7" s="65535">
        <v>8346917</v>
      </c>
      <c r="B7" s="65535">
        <f>+_xlfn.XLOOKUP(A7,MASTER!B:B,MASTER!A:A)</f>
        <v>100080644</v>
      </c>
      <c r="C7" s="65535" t="str">
        <f>+_xlfn.XLOOKUP(A7,MASTER!B:B,MASTER!C:C)</f>
        <v>PALL MALL WHITE AND CLICK 20</v>
      </c>
      <c r="D7" s="15" t="str">
        <f>+_xlfn.XLOOKUP(A7,MASTER!B:B,MASTER!D:D)</f>
        <v>BAT</v>
      </c>
      <c r="E7" s="15" t="str">
        <f>+_xlfn.XLOOKUP(A7,MASTER!B:B,MASTER!I:I)</f>
        <v>Activo</v>
      </c>
      <c r="G7" s="65535">
        <v>75001322</v>
      </c>
      <c r="H7" s="15">
        <f>+_xlfn.XLOOKUP(G7,MASTER!B:B,MASTER!A:A)</f>
        <v>100080027</v>
      </c>
      <c r="I7" s="15" t="str">
        <f>+_xlfn.XLOOKUP(G7,MASTER!B:B,MASTER!C:C)</f>
        <v>MARLBORO CIGARR ROJO CD CAJET</v>
      </c>
      <c r="N7" s="65535">
        <v>75051785</v>
      </c>
      <c r="O7" s="15">
        <f>+_xlfn.XLOOKUP(N7,MASTER!B:B,MASTER!A:A)</f>
        <v>100004788</v>
      </c>
      <c r="P7" s="15" t="str">
        <f>+_xlfn.XLOOKUP(N7,MASTER!B:B,MASTER!C:C)</f>
        <v>LUCKY STRIKE CLICK 4 MIX</v>
      </c>
      <c r="Q7" s="15" t="str">
        <f>+_xlfn.XLOOKUP(N7,MASTER!B:B,MASTER!D:D)</f>
        <v>BAT</v>
      </c>
      <c r="R7" s="15" t="str">
        <f>+_xlfn.XLOOKUP(N7,MASTER!B:B,MASTER!I:I)</f>
        <v>Activo</v>
      </c>
      <c r="S7" s="15" t="str">
        <f t="shared" si="0"/>
        <v>no</v>
      </c>
      <c r="U7" s="65535">
        <v>75079956</v>
      </c>
      <c r="V7" s="15" t="s">
        <v>621</v>
      </c>
    </row>
    <row r="8" spans="1:22" s="15" x14ac:dyDescent="0.35">
      <c r="A8" s="65535">
        <v>40331362</v>
      </c>
      <c r="B8" s="65535">
        <f>+_xlfn.XLOOKUP(A8,MASTER!B:B,MASTER!A:A)</f>
        <v>100080896</v>
      </c>
      <c r="C8" s="65535" t="str">
        <f>+_xlfn.XLOOKUP(A8,MASTER!B:B,MASTER!C:C)</f>
        <v>WINSTON CIGARR CLASSIC  14S CAJET</v>
      </c>
      <c r="D8" s="15" t="str">
        <f>+_xlfn.XLOOKUP(A8,MASTER!B:B,MASTER!D:D)</f>
        <v>JTI</v>
      </c>
      <c r="E8" s="15" t="str">
        <f>+_xlfn.XLOOKUP(A8,MASTER!B:B,MASTER!I:I)</f>
        <v>Descontinuado (con stock)</v>
      </c>
      <c r="G8" s="65535">
        <v>75001339</v>
      </c>
      <c r="H8" s="15">
        <f>+_xlfn.XLOOKUP(G8,MASTER!B:B,MASTER!A:A)</f>
        <v>100080257</v>
      </c>
      <c r="I8" s="15" t="str">
        <f>+_xlfn.XLOOKUP(G8,MASTER!B:B,MASTER!C:C)</f>
        <v>MARLBORO CIGARR ROJO 14S CD CAJET</v>
      </c>
      <c r="N8" s="65535">
        <v>75052836</v>
      </c>
      <c r="O8" s="15">
        <f>+_xlfn.XLOOKUP(N8,MASTER!B:B,MASTER!A:A)</f>
        <v>100005585</v>
      </c>
      <c r="P8" s="15" t="str">
        <f>+_xlfn.XLOOKUP(N8,MASTER!B:B,MASTER!C:C)</f>
        <v>PALL MALL TOKYO MIDNIGHT 20</v>
      </c>
      <c r="Q8" s="15" t="str">
        <f>+_xlfn.XLOOKUP(N8,MASTER!B:B,MASTER!D:D)</f>
        <v>BAT</v>
      </c>
      <c r="R8" s="15" t="str">
        <f>+_xlfn.XLOOKUP(N8,MASTER!B:B,MASTER!I:I)</f>
        <v>Activo</v>
      </c>
      <c r="S8" s="15" t="str">
        <f t="shared" si="0"/>
        <v>no</v>
      </c>
      <c r="U8" s="65535">
        <v>75064778</v>
      </c>
      <c r="V8" s="15" t="s">
        <v>621</v>
      </c>
    </row>
    <row r="9" spans="1:22" s="15" x14ac:dyDescent="0.35">
      <c r="A9" s="65535">
        <v>40331379</v>
      </c>
      <c r="B9" s="65535">
        <f>+_xlfn.XLOOKUP(A9,MASTER!B:B,MASTER!A:A)</f>
        <v>100080899</v>
      </c>
      <c r="C9" s="65535" t="str">
        <f>+_xlfn.XLOOKUP(A9,MASTER!B:B,MASTER!C:C)</f>
        <v>WINSTON CIGARR BLUE 14S CAJET</v>
      </c>
      <c r="D9" s="15" t="str">
        <f>+_xlfn.XLOOKUP(A9,MASTER!B:B,MASTER!D:D)</f>
        <v>JTI</v>
      </c>
      <c r="E9" s="15" t="str">
        <f>+_xlfn.XLOOKUP(A9,MASTER!B:B,MASTER!I:I)</f>
        <v>Inactivo</v>
      </c>
      <c r="G9" s="65535">
        <v>75001360</v>
      </c>
      <c r="H9" s="15">
        <f>+_xlfn.XLOOKUP(G9,MASTER!B:B,MASTER!A:A)</f>
        <v>100018656</v>
      </c>
      <c r="I9" s="15" t="str">
        <f>+_xlfn.XLOOKUP(G9,MASTER!B:B,MASTER!C:C)</f>
        <v>MARLBORO VISTA GARDEN 20 1 CAJETILLA</v>
      </c>
      <c r="N9" s="65535">
        <v>75063504</v>
      </c>
      <c r="O9" s="15">
        <f>+_xlfn.XLOOKUP(N9,MASTER!B:B,MASTER!A:A)</f>
        <v>100012153</v>
      </c>
      <c r="P9" s="15" t="str">
        <f>+_xlfn.XLOOKUP(N9,MASTER!B:B,MASTER!C:C)</f>
        <v>LUCKY STRIKE 20S ME TDC 1PZ</v>
      </c>
      <c r="Q9" s="15" t="str">
        <f>+_xlfn.XLOOKUP(N9,MASTER!B:B,MASTER!D:D)</f>
        <v>BAT</v>
      </c>
      <c r="R9" s="15" t="str">
        <f>+_xlfn.XLOOKUP(N9,MASTER!B:B,MASTER!I:I)</f>
        <v>Activo</v>
      </c>
      <c r="S9" s="15" t="str">
        <f t="shared" si="0"/>
        <v>no</v>
      </c>
      <c r="U9" s="65535">
        <v>75073534</v>
      </c>
      <c r="V9" s="15" t="s">
        <v>621</v>
      </c>
    </row>
    <row r="10" spans="1:22" s="15" x14ac:dyDescent="0.35">
      <c r="A10" s="65535">
        <v>42138037</v>
      </c>
      <c r="B10" s="65535">
        <f>+_xlfn.XLOOKUP(A10,MASTER!B:B,MASTER!A:A)</f>
        <v>100080897</v>
      </c>
      <c r="C10" s="65535" t="str">
        <f>+_xlfn.XLOOKUP(A10,MASTER!B:B,MASTER!C:C)</f>
        <v>WINSTON CIGARR CLASSIC 20S CAJET</v>
      </c>
      <c r="D10" s="15" t="str">
        <f>+_xlfn.XLOOKUP(A10,MASTER!B:B,MASTER!D:D)</f>
        <v>JTI</v>
      </c>
      <c r="E10" s="15" t="str">
        <f>+_xlfn.XLOOKUP(A10,MASTER!B:B,MASTER!I:I)</f>
        <v>Descontinuado (con stock)</v>
      </c>
      <c r="G10" s="65535">
        <v>75001384</v>
      </c>
      <c r="H10" s="15">
        <f>+_xlfn.XLOOKUP(G10,MASTER!B:B,MASTER!A:A)</f>
        <v>100018872</v>
      </c>
      <c r="I10" s="15" t="str">
        <f>+_xlfn.XLOOKUP(G10,MASTER!B:B,MASTER!C:C)</f>
        <v>MARLBORO VISTA ARTIC 20 1 CAJETILLA</v>
      </c>
      <c r="N10" s="65535">
        <v>75064648</v>
      </c>
      <c r="O10" s="15">
        <f>+_xlfn.XLOOKUP(N10,MASTER!B:B,MASTER!A:A)</f>
        <v>100012746</v>
      </c>
      <c r="P10" s="15" t="str">
        <f>+_xlfn.XLOOKUP(N10,MASTER!B:B,MASTER!C:C)</f>
        <v>PALL MALL MYKONOS NIGHTFALL 20</v>
      </c>
      <c r="Q10" s="15" t="str">
        <f>+_xlfn.XLOOKUP(N10,MASTER!B:B,MASTER!D:D)</f>
        <v>BAT</v>
      </c>
      <c r="R10" s="15" t="str">
        <f>+_xlfn.XLOOKUP(N10,MASTER!B:B,MASTER!I:I)</f>
        <v>Activo</v>
      </c>
      <c r="S10" s="15" t="str">
        <f t="shared" si="0"/>
        <v>no</v>
      </c>
      <c r="U10" s="65535">
        <v>75071776</v>
      </c>
      <c r="V10" s="15" t="s">
        <v>621</v>
      </c>
    </row>
    <row r="11" spans="1:22" s="15" x14ac:dyDescent="0.35">
      <c r="A11" s="65535">
        <v>42138051</v>
      </c>
      <c r="B11" s="65535">
        <f>+_xlfn.XLOOKUP(A11,MASTER!B:B,MASTER!A:A)</f>
        <v>100080898</v>
      </c>
      <c r="C11" s="65535" t="str">
        <f>+_xlfn.XLOOKUP(A11,MASTER!B:B,MASTER!C:C)</f>
        <v>WINSTON CIGARR BLUE 20S CAJET</v>
      </c>
      <c r="D11" s="15" t="str">
        <f>+_xlfn.XLOOKUP(A11,MASTER!B:B,MASTER!D:D)</f>
        <v>JTI</v>
      </c>
      <c r="E11" s="15" t="str">
        <f>+_xlfn.XLOOKUP(A11,MASTER!B:B,MASTER!I:I)</f>
        <v>Activo</v>
      </c>
      <c r="G11" s="65535">
        <v>75001414</v>
      </c>
      <c r="H11" s="15">
        <f>+_xlfn.XLOOKUP(G11,MASTER!B:B,MASTER!A:A)</f>
        <v>100018586</v>
      </c>
      <c r="I11" s="15" t="str">
        <f>+_xlfn.XLOOKUP(G11,MASTER!B:B,MASTER!C:C)</f>
        <v>MARLBORO SELECC ARTESANAL 14 1 CAJETILLA</v>
      </c>
      <c r="N11" s="65535">
        <v>75064716</v>
      </c>
      <c r="O11" s="15">
        <f>+_xlfn.XLOOKUP(N11,MASTER!B:B,MASTER!A:A)</f>
        <v>100012997</v>
      </c>
      <c r="P11" s="15" t="str">
        <f>+_xlfn.XLOOKUP(N11,MASTER!B:B,MASTER!C:C)</f>
        <v>LUCKY STRIKE ENIGMA 100S 1PZ</v>
      </c>
      <c r="Q11" s="15" t="str">
        <f>+_xlfn.XLOOKUP(N11,MASTER!B:B,MASTER!D:D)</f>
        <v>BAT</v>
      </c>
      <c r="R11" s="15" t="str">
        <f>+_xlfn.XLOOKUP(N11,MASTER!B:B,MASTER!I:I)</f>
        <v>Activo</v>
      </c>
      <c r="S11" s="15" t="str">
        <f t="shared" si="0"/>
        <v>no</v>
      </c>
      <c r="U11" s="65535">
        <v>75074081</v>
      </c>
      <c r="V11" s="15" t="s">
        <v>621</v>
      </c>
    </row>
    <row r="12" spans="1:22" s="15" x14ac:dyDescent="0.35">
      <c r="A12" s="65535">
        <v>42230748</v>
      </c>
      <c r="B12" s="65535">
        <f>+_xlfn.XLOOKUP(A12,MASTER!B:B,MASTER!A:A)</f>
        <v>100017183</v>
      </c>
      <c r="C12" s="65535" t="str">
        <f>+_xlfn.XLOOKUP(A12,MASTER!B:B,MASTER!C:C)</f>
        <v>GIZEH PAPEL  ZIGZAG 1 PZ</v>
      </c>
      <c r="D12" s="15" t="str">
        <f>+_xlfn.XLOOKUP(A12,MASTER!B:B,MASTER!D:D)</f>
        <v>PUROS</v>
      </c>
      <c r="E12" s="15" t="str">
        <f>+_xlfn.XLOOKUP(A12,MASTER!B:B,MASTER!I:I)</f>
        <v>Activo</v>
      </c>
      <c r="G12" s="65535">
        <v>75001476</v>
      </c>
      <c r="H12" s="15">
        <f>+_xlfn.XLOOKUP(G12,MASTER!B:B,MASTER!A:A)</f>
        <v>100080034</v>
      </c>
      <c r="I12" s="15" t="str">
        <f>+_xlfn.XLOOKUP(G12,MASTER!B:B,MASTER!C:C)</f>
        <v>DELICADOS CIGARR OVALADOS CAJET</v>
      </c>
      <c r="N12" s="65535">
        <v>75064747</v>
      </c>
      <c r="O12" s="15">
        <f>+_xlfn.XLOOKUP(N12,MASTER!B:B,MASTER!A:A)</f>
        <v>100013075</v>
      </c>
      <c r="P12" s="15" t="str">
        <f>+_xlfn.XLOOKUP(N12,MASTER!B:B,MASTER!C:C)</f>
        <v>MONTANA SHOTS 15S 1PZ</v>
      </c>
      <c r="Q12" s="15" t="str">
        <f>+_xlfn.XLOOKUP(N12,MASTER!B:B,MASTER!D:D)</f>
        <v>BAT</v>
      </c>
      <c r="R12" s="15" t="str">
        <f>+_xlfn.XLOOKUP(N12,MASTER!B:B,MASTER!I:I)</f>
        <v>Activo</v>
      </c>
      <c r="S12" s="15" t="str">
        <f t="shared" si="0"/>
        <v>no</v>
      </c>
      <c r="U12" s="65535">
        <v>75079963</v>
      </c>
      <c r="V12" s="15" t="s">
        <v>621</v>
      </c>
    </row>
    <row r="13" spans="1:22" s="15" x14ac:dyDescent="0.35">
      <c r="A13" s="65535">
        <v>75001254</v>
      </c>
      <c r="B13" s="65535">
        <f>+_xlfn.XLOOKUP(A13,MASTER!B:B,MASTER!A:A)</f>
        <v>100080031</v>
      </c>
      <c r="C13" s="65535" t="str">
        <f>+_xlfn.XLOOKUP(A13,MASTER!B:B,MASTER!C:C)</f>
        <v>BENSON&amp;HEDGE CIGARR CS CAJET</v>
      </c>
      <c r="D13" s="15" t="str">
        <f>+_xlfn.XLOOKUP(A13,MASTER!B:B,MASTER!D:D)</f>
        <v>PMI</v>
      </c>
      <c r="E13" s="15" t="str">
        <f>+_xlfn.XLOOKUP(A13,MASTER!B:B,MASTER!I:I)</f>
        <v>Descontinuado (con stock)</v>
      </c>
      <c r="G13" s="65535">
        <v>75004385</v>
      </c>
      <c r="H13" s="15">
        <f>+_xlfn.XLOOKUP(G13,MASTER!B:B,MASTER!A:A)</f>
        <v>100021977</v>
      </c>
      <c r="I13" s="15" t="str">
        <f>+_xlfn.XLOOKUP(G13,MASTER!B:B,MASTER!C:C)</f>
        <v>FAROS FAROS FAROS 14 1 CAJETILLA</v>
      </c>
      <c r="N13" s="65535">
        <v>75064754</v>
      </c>
      <c r="O13" s="15">
        <f>+_xlfn.XLOOKUP(N13,MASTER!B:B,MASTER!A:A)</f>
        <v>100013892</v>
      </c>
      <c r="P13" s="15" t="str">
        <f>+_xlfn.XLOOKUP(N13,MASTER!B:B,MASTER!C:C)</f>
        <v>MONTANA SHOTS 1PZ</v>
      </c>
      <c r="Q13" s="15" t="str">
        <f>+_xlfn.XLOOKUP(N13,MASTER!B:B,MASTER!D:D)</f>
        <v>BAT</v>
      </c>
      <c r="R13" s="15" t="str">
        <f>+_xlfn.XLOOKUP(N13,MASTER!B:B,MASTER!I:I)</f>
        <v>Activo</v>
      </c>
      <c r="S13" s="15" t="str">
        <f t="shared" si="0"/>
        <v>no</v>
      </c>
      <c r="U13" s="65535">
        <v>75081058</v>
      </c>
      <c r="V13" s="15" t="s">
        <v>621</v>
      </c>
    </row>
    <row r="14" spans="1:22" s="15" x14ac:dyDescent="0.35">
      <c r="A14" s="65535">
        <v>75001315</v>
      </c>
      <c r="B14" s="65535">
        <f>+_xlfn.XLOOKUP(A14,MASTER!B:B,MASTER!A:A)</f>
        <v>100080028</v>
      </c>
      <c r="C14" s="65535" t="str">
        <f>+_xlfn.XLOOKUP(A14,MASTER!B:B,MASTER!C:C)</f>
        <v>MARLBORO CIGARR ROJO CL CS CAJET</v>
      </c>
      <c r="D14" s="15" t="str">
        <f>+_xlfn.XLOOKUP(A14,MASTER!B:B,MASTER!D:D)</f>
        <v>PMI</v>
      </c>
      <c r="E14" s="15" t="str">
        <f>+_xlfn.XLOOKUP(A14,MASTER!B:B,MASTER!I:I)</f>
        <v>Activo</v>
      </c>
      <c r="G14" s="65535">
        <v>75004392</v>
      </c>
      <c r="H14" s="15">
        <f>+_xlfn.XLOOKUP(G14,MASTER!B:B,MASTER!A:A)</f>
        <v>100021950</v>
      </c>
      <c r="I14" s="15" t="str">
        <f>+_xlfn.XLOOKUP(G14,MASTER!B:B,MASTER!C:C)</f>
        <v>FAROS 20 1 CAJETILLA</v>
      </c>
      <c r="N14" s="65535">
        <v>75071295</v>
      </c>
      <c r="O14" s="15">
        <f>+_xlfn.XLOOKUP(N14,MASTER!B:B,MASTER!A:A)</f>
        <v>100016443</v>
      </c>
      <c r="P14" s="15" t="str">
        <f>+_xlfn.XLOOKUP(N14,MASTER!B:B,MASTER!C:C)</f>
        <v>PALL MALL ALASKA DUSK 20</v>
      </c>
      <c r="Q14" s="15" t="str">
        <f>+_xlfn.XLOOKUP(N14,MASTER!B:B,MASTER!D:D)</f>
        <v>BAT</v>
      </c>
      <c r="R14" s="15" t="str">
        <f>+_xlfn.XLOOKUP(N14,MASTER!B:B,MASTER!I:I)</f>
        <v>Activo</v>
      </c>
      <c r="S14" s="15" t="str">
        <f t="shared" si="0"/>
        <v>no</v>
      </c>
      <c r="U14" s="65535">
        <v>75082338</v>
      </c>
      <c r="V14" s="15" t="s">
        <v>621</v>
      </c>
    </row>
    <row r="15" spans="1:22" s="15" x14ac:dyDescent="0.35">
      <c r="A15" s="65535">
        <v>75001322</v>
      </c>
      <c r="B15" s="65535">
        <f>+_xlfn.XLOOKUP(A15,MASTER!B:B,MASTER!A:A)</f>
        <v>100080027</v>
      </c>
      <c r="C15" s="65535" t="str">
        <f>+_xlfn.XLOOKUP(A15,MASTER!B:B,MASTER!C:C)</f>
        <v>MARLBORO CIGARR ROJO CD CAJET</v>
      </c>
      <c r="D15" s="15" t="str">
        <f>+_xlfn.XLOOKUP(A15,MASTER!B:B,MASTER!D:D)</f>
        <v>PMI</v>
      </c>
      <c r="E15" s="15" t="str">
        <f>+_xlfn.XLOOKUP(A15,MASTER!B:B,MASTER!I:I)</f>
        <v>Activo</v>
      </c>
      <c r="G15" s="65535">
        <v>75004408</v>
      </c>
      <c r="H15" s="15">
        <f>+_xlfn.XLOOKUP(G15,MASTER!B:B,MASTER!A:A)</f>
        <v>100022331</v>
      </c>
      <c r="I15" s="15" t="str">
        <f>+_xlfn.XLOOKUP(G15,MASTER!B:B,MASTER!C:C)</f>
        <v>MARLBORO VISTA ARTIC 14S CAJETILLAPZ</v>
      </c>
      <c r="N15" s="65535">
        <v>75071455</v>
      </c>
      <c r="O15" s="15">
        <f>+_xlfn.XLOOKUP(N15,MASTER!B:B,MASTER!A:A)</f>
        <v>100016413</v>
      </c>
      <c r="P15" s="15" t="str">
        <f>+_xlfn.XLOOKUP(N15,MASTER!B:B,MASTER!C:C)</f>
        <v>PALL MALL RED 20</v>
      </c>
      <c r="Q15" s="15" t="str">
        <f>+_xlfn.XLOOKUP(N15,MASTER!B:B,MASTER!D:D)</f>
        <v>BAT</v>
      </c>
      <c r="R15" s="15" t="str">
        <f>+_xlfn.XLOOKUP(N15,MASTER!B:B,MASTER!I:I)</f>
        <v>Activo</v>
      </c>
      <c r="S15" s="15" t="str">
        <f t="shared" si="0"/>
        <v>no</v>
      </c>
      <c r="U15" s="65535">
        <v>75083977</v>
      </c>
      <c r="V15" s="15" t="s">
        <v>621</v>
      </c>
    </row>
    <row r="16" spans="1:22" s="15" x14ac:dyDescent="0.35">
      <c r="A16" s="65535">
        <v>75001339</v>
      </c>
      <c r="B16" s="65535">
        <f>+_xlfn.XLOOKUP(A16,MASTER!B:B,MASTER!A:A)</f>
        <v>100080257</v>
      </c>
      <c r="C16" s="65535" t="str">
        <f>+_xlfn.XLOOKUP(A16,MASTER!B:B,MASTER!C:C)</f>
        <v>MARLBORO CIGARR ROJO 14S CD CAJET</v>
      </c>
      <c r="D16" s="15" t="str">
        <f>+_xlfn.XLOOKUP(A16,MASTER!B:B,MASTER!D:D)</f>
        <v>PMI</v>
      </c>
      <c r="E16" s="15" t="str">
        <f>+_xlfn.XLOOKUP(A16,MASTER!B:B,MASTER!I:I)</f>
        <v>Activo</v>
      </c>
      <c r="G16" s="65535">
        <v>75004415</v>
      </c>
      <c r="H16" s="15">
        <f>+_xlfn.XLOOKUP(G16,MASTER!B:B,MASTER!A:A)</f>
        <v>100022276</v>
      </c>
      <c r="I16" s="15" t="str">
        <f>+_xlfn.XLOOKUP(G16,MASTER!B:B,MASTER!C:C)</f>
        <v>MARLBORO EXOTIC VISTA EXOTIC 1 CAJETILLA</v>
      </c>
      <c r="N16" s="65535">
        <v>75071479</v>
      </c>
      <c r="O16" s="15">
        <f>+_xlfn.XLOOKUP(N16,MASTER!B:B,MASTER!A:A)</f>
        <v>100016412</v>
      </c>
      <c r="P16" s="15" t="str">
        <f>+_xlfn.XLOOKUP(N16,MASTER!B:B,MASTER!C:C)</f>
        <v>PALL MALL WHITE 20</v>
      </c>
      <c r="Q16" s="15" t="str">
        <f>+_xlfn.XLOOKUP(N16,MASTER!B:B,MASTER!D:D)</f>
        <v>BAT</v>
      </c>
      <c r="R16" s="15" t="str">
        <f>+_xlfn.XLOOKUP(N16,MASTER!B:B,MASTER!I:I)</f>
        <v>Activo</v>
      </c>
      <c r="S16" s="15" t="str">
        <f t="shared" si="0"/>
        <v>no</v>
      </c>
      <c r="U16" s="65535">
        <v>75084141</v>
      </c>
      <c r="V16" s="15" t="s">
        <v>621</v>
      </c>
    </row>
    <row r="17" spans="1:19" s="15" hidden="1" x14ac:dyDescent="0.35">
      <c r="A17" s="65535">
        <v>75001360</v>
      </c>
      <c r="B17" s="65535">
        <f>+_xlfn.XLOOKUP(A17,MASTER!B:B,MASTER!A:A)</f>
        <v>100018656</v>
      </c>
      <c r="C17" s="65535" t="str">
        <f>+_xlfn.XLOOKUP(A17,MASTER!B:B,MASTER!C:C)</f>
        <v>MARLBORO VISTA GARDEN 20 1 CAJETILLA</v>
      </c>
      <c r="D17" s="15" t="str">
        <f>+_xlfn.XLOOKUP(A17,MASTER!B:B,MASTER!D:D)</f>
        <v>PMI</v>
      </c>
      <c r="E17" s="15" t="str">
        <f>+_xlfn.XLOOKUP(A17,MASTER!B:B,MASTER!I:I)</f>
        <v>Activo</v>
      </c>
      <c r="G17" s="65535">
        <v>75005481</v>
      </c>
      <c r="H17" s="15">
        <f>+_xlfn.XLOOKUP(G17,MASTER!B:B,MASTER!A:A)</f>
        <v>100021048</v>
      </c>
      <c r="I17" s="15" t="str">
        <f>+_xlfn.XLOOKUP(G17,MASTER!B:B,MASTER!C:C)</f>
        <v>LM LM 25S 25S 1 CAJETILLA</v>
      </c>
      <c r="N17" s="65535">
        <v>75071776</v>
      </c>
      <c r="O17" s="15">
        <f>+_xlfn.XLOOKUP(N17,MASTER!B:B,MASTER!A:A)</f>
        <v>100017982</v>
      </c>
      <c r="P17" s="15" t="str">
        <f>+_xlfn.XLOOKUP(N17,MASTER!B:B,MASTER!C:C)</f>
        <v>PALL MALL CLASSICS 20</v>
      </c>
      <c r="Q17" s="15" t="str">
        <f>+_xlfn.XLOOKUP(N17,MASTER!B:B,MASTER!D:D)</f>
        <v>BAT</v>
      </c>
      <c r="R17" s="15" t="str">
        <f>+_xlfn.XLOOKUP(N17,MASTER!B:B,MASTER!I:I)</f>
        <v>Activo</v>
      </c>
      <c r="S17" s="15" t="str">
        <f t="shared" si="0"/>
        <v>si}</v>
      </c>
    </row>
    <row r="18" spans="1:19" s="15" hidden="1" x14ac:dyDescent="0.35">
      <c r="A18" s="65535">
        <v>75001384</v>
      </c>
      <c r="B18" s="65535">
        <f>+_xlfn.XLOOKUP(A18,MASTER!B:B,MASTER!A:A)</f>
        <v>100018872</v>
      </c>
      <c r="C18" s="65535" t="str">
        <f>+_xlfn.XLOOKUP(A18,MASTER!B:B,MASTER!C:C)</f>
        <v>MARLBORO VISTA ARTIC 20 1 CAJETILLA</v>
      </c>
      <c r="D18" s="15" t="str">
        <f>+_xlfn.XLOOKUP(A18,MASTER!B:B,MASTER!D:D)</f>
        <v>PMI</v>
      </c>
      <c r="E18" s="15" t="str">
        <f>+_xlfn.XLOOKUP(A18,MASTER!B:B,MASTER!I:I)</f>
        <v>Activo</v>
      </c>
      <c r="G18" s="65535">
        <v>75006204</v>
      </c>
      <c r="H18" s="15">
        <f>+_xlfn.XLOOKUP(G18,MASTER!B:B,MASTER!A:A)</f>
        <v>101000061</v>
      </c>
      <c r="I18" s="15" t="str">
        <f>+_xlfn.XLOOKUP(G18,MASTER!B:B,MASTER!C:C)</f>
        <v>MARLBORO CARIBBEAN FUSION 100 BOX 14 CAJETILLA PZ</v>
      </c>
      <c r="N18" s="65535">
        <v>75073534</v>
      </c>
      <c r="O18" s="15">
        <f>+_xlfn.XLOOKUP(N18,MASTER!B:B,MASTER!A:A)</f>
        <v>100018746</v>
      </c>
      <c r="P18" s="15" t="str">
        <f>+_xlfn.XLOOKUP(N18,MASTER!B:B,MASTER!C:C)</f>
        <v>PALL MALL EX RED 15 1 CAJETILLA</v>
      </c>
      <c r="Q18" s="15" t="str">
        <f>+_xlfn.XLOOKUP(N18,MASTER!B:B,MASTER!D:D)</f>
        <v>BAT</v>
      </c>
      <c r="R18" s="15" t="str">
        <f>+_xlfn.XLOOKUP(N18,MASTER!B:B,MASTER!I:I)</f>
        <v>Descontinuado (con stock)</v>
      </c>
      <c r="S18" s="15" t="str">
        <f t="shared" si="0"/>
        <v>si}</v>
      </c>
    </row>
    <row r="19" spans="1:19" s="15" x14ac:dyDescent="0.35">
      <c r="A19" s="65535">
        <v>75001414</v>
      </c>
      <c r="B19" s="65535">
        <f>+_xlfn.XLOOKUP(A19,MASTER!B:B,MASTER!A:A)</f>
        <v>100018586</v>
      </c>
      <c r="C19" s="65535" t="str">
        <f>+_xlfn.XLOOKUP(A19,MASTER!B:B,MASTER!C:C)</f>
        <v>MARLBORO SELECC ARTESANAL 14 1 CAJETILLA</v>
      </c>
      <c r="D19" s="15" t="str">
        <f>+_xlfn.XLOOKUP(A19,MASTER!B:B,MASTER!D:D)</f>
        <v>PMI</v>
      </c>
      <c r="E19" s="15" t="str">
        <f>+_xlfn.XLOOKUP(A19,MASTER!B:B,MASTER!I:I)</f>
        <v>Descontinuado (con stock)</v>
      </c>
      <c r="G19" s="65535">
        <v>75006266</v>
      </c>
      <c r="H19" s="15">
        <f>+_xlfn.XLOOKUP(G19,MASTER!B:B,MASTER!A:A)</f>
        <v>100023311</v>
      </c>
      <c r="I19" s="15" t="str">
        <f>+_xlfn.XLOOKUP(G19,MASTER!B:B,MASTER!C:C)</f>
        <v>MARLBORO MARLBORO CRAFTED 2.0 GOLD 100 BOX 20 CAJETILLA PZ</v>
      </c>
      <c r="N19" s="65535">
        <v>75073541</v>
      </c>
      <c r="O19" s="15">
        <f>+_xlfn.XLOOKUP(N19,MASTER!B:B,MASTER!A:A)</f>
        <v>100018745</v>
      </c>
      <c r="P19" s="15" t="str">
        <f>+_xlfn.XLOOKUP(N19,MASTER!B:B,MASTER!C:C)</f>
        <v>PALL MALL EX WHITE 15 1 CAJETILLA</v>
      </c>
      <c r="Q19" s="15" t="str">
        <f>+_xlfn.XLOOKUP(N19,MASTER!B:B,MASTER!D:D)</f>
        <v>BAT</v>
      </c>
      <c r="R19" s="15" t="str">
        <f>+_xlfn.XLOOKUP(N19,MASTER!B:B,MASTER!I:I)</f>
        <v>Activo</v>
      </c>
      <c r="S19" s="15" t="str">
        <f t="shared" si="0"/>
        <v>no</v>
      </c>
    </row>
    <row r="20" spans="1:19" s="15" hidden="1" x14ac:dyDescent="0.35">
      <c r="A20" s="65535">
        <v>75001476</v>
      </c>
      <c r="B20" s="65535">
        <f>+_xlfn.XLOOKUP(A20,MASTER!B:B,MASTER!A:A)</f>
        <v>100080034</v>
      </c>
      <c r="C20" s="65535" t="str">
        <f>+_xlfn.XLOOKUP(A20,MASTER!B:B,MASTER!C:C)</f>
        <v>DELICADOS CIGARR OVALADOS CAJET</v>
      </c>
      <c r="D20" s="15" t="str">
        <f>+_xlfn.XLOOKUP(A20,MASTER!B:B,MASTER!D:D)</f>
        <v>PMI</v>
      </c>
      <c r="E20" s="15" t="str">
        <f>+_xlfn.XLOOKUP(A20,MASTER!B:B,MASTER!I:I)</f>
        <v>Descontinuado (con stock)</v>
      </c>
      <c r="G20" s="65535">
        <v>75006280</v>
      </c>
      <c r="H20" s="15">
        <f>+_xlfn.XLOOKUP(G20,MASTER!B:B,MASTER!A:A)</f>
        <v>100024320</v>
      </c>
      <c r="I20" s="15" t="str">
        <f>+_xlfn.XLOOKUP(G20,MASTER!B:B,MASTER!C:C)</f>
        <v>FAROS FAROS KS BOX 25 CAJETILLA PZ</v>
      </c>
      <c r="N20" s="65535">
        <v>75074081</v>
      </c>
      <c r="O20" s="15">
        <f>+_xlfn.XLOOKUP(N20,MASTER!B:B,MASTER!A:A)</f>
        <v>100020837</v>
      </c>
      <c r="P20" s="15" t="str">
        <f>+_xlfn.XLOOKUP(N20,MASTER!B:B,MASTER!C:C)</f>
        <v>PALL MALL EX CLASSI 14S 1 CAJETILLA</v>
      </c>
      <c r="Q20" s="15" t="str">
        <f>+_xlfn.XLOOKUP(N20,MASTER!B:B,MASTER!D:D)</f>
        <v>BAT</v>
      </c>
      <c r="R20" s="15" t="str">
        <f>+_xlfn.XLOOKUP(N20,MASTER!B:B,MASTER!I:I)</f>
        <v>Activo</v>
      </c>
      <c r="S20" s="15" t="str">
        <f t="shared" si="0"/>
        <v>si}</v>
      </c>
    </row>
    <row r="21" spans="1:19" s="15" x14ac:dyDescent="0.35">
      <c r="A21" s="65535">
        <v>75004385</v>
      </c>
      <c r="B21" s="65535">
        <f>+_xlfn.XLOOKUP(A21,MASTER!B:B,MASTER!A:A)</f>
        <v>100021977</v>
      </c>
      <c r="C21" s="65535" t="str">
        <f>+_xlfn.XLOOKUP(A21,MASTER!B:B,MASTER!C:C)</f>
        <v>FAROS FAROS FAROS 14 1 CAJETILLA</v>
      </c>
      <c r="D21" s="15" t="str">
        <f>+_xlfn.XLOOKUP(A21,MASTER!B:B,MASTER!D:D)</f>
        <v>PMI</v>
      </c>
      <c r="E21" s="15" t="str">
        <f>+_xlfn.XLOOKUP(A21,MASTER!B:B,MASTER!I:I)</f>
        <v>Activo</v>
      </c>
      <c r="G21" s="65535">
        <v>75006297</v>
      </c>
      <c r="H21" s="15">
        <f>+_xlfn.XLOOKUP(G21,MASTER!B:B,MASTER!A:A)</f>
        <v>100023312</v>
      </c>
      <c r="I21" s="15" t="str">
        <f>+_xlfn.XLOOKUP(G21,MASTER!B:B,MASTER!C:C)</f>
        <v>MARLBORO MARLBORO CRAFTED RED 2.0 100 BOX 20 CAJETILLA PZ</v>
      </c>
      <c r="N21" s="65535">
        <v>75074227</v>
      </c>
      <c r="O21" s="15">
        <f>+_xlfn.XLOOKUP(N21,MASTER!B:B,MASTER!A:A)</f>
        <v>100019550</v>
      </c>
      <c r="P21" s="15" t="str">
        <f>+_xlfn.XLOOKUP(N21,MASTER!B:B,MASTER!C:C)</f>
        <v>LUCKY STRIKE COMET 20S 1 CAJETILLA</v>
      </c>
      <c r="Q21" s="15" t="str">
        <f>+_xlfn.XLOOKUP(N21,MASTER!B:B,MASTER!D:D)</f>
        <v>BAT</v>
      </c>
      <c r="R21" s="15" t="str">
        <f>+_xlfn.XLOOKUP(N21,MASTER!B:B,MASTER!I:I)</f>
        <v>Activo</v>
      </c>
      <c r="S21" s="15" t="str">
        <f t="shared" si="0"/>
        <v>no</v>
      </c>
    </row>
    <row r="22" spans="1:19" s="15" x14ac:dyDescent="0.35">
      <c r="A22" s="65535">
        <v>75004392</v>
      </c>
      <c r="B22" s="65535">
        <f>+_xlfn.XLOOKUP(A22,MASTER!B:B,MASTER!A:A)</f>
        <v>100021950</v>
      </c>
      <c r="C22" s="65535" t="str">
        <f>+_xlfn.XLOOKUP(A22,MASTER!B:B,MASTER!C:C)</f>
        <v>FAROS 20 1 CAJETILLA</v>
      </c>
      <c r="D22" s="15" t="str">
        <f>+_xlfn.XLOOKUP(A22,MASTER!B:B,MASTER!D:D)</f>
        <v>PMI</v>
      </c>
      <c r="E22" s="15" t="str">
        <f>+_xlfn.XLOOKUP(A22,MASTER!B:B,MASTER!I:I)</f>
        <v>Activo</v>
      </c>
      <c r="G22" s="65535">
        <v>75006341</v>
      </c>
      <c r="H22" s="15">
        <f>+_xlfn.XLOOKUP(G22,MASTER!B:B,MASTER!A:A)</f>
        <v>100023683</v>
      </c>
      <c r="I22" s="15" t="str">
        <f>+_xlfn.XLOOKUP(G22,MASTER!B:B,MASTER!C:C)</f>
        <v>TEREA GREEN ZING CAJETILLA PZ</v>
      </c>
      <c r="N22" s="65535">
        <v>75074975</v>
      </c>
      <c r="O22" s="15">
        <f>+_xlfn.XLOOKUP(N22,MASTER!B:B,MASTER!A:A)</f>
        <v>100019234</v>
      </c>
      <c r="P22" s="15" t="str">
        <f>+_xlfn.XLOOKUP(N22,MASTER!B:B,MASTER!C:C)</f>
        <v>PALL MALL XL ALASKA 15S 1 CAJETILLA</v>
      </c>
      <c r="Q22" s="15" t="str">
        <f>+_xlfn.XLOOKUP(N22,MASTER!B:B,MASTER!D:D)</f>
        <v>BAT</v>
      </c>
      <c r="R22" s="15" t="str">
        <f>+_xlfn.XLOOKUP(N22,MASTER!B:B,MASTER!I:I)</f>
        <v>Activo</v>
      </c>
      <c r="S22" s="15" t="str">
        <f t="shared" si="0"/>
        <v>no</v>
      </c>
    </row>
    <row r="23" spans="1:19" s="15" x14ac:dyDescent="0.35">
      <c r="A23" s="65535">
        <v>75004408</v>
      </c>
      <c r="B23" s="65535">
        <f>+_xlfn.XLOOKUP(A23,MASTER!B:B,MASTER!A:A)</f>
        <v>100022331</v>
      </c>
      <c r="C23" s="65535" t="str">
        <f>+_xlfn.XLOOKUP(A23,MASTER!B:B,MASTER!C:C)</f>
        <v>MARLBORO VISTA ARTIC 14S CAJETILLAPZ</v>
      </c>
      <c r="D23" s="15" t="str">
        <f>+_xlfn.XLOOKUP(A23,MASTER!B:B,MASTER!D:D)</f>
        <v>PMI</v>
      </c>
      <c r="E23" s="15" t="str">
        <f>+_xlfn.XLOOKUP(A23,MASTER!B:B,MASTER!I:I)</f>
        <v>Descontinuado (con stock)</v>
      </c>
      <c r="G23" s="65535">
        <v>75006358</v>
      </c>
      <c r="H23" s="15">
        <f>+_xlfn.XLOOKUP(G23,MASTER!B:B,MASTER!A:A)</f>
        <v>100024244</v>
      </c>
      <c r="I23" s="15" t="str">
        <f>+_xlfn.XLOOKUP(G23,MASTER!B:B,MASTER!C:C)</f>
        <v>TEREA SUN PEARL CAJETILLA PZ</v>
      </c>
      <c r="N23" s="65535">
        <v>75074982</v>
      </c>
      <c r="O23" s="15">
        <f>+_xlfn.XLOOKUP(N23,MASTER!B:B,MASTER!A:A)</f>
        <v>100019230</v>
      </c>
      <c r="P23" s="15" t="str">
        <f>+_xlfn.XLOOKUP(N23,MASTER!B:B,MASTER!C:C)</f>
        <v>PALL MALL XL TOKYO 15S 1 CAJETILLA</v>
      </c>
      <c r="Q23" s="15" t="str">
        <f>+_xlfn.XLOOKUP(N23,MASTER!B:B,MASTER!D:D)</f>
        <v>BAT</v>
      </c>
      <c r="R23" s="15" t="str">
        <f>+_xlfn.XLOOKUP(N23,MASTER!B:B,MASTER!I:I)</f>
        <v>Activo</v>
      </c>
      <c r="S23" s="15" t="str">
        <f t="shared" si="0"/>
        <v>no</v>
      </c>
    </row>
    <row r="24" spans="1:19" s="15" x14ac:dyDescent="0.35">
      <c r="A24" s="65535">
        <v>75004415</v>
      </c>
      <c r="B24" s="65535">
        <f>+_xlfn.XLOOKUP(A24,MASTER!B:B,MASTER!A:A)</f>
        <v>100022276</v>
      </c>
      <c r="C24" s="65535" t="str">
        <f>+_xlfn.XLOOKUP(A24,MASTER!B:B,MASTER!C:C)</f>
        <v>MARLBORO EXOTIC VISTA EXOTIC 1 CAJETILLA</v>
      </c>
      <c r="D24" s="15" t="str">
        <f>+_xlfn.XLOOKUP(A24,MASTER!B:B,MASTER!D:D)</f>
        <v>PMI</v>
      </c>
      <c r="E24" s="15" t="str">
        <f>+_xlfn.XLOOKUP(A24,MASTER!B:B,MASTER!I:I)</f>
        <v>Descontinuado (con stock)</v>
      </c>
      <c r="G24" s="65535">
        <v>75006372</v>
      </c>
      <c r="H24" s="15">
        <f>+_xlfn.XLOOKUP(G24,MASTER!B:B,MASTER!A:A)</f>
        <v>101000062</v>
      </c>
      <c r="I24" s="15" t="str">
        <f>+_xlfn.XLOOKUP(G24,MASTER!B:B,MASTER!C:C)</f>
        <v>MARLBORO FOREST FUSION CAJETILLA PZ</v>
      </c>
      <c r="N24" s="65535">
        <v>75074999</v>
      </c>
      <c r="O24" s="15">
        <f>+_xlfn.XLOOKUP(N24,MASTER!B:B,MASTER!A:A)</f>
        <v>100019233</v>
      </c>
      <c r="P24" s="15" t="str">
        <f>+_xlfn.XLOOKUP(N24,MASTER!B:B,MASTER!C:C)</f>
        <v>PALL MALL XL MYKONO 15S 1 CAJETILLA</v>
      </c>
      <c r="Q24" s="15" t="str">
        <f>+_xlfn.XLOOKUP(N24,MASTER!B:B,MASTER!D:D)</f>
        <v>BAT</v>
      </c>
      <c r="R24" s="15" t="str">
        <f>+_xlfn.XLOOKUP(N24,MASTER!B:B,MASTER!I:I)</f>
        <v>Activo</v>
      </c>
      <c r="S24" s="15" t="str">
        <f t="shared" si="0"/>
        <v>no</v>
      </c>
    </row>
    <row r="25" spans="1:19" s="15" x14ac:dyDescent="0.35">
      <c r="A25" s="65535">
        <v>75005481</v>
      </c>
      <c r="B25" s="65535">
        <f>+_xlfn.XLOOKUP(A25,MASTER!B:B,MASTER!A:A)</f>
        <v>100021048</v>
      </c>
      <c r="C25" s="65535" t="str">
        <f>+_xlfn.XLOOKUP(A25,MASTER!B:B,MASTER!C:C)</f>
        <v>LM LM 25S 25S 1 CAJETILLA</v>
      </c>
      <c r="D25" s="15" t="str">
        <f>+_xlfn.XLOOKUP(A25,MASTER!B:B,MASTER!D:D)</f>
        <v>PMI</v>
      </c>
      <c r="E25" s="15" t="str">
        <f>+_xlfn.XLOOKUP(A25,MASTER!B:B,MASTER!I:I)</f>
        <v>Activo</v>
      </c>
      <c r="G25" s="65535">
        <v>75006389</v>
      </c>
      <c r="H25" s="15">
        <f>+_xlfn.XLOOKUP(G25,MASTER!B:B,MASTER!A:A)</f>
        <v>100023681</v>
      </c>
      <c r="I25" s="15" t="str">
        <f>+_xlfn.XLOOKUP(G25,MASTER!B:B,MASTER!C:C)</f>
        <v>TEREA BLUE CAJETILLA PZ</v>
      </c>
      <c r="N25" s="65535">
        <v>75076405</v>
      </c>
      <c r="O25" s="15">
        <f>+_xlfn.XLOOKUP(N25,MASTER!B:B,MASTER!A:A)</f>
        <v>100020970</v>
      </c>
      <c r="P25" s="15" t="str">
        <f>+_xlfn.XLOOKUP(N25,MASTER!B:B,MASTER!C:C)</f>
        <v>MONTANA CLASSI 14S 1 CAJETILLA</v>
      </c>
      <c r="Q25" s="15" t="str">
        <f>+_xlfn.XLOOKUP(N25,MASTER!B:B,MASTER!D:D)</f>
        <v>BAT</v>
      </c>
      <c r="R25" s="15" t="str">
        <f>+_xlfn.XLOOKUP(N25,MASTER!B:B,MASTER!I:I)</f>
        <v>Activo</v>
      </c>
      <c r="S25" s="15" t="str">
        <f t="shared" si="0"/>
        <v>no</v>
      </c>
    </row>
    <row r="26" spans="1:19" s="15" x14ac:dyDescent="0.35">
      <c r="A26" s="65535">
        <v>75006204</v>
      </c>
      <c r="B26" s="65535">
        <f>+_xlfn.XLOOKUP(A26,MASTER!B:B,MASTER!A:A)</f>
        <v>101000061</v>
      </c>
      <c r="C26" s="65535" t="str">
        <f>+_xlfn.XLOOKUP(A26,MASTER!B:B,MASTER!C:C)</f>
        <v>MARLBORO CARIBBEAN FUSION 100 BOX 14 CAJETILLA PZ</v>
      </c>
      <c r="D26" s="15" t="str">
        <f>+_xlfn.XLOOKUP(A26,MASTER!B:B,MASTER!D:D)</f>
        <v>PMI</v>
      </c>
      <c r="E26" s="15" t="str">
        <f>+_xlfn.XLOOKUP(A26,MASTER!B:B,MASTER!I:I)</f>
        <v>Descontinuado (con stock)</v>
      </c>
      <c r="G26" s="65535">
        <v>75006396</v>
      </c>
      <c r="H26" s="15">
        <f>+_xlfn.XLOOKUP(G26,MASTER!B:B,MASTER!A:A)</f>
        <v>100023682</v>
      </c>
      <c r="I26" s="15" t="str">
        <f>+_xlfn.XLOOKUP(G26,MASTER!B:B,MASTER!C:C)</f>
        <v>TEREA BRONZE CAJETILLA PZ</v>
      </c>
      <c r="N26" s="65535">
        <v>75076412</v>
      </c>
      <c r="O26" s="15">
        <f>+_xlfn.XLOOKUP(N26,MASTER!B:B,MASTER!A:A)</f>
        <v>100022233</v>
      </c>
      <c r="P26" s="15" t="str">
        <f>+_xlfn.XLOOKUP(N26,MASTER!B:B,MASTER!C:C)</f>
        <v>PALL MALL LONDON 20S 1 CAJETILLA</v>
      </c>
      <c r="Q26" s="15" t="str">
        <f>+_xlfn.XLOOKUP(N26,MASTER!B:B,MASTER!D:D)</f>
        <v>BAT</v>
      </c>
      <c r="R26" s="15" t="str">
        <f>+_xlfn.XLOOKUP(N26,MASTER!B:B,MASTER!I:I)</f>
        <v>Activo</v>
      </c>
      <c r="S26" s="15" t="str">
        <f t="shared" si="0"/>
        <v>no</v>
      </c>
    </row>
    <row r="27" spans="1:19" s="15" x14ac:dyDescent="0.35">
      <c r="A27" s="65535">
        <v>75006266</v>
      </c>
      <c r="B27" s="65535">
        <f>+_xlfn.XLOOKUP(A27,MASTER!B:B,MASTER!A:A)</f>
        <v>100023311</v>
      </c>
      <c r="C27" s="65535" t="str">
        <f>+_xlfn.XLOOKUP(A27,MASTER!B:B,MASTER!C:C)</f>
        <v>MARLBORO MARLBORO CRAFTED 2.0 GOLD 100 BOX 20 CAJETILLA PZ</v>
      </c>
      <c r="D27" s="15" t="str">
        <f>+_xlfn.XLOOKUP(A27,MASTER!B:B,MASTER!D:D)</f>
        <v>PMI</v>
      </c>
      <c r="E27" s="15" t="str">
        <f>+_xlfn.XLOOKUP(A27,MASTER!B:B,MASTER!I:I)</f>
        <v>Activo</v>
      </c>
      <c r="G27" s="65535">
        <v>75006587</v>
      </c>
      <c r="H27" s="15">
        <f>+_xlfn.XLOOKUP(G27,MASTER!B:B,MASTER!A:A)</f>
        <v>100024134</v>
      </c>
      <c r="I27" s="15" t="str">
        <f>+_xlfn.XLOOKUP(G27,MASTER!B:B,MASTER!C:C)</f>
        <v>MARLBORO LUNA SHUFFLE 100 BOX 20 STD CAJETILLA PZ</v>
      </c>
      <c r="N27" s="65535">
        <v>75076429</v>
      </c>
      <c r="O27" s="15">
        <f>+_xlfn.XLOOKUP(N27,MASTER!B:B,MASTER!A:A)</f>
        <v>100022118</v>
      </c>
      <c r="P27" s="15" t="str">
        <f>+_xlfn.XLOOKUP(N27,MASTER!B:B,MASTER!C:C)</f>
        <v>PALL MALL HAWAII 20S 1 CAJETILLA</v>
      </c>
      <c r="Q27" s="15" t="str">
        <f>+_xlfn.XLOOKUP(N27,MASTER!B:B,MASTER!D:D)</f>
        <v>BAT</v>
      </c>
      <c r="R27" s="15" t="str">
        <f>+_xlfn.XLOOKUP(N27,MASTER!B:B,MASTER!I:I)</f>
        <v>Activo</v>
      </c>
      <c r="S27" s="15" t="str">
        <f t="shared" si="0"/>
        <v>no</v>
      </c>
    </row>
    <row r="28" spans="1:19" s="15" x14ac:dyDescent="0.35">
      <c r="A28" s="65535">
        <v>75006280</v>
      </c>
      <c r="B28" s="65535">
        <f>+_xlfn.XLOOKUP(A28,MASTER!B:B,MASTER!A:A)</f>
        <v>100024320</v>
      </c>
      <c r="C28" s="65535" t="str">
        <f>+_xlfn.XLOOKUP(A28,MASTER!B:B,MASTER!C:C)</f>
        <v>FAROS FAROS KS BOX 25 CAJETILLA PZ</v>
      </c>
      <c r="D28" s="15" t="str">
        <f>+_xlfn.XLOOKUP(A28,MASTER!B:B,MASTER!D:D)</f>
        <v>PMI</v>
      </c>
      <c r="E28" s="15" t="str">
        <f>+_xlfn.XLOOKUP(A28,MASTER!B:B,MASTER!I:I)</f>
        <v>Activo</v>
      </c>
      <c r="G28" s="65535">
        <v>75006938</v>
      </c>
      <c r="H28" s="15">
        <f>+_xlfn.XLOOKUP(G28,MASTER!B:B,MASTER!A:A)</f>
        <v>100023686</v>
      </c>
      <c r="I28" s="15" t="str">
        <f>+_xlfn.XLOOKUP(G28,MASTER!B:B,MASTER!C:C)</f>
        <v>TEREA SIENNA CAJETILLA PZ</v>
      </c>
      <c r="N28" s="65535">
        <v>75076740</v>
      </c>
      <c r="O28" s="15">
        <f>+_xlfn.XLOOKUP(N28,MASTER!B:B,MASTER!A:A)</f>
        <v>100020969</v>
      </c>
      <c r="P28" s="15" t="str">
        <f>+_xlfn.XLOOKUP(N28,MASTER!B:B,MASTER!C:C)</f>
        <v>MONTANA CLASSI 20S 1 CAJETILLA</v>
      </c>
      <c r="Q28" s="15" t="str">
        <f>+_xlfn.XLOOKUP(N28,MASTER!B:B,MASTER!D:D)</f>
        <v>BAT</v>
      </c>
      <c r="R28" s="15" t="str">
        <f>+_xlfn.XLOOKUP(N28,MASTER!B:B,MASTER!I:I)</f>
        <v>Activo</v>
      </c>
      <c r="S28" s="15" t="str">
        <f t="shared" si="0"/>
        <v>no</v>
      </c>
    </row>
    <row r="29" spans="1:19" s="15" x14ac:dyDescent="0.35">
      <c r="A29" s="65535">
        <v>75006297</v>
      </c>
      <c r="B29" s="65535">
        <f>+_xlfn.XLOOKUP(A29,MASTER!B:B,MASTER!A:A)</f>
        <v>100023312</v>
      </c>
      <c r="C29" s="65535" t="str">
        <f>+_xlfn.XLOOKUP(A29,MASTER!B:B,MASTER!C:C)</f>
        <v>MARLBORO MARLBORO CRAFTED RED 2.0 100 BOX 20 CAJETILLA PZ</v>
      </c>
      <c r="D29" s="15" t="str">
        <f>+_xlfn.XLOOKUP(A29,MASTER!B:B,MASTER!D:D)</f>
        <v>PMI</v>
      </c>
      <c r="E29" s="15" t="str">
        <f>+_xlfn.XLOOKUP(A29,MASTER!B:B,MASTER!I:I)</f>
        <v>Activo</v>
      </c>
      <c r="G29" s="65535">
        <v>75006952</v>
      </c>
      <c r="H29" s="15">
        <f>+_xlfn.XLOOKUP(G29,MASTER!B:B,MASTER!A:A)</f>
        <v>100023684</v>
      </c>
      <c r="I29" s="15" t="str">
        <f>+_xlfn.XLOOKUP(G29,MASTER!B:B,MASTER!C:C)</f>
        <v>TEREA PURPLE CAJETILLA PZ</v>
      </c>
      <c r="N29" s="65535">
        <v>75076757</v>
      </c>
      <c r="O29" s="15">
        <f>+_xlfn.XLOOKUP(N29,MASTER!B:B,MASTER!A:A)</f>
        <v>100021658</v>
      </c>
      <c r="P29" s="15" t="str">
        <f>+_xlfn.XLOOKUP(N29,MASTER!B:B,MASTER!C:C)</f>
        <v>PALL MALL EX GOLD C 14S 1 CAJETILLA</v>
      </c>
      <c r="Q29" s="15" t="str">
        <f>+_xlfn.XLOOKUP(N29,MASTER!B:B,MASTER!D:D)</f>
        <v>BAT</v>
      </c>
      <c r="R29" s="15" t="str">
        <f>+_xlfn.XLOOKUP(N29,MASTER!B:B,MASTER!I:I)</f>
        <v>Activo</v>
      </c>
      <c r="S29" s="15" t="str">
        <f t="shared" si="0"/>
        <v>no</v>
      </c>
    </row>
    <row r="30" spans="1:19" s="15" x14ac:dyDescent="0.35">
      <c r="A30" s="65535">
        <v>75006341</v>
      </c>
      <c r="B30" s="65535">
        <f>+_xlfn.XLOOKUP(A30,MASTER!B:B,MASTER!A:A)</f>
        <v>100023683</v>
      </c>
      <c r="C30" s="65535" t="str">
        <f>+_xlfn.XLOOKUP(A30,MASTER!B:B,MASTER!C:C)</f>
        <v>TEREA GREEN ZING CAJETILLA PZ</v>
      </c>
      <c r="D30" s="15" t="str">
        <f>+_xlfn.XLOOKUP(A30,MASTER!B:B,MASTER!D:D)</f>
        <v>PMI</v>
      </c>
      <c r="E30" s="15" t="str">
        <f>+_xlfn.XLOOKUP(A30,MASTER!B:B,MASTER!I:I)</f>
        <v>Descontinuado (con stock)</v>
      </c>
      <c r="G30" s="65535">
        <v>75007454</v>
      </c>
      <c r="H30" s="15">
        <f>+_xlfn.XLOOKUP(G30,MASTER!B:B,MASTER!A:A)</f>
        <v>100024246</v>
      </c>
      <c r="I30" s="15" t="str">
        <f>+_xlfn.XLOOKUP(G30,MASTER!B:B,MASTER!C:C)</f>
        <v>TEREA BLACK PURPLE CAJETILLA PZ</v>
      </c>
      <c r="N30" s="65535">
        <v>75078638</v>
      </c>
      <c r="O30" s="15">
        <f>+_xlfn.XLOOKUP(N30,MASTER!B:B,MASTER!A:A)</f>
        <v>100021978</v>
      </c>
      <c r="P30" s="15" t="str">
        <f>+_xlfn.XLOOKUP(N30,MASTER!B:B,MASTER!C:C)</f>
        <v>PALL MALL EX GOLD C 20S 1 CAJETILLA</v>
      </c>
      <c r="Q30" s="15" t="str">
        <f>+_xlfn.XLOOKUP(N30,MASTER!B:B,MASTER!D:D)</f>
        <v>BAT</v>
      </c>
      <c r="R30" s="15" t="str">
        <f>+_xlfn.XLOOKUP(N30,MASTER!B:B,MASTER!I:I)</f>
        <v>Activo</v>
      </c>
      <c r="S30" s="15" t="str">
        <f t="shared" si="0"/>
        <v>no</v>
      </c>
    </row>
    <row r="31" spans="1:19" s="15" x14ac:dyDescent="0.35">
      <c r="A31" s="65535">
        <v>75006358</v>
      </c>
      <c r="B31" s="65535">
        <f>+_xlfn.XLOOKUP(A31,MASTER!B:B,MASTER!A:A)</f>
        <v>100024244</v>
      </c>
      <c r="C31" s="65535" t="str">
        <f>+_xlfn.XLOOKUP(A31,MASTER!B:B,MASTER!C:C)</f>
        <v>TEREA SUN PEARL CAJETILLA PZ</v>
      </c>
      <c r="D31" s="15" t="str">
        <f>+_xlfn.XLOOKUP(A31,MASTER!B:B,MASTER!D:D)</f>
        <v>PMI</v>
      </c>
      <c r="E31" s="15" t="str">
        <f>+_xlfn.XLOOKUP(A31,MASTER!B:B,MASTER!I:I)</f>
        <v>Activo</v>
      </c>
      <c r="G31" s="65535">
        <v>75007461</v>
      </c>
      <c r="H31" s="15">
        <f>+_xlfn.XLOOKUP(G31,MASTER!B:B,MASTER!A:A)</f>
        <v>100023685</v>
      </c>
      <c r="I31" s="15" t="str">
        <f>+_xlfn.XLOOKUP(G31,MASTER!B:B,MASTER!C:C)</f>
        <v>TEREA RUSSET CAJETILLA PZ</v>
      </c>
      <c r="N31" s="65535">
        <v>75078843</v>
      </c>
      <c r="O31" s="15">
        <f>+_xlfn.XLOOKUP(N31,MASTER!B:B,MASTER!A:A)</f>
        <v>100023317</v>
      </c>
      <c r="P31" s="15" t="str">
        <f>+_xlfn.XLOOKUP(N31,MASTER!B:B,MASTER!C:C)</f>
        <v>MONTANA SHOTS CLASSICS 25 PZ</v>
      </c>
      <c r="Q31" s="15" t="str">
        <f>+_xlfn.XLOOKUP(N31,MASTER!B:B,MASTER!D:D)</f>
        <v>BAT</v>
      </c>
      <c r="R31" s="15" t="str">
        <f>+_xlfn.XLOOKUP(N31,MASTER!B:B,MASTER!I:I)</f>
        <v>Activo</v>
      </c>
      <c r="S31" s="15" t="str">
        <f t="shared" si="0"/>
        <v>no</v>
      </c>
    </row>
    <row r="32" spans="1:19" s="15" x14ac:dyDescent="0.35">
      <c r="A32" s="65535">
        <v>75006372</v>
      </c>
      <c r="B32" s="65535">
        <f>+_xlfn.XLOOKUP(A32,MASTER!B:B,MASTER!A:A)</f>
        <v>101000062</v>
      </c>
      <c r="C32" s="65535" t="str">
        <f>+_xlfn.XLOOKUP(A32,MASTER!B:B,MASTER!C:C)</f>
        <v>MARLBORO FOREST FUSION CAJETILLA PZ</v>
      </c>
      <c r="D32" s="15" t="str">
        <f>+_xlfn.XLOOKUP(A32,MASTER!B:B,MASTER!D:D)</f>
        <v>PMI</v>
      </c>
      <c r="E32" s="15" t="str">
        <f>+_xlfn.XLOOKUP(A32,MASTER!B:B,MASTER!I:I)</f>
        <v>Descontinuado (con stock)</v>
      </c>
      <c r="G32" s="65535">
        <v>75012564</v>
      </c>
      <c r="H32" s="15">
        <f>+_xlfn.XLOOKUP(G32,MASTER!B:B,MASTER!A:A)</f>
        <v>100020729</v>
      </c>
      <c r="I32" s="15" t="str">
        <f>+_xlfn.XLOOKUP(G32,MASTER!B:B,MASTER!C:C)</f>
        <v>BENSON&amp;HEDGE LUX AM AMBER 1 CAJETILLA</v>
      </c>
      <c r="N32" s="65535">
        <v>75079017</v>
      </c>
      <c r="O32" s="15">
        <f>+_xlfn.XLOOKUP(N32,MASTER!B:B,MASTER!A:A)</f>
        <v>101000079</v>
      </c>
      <c r="P32" s="15" t="str">
        <f>+_xlfn.XLOOKUP(N32,MASTER!B:B,MASTER!C:C)</f>
        <v>PALL MALL BORA BORA SUNBREAK 20 PZ</v>
      </c>
      <c r="Q32" s="15" t="str">
        <f>+_xlfn.XLOOKUP(N32,MASTER!B:B,MASTER!D:D)</f>
        <v>BAT</v>
      </c>
      <c r="R32" s="15" t="str">
        <f>+_xlfn.XLOOKUP(N32,MASTER!B:B,MASTER!I:I)</f>
        <v>Activo</v>
      </c>
      <c r="S32" s="15" t="str">
        <f t="shared" si="0"/>
        <v>no</v>
      </c>
    </row>
    <row r="33" spans="1:19" s="15" hidden="1" x14ac:dyDescent="0.35">
      <c r="A33" s="65535">
        <v>75006389</v>
      </c>
      <c r="B33" s="65535">
        <f>+_xlfn.XLOOKUP(A33,MASTER!B:B,MASTER!A:A)</f>
        <v>100023681</v>
      </c>
      <c r="C33" s="65535" t="str">
        <f>+_xlfn.XLOOKUP(A33,MASTER!B:B,MASTER!C:C)</f>
        <v>TEREA BLUE CAJETILLA PZ</v>
      </c>
      <c r="D33" s="15" t="str">
        <f>+_xlfn.XLOOKUP(A33,MASTER!B:B,MASTER!D:D)</f>
        <v>PMI</v>
      </c>
      <c r="E33" s="15" t="str">
        <f>+_xlfn.XLOOKUP(A33,MASTER!B:B,MASTER!I:I)</f>
        <v>Activo</v>
      </c>
      <c r="G33" s="65535">
        <v>75012694</v>
      </c>
      <c r="H33" s="15">
        <f>+_xlfn.XLOOKUP(G33,MASTER!B:B,MASTER!A:A)</f>
        <v>100022210</v>
      </c>
      <c r="I33" s="15" t="str">
        <f>+_xlfn.XLOOKUP(G33,MASTER!B:B,MASTER!C:C)</f>
        <v>BENSON&amp;HEDGE LUX QU QUARTZ 1 CAJETILLA</v>
      </c>
      <c r="N33" s="65535">
        <v>75079963</v>
      </c>
      <c r="O33" s="15">
        <f>+_xlfn.XLOOKUP(N33,MASTER!B:B,MASTER!A:A)</f>
        <v>100023425</v>
      </c>
      <c r="P33" s="15" t="str">
        <f>+_xlfn.XLOOKUP(N33,MASTER!B:B,MASTER!C:C)</f>
        <v>PALL MALL CLASSICS 25 PZ</v>
      </c>
      <c r="Q33" s="15" t="str">
        <f>+_xlfn.XLOOKUP(N33,MASTER!B:B,MASTER!D:D)</f>
        <v>BAT</v>
      </c>
      <c r="R33" s="15" t="str">
        <f>+_xlfn.XLOOKUP(N33,MASTER!B:B,MASTER!I:I)</f>
        <v>Activo</v>
      </c>
      <c r="S33" s="15" t="str">
        <f t="shared" si="0"/>
        <v>si}</v>
      </c>
    </row>
    <row r="34" spans="1:19" s="15" x14ac:dyDescent="0.35">
      <c r="A34" s="65535">
        <v>75006396</v>
      </c>
      <c r="B34" s="65535">
        <f>+_xlfn.XLOOKUP(A34,MASTER!B:B,MASTER!A:A)</f>
        <v>100023682</v>
      </c>
      <c r="C34" s="65535" t="str">
        <f>+_xlfn.XLOOKUP(A34,MASTER!B:B,MASTER!C:C)</f>
        <v>TEREA BRONZE CAJETILLA PZ</v>
      </c>
      <c r="D34" s="15" t="str">
        <f>+_xlfn.XLOOKUP(A34,MASTER!B:B,MASTER!D:D)</f>
        <v>PMI</v>
      </c>
      <c r="E34" s="15" t="str">
        <f>+_xlfn.XLOOKUP(A34,MASTER!B:B,MASTER!I:I)</f>
        <v>Activo</v>
      </c>
      <c r="G34" s="65535">
        <v>75012717</v>
      </c>
      <c r="H34" s="15">
        <f>+_xlfn.XLOOKUP(G34,MASTER!B:B,MASTER!A:A)</f>
        <v>100021421</v>
      </c>
      <c r="I34" s="15" t="str">
        <f>+_xlfn.XLOOKUP(G34,MASTER!B:B,MASTER!C:C)</f>
        <v>MARLBORO LPE ME MEXICO RED 1 CAJETILLA</v>
      </c>
      <c r="N34" s="65535">
        <v>75080495</v>
      </c>
      <c r="O34" s="15">
        <f>+_xlfn.XLOOKUP(N34,MASTER!B:B,MASTER!A:A)</f>
        <v>100026386</v>
      </c>
      <c r="P34" s="15" t="str">
        <f>+_xlfn.XLOOKUP(N34,MASTER!B:B,MASTER!C:C)</f>
        <v>PALL MALL ICELAND 20 PZ</v>
      </c>
      <c r="Q34" s="15" t="str">
        <f>+_xlfn.XLOOKUP(N34,MASTER!B:B,MASTER!D:D)</f>
        <v>BAT</v>
      </c>
      <c r="R34" s="15" t="str">
        <f>+_xlfn.XLOOKUP(N34,MASTER!B:B,MASTER!I:I)</f>
        <v>Activo</v>
      </c>
      <c r="S34" s="15" t="str">
        <f t="shared" si="0"/>
        <v>no</v>
      </c>
    </row>
    <row r="35" spans="1:19" s="15" hidden="1" x14ac:dyDescent="0.35">
      <c r="A35" s="65535">
        <v>75006587</v>
      </c>
      <c r="B35" s="65535">
        <f>+_xlfn.XLOOKUP(A35,MASTER!B:B,MASTER!A:A)</f>
        <v>100024134</v>
      </c>
      <c r="C35" s="65535" t="str">
        <f>+_xlfn.XLOOKUP(A35,MASTER!B:B,MASTER!C:C)</f>
        <v>MARLBORO LUNA SHUFFLE 100 BOX 20 STD CAJETILLA PZ</v>
      </c>
      <c r="D35" s="15" t="str">
        <f>+_xlfn.XLOOKUP(A35,MASTER!B:B,MASTER!D:D)</f>
        <v>PMI</v>
      </c>
      <c r="E35" s="15" t="str">
        <f>+_xlfn.XLOOKUP(A35,MASTER!B:B,MASTER!I:I)</f>
        <v>Descontinuado (con stock)</v>
      </c>
      <c r="G35" s="65535">
        <v>75014551</v>
      </c>
      <c r="H35" s="15">
        <f>+_xlfn.XLOOKUP(G35,MASTER!B:B,MASTER!A:A)</f>
        <v>100080420</v>
      </c>
      <c r="I35" s="15" t="str">
        <f>+_xlfn.XLOOKUP(G35,MASTER!B:B,MASTER!C:C)</f>
        <v>MARLBORO CIGARR LIGHT FT CD CAJET</v>
      </c>
      <c r="N35" s="65535">
        <v>75080679</v>
      </c>
      <c r="O35" s="15">
        <f>+_xlfn.XLOOKUP(N35,MASTER!B:B,MASTER!A:A)</f>
        <v>100024321</v>
      </c>
      <c r="P35" s="15" t="str">
        <f>+_xlfn.XLOOKUP(N35,MASTER!B:B,MASTER!C:C)</f>
        <v>LUCKIES 25S</v>
      </c>
      <c r="Q35" s="15" t="str">
        <f>+_xlfn.XLOOKUP(N35,MASTER!B:B,MASTER!D:D)</f>
        <v>BAT</v>
      </c>
      <c r="R35" s="15" t="str">
        <f>+_xlfn.XLOOKUP(N35,MASTER!B:B,MASTER!I:I)</f>
        <v>Descontinuado (con stock)</v>
      </c>
      <c r="S35" s="15" t="str">
        <f t="shared" si="0"/>
        <v>si}</v>
      </c>
    </row>
    <row r="36" spans="1:19" s="15" hidden="1" x14ac:dyDescent="0.35">
      <c r="A36" s="65535">
        <v>75006938</v>
      </c>
      <c r="B36" s="65535">
        <f>+_xlfn.XLOOKUP(A36,MASTER!B:B,MASTER!A:A)</f>
        <v>100023686</v>
      </c>
      <c r="C36" s="65535" t="str">
        <f>+_xlfn.XLOOKUP(A36,MASTER!B:B,MASTER!C:C)</f>
        <v>TEREA SIENNA CAJETILLA PZ</v>
      </c>
      <c r="D36" s="15" t="str">
        <f>+_xlfn.XLOOKUP(A36,MASTER!B:B,MASTER!D:D)</f>
        <v>PMI</v>
      </c>
      <c r="E36" s="15" t="str">
        <f>+_xlfn.XLOOKUP(A36,MASTER!B:B,MASTER!I:I)</f>
        <v>Activo</v>
      </c>
      <c r="G36" s="65535">
        <v>75015718</v>
      </c>
      <c r="H36" s="15">
        <f>+_xlfn.XLOOKUP(G36,MASTER!B:B,MASTER!A:A)</f>
        <v>100021418</v>
      </c>
      <c r="I36" s="15" t="str">
        <f>+_xlfn.XLOOKUP(G36,MASTER!B:B,MASTER!C:C)</f>
        <v>MARLBORO LPE GO GOLD CAPS MEXICO 1 CAJETILLA</v>
      </c>
      <c r="N36" s="65535">
        <v>75081058</v>
      </c>
      <c r="O36" s="15">
        <f>+_xlfn.XLOOKUP(N36,MASTER!B:B,MASTER!A:A)</f>
        <v>100024596</v>
      </c>
      <c r="P36" s="15" t="str">
        <f>+_xlfn.XLOOKUP(N36,MASTER!B:B,MASTER!C:C)</f>
        <v>PALL MALL XL MIAMI PARADISE 20S 20 PZ</v>
      </c>
      <c r="Q36" s="15" t="str">
        <f>+_xlfn.XLOOKUP(N36,MASTER!B:B,MASTER!D:D)</f>
        <v>BAT</v>
      </c>
      <c r="R36" s="15" t="str">
        <f>+_xlfn.XLOOKUP(N36,MASTER!B:B,MASTER!I:I)</f>
        <v>Activo</v>
      </c>
      <c r="S36" s="15" t="str">
        <f t="shared" si="0"/>
        <v>si}</v>
      </c>
    </row>
    <row r="37" spans="1:19" s="15" hidden="1" x14ac:dyDescent="0.35">
      <c r="A37" s="65535">
        <v>75006952</v>
      </c>
      <c r="B37" s="65535">
        <f>+_xlfn.XLOOKUP(A37,MASTER!B:B,MASTER!A:A)</f>
        <v>100023684</v>
      </c>
      <c r="C37" s="65535" t="str">
        <f>+_xlfn.XLOOKUP(A37,MASTER!B:B,MASTER!C:C)</f>
        <v>TEREA PURPLE CAJETILLA PZ</v>
      </c>
      <c r="D37" s="15" t="str">
        <f>+_xlfn.XLOOKUP(A37,MASTER!B:B,MASTER!D:D)</f>
        <v>PMI</v>
      </c>
      <c r="E37" s="15" t="str">
        <f>+_xlfn.XLOOKUP(A37,MASTER!B:B,MASTER!I:I)</f>
        <v>Descontinuado (con stock)</v>
      </c>
      <c r="G37" s="65535">
        <v>75015725</v>
      </c>
      <c r="H37" s="15">
        <f>+_xlfn.XLOOKUP(G37,MASTER!B:B,MASTER!A:A)</f>
        <v>100020727</v>
      </c>
      <c r="I37" s="15" t="str">
        <f>+_xlfn.XLOOKUP(G37,MASTER!B:B,MASTER!C:C)</f>
        <v>BENSON&amp;HEDGE LUX SA SAPPHIRE 1 CAJETILLA</v>
      </c>
      <c r="N37" s="65535">
        <v>75082277</v>
      </c>
      <c r="O37" s="15">
        <f>+_xlfn.XLOOKUP(N37,MASTER!B:B,MASTER!A:A)</f>
        <v>100024882</v>
      </c>
      <c r="P37" s="15" t="str">
        <f>+_xlfn.XLOOKUP(N37,MASTER!B:B,MASTER!C:C)</f>
        <v>PALL MALL 125 AÑOS CASE ALASKA 20 PZ</v>
      </c>
      <c r="Q37" s="15" t="str">
        <f>+_xlfn.XLOOKUP(N37,MASTER!B:B,MASTER!D:D)</f>
        <v>BAT</v>
      </c>
      <c r="R37" s="15" t="str">
        <f>+_xlfn.XLOOKUP(N37,MASTER!B:B,MASTER!I:I)</f>
        <v>Descontinuado (con stock)</v>
      </c>
      <c r="S37" s="15" t="str">
        <f t="shared" si="0"/>
        <v>no</v>
      </c>
    </row>
    <row r="38" spans="1:19" s="15" x14ac:dyDescent="0.35">
      <c r="A38" s="65535">
        <v>75007454</v>
      </c>
      <c r="B38" s="65535">
        <f>+_xlfn.XLOOKUP(A38,MASTER!B:B,MASTER!A:A)</f>
        <v>100024246</v>
      </c>
      <c r="C38" s="65535" t="str">
        <f>+_xlfn.XLOOKUP(A38,MASTER!B:B,MASTER!C:C)</f>
        <v>TEREA BLACK PURPLE CAJETILLA PZ</v>
      </c>
      <c r="D38" s="15" t="str">
        <f>+_xlfn.XLOOKUP(A38,MASTER!B:B,MASTER!D:D)</f>
        <v>PMI</v>
      </c>
      <c r="E38" s="15" t="str">
        <f>+_xlfn.XLOOKUP(A38,MASTER!B:B,MASTER!I:I)</f>
        <v>Activo</v>
      </c>
      <c r="G38" s="65535">
        <v>75016777</v>
      </c>
      <c r="H38" s="15">
        <f>+_xlfn.XLOOKUP(G38,MASTER!B:B,MASTER!A:A)</f>
        <v>100080440</v>
      </c>
      <c r="I38" s="15" t="str">
        <f>+_xlfn.XLOOKUP(G38,MASTER!B:B,MASTER!C:C)</f>
        <v>BENSON&amp;HEDGE CIGARR MENTHOL CD CAJET</v>
      </c>
      <c r="N38" s="65535">
        <v>75082543</v>
      </c>
      <c r="O38" s="15">
        <f>+_xlfn.XLOOKUP(N38,MASTER!B:B,MASTER!A:A)</f>
        <v>100025282</v>
      </c>
      <c r="P38" s="15" t="str">
        <f>+_xlfn.XLOOKUP(N38,MASTER!B:B,MASTER!C:C)</f>
        <v>PALL MALL HAWAII SUNLIGHT 15 PZ</v>
      </c>
      <c r="Q38" s="15" t="str">
        <f>+_xlfn.XLOOKUP(N38,MASTER!B:B,MASTER!D:D)</f>
        <v>BAT</v>
      </c>
      <c r="R38" s="15" t="str">
        <f>+_xlfn.XLOOKUP(N38,MASTER!B:B,MASTER!I:I)</f>
        <v>Activo</v>
      </c>
      <c r="S38" s="15" t="str">
        <f t="shared" si="0"/>
        <v>no</v>
      </c>
    </row>
    <row r="39" spans="1:19" s="15" x14ac:dyDescent="0.35">
      <c r="A39" s="65535">
        <v>75007461</v>
      </c>
      <c r="B39" s="65535">
        <f>+_xlfn.XLOOKUP(A39,MASTER!B:B,MASTER!A:A)</f>
        <v>100023685</v>
      </c>
      <c r="C39" s="65535" t="str">
        <f>+_xlfn.XLOOKUP(A39,MASTER!B:B,MASTER!C:C)</f>
        <v>TEREA RUSSET CAJETILLA PZ</v>
      </c>
      <c r="D39" s="15" t="str">
        <f>+_xlfn.XLOOKUP(A39,MASTER!B:B,MASTER!D:D)</f>
        <v>PMI</v>
      </c>
      <c r="E39" s="15" t="str">
        <f>+_xlfn.XLOOKUP(A39,MASTER!B:B,MASTER!I:I)</f>
        <v>Activo</v>
      </c>
      <c r="G39" s="65535">
        <v>75018825</v>
      </c>
      <c r="H39" s="15">
        <f>+_xlfn.XLOOKUP(G39,MASTER!B:B,MASTER!A:A)</f>
        <v>100020728</v>
      </c>
      <c r="I39" s="15" t="str">
        <f>+_xlfn.XLOOKUP(G39,MASTER!B:B,MASTER!C:C)</f>
        <v>BENSON&amp;HEDGE LUX JA JADE 1 CAJETILLA</v>
      </c>
      <c r="N39" s="65535">
        <v>75083786</v>
      </c>
      <c r="O39" s="15">
        <f>+_xlfn.XLOOKUP(N39,MASTER!B:B,MASTER!A:A)</f>
        <v>100025670</v>
      </c>
      <c r="P39" s="15" t="str">
        <f>+_xlfn.XLOOKUP(N39,MASTER!B:B,MASTER!C:C)</f>
        <v>PALL MALL GOLD SELECT 14 PZ</v>
      </c>
      <c r="Q39" s="15" t="str">
        <f>+_xlfn.XLOOKUP(N39,MASTER!B:B,MASTER!D:D)</f>
        <v>BAT</v>
      </c>
      <c r="R39" s="15" t="str">
        <f>+_xlfn.XLOOKUP(N39,MASTER!B:B,MASTER!I:I)</f>
        <v>Activo</v>
      </c>
      <c r="S39" s="15" t="str">
        <f t="shared" si="0"/>
        <v>no</v>
      </c>
    </row>
    <row r="40" spans="1:19" s="15" x14ac:dyDescent="0.35">
      <c r="A40" s="65535">
        <v>75012564</v>
      </c>
      <c r="B40" s="65535">
        <f>+_xlfn.XLOOKUP(A40,MASTER!B:B,MASTER!A:A)</f>
        <v>100020729</v>
      </c>
      <c r="C40" s="65535" t="str">
        <f>+_xlfn.XLOOKUP(A40,MASTER!B:B,MASTER!C:C)</f>
        <v>BENSON&amp;HEDGE LUX AM AMBER 1 CAJETILLA</v>
      </c>
      <c r="D40" s="15" t="str">
        <f>+_xlfn.XLOOKUP(A40,MASTER!B:B,MASTER!D:D)</f>
        <v>PMI</v>
      </c>
      <c r="E40" s="15" t="str">
        <f>+_xlfn.XLOOKUP(A40,MASTER!B:B,MASTER!I:I)</f>
        <v>Descontinuado (con stock)</v>
      </c>
      <c r="G40" s="65535">
        <v>75018832</v>
      </c>
      <c r="H40" s="15">
        <f>+_xlfn.XLOOKUP(G40,MASTER!B:B,MASTER!A:A)</f>
        <v>100022332</v>
      </c>
      <c r="I40" s="15" t="str">
        <f>+_xlfn.XLOOKUP(G40,MASTER!B:B,MASTER!C:C)</f>
        <v>MARLBORO VISTA BLOSSOM 14´S CAJETILLAPZ</v>
      </c>
      <c r="N40" s="65535">
        <v>7707200943245</v>
      </c>
      <c r="O40" s="15">
        <f>+_xlfn.XLOOKUP(N40,MASTER!B:B,MASTER!A:A)</f>
        <v>100024465</v>
      </c>
      <c r="P40" s="15" t="str">
        <f>+_xlfn.XLOOKUP(N40,MASTER!B:B,MASTER!C:C)</f>
        <v>VELO POLAR PEPPERMINT 6 MG 15 PZ</v>
      </c>
      <c r="Q40" s="15" t="str">
        <f>+_xlfn.XLOOKUP(N40,MASTER!B:B,MASTER!D:D)</f>
        <v>BAT</v>
      </c>
      <c r="R40" s="15" t="str">
        <f>+_xlfn.XLOOKUP(N40,MASTER!B:B,MASTER!I:I)</f>
        <v>Activo</v>
      </c>
      <c r="S40" s="15" t="str">
        <f t="shared" si="0"/>
        <v>no</v>
      </c>
    </row>
    <row r="41" spans="1:19" s="15" x14ac:dyDescent="0.35">
      <c r="A41" s="65535">
        <v>75012694</v>
      </c>
      <c r="B41" s="65535">
        <f>+_xlfn.XLOOKUP(A41,MASTER!B:B,MASTER!A:A)</f>
        <v>100022210</v>
      </c>
      <c r="C41" s="65535" t="str">
        <f>+_xlfn.XLOOKUP(A41,MASTER!B:B,MASTER!C:C)</f>
        <v>BENSON&amp;HEDGE LUX QU QUARTZ 1 CAJETILLA</v>
      </c>
      <c r="D41" s="15" t="str">
        <f>+_xlfn.XLOOKUP(A41,MASTER!B:B,MASTER!D:D)</f>
        <v>PMI</v>
      </c>
      <c r="E41" s="15" t="str">
        <f>+_xlfn.XLOOKUP(A41,MASTER!B:B,MASTER!I:I)</f>
        <v>Descontinuado (con stock)</v>
      </c>
      <c r="G41" s="65535">
        <v>75019006</v>
      </c>
      <c r="H41" s="15">
        <f>+_xlfn.XLOOKUP(G41,MASTER!B:B,MASTER!A:A)</f>
        <v>100021790</v>
      </c>
      <c r="I41" s="15" t="str">
        <f>+_xlfn.XLOOKUP(G41,MASTER!B:B,MASTER!C:C)</f>
        <v>MARLBORO VISTA  CARIBBEAN 1 CAJETILLA</v>
      </c>
      <c r="N41" s="65535">
        <v>7707200946741</v>
      </c>
      <c r="O41" s="15">
        <f>+_xlfn.XLOOKUP(N41,MASTER!B:B,MASTER!A:A)</f>
        <v>100024462</v>
      </c>
      <c r="P41" s="15" t="str">
        <f>+_xlfn.XLOOKUP(N41,MASTER!B:B,MASTER!C:C)</f>
        <v>VELO POLAR PEPPERMINT 4 MG 15 PZ</v>
      </c>
      <c r="Q41" s="15" t="str">
        <f>+_xlfn.XLOOKUP(N41,MASTER!B:B,MASTER!D:D)</f>
        <v>BAT</v>
      </c>
      <c r="R41" s="15" t="str">
        <f>+_xlfn.XLOOKUP(N41,MASTER!B:B,MASTER!I:I)</f>
        <v>Activo</v>
      </c>
      <c r="S41" s="15" t="str">
        <f t="shared" si="0"/>
        <v>no</v>
      </c>
    </row>
    <row r="42" spans="1:19" s="15" x14ac:dyDescent="0.35">
      <c r="A42" s="65535">
        <v>75012717</v>
      </c>
      <c r="B42" s="65535">
        <f>+_xlfn.XLOOKUP(A42,MASTER!B:B,MASTER!A:A)</f>
        <v>100021421</v>
      </c>
      <c r="C42" s="65535" t="str">
        <f>+_xlfn.XLOOKUP(A42,MASTER!B:B,MASTER!C:C)</f>
        <v>MARLBORO LPE ME MEXICO RED 1 CAJETILLA</v>
      </c>
      <c r="D42" s="15" t="str">
        <f>+_xlfn.XLOOKUP(A42,MASTER!B:B,MASTER!D:D)</f>
        <v>PMI</v>
      </c>
      <c r="E42" s="15" t="str">
        <f>+_xlfn.XLOOKUP(A42,MASTER!B:B,MASTER!I:I)</f>
        <v>Descontinuado (con stock)</v>
      </c>
      <c r="G42" s="65535">
        <v>75019563</v>
      </c>
      <c r="H42" s="15">
        <f>+_xlfn.XLOOKUP(G42,MASTER!B:B,MASTER!A:A)</f>
        <v>100022523</v>
      </c>
      <c r="I42" s="15" t="str">
        <f>+_xlfn.XLOOKUP(G42,MASTER!B:B,MASTER!C:C)</f>
        <v>MARLBORO CRAFTED 20S CAJETILLA</v>
      </c>
    </row>
    <row r="43" spans="1:19" s="15" x14ac:dyDescent="0.35">
      <c r="A43" s="65535">
        <v>75015718</v>
      </c>
      <c r="B43" s="65535">
        <f>+_xlfn.XLOOKUP(A43,MASTER!B:B,MASTER!A:A)</f>
        <v>100021418</v>
      </c>
      <c r="C43" s="65535" t="str">
        <f>+_xlfn.XLOOKUP(A43,MASTER!B:B,MASTER!C:C)</f>
        <v>MARLBORO LPE GO GOLD CAPS MEXICO 1 CAJETILLA</v>
      </c>
      <c r="D43" s="15" t="str">
        <f>+_xlfn.XLOOKUP(A43,MASTER!B:B,MASTER!D:D)</f>
        <v>PMI</v>
      </c>
      <c r="E43" s="15" t="str">
        <f>+_xlfn.XLOOKUP(A43,MASTER!B:B,MASTER!I:I)</f>
        <v>Descontinuado (con stock)</v>
      </c>
      <c r="G43" s="65535">
        <v>75019570</v>
      </c>
      <c r="H43" s="15">
        <f>+_xlfn.XLOOKUP(G43,MASTER!B:B,MASTER!A:A)</f>
        <v>100022965</v>
      </c>
      <c r="I43" s="15" t="str">
        <f>+_xlfn.XLOOKUP(G43,MASTER!B:B,MASTER!C:C)</f>
        <v>MARLBORO CRAFTED 2.0 GOLD KS BOX 20</v>
      </c>
    </row>
    <row r="44" spans="1:19" s="15" x14ac:dyDescent="0.35">
      <c r="A44" s="65535">
        <v>75015725</v>
      </c>
      <c r="B44" s="65535">
        <f>+_xlfn.XLOOKUP(A44,MASTER!B:B,MASTER!A:A)</f>
        <v>100020727</v>
      </c>
      <c r="C44" s="65535" t="str">
        <f>+_xlfn.XLOOKUP(A44,MASTER!B:B,MASTER!C:C)</f>
        <v>BENSON&amp;HEDGE LUX SA SAPPHIRE 1 CAJETILLA</v>
      </c>
      <c r="D44" s="15" t="str">
        <f>+_xlfn.XLOOKUP(A44,MASTER!B:B,MASTER!D:D)</f>
        <v>PMI</v>
      </c>
      <c r="E44" s="15" t="str">
        <f>+_xlfn.XLOOKUP(A44,MASTER!B:B,MASTER!I:I)</f>
        <v>Descontinuado (con stock)</v>
      </c>
      <c r="G44" s="65535">
        <v>75019587</v>
      </c>
      <c r="H44" s="15">
        <f>+_xlfn.XLOOKUP(G44,MASTER!B:B,MASTER!A:A)</f>
        <v>100022335</v>
      </c>
      <c r="I44" s="15" t="str">
        <f>+_xlfn.XLOOKUP(G44,MASTER!B:B,MASTER!C:C)</f>
        <v>MARLBORO CRAFTED 15S CAJETILLAPZ</v>
      </c>
    </row>
    <row r="45" spans="1:19" s="15" x14ac:dyDescent="0.35">
      <c r="A45" s="65535">
        <v>75016777</v>
      </c>
      <c r="B45" s="65535">
        <f>+_xlfn.XLOOKUP(A45,MASTER!B:B,MASTER!A:A)</f>
        <v>100080440</v>
      </c>
      <c r="C45" s="65535" t="str">
        <f>+_xlfn.XLOOKUP(A45,MASTER!B:B,MASTER!C:C)</f>
        <v>BENSON&amp;HEDGE CIGARR MENTHOL CD CAJET</v>
      </c>
      <c r="D45" s="15" t="str">
        <f>+_xlfn.XLOOKUP(A45,MASTER!B:B,MASTER!D:D)</f>
        <v>PMI</v>
      </c>
      <c r="E45" s="15" t="str">
        <f>+_xlfn.XLOOKUP(A45,MASTER!B:B,MASTER!I:I)</f>
        <v>Activo</v>
      </c>
      <c r="G45" s="65535">
        <v>75021597</v>
      </c>
      <c r="H45" s="15">
        <f>+_xlfn.XLOOKUP(G45,MASTER!B:B,MASTER!A:A)</f>
        <v>100080687</v>
      </c>
      <c r="I45" s="15" t="str">
        <f>+_xlfn.XLOOKUP(G45,MASTER!B:B,MASTER!C:C)</f>
        <v>MARLBORO CIGARR 100S CD CAJET</v>
      </c>
    </row>
    <row r="46" spans="1:19" s="15" x14ac:dyDescent="0.35">
      <c r="A46" s="65535">
        <v>75018825</v>
      </c>
      <c r="B46" s="65535">
        <f>+_xlfn.XLOOKUP(A46,MASTER!B:B,MASTER!A:A)</f>
        <v>100020728</v>
      </c>
      <c r="C46" s="65535" t="str">
        <f>+_xlfn.XLOOKUP(A46,MASTER!B:B,MASTER!C:C)</f>
        <v>BENSON&amp;HEDGE LUX JA JADE 1 CAJETILLA</v>
      </c>
      <c r="D46" s="15" t="str">
        <f>+_xlfn.XLOOKUP(A46,MASTER!B:B,MASTER!D:D)</f>
        <v>PMI</v>
      </c>
      <c r="E46" s="15" t="str">
        <f>+_xlfn.XLOOKUP(A46,MASTER!B:B,MASTER!I:I)</f>
        <v>Descontinuado (con stock)</v>
      </c>
      <c r="G46" s="65535">
        <v>75022242</v>
      </c>
      <c r="H46" s="15">
        <f>+_xlfn.XLOOKUP(G46,MASTER!B:B,MASTER!A:A)</f>
        <v>100021422</v>
      </c>
      <c r="I46" s="15" t="str">
        <f>+_xlfn.XLOOKUP(G46,MASTER!B:B,MASTER!C:C)</f>
        <v>MARLBORO RED CA RED CAPS MEX 1 CAJETILLA</v>
      </c>
    </row>
    <row r="47" spans="1:19" s="15" x14ac:dyDescent="0.35">
      <c r="A47" s="65535">
        <v>75018832</v>
      </c>
      <c r="B47" s="65535">
        <f>+_xlfn.XLOOKUP(A47,MASTER!B:B,MASTER!A:A)</f>
        <v>100022332</v>
      </c>
      <c r="C47" s="65535" t="str">
        <f>+_xlfn.XLOOKUP(A47,MASTER!B:B,MASTER!C:C)</f>
        <v>MARLBORO VISTA BLOSSOM 14´S CAJETILLAPZ</v>
      </c>
      <c r="D47" s="15" t="str">
        <f>+_xlfn.XLOOKUP(A47,MASTER!B:B,MASTER!D:D)</f>
        <v>PMI</v>
      </c>
      <c r="E47" s="15" t="str">
        <f>+_xlfn.XLOOKUP(A47,MASTER!B:B,MASTER!I:I)</f>
        <v>Descontinuado (con stock)</v>
      </c>
      <c r="G47" s="65535">
        <v>75022259</v>
      </c>
      <c r="H47" s="15">
        <f>+_xlfn.XLOOKUP(G47,MASTER!B:B,MASTER!A:A)</f>
        <v>100021415</v>
      </c>
      <c r="I47" s="15" t="str">
        <f>+_xlfn.XLOOKUP(G47,MASTER!B:B,MASTER!C:C)</f>
        <v>MARLBORO LPE ME MEXICO GOLD 1 CAJETILLA</v>
      </c>
    </row>
    <row r="48" spans="1:19" s="15" x14ac:dyDescent="0.35">
      <c r="A48" s="65535">
        <v>75019006</v>
      </c>
      <c r="B48" s="65535">
        <f>+_xlfn.XLOOKUP(A48,MASTER!B:B,MASTER!A:A)</f>
        <v>100021790</v>
      </c>
      <c r="C48" s="65535" t="str">
        <f>+_xlfn.XLOOKUP(A48,MASTER!B:B,MASTER!C:C)</f>
        <v>MARLBORO VISTA  CARIBBEAN 1 CAJETILLA</v>
      </c>
      <c r="D48" s="15" t="str">
        <f>+_xlfn.XLOOKUP(A48,MASTER!B:B,MASTER!D:D)</f>
        <v>PMI</v>
      </c>
      <c r="E48" s="15" t="str">
        <f>+_xlfn.XLOOKUP(A48,MASTER!B:B,MASTER!I:I)</f>
        <v>Activo</v>
      </c>
      <c r="G48" s="65535">
        <v>75022266</v>
      </c>
      <c r="H48" s="15">
        <f>+_xlfn.XLOOKUP(G48,MASTER!B:B,MASTER!A:A)</f>
        <v>100020945</v>
      </c>
      <c r="I48" s="15" t="str">
        <f>+_xlfn.XLOOKUP(G48,MASTER!B:B,MASTER!C:C)</f>
        <v>LM LM 14S 14S 1 CAJETILLA</v>
      </c>
    </row>
    <row r="49" spans="1:9" s="15" x14ac:dyDescent="0.35">
      <c r="A49" s="65535">
        <v>75019563</v>
      </c>
      <c r="B49" s="65535">
        <f>+_xlfn.XLOOKUP(A49,MASTER!B:B,MASTER!A:A)</f>
        <v>100022523</v>
      </c>
      <c r="C49" s="65535" t="str">
        <f>+_xlfn.XLOOKUP(A49,MASTER!B:B,MASTER!C:C)</f>
        <v>MARLBORO CRAFTED 20S CAJETILLA</v>
      </c>
      <c r="D49" s="15" t="str">
        <f>+_xlfn.XLOOKUP(A49,MASTER!B:B,MASTER!D:D)</f>
        <v>PMI</v>
      </c>
      <c r="E49" s="15" t="str">
        <f>+_xlfn.XLOOKUP(A49,MASTER!B:B,MASTER!I:I)</f>
        <v>Activo</v>
      </c>
      <c r="G49" s="65535">
        <v>75025359</v>
      </c>
      <c r="H49" s="15">
        <f>+_xlfn.XLOOKUP(G49,MASTER!B:B,MASTER!A:A)</f>
        <v>100022968</v>
      </c>
      <c r="I49" s="15" t="str">
        <f>+_xlfn.XLOOKUP(G49,MASTER!B:B,MASTER!C:C)</f>
        <v>MARLBORO SOL SHUFFLE MNT 100 BOX 20</v>
      </c>
    </row>
    <row r="50" spans="1:9" s="15" x14ac:dyDescent="0.35">
      <c r="A50" s="65535">
        <v>75019570</v>
      </c>
      <c r="B50" s="65535">
        <f>+_xlfn.XLOOKUP(A50,MASTER!B:B,MASTER!A:A)</f>
        <v>100022965</v>
      </c>
      <c r="C50" s="65535" t="str">
        <f>+_xlfn.XLOOKUP(A50,MASTER!B:B,MASTER!C:C)</f>
        <v>MARLBORO CRAFTED 2.0 GOLD KS BOX 20</v>
      </c>
      <c r="D50" s="15" t="str">
        <f>+_xlfn.XLOOKUP(A50,MASTER!B:B,MASTER!D:D)</f>
        <v>PMI</v>
      </c>
      <c r="E50" s="15" t="str">
        <f>+_xlfn.XLOOKUP(A50,MASTER!B:B,MASTER!I:I)</f>
        <v>Activo</v>
      </c>
      <c r="G50" s="65535">
        <v>75027018</v>
      </c>
      <c r="H50" s="15">
        <f>+_xlfn.XLOOKUP(G50,MASTER!B:B,MASTER!A:A)</f>
        <v>100080769</v>
      </c>
      <c r="I50" s="15" t="str">
        <f>+_xlfn.XLOOKUP(G50,MASTER!B:B,MASTER!C:C)</f>
        <v>MARLBORO CIGARR LIGHT 14S CD CAJET</v>
      </c>
    </row>
    <row r="51" spans="1:9" s="15" x14ac:dyDescent="0.35">
      <c r="A51" s="65535">
        <v>75019587</v>
      </c>
      <c r="B51" s="65535">
        <f>+_xlfn.XLOOKUP(A51,MASTER!B:B,MASTER!A:A)</f>
        <v>100022335</v>
      </c>
      <c r="C51" s="65535" t="str">
        <f>+_xlfn.XLOOKUP(A51,MASTER!B:B,MASTER!C:C)</f>
        <v>MARLBORO CRAFTED 15S CAJETILLAPZ</v>
      </c>
      <c r="D51" s="15" t="str">
        <f>+_xlfn.XLOOKUP(A51,MASTER!B:B,MASTER!D:D)</f>
        <v>PMI</v>
      </c>
      <c r="E51" s="15" t="str">
        <f>+_xlfn.XLOOKUP(A51,MASTER!B:B,MASTER!I:I)</f>
        <v>Activo</v>
      </c>
      <c r="G51" s="65535">
        <v>75027766</v>
      </c>
      <c r="H51" s="15">
        <f>+_xlfn.XLOOKUP(G51,MASTER!B:B,MASTER!A:A)</f>
        <v>100080802</v>
      </c>
      <c r="I51" s="15" t="str">
        <f>+_xlfn.XLOOKUP(G51,MASTER!B:B,MASTER!C:C)</f>
        <v>PALL MALL RED AND CLICK 20</v>
      </c>
    </row>
    <row r="52" spans="1:9" s="15" x14ac:dyDescent="0.35">
      <c r="A52" s="65535">
        <v>75021597</v>
      </c>
      <c r="B52" s="65535">
        <f>+_xlfn.XLOOKUP(A52,MASTER!B:B,MASTER!A:A)</f>
        <v>100080687</v>
      </c>
      <c r="C52" s="65535" t="str">
        <f>+_xlfn.XLOOKUP(A52,MASTER!B:B,MASTER!C:C)</f>
        <v>MARLBORO CIGARR 100S CD CAJET</v>
      </c>
      <c r="D52" s="15" t="str">
        <f>+_xlfn.XLOOKUP(A52,MASTER!B:B,MASTER!D:D)</f>
        <v>PMI</v>
      </c>
      <c r="E52" s="15" t="str">
        <f>+_xlfn.XLOOKUP(A52,MASTER!B:B,MASTER!I:I)</f>
        <v>Activo</v>
      </c>
      <c r="G52" s="65535">
        <v>75029388</v>
      </c>
      <c r="H52" s="15">
        <f>+_xlfn.XLOOKUP(G52,MASTER!B:B,MASTER!A:A)</f>
        <v>100080797</v>
      </c>
      <c r="I52" s="15" t="str">
        <f>+_xlfn.XLOOKUP(G52,MASTER!B:B,MASTER!C:C)</f>
        <v>MARLBORO CIGARR FRESH CD CAJET</v>
      </c>
    </row>
    <row r="53" spans="1:9" s="15" x14ac:dyDescent="0.35">
      <c r="A53" s="65535">
        <v>75022242</v>
      </c>
      <c r="B53" s="65535">
        <f>+_xlfn.XLOOKUP(A53,MASTER!B:B,MASTER!A:A)</f>
        <v>100021422</v>
      </c>
      <c r="C53" s="65535" t="str">
        <f>+_xlfn.XLOOKUP(A53,MASTER!B:B,MASTER!C:C)</f>
        <v>MARLBORO RED CA RED CAPS MEX 1 CAJETILLA</v>
      </c>
      <c r="D53" s="15" t="str">
        <f>+_xlfn.XLOOKUP(A53,MASTER!B:B,MASTER!D:D)</f>
        <v>PMI</v>
      </c>
      <c r="E53" s="15" t="str">
        <f>+_xlfn.XLOOKUP(A53,MASTER!B:B,MASTER!I:I)</f>
        <v>Descontinuado (con stock)</v>
      </c>
      <c r="G53" s="65535">
        <v>75030728</v>
      </c>
      <c r="H53" s="15">
        <f>+_xlfn.XLOOKUP(G53,MASTER!B:B,MASTER!A:A)</f>
        <v>100080808</v>
      </c>
      <c r="I53" s="15" t="str">
        <f>+_xlfn.XLOOKUP(G53,MASTER!B:B,MASTER!C:C)</f>
        <v>MARLBORO WINTER SHUFFLE</v>
      </c>
    </row>
    <row r="54" spans="1:9" s="15" x14ac:dyDescent="0.35">
      <c r="A54" s="65535">
        <v>75022266</v>
      </c>
      <c r="B54" s="65535">
        <f>+_xlfn.XLOOKUP(A54,MASTER!B:B,MASTER!A:A)</f>
        <v>100020945</v>
      </c>
      <c r="C54" s="65535" t="str">
        <f>+_xlfn.XLOOKUP(A54,MASTER!B:B,MASTER!C:C)</f>
        <v>LM LM 14S 14S 1 CAJETILLA</v>
      </c>
      <c r="D54" s="15" t="str">
        <f>+_xlfn.XLOOKUP(A54,MASTER!B:B,MASTER!D:D)</f>
        <v>PMI</v>
      </c>
      <c r="E54" s="15" t="str">
        <f>+_xlfn.XLOOKUP(A54,MASTER!B:B,MASTER!I:I)</f>
        <v>Descontinuado (con stock)</v>
      </c>
      <c r="G54" s="65535">
        <v>75031053</v>
      </c>
      <c r="H54" s="15">
        <f>+_xlfn.XLOOKUP(G54,MASTER!B:B,MASTER!A:A)</f>
        <v>100080820</v>
      </c>
      <c r="I54" s="15" t="str">
        <f>+_xlfn.XLOOKUP(G54,MASTER!B:B,MASTER!C:C)</f>
        <v>MARLBORO CIGARR ICEEXPRESS CAJET</v>
      </c>
    </row>
    <row r="55" spans="1:9" s="15" x14ac:dyDescent="0.35">
      <c r="A55" s="65535">
        <v>75025359</v>
      </c>
      <c r="B55" s="65535">
        <f>+_xlfn.XLOOKUP(A55,MASTER!B:B,MASTER!A:A)</f>
        <v>100022968</v>
      </c>
      <c r="C55" s="65535" t="str">
        <f>+_xlfn.XLOOKUP(A55,MASTER!B:B,MASTER!C:C)</f>
        <v>MARLBORO SOL SHUFFLE MNT 100 BOX 20</v>
      </c>
      <c r="D55" s="15" t="str">
        <f>+_xlfn.XLOOKUP(A55,MASTER!B:B,MASTER!D:D)</f>
        <v>PMI</v>
      </c>
      <c r="E55" s="15" t="str">
        <f>+_xlfn.XLOOKUP(A55,MASTER!B:B,MASTER!I:I)</f>
        <v>Descontinuado (con stock)</v>
      </c>
      <c r="G55" s="65535">
        <v>75032777</v>
      </c>
      <c r="H55" s="15">
        <f>+_xlfn.XLOOKUP(G55,MASTER!B:B,MASTER!A:A)</f>
        <v>100023680</v>
      </c>
      <c r="I55" s="15" t="str">
        <f>+_xlfn.XLOOKUP(G55,MASTER!B:B,MASTER!C:C)</f>
        <v>TEREA BLACK GREEN CAJETILLA PZ</v>
      </c>
    </row>
    <row r="56" spans="1:9" s="15" x14ac:dyDescent="0.35">
      <c r="A56" s="65535">
        <v>75027766</v>
      </c>
      <c r="B56" s="65535">
        <f>+_xlfn.XLOOKUP(A56,MASTER!B:B,MASTER!A:A)</f>
        <v>100080802</v>
      </c>
      <c r="C56" s="65535" t="str">
        <f>+_xlfn.XLOOKUP(A56,MASTER!B:B,MASTER!C:C)</f>
        <v>PALL MALL RED AND CLICK 20</v>
      </c>
      <c r="D56" s="15" t="str">
        <f>+_xlfn.XLOOKUP(A56,MASTER!B:B,MASTER!D:D)</f>
        <v>BAT</v>
      </c>
      <c r="E56" s="15" t="str">
        <f>+_xlfn.XLOOKUP(A56,MASTER!B:B,MASTER!I:I)</f>
        <v>Activo</v>
      </c>
      <c r="G56" s="65535">
        <v>75032784</v>
      </c>
      <c r="H56" s="15">
        <f>+_xlfn.XLOOKUP(G56,MASTER!B:B,MASTER!A:A)</f>
        <v>100023679</v>
      </c>
      <c r="I56" s="15" t="str">
        <f>+_xlfn.XLOOKUP(G56,MASTER!B:B,MASTER!C:C)</f>
        <v>TEREA AMBER CAJETILLA PZ</v>
      </c>
    </row>
    <row r="57" spans="1:9" s="15" x14ac:dyDescent="0.35">
      <c r="A57" s="65535">
        <v>75031053</v>
      </c>
      <c r="B57" s="65535">
        <f>+_xlfn.XLOOKUP(A57,MASTER!B:B,MASTER!A:A)</f>
        <v>100080820</v>
      </c>
      <c r="C57" s="65535" t="str">
        <f>+_xlfn.XLOOKUP(A57,MASTER!B:B,MASTER!C:C)</f>
        <v>MARLBORO CIGARR ICEEXPRESS CAJET</v>
      </c>
      <c r="D57" s="15" t="str">
        <f>+_xlfn.XLOOKUP(A57,MASTER!B:B,MASTER!D:D)</f>
        <v>PMI</v>
      </c>
      <c r="E57" s="15" t="str">
        <f>+_xlfn.XLOOKUP(A57,MASTER!B:B,MASTER!I:I)</f>
        <v>Activo</v>
      </c>
      <c r="G57" s="65535">
        <v>75032807</v>
      </c>
      <c r="H57" s="15">
        <f>+_xlfn.XLOOKUP(G57,MASTER!B:B,MASTER!A:A)</f>
        <v>100025332</v>
      </c>
      <c r="I57" s="15" t="str">
        <f>+_xlfn.XLOOKUP(G57,MASTER!B:B,MASTER!C:C)</f>
        <v>MARLBORO URBAN SHUFFLE 100 BOX 20 CAJETILLA PZ</v>
      </c>
    </row>
    <row r="58" spans="1:9" s="15" x14ac:dyDescent="0.35">
      <c r="A58" s="65535">
        <v>75032777</v>
      </c>
      <c r="B58" s="65535">
        <f>+_xlfn.XLOOKUP(A58,MASTER!B:B,MASTER!A:A)</f>
        <v>100023680</v>
      </c>
      <c r="C58" s="65535" t="str">
        <f>+_xlfn.XLOOKUP(A58,MASTER!B:B,MASTER!C:C)</f>
        <v>TEREA BLACK GREEN CAJETILLA PZ</v>
      </c>
      <c r="D58" s="15" t="str">
        <f>+_xlfn.XLOOKUP(A58,MASTER!B:B,MASTER!D:D)</f>
        <v>PMI</v>
      </c>
      <c r="E58" s="15" t="str">
        <f>+_xlfn.XLOOKUP(A58,MASTER!B:B,MASTER!I:I)</f>
        <v>Descontinuado (con stock)</v>
      </c>
      <c r="G58" s="65535">
        <v>75034375</v>
      </c>
      <c r="H58" s="15">
        <f>+_xlfn.XLOOKUP(G58,MASTER!B:B,MASTER!A:A)</f>
        <v>100080829</v>
      </c>
      <c r="I58" s="15" t="str">
        <f>+_xlfn.XLOOKUP(G58,MASTER!B:B,MASTER!C:C)</f>
        <v>MARLBORO CIGARR TOUCH CAJET</v>
      </c>
    </row>
    <row r="59" spans="1:9" s="15" x14ac:dyDescent="0.35">
      <c r="A59" s="65535">
        <v>75032784</v>
      </c>
      <c r="B59" s="65535">
        <f>+_xlfn.XLOOKUP(A59,MASTER!B:B,MASTER!A:A)</f>
        <v>100023679</v>
      </c>
      <c r="C59" s="65535" t="str">
        <f>+_xlfn.XLOOKUP(A59,MASTER!B:B,MASTER!C:C)</f>
        <v>TEREA AMBER CAJETILLA PZ</v>
      </c>
      <c r="D59" s="15" t="str">
        <f>+_xlfn.XLOOKUP(A59,MASTER!B:B,MASTER!D:D)</f>
        <v>PMI</v>
      </c>
      <c r="E59" s="15" t="str">
        <f>+_xlfn.XLOOKUP(A59,MASTER!B:B,MASTER!I:I)</f>
        <v>Activo</v>
      </c>
      <c r="G59" s="65535">
        <v>75034665</v>
      </c>
      <c r="H59" s="15">
        <f>+_xlfn.XLOOKUP(G59,MASTER!B:B,MASTER!A:A)</f>
        <v>100080834</v>
      </c>
      <c r="I59" s="15" t="str">
        <f>+_xlfn.XLOOKUP(G59,MASTER!B:B,MASTER!C:C)</f>
        <v>PALL MALL CIGARR XL FRESH CAJET</v>
      </c>
    </row>
    <row r="60" spans="1:9" s="15" x14ac:dyDescent="0.35">
      <c r="A60" s="65535">
        <v>75032807</v>
      </c>
      <c r="B60" s="65535">
        <f>+_xlfn.XLOOKUP(A60,MASTER!B:B,MASTER!A:A)</f>
        <v>100025332</v>
      </c>
      <c r="C60" s="65535" t="str">
        <f>+_xlfn.XLOOKUP(A60,MASTER!B:B,MASTER!C:C)</f>
        <v>MARLBORO URBAN SHUFFLE 100 BOX 20 CAJETILLA PZ</v>
      </c>
      <c r="D60" s="15" t="str">
        <f>+_xlfn.XLOOKUP(A60,MASTER!B:B,MASTER!D:D)</f>
        <v>PMI</v>
      </c>
      <c r="E60" s="15" t="str">
        <f>+_xlfn.XLOOKUP(A60,MASTER!B:B,MASTER!I:I)</f>
        <v>Descontinuado (con stock)</v>
      </c>
      <c r="G60" s="65535">
        <v>75035259</v>
      </c>
      <c r="H60" s="15">
        <f>+_xlfn.XLOOKUP(G60,MASTER!B:B,MASTER!A:A)</f>
        <v>100080850</v>
      </c>
      <c r="I60" s="15" t="str">
        <f>+_xlfn.XLOOKUP(G60,MASTER!B:B,MASTER!C:C)</f>
        <v>MARLBORO CIGARR GOLD 100S CAJET</v>
      </c>
    </row>
    <row r="61" spans="1:9" s="15" x14ac:dyDescent="0.35">
      <c r="A61" s="65535">
        <v>75035259</v>
      </c>
      <c r="B61" s="65535">
        <f>+_xlfn.XLOOKUP(A61,MASTER!B:B,MASTER!A:A)</f>
        <v>100080850</v>
      </c>
      <c r="C61" s="65535" t="str">
        <f>+_xlfn.XLOOKUP(A61,MASTER!B:B,MASTER!C:C)</f>
        <v>MARLBORO CIGARR GOLD 100S CAJET</v>
      </c>
      <c r="D61" s="15" t="str">
        <f>+_xlfn.XLOOKUP(A61,MASTER!B:B,MASTER!D:D)</f>
        <v>PMI</v>
      </c>
      <c r="E61" s="15" t="str">
        <f>+_xlfn.XLOOKUP(A61,MASTER!B:B,MASTER!I:I)</f>
        <v>Activo</v>
      </c>
      <c r="G61" s="65535">
        <v>75037048</v>
      </c>
      <c r="H61" s="15">
        <f>+_xlfn.XLOOKUP(G61,MASTER!B:B,MASTER!A:A)</f>
        <v>100080869</v>
      </c>
      <c r="I61" s="15" t="str">
        <f>+_xlfn.XLOOKUP(G61,MASTER!B:B,MASTER!C:C)</f>
        <v>DELICADOS CIGARR C/FILTRO LS20 CAJET</v>
      </c>
    </row>
    <row r="62" spans="1:9" s="15" x14ac:dyDescent="0.35">
      <c r="A62" s="65535">
        <v>75038007</v>
      </c>
      <c r="B62" s="65535">
        <f>+_xlfn.XLOOKUP(A62,MASTER!B:B,MASTER!A:A)</f>
        <v>100080862</v>
      </c>
      <c r="C62" s="65535" t="str">
        <f>+_xlfn.XLOOKUP(A62,MASTER!B:B,MASTER!C:C)</f>
        <v>BENSON&amp;HEDGE CIGARR MENTHOL 14S CAJET</v>
      </c>
      <c r="D62" s="15" t="str">
        <f>+_xlfn.XLOOKUP(A62,MASTER!B:B,MASTER!D:D)</f>
        <v>PMI</v>
      </c>
      <c r="E62" s="15" t="str">
        <f>+_xlfn.XLOOKUP(A62,MASTER!B:B,MASTER!I:I)</f>
        <v>Descontinuado (con stock)</v>
      </c>
      <c r="G62" s="65535">
        <v>75037994</v>
      </c>
      <c r="H62" s="15">
        <f>+_xlfn.XLOOKUP(G62,MASTER!B:B,MASTER!A:A)</f>
        <v>100080861</v>
      </c>
      <c r="I62" s="15" t="str">
        <f>+_xlfn.XLOOKUP(G62,MASTER!B:B,MASTER!C:C)</f>
        <v>BENSON&amp;HEDGE CIGARR FF 14S CAJET</v>
      </c>
    </row>
    <row r="63" spans="1:9" s="15" x14ac:dyDescent="0.35">
      <c r="A63" s="65535">
        <v>75039875</v>
      </c>
      <c r="B63" s="65535">
        <f>+_xlfn.XLOOKUP(A63,MASTER!B:B,MASTER!A:A)</f>
        <v>100080878</v>
      </c>
      <c r="C63" s="65535" t="str">
        <f>+_xlfn.XLOOKUP(A63,MASTER!B:B,MASTER!C:C)</f>
        <v>PALL MALL WHITE AND CLICK 15</v>
      </c>
      <c r="D63" s="15" t="str">
        <f>+_xlfn.XLOOKUP(A63,MASTER!B:B,MASTER!D:D)</f>
        <v>BAT</v>
      </c>
      <c r="E63" s="15" t="str">
        <f>+_xlfn.XLOOKUP(A63,MASTER!B:B,MASTER!I:I)</f>
        <v>Descontinuado (con stock)</v>
      </c>
      <c r="G63" s="65535">
        <v>75038007</v>
      </c>
      <c r="H63" s="15">
        <f>+_xlfn.XLOOKUP(G63,MASTER!B:B,MASTER!A:A)</f>
        <v>100080862</v>
      </c>
      <c r="I63" s="15" t="str">
        <f>+_xlfn.XLOOKUP(G63,MASTER!B:B,MASTER!C:C)</f>
        <v>BENSON&amp;HEDGE CIGARR MENTHOL 14S CAJET</v>
      </c>
    </row>
    <row r="64" spans="1:9" s="15" x14ac:dyDescent="0.35">
      <c r="A64" s="65535">
        <v>75042646</v>
      </c>
      <c r="B64" s="65535">
        <f>+_xlfn.XLOOKUP(A64,MASTER!B:B,MASTER!A:A)</f>
        <v>100080903</v>
      </c>
      <c r="C64" s="65535" t="str">
        <f>+_xlfn.XLOOKUP(A64,MASTER!B:B,MASTER!C:C)</f>
        <v>MARLBORO CIGARR GOLD 100 14S CAJET</v>
      </c>
      <c r="D64" s="15" t="str">
        <f>+_xlfn.XLOOKUP(A64,MASTER!B:B,MASTER!D:D)</f>
        <v>PMI</v>
      </c>
      <c r="E64" s="15" t="str">
        <f>+_xlfn.XLOOKUP(A64,MASTER!B:B,MASTER!I:I)</f>
        <v>Activo</v>
      </c>
      <c r="G64" s="65535">
        <v>75039868</v>
      </c>
      <c r="H64" s="15">
        <f>+_xlfn.XLOOKUP(G64,MASTER!B:B,MASTER!A:A)</f>
        <v>100080877</v>
      </c>
      <c r="I64" s="15" t="str">
        <f>+_xlfn.XLOOKUP(G64,MASTER!B:B,MASTER!C:C)</f>
        <v>PALL MALL CIGARR XL 14S FRESH CAJET</v>
      </c>
    </row>
    <row r="65" spans="1:9" s="15" x14ac:dyDescent="0.35">
      <c r="A65" s="65535">
        <v>75042943</v>
      </c>
      <c r="B65" s="65535">
        <f>+_xlfn.XLOOKUP(A65,MASTER!B:B,MASTER!A:A)</f>
        <v>100080892</v>
      </c>
      <c r="C65" s="65535" t="str">
        <f>+_xlfn.XLOOKUP(A65,MASTER!B:B,MASTER!C:C)</f>
        <v>PALL MALL RED AND CLICK 15</v>
      </c>
      <c r="D65" s="15" t="str">
        <f>+_xlfn.XLOOKUP(A65,MASTER!B:B,MASTER!D:D)</f>
        <v>BAT</v>
      </c>
      <c r="E65" s="15" t="str">
        <f>+_xlfn.XLOOKUP(A65,MASTER!B:B,MASTER!I:I)</f>
        <v>Descontinuado (con stock)</v>
      </c>
      <c r="G65" s="65535">
        <v>75039875</v>
      </c>
      <c r="H65" s="15">
        <f>+_xlfn.XLOOKUP(G65,MASTER!B:B,MASTER!A:A)</f>
        <v>100080878</v>
      </c>
      <c r="I65" s="15" t="str">
        <f>+_xlfn.XLOOKUP(G65,MASTER!B:B,MASTER!C:C)</f>
        <v>PALL MALL WHITE AND CLICK 15</v>
      </c>
    </row>
    <row r="66" spans="1:9" s="15" x14ac:dyDescent="0.35">
      <c r="A66" s="65535">
        <v>75043247</v>
      </c>
      <c r="B66" s="65535">
        <f>+_xlfn.XLOOKUP(A66,MASTER!B:B,MASTER!A:A)</f>
        <v>100080904</v>
      </c>
      <c r="C66" s="65535" t="str">
        <f>+_xlfn.XLOOKUP(A66,MASTER!B:B,MASTER!C:C)</f>
        <v>MARLBORO CIGARR ICE XPRESS 14 CAJET</v>
      </c>
      <c r="D66" s="15" t="str">
        <f>+_xlfn.XLOOKUP(A66,MASTER!B:B,MASTER!D:D)</f>
        <v>PMI</v>
      </c>
      <c r="E66" s="15" t="str">
        <f>+_xlfn.XLOOKUP(A66,MASTER!B:B,MASTER!I:I)</f>
        <v>Descontinuado (con stock)</v>
      </c>
      <c r="G66" s="65535">
        <v>75042646</v>
      </c>
      <c r="H66" s="15">
        <f>+_xlfn.XLOOKUP(G66,MASTER!B:B,MASTER!A:A)</f>
        <v>100080903</v>
      </c>
      <c r="I66" s="15" t="str">
        <f>+_xlfn.XLOOKUP(G66,MASTER!B:B,MASTER!C:C)</f>
        <v>MARLBORO CIGARR GOLD 100 14S CAJET</v>
      </c>
    </row>
    <row r="67" spans="1:9" s="15" x14ac:dyDescent="0.35">
      <c r="A67" s="65535">
        <v>75044916</v>
      </c>
      <c r="B67" s="65535">
        <f>+_xlfn.XLOOKUP(A67,MASTER!B:B,MASTER!A:A)</f>
        <v>100080928</v>
      </c>
      <c r="C67" s="65535" t="str">
        <f>+_xlfn.XLOOKUP(A67,MASTER!B:B,MASTER!C:C)</f>
        <v>MARLBORO KRETEK MINT</v>
      </c>
      <c r="D67" s="15" t="str">
        <f>+_xlfn.XLOOKUP(A67,MASTER!B:B,MASTER!D:D)</f>
        <v>PMI</v>
      </c>
      <c r="E67" s="15" t="str">
        <f>+_xlfn.XLOOKUP(A67,MASTER!B:B,MASTER!I:I)</f>
        <v>Activo</v>
      </c>
      <c r="G67" s="65535">
        <v>75042936</v>
      </c>
      <c r="H67" s="15">
        <f>+_xlfn.XLOOKUP(G67,MASTER!B:B,MASTER!A:A)</f>
        <v>100080891</v>
      </c>
      <c r="I67" s="15" t="str">
        <f>+_xlfn.XLOOKUP(G67,MASTER!B:B,MASTER!C:C)</f>
        <v>PALL MALL CIGARR XL 14S MENTHO CAJET</v>
      </c>
    </row>
    <row r="68" spans="1:9" s="15" x14ac:dyDescent="0.35">
      <c r="A68" s="65535">
        <v>75045692</v>
      </c>
      <c r="B68" s="65535">
        <f>+_xlfn.XLOOKUP(A68,MASTER!B:B,MASTER!A:A)</f>
        <v>100080926</v>
      </c>
      <c r="C68" s="65535" t="str">
        <f>+_xlfn.XLOOKUP(A68,MASTER!B:B,MASTER!C:C)</f>
        <v>BENSON &amp; HEDGES POLAR ICE</v>
      </c>
      <c r="D68" s="15" t="str">
        <f>+_xlfn.XLOOKUP(A68,MASTER!B:B,MASTER!D:D)</f>
        <v>PMI</v>
      </c>
      <c r="E68" s="15" t="str">
        <f>+_xlfn.XLOOKUP(A68,MASTER!B:B,MASTER!I:I)</f>
        <v>Descontinuado (con stock)</v>
      </c>
      <c r="G68" s="65535">
        <v>75042943</v>
      </c>
      <c r="H68" s="15">
        <f>+_xlfn.XLOOKUP(G68,MASTER!B:B,MASTER!A:A)</f>
        <v>100080892</v>
      </c>
      <c r="I68" s="15" t="str">
        <f>+_xlfn.XLOOKUP(G68,MASTER!B:B,MASTER!C:C)</f>
        <v>PALL MALL RED AND CLICK 15</v>
      </c>
    </row>
    <row r="69" spans="1:9" s="15" x14ac:dyDescent="0.35">
      <c r="A69" s="65535">
        <v>75046521</v>
      </c>
      <c r="B69" s="65535">
        <f>+_xlfn.XLOOKUP(A69,MASTER!B:B,MASTER!A:A)</f>
        <v>100080955</v>
      </c>
      <c r="C69" s="65535" t="str">
        <f>+_xlfn.XLOOKUP(A69,MASTER!B:B,MASTER!C:C)</f>
        <v>LUCKY STRIKE AMARILLOS 20S</v>
      </c>
      <c r="D69" s="15" t="str">
        <f>+_xlfn.XLOOKUP(A69,MASTER!B:B,MASTER!D:D)</f>
        <v>BAT</v>
      </c>
      <c r="E69" s="15" t="str">
        <f>+_xlfn.XLOOKUP(A69,MASTER!B:B,MASTER!I:I)</f>
        <v>Activo</v>
      </c>
      <c r="G69" s="65535">
        <v>75043247</v>
      </c>
      <c r="H69" s="15">
        <f>+_xlfn.XLOOKUP(G69,MASTER!B:B,MASTER!A:A)</f>
        <v>100080904</v>
      </c>
      <c r="I69" s="15" t="str">
        <f>+_xlfn.XLOOKUP(G69,MASTER!B:B,MASTER!C:C)</f>
        <v>MARLBORO CIGARR ICE XPRESS 14 CAJET</v>
      </c>
    </row>
    <row r="70" spans="1:9" s="15" x14ac:dyDescent="0.35">
      <c r="A70" s="65535">
        <v>75046545</v>
      </c>
      <c r="B70" s="65535">
        <f>+_xlfn.XLOOKUP(A70,MASTER!B:B,MASTER!A:A)</f>
        <v>100080952</v>
      </c>
      <c r="C70" s="65535" t="str">
        <f>+_xlfn.XLOOKUP(A70,MASTER!B:B,MASTER!C:C)</f>
        <v>LUCKY STRIKE AMARILLOS 25S</v>
      </c>
      <c r="D70" s="15" t="str">
        <f>+_xlfn.XLOOKUP(A70,MASTER!B:B,MASTER!D:D)</f>
        <v>BAT</v>
      </c>
      <c r="E70" s="15" t="str">
        <f>+_xlfn.XLOOKUP(A70,MASTER!B:B,MASTER!I:I)</f>
        <v>Activo</v>
      </c>
      <c r="G70" s="65535">
        <v>75044916</v>
      </c>
      <c r="H70" s="15">
        <f>+_xlfn.XLOOKUP(G70,MASTER!B:B,MASTER!A:A)</f>
        <v>100080928</v>
      </c>
      <c r="I70" s="15" t="str">
        <f>+_xlfn.XLOOKUP(G70,MASTER!B:B,MASTER!C:C)</f>
        <v>MARLBORO KRETEK MINT</v>
      </c>
    </row>
    <row r="71" spans="1:9" s="15" x14ac:dyDescent="0.35">
      <c r="A71" s="65535">
        <v>75047337</v>
      </c>
      <c r="B71" s="65535">
        <f>+_xlfn.XLOOKUP(A71,MASTER!B:B,MASTER!A:A)</f>
        <v>100080957</v>
      </c>
      <c r="C71" s="65535" t="str">
        <f>+_xlfn.XLOOKUP(A71,MASTER!B:B,MASTER!C:C)</f>
        <v>BENSON&amp;HEDGES PEARL CAPS CAJETILLA</v>
      </c>
      <c r="D71" s="15" t="str">
        <f>+_xlfn.XLOOKUP(A71,MASTER!B:B,MASTER!D:D)</f>
        <v>PMI</v>
      </c>
      <c r="E71" s="15" t="str">
        <f>+_xlfn.XLOOKUP(A71,MASTER!B:B,MASTER!I:I)</f>
        <v>Activo</v>
      </c>
      <c r="G71" s="65535">
        <v>75045692</v>
      </c>
      <c r="H71" s="15">
        <f>+_xlfn.XLOOKUP(G71,MASTER!B:B,MASTER!A:A)</f>
        <v>100080926</v>
      </c>
      <c r="I71" s="15" t="str">
        <f>+_xlfn.XLOOKUP(G71,MASTER!B:B,MASTER!C:C)</f>
        <v>BENSON &amp; HEDGES POLAR ICE</v>
      </c>
    </row>
    <row r="72" spans="1:9" s="15" x14ac:dyDescent="0.35">
      <c r="A72" s="65535">
        <v>75048129</v>
      </c>
      <c r="B72" s="65535">
        <f>+_xlfn.XLOOKUP(A72,MASTER!B:B,MASTER!A:A)</f>
        <v>100080975</v>
      </c>
      <c r="C72" s="65535" t="str">
        <f>+_xlfn.XLOOKUP(A72,MASTER!B:B,MASTER!C:C)</f>
        <v>LUCKY STRIKE ORIGINAL FF 20S TUBE</v>
      </c>
      <c r="D72" s="15" t="str">
        <f>+_xlfn.XLOOKUP(A72,MASTER!B:B,MASTER!D:D)</f>
        <v>BAT</v>
      </c>
      <c r="E72" s="15" t="str">
        <f>+_xlfn.XLOOKUP(A72,MASTER!B:B,MASTER!I:I)</f>
        <v>Activo</v>
      </c>
      <c r="G72" s="65535">
        <v>75046521</v>
      </c>
      <c r="H72" s="15">
        <f>+_xlfn.XLOOKUP(G72,MASTER!B:B,MASTER!A:A)</f>
        <v>100080955</v>
      </c>
      <c r="I72" s="15" t="str">
        <f>+_xlfn.XLOOKUP(G72,MASTER!B:B,MASTER!C:C)</f>
        <v>LUCKY STRIKE AMARILLOS 20S</v>
      </c>
    </row>
    <row r="73" spans="1:9" s="15" x14ac:dyDescent="0.35">
      <c r="A73" s="65535">
        <v>75050443</v>
      </c>
      <c r="B73" s="65535">
        <f>+_xlfn.XLOOKUP(A73,MASTER!B:B,MASTER!A:A)</f>
        <v>100004048</v>
      </c>
      <c r="C73" s="65535" t="str">
        <f>+_xlfn.XLOOKUP(A73,MASTER!B:B,MASTER!C:C)</f>
        <v>BENSON&amp;HEDGE GOLD PEARL</v>
      </c>
      <c r="D73" s="15" t="str">
        <f>+_xlfn.XLOOKUP(A73,MASTER!B:B,MASTER!D:D)</f>
        <v>PMI</v>
      </c>
      <c r="E73" s="15" t="str">
        <f>+_xlfn.XLOOKUP(A73,MASTER!B:B,MASTER!I:I)</f>
        <v>Activo</v>
      </c>
      <c r="G73" s="65535">
        <v>75046545</v>
      </c>
      <c r="H73" s="15">
        <f>+_xlfn.XLOOKUP(G73,MASTER!B:B,MASTER!A:A)</f>
        <v>100080952</v>
      </c>
      <c r="I73" s="15" t="str">
        <f>+_xlfn.XLOOKUP(G73,MASTER!B:B,MASTER!C:C)</f>
        <v>LUCKY STRIKE AMARILLOS 25S</v>
      </c>
    </row>
    <row r="74" spans="1:9" s="15" x14ac:dyDescent="0.35">
      <c r="A74" s="65535">
        <v>75051785</v>
      </c>
      <c r="B74" s="65535">
        <f>+_xlfn.XLOOKUP(A74,MASTER!B:B,MASTER!A:A)</f>
        <v>100004788</v>
      </c>
      <c r="C74" s="65535" t="str">
        <f>+_xlfn.XLOOKUP(A74,MASTER!B:B,MASTER!C:C)</f>
        <v>LUCKY STRIKE CLICK 4 MIX</v>
      </c>
      <c r="D74" s="15" t="str">
        <f>+_xlfn.XLOOKUP(A74,MASTER!B:B,MASTER!D:D)</f>
        <v>BAT</v>
      </c>
      <c r="E74" s="15" t="str">
        <f>+_xlfn.XLOOKUP(A74,MASTER!B:B,MASTER!I:I)</f>
        <v>Activo</v>
      </c>
      <c r="G74" s="65535">
        <v>75046781</v>
      </c>
      <c r="H74" s="15">
        <f>+_xlfn.XLOOKUP(G74,MASTER!B:B,MASTER!A:A)</f>
        <v>100080937</v>
      </c>
      <c r="I74" s="15" t="str">
        <f>+_xlfn.XLOOKUP(G74,MASTER!B:B,MASTER!C:C)</f>
        <v>MARLBORO CIGARRO 18 ROJO</v>
      </c>
    </row>
    <row r="75" spans="1:9" s="15" x14ac:dyDescent="0.35">
      <c r="A75" s="65535">
        <v>75052836</v>
      </c>
      <c r="B75" s="65535">
        <f>+_xlfn.XLOOKUP(A75,MASTER!B:B,MASTER!A:A)</f>
        <v>100005585</v>
      </c>
      <c r="C75" s="65535" t="str">
        <f>+_xlfn.XLOOKUP(A75,MASTER!B:B,MASTER!C:C)</f>
        <v>PALL MALL TOKYO MIDNIGHT 20</v>
      </c>
      <c r="D75" s="15" t="str">
        <f>+_xlfn.XLOOKUP(A75,MASTER!B:B,MASTER!D:D)</f>
        <v>BAT</v>
      </c>
      <c r="E75" s="15" t="str">
        <f>+_xlfn.XLOOKUP(A75,MASTER!B:B,MASTER!I:I)</f>
        <v>Activo</v>
      </c>
      <c r="G75" s="65535">
        <v>75046798</v>
      </c>
      <c r="H75" s="15" t="e">
        <f>+_xlfn.XLOOKUP(G75,MASTER!B:B,MASTER!A:A)</f>
        <v>#N/A</v>
      </c>
      <c r="I75" s="15" t="e">
        <f>+_xlfn.XLOOKUP(G75,MASTER!B:B,MASTER!C:C)</f>
        <v>#N/A</v>
      </c>
    </row>
    <row r="76" spans="1:9" s="15" x14ac:dyDescent="0.35">
      <c r="A76" s="65535">
        <v>75053758</v>
      </c>
      <c r="B76" s="65535">
        <f>+_xlfn.XLOOKUP(A76,MASTER!B:B,MASTER!A:A)</f>
        <v>100006296</v>
      </c>
      <c r="C76" s="65535" t="str">
        <f>+_xlfn.XLOOKUP(A76,MASTER!B:B,MASTER!C:C)</f>
        <v>MARLBORO TABACO REPOSADO GOLD</v>
      </c>
      <c r="D76" s="15" t="str">
        <f>+_xlfn.XLOOKUP(A76,MASTER!B:B,MASTER!D:D)</f>
        <v>PMI</v>
      </c>
      <c r="E76" s="15" t="str">
        <f>+_xlfn.XLOOKUP(A76,MASTER!B:B,MASTER!I:I)</f>
        <v>Descontinuado (con stock)</v>
      </c>
      <c r="G76" s="65535">
        <v>75047092</v>
      </c>
      <c r="H76" s="15">
        <f>+_xlfn.XLOOKUP(G76,MASTER!B:B,MASTER!A:A)</f>
        <v>100080951</v>
      </c>
      <c r="I76" s="15" t="str">
        <f>+_xlfn.XLOOKUP(G76,MASTER!B:B,MASTER!C:C)</f>
        <v>DELICADOS CIGARROS 24S CAJET</v>
      </c>
    </row>
    <row r="77" spans="1:9" s="15" x14ac:dyDescent="0.35">
      <c r="A77" s="65535">
        <v>75053765</v>
      </c>
      <c r="B77" s="65535">
        <f>+_xlfn.XLOOKUP(A77,MASTER!B:B,MASTER!A:A)</f>
        <v>100006294</v>
      </c>
      <c r="C77" s="65535" t="str">
        <f>+_xlfn.XLOOKUP(A77,MASTER!B:B,MASTER!C:C)</f>
        <v>MARLBORO SELECCION ARTESANAL 20</v>
      </c>
      <c r="D77" s="15" t="str">
        <f>+_xlfn.XLOOKUP(A77,MASTER!B:B,MASTER!D:D)</f>
        <v>PMI</v>
      </c>
      <c r="E77" s="15" t="str">
        <f>+_xlfn.XLOOKUP(A77,MASTER!B:B,MASTER!I:I)</f>
        <v>Descontinuado (con stock)</v>
      </c>
      <c r="G77" s="65535">
        <v>75047337</v>
      </c>
      <c r="H77" s="15">
        <f>+_xlfn.XLOOKUP(G77,MASTER!B:B,MASTER!A:A)</f>
        <v>100080957</v>
      </c>
      <c r="I77" s="15" t="str">
        <f>+_xlfn.XLOOKUP(G77,MASTER!B:B,MASTER!C:C)</f>
        <v>BENSON&amp;HEDGES PEARL CAPS CAJETILLA</v>
      </c>
    </row>
    <row r="78" spans="1:9" s="15" x14ac:dyDescent="0.35">
      <c r="A78" s="65535">
        <v>75056308</v>
      </c>
      <c r="B78" s="65535">
        <f>+_xlfn.XLOOKUP(A78,MASTER!B:B,MASTER!A:A)</f>
        <v>100007108</v>
      </c>
      <c r="C78" s="65535" t="str">
        <f>+_xlfn.XLOOKUP(A78,MASTER!B:B,MASTER!C:C)</f>
        <v>BENSON&amp;HEDGE CRYSTAL VIOLET PZ</v>
      </c>
      <c r="D78" s="15" t="str">
        <f>+_xlfn.XLOOKUP(A78,MASTER!B:B,MASTER!D:D)</f>
        <v>PMI</v>
      </c>
      <c r="E78" s="15" t="str">
        <f>+_xlfn.XLOOKUP(A78,MASTER!B:B,MASTER!I:I)</f>
        <v>Activo</v>
      </c>
      <c r="G78" s="65535">
        <v>75048129</v>
      </c>
      <c r="H78" s="15">
        <f>+_xlfn.XLOOKUP(G78,MASTER!B:B,MASTER!A:A)</f>
        <v>100080975</v>
      </c>
      <c r="I78" s="15" t="str">
        <f>+_xlfn.XLOOKUP(G78,MASTER!B:B,MASTER!C:C)</f>
        <v>LUCKY STRIKE ORIGINAL FF 20S TUBE</v>
      </c>
    </row>
    <row r="79" spans="1:9" s="15" x14ac:dyDescent="0.35">
      <c r="A79" s="65535">
        <v>75059514</v>
      </c>
      <c r="B79" s="65535">
        <f>+_xlfn.XLOOKUP(A79,MASTER!B:B,MASTER!A:A)</f>
        <v>100009230</v>
      </c>
      <c r="C79" s="65535" t="str">
        <f>+_xlfn.XLOOKUP(A79,MASTER!B:B,MASTER!C:C)</f>
        <v>BENSON&amp;HEDGES CRYSTAL BLUE PZ</v>
      </c>
      <c r="D79" s="15" t="str">
        <f>+_xlfn.XLOOKUP(A79,MASTER!B:B,MASTER!D:D)</f>
        <v>PMI</v>
      </c>
      <c r="E79" s="15" t="str">
        <f>+_xlfn.XLOOKUP(A79,MASTER!B:B,MASTER!I:I)</f>
        <v>Activo</v>
      </c>
      <c r="G79" s="65535">
        <v>75048181</v>
      </c>
      <c r="H79" s="15" t="e">
        <f>+_xlfn.XLOOKUP(G79,MASTER!B:B,MASTER!A:A)</f>
        <v>#N/A</v>
      </c>
      <c r="I79" s="15" t="e">
        <f>+_xlfn.XLOOKUP(G79,MASTER!B:B,MASTER!C:C)</f>
        <v>#N/A</v>
      </c>
    </row>
    <row r="80" spans="1:9" s="15" x14ac:dyDescent="0.35">
      <c r="A80" s="65535">
        <v>75063504</v>
      </c>
      <c r="B80" s="65535">
        <f>+_xlfn.XLOOKUP(A80,MASTER!B:B,MASTER!A:A)</f>
        <v>100012153</v>
      </c>
      <c r="C80" s="65535" t="str">
        <f>+_xlfn.XLOOKUP(A80,MASTER!B:B,MASTER!C:C)</f>
        <v>LUCKY STRIKE 20S ME TDC 1PZ</v>
      </c>
      <c r="D80" s="15" t="str">
        <f>+_xlfn.XLOOKUP(A80,MASTER!B:B,MASTER!D:D)</f>
        <v>BAT</v>
      </c>
      <c r="E80" s="15" t="str">
        <f>+_xlfn.XLOOKUP(A80,MASTER!B:B,MASTER!I:I)</f>
        <v>Activo</v>
      </c>
      <c r="G80" s="65535">
        <v>75049577</v>
      </c>
      <c r="H80" s="15">
        <f>+_xlfn.XLOOKUP(G80,MASTER!B:B,MASTER!A:A)</f>
        <v>100080980</v>
      </c>
      <c r="I80" s="15" t="str">
        <f>+_xlfn.XLOOKUP(G80,MASTER!B:B,MASTER!C:C)</f>
        <v>CHESTERFIELD PURPLE CAPS CAJET</v>
      </c>
    </row>
    <row r="81" spans="1:9" s="15" x14ac:dyDescent="0.35">
      <c r="A81" s="65535">
        <v>75063740</v>
      </c>
      <c r="B81" s="65535">
        <f>+_xlfn.XLOOKUP(A81,MASTER!B:B,MASTER!A:A)</f>
        <v>100011677</v>
      </c>
      <c r="C81" s="65535" t="str">
        <f>+_xlfn.XLOOKUP(A81,MASTER!B:B,MASTER!C:C)</f>
        <v>CHESTERFIELD BLUE 14 1CAJ</v>
      </c>
      <c r="D81" s="15" t="str">
        <f>+_xlfn.XLOOKUP(A81,MASTER!B:B,MASTER!D:D)</f>
        <v>PMI</v>
      </c>
      <c r="E81" s="15" t="str">
        <f>+_xlfn.XLOOKUP(A81,MASTER!B:B,MASTER!I:I)</f>
        <v>Descontinuado (con stock)</v>
      </c>
      <c r="G81" s="65535">
        <v>75049591</v>
      </c>
      <c r="H81" s="15">
        <f>+_xlfn.XLOOKUP(G81,MASTER!B:B,MASTER!A:A)</f>
        <v>100080976</v>
      </c>
      <c r="I81" s="15" t="str">
        <f>+_xlfn.XLOOKUP(G81,MASTER!B:B,MASTER!C:C)</f>
        <v>DELICADOS CLAROS</v>
      </c>
    </row>
    <row r="82" spans="1:9" s="15" x14ac:dyDescent="0.35">
      <c r="A82" s="65535">
        <v>75063771</v>
      </c>
      <c r="B82" s="65535">
        <f>+_xlfn.XLOOKUP(A82,MASTER!B:B,MASTER!A:A)</f>
        <v>100011671</v>
      </c>
      <c r="C82" s="65535" t="str">
        <f>+_xlfn.XLOOKUP(A82,MASTER!B:B,MASTER!C:C)</f>
        <v>CHESTERFIELD REMIX PASSION</v>
      </c>
      <c r="D82" s="15" t="str">
        <f>+_xlfn.XLOOKUP(A82,MASTER!B:B,MASTER!D:D)</f>
        <v>PMI</v>
      </c>
      <c r="E82" s="15" t="str">
        <f>+_xlfn.XLOOKUP(A82,MASTER!B:B,MASTER!I:I)</f>
        <v>Descontinuado (con stock)</v>
      </c>
      <c r="G82" s="65535">
        <v>75050443</v>
      </c>
      <c r="H82" s="15">
        <f>+_xlfn.XLOOKUP(G82,MASTER!B:B,MASTER!A:A)</f>
        <v>100004048</v>
      </c>
      <c r="I82" s="15" t="str">
        <f>+_xlfn.XLOOKUP(G82,MASTER!B:B,MASTER!C:C)</f>
        <v>BENSON&amp;HEDGE GOLD PEARL</v>
      </c>
    </row>
    <row r="83" spans="1:9" s="15" x14ac:dyDescent="0.35">
      <c r="A83" s="65535">
        <v>75063801</v>
      </c>
      <c r="B83" s="65535">
        <f>+_xlfn.XLOOKUP(A83,MASTER!B:B,MASTER!A:A)</f>
        <v>100011672</v>
      </c>
      <c r="C83" s="65535" t="str">
        <f>+_xlfn.XLOOKUP(A83,MASTER!B:B,MASTER!C:C)</f>
        <v>MARLBORO CRAFTED ICE MIX</v>
      </c>
      <c r="D83" s="15" t="str">
        <f>+_xlfn.XLOOKUP(A83,MASTER!B:B,MASTER!D:D)</f>
        <v>PMI</v>
      </c>
      <c r="E83" s="15" t="str">
        <f>+_xlfn.XLOOKUP(A83,MASTER!B:B,MASTER!I:I)</f>
        <v>Activo</v>
      </c>
      <c r="G83" s="65535">
        <v>75050450</v>
      </c>
      <c r="H83" s="15">
        <f>+_xlfn.XLOOKUP(G83,MASTER!B:B,MASTER!A:A)</f>
        <v>100080990</v>
      </c>
      <c r="I83" s="15" t="str">
        <f>+_xlfn.XLOOKUP(G83,MASTER!B:B,MASTER!C:C)</f>
        <v>MARLBORO RUBYFRESH CAJET</v>
      </c>
    </row>
    <row r="84" spans="1:9" s="15" x14ac:dyDescent="0.35">
      <c r="A84" s="65535">
        <v>75063825</v>
      </c>
      <c r="B84" s="65535">
        <f>+_xlfn.XLOOKUP(A84,MASTER!B:B,MASTER!A:A)</f>
        <v>100011673</v>
      </c>
      <c r="C84" s="65535" t="str">
        <f>+_xlfn.XLOOKUP(A84,MASTER!B:B,MASTER!C:C)</f>
        <v>CHESTERFIELD BLUE 20 1CAJ</v>
      </c>
      <c r="D84" s="15" t="str">
        <f>+_xlfn.XLOOKUP(A84,MASTER!B:B,MASTER!D:D)</f>
        <v>PMI</v>
      </c>
      <c r="E84" s="15" t="str">
        <f>+_xlfn.XLOOKUP(A84,MASTER!B:B,MASTER!I:I)</f>
        <v>Descontinuado (con stock)</v>
      </c>
      <c r="G84" s="65535">
        <v>75051785</v>
      </c>
      <c r="H84" s="15">
        <f>+_xlfn.XLOOKUP(G84,MASTER!B:B,MASTER!A:A)</f>
        <v>100004788</v>
      </c>
      <c r="I84" s="15" t="str">
        <f>+_xlfn.XLOOKUP(G84,MASTER!B:B,MASTER!C:C)</f>
        <v>LUCKY STRIKE CLICK 4 MIX</v>
      </c>
    </row>
    <row r="85" spans="1:9" s="15" x14ac:dyDescent="0.35">
      <c r="A85" s="65535">
        <v>75064112</v>
      </c>
      <c r="B85" s="65535">
        <f>+_xlfn.XLOOKUP(A85,MASTER!B:B,MASTER!A:A)</f>
        <v>100012202</v>
      </c>
      <c r="C85" s="65535" t="str">
        <f>+_xlfn.XLOOKUP(A85,MASTER!B:B,MASTER!C:C)</f>
        <v>CHESTERFIELD ORIGINALES 24 1CAJE</v>
      </c>
      <c r="D85" s="15" t="str">
        <f>+_xlfn.XLOOKUP(A85,MASTER!B:B,MASTER!D:D)</f>
        <v>PMI</v>
      </c>
      <c r="E85" s="15" t="str">
        <f>+_xlfn.XLOOKUP(A85,MASTER!B:B,MASTER!I:I)</f>
        <v>Descontinuado (con stock)</v>
      </c>
      <c r="G85" s="65535">
        <v>75052836</v>
      </c>
      <c r="H85" s="15">
        <f>+_xlfn.XLOOKUP(G85,MASTER!B:B,MASTER!A:A)</f>
        <v>100005585</v>
      </c>
      <c r="I85" s="15" t="str">
        <f>+_xlfn.XLOOKUP(G85,MASTER!B:B,MASTER!C:C)</f>
        <v>PALL MALL TOKYO MIDNIGHT 20</v>
      </c>
    </row>
    <row r="86" spans="1:9" s="15" x14ac:dyDescent="0.35">
      <c r="A86" s="65535">
        <v>75064648</v>
      </c>
      <c r="B86" s="65535">
        <f>+_xlfn.XLOOKUP(A86,MASTER!B:B,MASTER!A:A)</f>
        <v>100012746</v>
      </c>
      <c r="C86" s="65535" t="str">
        <f>+_xlfn.XLOOKUP(A86,MASTER!B:B,MASTER!C:C)</f>
        <v>PALL MALL MYKONOS NIGHTFALL 20</v>
      </c>
      <c r="D86" s="15" t="str">
        <f>+_xlfn.XLOOKUP(A86,MASTER!B:B,MASTER!D:D)</f>
        <v>BAT</v>
      </c>
      <c r="E86" s="15" t="str">
        <f>+_xlfn.XLOOKUP(A86,MASTER!B:B,MASTER!I:I)</f>
        <v>Activo</v>
      </c>
      <c r="G86" s="65535">
        <v>75053758</v>
      </c>
      <c r="H86" s="15">
        <f>+_xlfn.XLOOKUP(G86,MASTER!B:B,MASTER!A:A)</f>
        <v>100006296</v>
      </c>
      <c r="I86" s="15" t="str">
        <f>+_xlfn.XLOOKUP(G86,MASTER!B:B,MASTER!C:C)</f>
        <v>MARLBORO TABACO REPOSADO GOLD</v>
      </c>
    </row>
    <row r="87" spans="1:9" s="15" x14ac:dyDescent="0.35">
      <c r="A87" s="65535">
        <v>75064716</v>
      </c>
      <c r="B87" s="65535">
        <f>+_xlfn.XLOOKUP(A87,MASTER!B:B,MASTER!A:A)</f>
        <v>100012997</v>
      </c>
      <c r="C87" s="65535" t="str">
        <f>+_xlfn.XLOOKUP(A87,MASTER!B:B,MASTER!C:C)</f>
        <v>LUCKY STRIKE ENIGMA 100S 1PZ</v>
      </c>
      <c r="D87" s="15" t="str">
        <f>+_xlfn.XLOOKUP(A87,MASTER!B:B,MASTER!D:D)</f>
        <v>BAT</v>
      </c>
      <c r="E87" s="15" t="str">
        <f>+_xlfn.XLOOKUP(A87,MASTER!B:B,MASTER!I:I)</f>
        <v>Activo</v>
      </c>
      <c r="G87" s="65535">
        <v>75053765</v>
      </c>
      <c r="H87" s="15">
        <f>+_xlfn.XLOOKUP(G87,MASTER!B:B,MASTER!A:A)</f>
        <v>100006294</v>
      </c>
      <c r="I87" s="15" t="str">
        <f>+_xlfn.XLOOKUP(G87,MASTER!B:B,MASTER!C:C)</f>
        <v>MARLBORO SELECCION ARTESANAL 20</v>
      </c>
    </row>
    <row r="88" spans="1:9" s="15" x14ac:dyDescent="0.35">
      <c r="A88" s="65535">
        <v>75064747</v>
      </c>
      <c r="B88" s="65535">
        <f>+_xlfn.XLOOKUP(A88,MASTER!B:B,MASTER!A:A)</f>
        <v>100013075</v>
      </c>
      <c r="C88" s="65535" t="str">
        <f>+_xlfn.XLOOKUP(A88,MASTER!B:B,MASTER!C:C)</f>
        <v>MONTANA SHOTS 15S 1PZ</v>
      </c>
      <c r="D88" s="15" t="str">
        <f>+_xlfn.XLOOKUP(A88,MASTER!B:B,MASTER!D:D)</f>
        <v>BAT</v>
      </c>
      <c r="E88" s="15" t="str">
        <f>+_xlfn.XLOOKUP(A88,MASTER!B:B,MASTER!I:I)</f>
        <v>Activo</v>
      </c>
      <c r="G88" s="65535">
        <v>75056308</v>
      </c>
      <c r="H88" s="15">
        <f>+_xlfn.XLOOKUP(G88,MASTER!B:B,MASTER!A:A)</f>
        <v>100007108</v>
      </c>
      <c r="I88" s="15" t="str">
        <f>+_xlfn.XLOOKUP(G88,MASTER!B:B,MASTER!C:C)</f>
        <v>BENSON&amp;HEDGE CRYSTAL VIOLET PZ</v>
      </c>
    </row>
    <row r="89" spans="1:9" s="15" x14ac:dyDescent="0.35">
      <c r="A89" s="65535">
        <v>75064754</v>
      </c>
      <c r="B89" s="65535">
        <f>+_xlfn.XLOOKUP(A89,MASTER!B:B,MASTER!A:A)</f>
        <v>100013892</v>
      </c>
      <c r="C89" s="65535" t="str">
        <f>+_xlfn.XLOOKUP(A89,MASTER!B:B,MASTER!C:C)</f>
        <v>MONTANA SHOTS 1PZ</v>
      </c>
      <c r="D89" s="15" t="str">
        <f>+_xlfn.XLOOKUP(A89,MASTER!B:B,MASTER!D:D)</f>
        <v>BAT</v>
      </c>
      <c r="E89" s="15" t="str">
        <f>+_xlfn.XLOOKUP(A89,MASTER!B:B,MASTER!I:I)</f>
        <v>Activo</v>
      </c>
      <c r="G89" s="65535">
        <v>75057800</v>
      </c>
      <c r="H89" s="15">
        <f>+_xlfn.XLOOKUP(G89,MASTER!B:B,MASTER!A:A)</f>
        <v>100008184</v>
      </c>
      <c r="I89" s="15" t="str">
        <f>+_xlfn.XLOOKUP(G89,MASTER!B:B,MASTER!C:C)</f>
        <v>CHESTERFIELD BLUE 14S CAJET</v>
      </c>
    </row>
    <row r="90" spans="1:9" s="15" x14ac:dyDescent="0.35">
      <c r="A90" s="65535">
        <v>75064778</v>
      </c>
      <c r="B90" s="65535">
        <f>+_xlfn.XLOOKUP(A90,MASTER!B:B,MASTER!A:A)</f>
        <v>100013891</v>
      </c>
      <c r="C90" s="65535" t="str">
        <f>+_xlfn.XLOOKUP(A90,MASTER!B:B,MASTER!C:C)</f>
        <v>PALL MALL RED 25 1PZ</v>
      </c>
      <c r="D90" s="15" t="str">
        <f>+_xlfn.XLOOKUP(A90,MASTER!B:B,MASTER!D:D)</f>
        <v>BAT</v>
      </c>
      <c r="E90" s="15" t="str">
        <f>+_xlfn.XLOOKUP(A90,MASTER!B:B,MASTER!I:I)</f>
        <v>Descontinuado (con stock)</v>
      </c>
      <c r="G90" s="65535">
        <v>75057824</v>
      </c>
      <c r="H90" s="15">
        <f>+_xlfn.XLOOKUP(G90,MASTER!B:B,MASTER!A:A)</f>
        <v>100008185</v>
      </c>
      <c r="I90" s="15" t="str">
        <f>+_xlfn.XLOOKUP(G90,MASTER!B:B,MASTER!C:C)</f>
        <v>CHESTERFIELD MINT 14S CAJET</v>
      </c>
    </row>
    <row r="91" spans="1:9" s="15" x14ac:dyDescent="0.35">
      <c r="A91" s="65535">
        <v>75065515</v>
      </c>
      <c r="B91" s="65535">
        <f>+_xlfn.XLOOKUP(A91,MASTER!B:B,MASTER!A:A)</f>
        <v>100013110</v>
      </c>
      <c r="C91" s="65535" t="str">
        <f>+_xlfn.XLOOKUP(A91,MASTER!B:B,MASTER!C:C)</f>
        <v>MARLBORO RUBY 14 1CAJETILLA</v>
      </c>
      <c r="D91" s="15" t="str">
        <f>+_xlfn.XLOOKUP(A91,MASTER!B:B,MASTER!D:D)</f>
        <v>PMI</v>
      </c>
      <c r="E91" s="15" t="str">
        <f>+_xlfn.XLOOKUP(A91,MASTER!B:B,MASTER!I:I)</f>
        <v>Descontinuado (con stock)</v>
      </c>
      <c r="G91" s="65535">
        <v>75059514</v>
      </c>
      <c r="H91" s="15">
        <f>+_xlfn.XLOOKUP(G91,MASTER!B:B,MASTER!A:A)</f>
        <v>100009230</v>
      </c>
      <c r="I91" s="15" t="str">
        <f>+_xlfn.XLOOKUP(G91,MASTER!B:B,MASTER!C:C)</f>
        <v>BENSON&amp;HEDGES CRYSTAL BLUE PZ</v>
      </c>
    </row>
    <row r="92" spans="1:9" s="15" x14ac:dyDescent="0.35">
      <c r="A92" s="65535">
        <v>75066345</v>
      </c>
      <c r="B92" s="65535">
        <f>+_xlfn.XLOOKUP(A92,MASTER!B:B,MASTER!A:A)</f>
        <v>100013136</v>
      </c>
      <c r="C92" s="65535" t="str">
        <f>+_xlfn.XLOOKUP(A92,MASTER!B:B,MASTER!C:C)</f>
        <v>MARLBORO FUSION SUMMER 100BOX 1CAJ</v>
      </c>
      <c r="D92" s="15" t="str">
        <f>+_xlfn.XLOOKUP(A92,MASTER!B:B,MASTER!D:D)</f>
        <v>PMI</v>
      </c>
      <c r="E92" s="15" t="str">
        <f>+_xlfn.XLOOKUP(A92,MASTER!B:B,MASTER!I:I)</f>
        <v>Activo</v>
      </c>
      <c r="G92" s="65535">
        <v>75061456</v>
      </c>
      <c r="H92" s="15" t="e">
        <f>+_xlfn.XLOOKUP(G92,MASTER!B:B,MASTER!A:A)</f>
        <v>#N/A</v>
      </c>
      <c r="I92" s="15" t="e">
        <f>+_xlfn.XLOOKUP(G92,MASTER!B:B,MASTER!C:C)</f>
        <v>#N/A</v>
      </c>
    </row>
    <row r="93" spans="1:9" s="15" x14ac:dyDescent="0.35">
      <c r="A93" s="65535">
        <v>75066413</v>
      </c>
      <c r="B93" s="65535">
        <f>+_xlfn.XLOOKUP(A93,MASTER!B:B,MASTER!A:A)</f>
        <v>100022336</v>
      </c>
      <c r="C93" s="65535" t="str">
        <f>+_xlfn.XLOOKUP(A93,MASTER!B:B,MASTER!C:C)</f>
        <v>MARLBORO CRAFTED 25S CAJETILLA</v>
      </c>
      <c r="D93" s="15" t="str">
        <f>+_xlfn.XLOOKUP(A93,MASTER!B:B,MASTER!D:D)</f>
        <v>PMI</v>
      </c>
      <c r="E93" s="15" t="str">
        <f>+_xlfn.XLOOKUP(A93,MASTER!B:B,MASTER!I:I)</f>
        <v>Activo</v>
      </c>
      <c r="G93" s="65535">
        <v>75061463</v>
      </c>
      <c r="H93" s="15">
        <f>+_xlfn.XLOOKUP(G93,MASTER!B:B,MASTER!A:A)</f>
        <v>100010267</v>
      </c>
      <c r="I93" s="15" t="str">
        <f>+_xlfn.XLOOKUP(G93,MASTER!B:B,MASTER!C:C)</f>
        <v>DELICADOS FRESCOS 14S 1CAJ</v>
      </c>
    </row>
    <row r="94" spans="1:9" s="15" x14ac:dyDescent="0.35">
      <c r="A94" s="65535">
        <v>75067854</v>
      </c>
      <c r="B94" s="65535">
        <f>+_xlfn.XLOOKUP(A94,MASTER!B:B,MASTER!A:A)</f>
        <v>100013983</v>
      </c>
      <c r="C94" s="65535" t="str">
        <f>+_xlfn.XLOOKUP(A94,MASTER!B:B,MASTER!C:C)</f>
        <v>CHESTERFIELD ORIGIN 25 PERMANENT 1CAJE</v>
      </c>
      <c r="D94" s="15" t="str">
        <f>+_xlfn.XLOOKUP(A94,MASTER!B:B,MASTER!D:D)</f>
        <v>PMI</v>
      </c>
      <c r="E94" s="15" t="str">
        <f>+_xlfn.XLOOKUP(A94,MASTER!B:B,MASTER!I:I)</f>
        <v>Descontinuado (con stock)</v>
      </c>
      <c r="G94" s="65535">
        <v>75062736</v>
      </c>
      <c r="H94" s="15">
        <f>+_xlfn.XLOOKUP(G94,MASTER!B:B,MASTER!A:A)</f>
        <v>100010332</v>
      </c>
      <c r="I94" s="15" t="str">
        <f>+_xlfn.XLOOKUP(G94,MASTER!B:B,MASTER!C:C)</f>
        <v>MARLBORO SHINE 100S 1 CAJETILLA</v>
      </c>
    </row>
    <row r="95" spans="1:9" s="15" x14ac:dyDescent="0.35">
      <c r="A95" s="65535">
        <v>75067878</v>
      </c>
      <c r="B95" s="65535">
        <f>+_xlfn.XLOOKUP(A95,MASTER!B:B,MASTER!A:A)</f>
        <v>100015174</v>
      </c>
      <c r="C95" s="65535" t="str">
        <f>+_xlfn.XLOOKUP(A95,MASTER!B:B,MASTER!C:C)</f>
        <v xml:space="preserve">LUCKY STRIKE 94MM SUNSHINE BLAST 1 CAJETILLA				</v>
      </c>
      <c r="D95" s="15" t="str">
        <f>+_xlfn.XLOOKUP(A95,MASTER!B:B,MASTER!D:D)</f>
        <v>BAT</v>
      </c>
      <c r="E95" s="15" t="str">
        <f>+_xlfn.XLOOKUP(A95,MASTER!B:B,MASTER!I:I)</f>
        <v>Descontinuado (con stock)</v>
      </c>
      <c r="G95" s="65535">
        <v>75063504</v>
      </c>
      <c r="H95" s="15">
        <f>+_xlfn.XLOOKUP(G95,MASTER!B:B,MASTER!A:A)</f>
        <v>100012153</v>
      </c>
      <c r="I95" s="15" t="str">
        <f>+_xlfn.XLOOKUP(G95,MASTER!B:B,MASTER!C:C)</f>
        <v>LUCKY STRIKE 20S ME TDC 1PZ</v>
      </c>
    </row>
    <row r="96" spans="1:9" s="15" x14ac:dyDescent="0.35">
      <c r="A96" s="65535">
        <v>75067885</v>
      </c>
      <c r="B96" s="65535" t="e">
        <f>+_xlfn.XLOOKUP(A96,MASTER!B:B,MASTER!A:A)</f>
        <v>#N/A</v>
      </c>
      <c r="C96" s="65535" t="e">
        <f>+_xlfn.XLOOKUP(A96,MASTER!B:B,MASTER!C:C)</f>
        <v>#N/A</v>
      </c>
      <c r="D96" s="15" t="e">
        <f>+_xlfn.XLOOKUP(A96,MASTER!B:B,MASTER!D:D)</f>
        <v>#N/A</v>
      </c>
      <c r="E96" s="15" t="e">
        <f>+_xlfn.XLOOKUP(A96,MASTER!B:B,MASTER!I:I)</f>
        <v>#N/A</v>
      </c>
      <c r="G96" s="65535">
        <v>75063740</v>
      </c>
      <c r="H96" s="15">
        <f>+_xlfn.XLOOKUP(G96,MASTER!B:B,MASTER!A:A)</f>
        <v>100011677</v>
      </c>
      <c r="I96" s="15" t="str">
        <f>+_xlfn.XLOOKUP(G96,MASTER!B:B,MASTER!C:C)</f>
        <v>CHESTERFIELD BLUE 14 1CAJ</v>
      </c>
    </row>
    <row r="97" spans="1:9" s="15" x14ac:dyDescent="0.35">
      <c r="A97" s="65535">
        <v>75068363</v>
      </c>
      <c r="B97" s="65535">
        <f>+_xlfn.XLOOKUP(A97,MASTER!B:B,MASTER!A:A)</f>
        <v>100014187</v>
      </c>
      <c r="C97" s="65535" t="str">
        <f>+_xlfn.XLOOKUP(A97,MASTER!B:B,MASTER!C:C)</f>
        <v>PALL MALL NEW YORK 20</v>
      </c>
      <c r="D97" s="15" t="str">
        <f>+_xlfn.XLOOKUP(A97,MASTER!B:B,MASTER!D:D)</f>
        <v>BAT</v>
      </c>
      <c r="E97" s="15" t="str">
        <f>+_xlfn.XLOOKUP(A97,MASTER!B:B,MASTER!I:I)</f>
        <v>Activo</v>
      </c>
      <c r="G97" s="65535">
        <v>75063771</v>
      </c>
      <c r="H97" s="15">
        <f>+_xlfn.XLOOKUP(G97,MASTER!B:B,MASTER!A:A)</f>
        <v>100011671</v>
      </c>
      <c r="I97" s="15" t="str">
        <f>+_xlfn.XLOOKUP(G97,MASTER!B:B,MASTER!C:C)</f>
        <v>CHESTERFIELD REMIX PASSION</v>
      </c>
    </row>
    <row r="98" spans="1:9" s="15" x14ac:dyDescent="0.35">
      <c r="A98" s="65535">
        <v>75068738</v>
      </c>
      <c r="B98" s="65535">
        <f>+_xlfn.XLOOKUP(A98,MASTER!B:B,MASTER!A:A)</f>
        <v>100014570</v>
      </c>
      <c r="C98" s="65535" t="str">
        <f>+_xlfn.XLOOKUP(A98,MASTER!B:B,MASTER!C:C)</f>
        <v>MARLBORO GOLD 20 RCB 1CAJE</v>
      </c>
      <c r="D98" s="15" t="str">
        <f>+_xlfn.XLOOKUP(A98,MASTER!B:B,MASTER!D:D)</f>
        <v>PMI</v>
      </c>
      <c r="E98" s="15" t="str">
        <f>+_xlfn.XLOOKUP(A98,MASTER!B:B,MASTER!I:I)</f>
        <v>Activo</v>
      </c>
      <c r="G98" s="65535">
        <v>75063801</v>
      </c>
      <c r="H98" s="15">
        <f>+_xlfn.XLOOKUP(G98,MASTER!B:B,MASTER!A:A)</f>
        <v>100011672</v>
      </c>
      <c r="I98" s="15" t="str">
        <f>+_xlfn.XLOOKUP(G98,MASTER!B:B,MASTER!C:C)</f>
        <v>MARLBORO CRAFTED ICE MIX</v>
      </c>
    </row>
    <row r="99" spans="1:9" s="15" x14ac:dyDescent="0.35">
      <c r="A99" s="65535">
        <v>75068745</v>
      </c>
      <c r="B99" s="65535">
        <f>+_xlfn.XLOOKUP(A99,MASTER!B:B,MASTER!A:A)</f>
        <v>100015037</v>
      </c>
      <c r="C99" s="65535" t="str">
        <f>+_xlfn.XLOOKUP(A99,MASTER!B:B,MASTER!C:C)</f>
        <v>MARLBORO GOLD KS SOF 20 1 CAJETILLA</v>
      </c>
      <c r="D99" s="15" t="str">
        <f>+_xlfn.XLOOKUP(A99,MASTER!B:B,MASTER!D:D)</f>
        <v>PMI</v>
      </c>
      <c r="E99" s="15" t="str">
        <f>+_xlfn.XLOOKUP(A99,MASTER!B:B,MASTER!I:I)</f>
        <v>Activo</v>
      </c>
      <c r="G99" s="65535">
        <v>75063825</v>
      </c>
      <c r="H99" s="15">
        <f>+_xlfn.XLOOKUP(G99,MASTER!B:B,MASTER!A:A)</f>
        <v>100011673</v>
      </c>
      <c r="I99" s="15" t="str">
        <f>+_xlfn.XLOOKUP(G99,MASTER!B:B,MASTER!C:C)</f>
        <v>CHESTERFIELD BLUE 20 1CAJ</v>
      </c>
    </row>
    <row r="100" spans="1:9" s="15" x14ac:dyDescent="0.35">
      <c r="A100" s="65535">
        <v>75068769</v>
      </c>
      <c r="B100" s="65535">
        <f>+_xlfn.XLOOKUP(A100,MASTER!B:B,MASTER!A:A)</f>
        <v>100014868</v>
      </c>
      <c r="C100" s="65535" t="str">
        <f>+_xlfn.XLOOKUP(A100,MASTER!B:B,MASTER!C:C)</f>
        <v>MARLBORO VELVET 100 BOX 20 1 CAJETILLA</v>
      </c>
      <c r="D100" s="15" t="str">
        <f>+_xlfn.XLOOKUP(A100,MASTER!B:B,MASTER!D:D)</f>
        <v>PMI</v>
      </c>
      <c r="E100" s="15" t="str">
        <f>+_xlfn.XLOOKUP(A100,MASTER!B:B,MASTER!I:I)</f>
        <v>Activo</v>
      </c>
      <c r="G100" s="65535">
        <v>75063832</v>
      </c>
      <c r="H100" s="15">
        <f>+_xlfn.XLOOKUP(G100,MASTER!B:B,MASTER!A:A)</f>
        <v>100011706</v>
      </c>
      <c r="I100" s="15" t="str">
        <f>+_xlfn.XLOOKUP(G100,MASTER!B:B,MASTER!C:C)</f>
        <v>DELICADOS CLAROS 14 ENDORSE 1CAJE</v>
      </c>
    </row>
    <row r="101" spans="1:9" s="15" x14ac:dyDescent="0.35">
      <c r="A101" s="65535">
        <v>75068776</v>
      </c>
      <c r="B101" s="65535">
        <f>+_xlfn.XLOOKUP(A101,MASTER!B:B,MASTER!A:A)</f>
        <v>100014714</v>
      </c>
      <c r="C101" s="65535" t="str">
        <f>+_xlfn.XLOOKUP(A101,MASTER!B:B,MASTER!C:C)</f>
        <v>BENSON&amp;HEDGE GOLD 100 RCB 20 1CAJE</v>
      </c>
      <c r="D101" s="15" t="str">
        <f>+_xlfn.XLOOKUP(A101,MASTER!B:B,MASTER!D:D)</f>
        <v>PMI</v>
      </c>
      <c r="E101" s="15" t="str">
        <f>+_xlfn.XLOOKUP(A101,MASTER!B:B,MASTER!I:I)</f>
        <v>Activo</v>
      </c>
      <c r="G101" s="65535">
        <v>75063870</v>
      </c>
      <c r="H101" s="15">
        <f>+_xlfn.XLOOKUP(G101,MASTER!B:B,MASTER!A:A)</f>
        <v>100011708</v>
      </c>
      <c r="I101" s="15" t="str">
        <f>+_xlfn.XLOOKUP(G101,MASTER!B:B,MASTER!C:C)</f>
        <v>DELICADOS 14 ENDORSE 1CAJE</v>
      </c>
    </row>
    <row r="102" spans="1:9" s="15" x14ac:dyDescent="0.35">
      <c r="A102" s="65535">
        <v>75068783</v>
      </c>
      <c r="B102" s="65535">
        <f>+_xlfn.XLOOKUP(A102,MASTER!B:B,MASTER!A:A)</f>
        <v>100014711</v>
      </c>
      <c r="C102" s="65535" t="str">
        <f>+_xlfn.XLOOKUP(A102,MASTER!B:B,MASTER!C:C)</f>
        <v>MARLBORO RUBY 100 BOX 20 1CAJE</v>
      </c>
      <c r="D102" s="15" t="str">
        <f>+_xlfn.XLOOKUP(A102,MASTER!B:B,MASTER!D:D)</f>
        <v>PMI</v>
      </c>
      <c r="E102" s="15" t="str">
        <f>+_xlfn.XLOOKUP(A102,MASTER!B:B,MASTER!I:I)</f>
        <v>Activo</v>
      </c>
      <c r="G102" s="65535">
        <v>75064112</v>
      </c>
      <c r="H102" s="15">
        <f>+_xlfn.XLOOKUP(G102,MASTER!B:B,MASTER!A:A)</f>
        <v>100012202</v>
      </c>
      <c r="I102" s="15" t="str">
        <f>+_xlfn.XLOOKUP(G102,MASTER!B:B,MASTER!C:C)</f>
        <v>CHESTERFIELD ORIGINALES 24 1CAJE</v>
      </c>
    </row>
    <row r="103" spans="1:9" s="15" x14ac:dyDescent="0.35">
      <c r="A103" s="65535">
        <v>75068790</v>
      </c>
      <c r="B103" s="65535">
        <f>+_xlfn.XLOOKUP(A103,MASTER!B:B,MASTER!A:A)</f>
        <v>100015222</v>
      </c>
      <c r="C103" s="65535" t="str">
        <f>+_xlfn.XLOOKUP(A103,MASTER!B:B,MASTER!C:C)</f>
        <v>MARLBORO AMBER 100 BOX 20 1 CAJETILLA</v>
      </c>
      <c r="D103" s="15" t="str">
        <f>+_xlfn.XLOOKUP(A103,MASTER!B:B,MASTER!D:D)</f>
        <v>PMI</v>
      </c>
      <c r="E103" s="15" t="str">
        <f>+_xlfn.XLOOKUP(A103,MASTER!B:B,MASTER!I:I)</f>
        <v>Descontinuado (con stock)</v>
      </c>
      <c r="G103" s="65535">
        <v>75064648</v>
      </c>
      <c r="H103" s="15">
        <f>+_xlfn.XLOOKUP(G103,MASTER!B:B,MASTER!A:A)</f>
        <v>100012746</v>
      </c>
      <c r="I103" s="15" t="str">
        <f>+_xlfn.XLOOKUP(G103,MASTER!B:B,MASTER!C:C)</f>
        <v>PALL MALL MYKONOS NIGHTFALL 20</v>
      </c>
    </row>
    <row r="104" spans="1:9" s="15" x14ac:dyDescent="0.35">
      <c r="A104" s="65535">
        <v>75068806</v>
      </c>
      <c r="B104" s="65535">
        <f>+_xlfn.XLOOKUP(A104,MASTER!B:B,MASTER!A:A)</f>
        <v>100014718</v>
      </c>
      <c r="C104" s="65535" t="str">
        <f>+_xlfn.XLOOKUP(A104,MASTER!B:B,MASTER!C:C)</f>
        <v>BENSON&amp;HEDGE GOLD 100 BOX 14 1CAJE</v>
      </c>
      <c r="D104" s="15" t="str">
        <f>+_xlfn.XLOOKUP(A104,MASTER!B:B,MASTER!D:D)</f>
        <v>PMI</v>
      </c>
      <c r="E104" s="15" t="str">
        <f>+_xlfn.XLOOKUP(A104,MASTER!B:B,MASTER!I:I)</f>
        <v>Descontinuado (con stock)</v>
      </c>
      <c r="G104" s="65535">
        <v>75064716</v>
      </c>
      <c r="H104" s="15">
        <f>+_xlfn.XLOOKUP(G104,MASTER!B:B,MASTER!A:A)</f>
        <v>100012997</v>
      </c>
      <c r="I104" s="15" t="str">
        <f>+_xlfn.XLOOKUP(G104,MASTER!B:B,MASTER!C:C)</f>
        <v>LUCKY STRIKE ENIGMA 100S 1PZ</v>
      </c>
    </row>
    <row r="105" spans="1:9" s="15" x14ac:dyDescent="0.35">
      <c r="A105" s="65535">
        <v>75068813</v>
      </c>
      <c r="B105" s="65535">
        <f>+_xlfn.XLOOKUP(A105,MASTER!B:B,MASTER!A:A)</f>
        <v>100014569</v>
      </c>
      <c r="C105" s="65535" t="str">
        <f>+_xlfn.XLOOKUP(A105,MASTER!B:B,MASTER!C:C)</f>
        <v>MARLBORO RED 100 CAPS 14 1CAJE</v>
      </c>
      <c r="D105" s="15" t="str">
        <f>+_xlfn.XLOOKUP(A105,MASTER!B:B,MASTER!D:D)</f>
        <v>PMI</v>
      </c>
      <c r="E105" s="15" t="str">
        <f>+_xlfn.XLOOKUP(A105,MASTER!B:B,MASTER!I:I)</f>
        <v>Activo</v>
      </c>
      <c r="G105" s="65535">
        <v>75064747</v>
      </c>
      <c r="H105" s="15">
        <f>+_xlfn.XLOOKUP(G105,MASTER!B:B,MASTER!A:A)</f>
        <v>100013075</v>
      </c>
      <c r="I105" s="15" t="str">
        <f>+_xlfn.XLOOKUP(G105,MASTER!B:B,MASTER!C:C)</f>
        <v>MONTANA SHOTS 15S 1PZ</v>
      </c>
    </row>
    <row r="106" spans="1:9" s="15" x14ac:dyDescent="0.35">
      <c r="A106" s="65535">
        <v>75068844</v>
      </c>
      <c r="B106" s="65535">
        <f>+_xlfn.XLOOKUP(A106,MASTER!B:B,MASTER!A:A)</f>
        <v>100015186</v>
      </c>
      <c r="C106" s="65535" t="str">
        <f>+_xlfn.XLOOKUP(A106,MASTER!B:B,MASTER!C:C)</f>
        <v>MARLBORO GOLD KS SRR 14 1 CAJETILLA</v>
      </c>
      <c r="D106" s="15" t="str">
        <f>+_xlfn.XLOOKUP(A106,MASTER!B:B,MASTER!D:D)</f>
        <v>PMI</v>
      </c>
      <c r="E106" s="15" t="str">
        <f>+_xlfn.XLOOKUP(A106,MASTER!B:B,MASTER!I:I)</f>
        <v>Activo</v>
      </c>
      <c r="G106" s="65535">
        <v>75064754</v>
      </c>
      <c r="H106" s="15">
        <f>+_xlfn.XLOOKUP(G106,MASTER!B:B,MASTER!A:A)</f>
        <v>100013892</v>
      </c>
      <c r="I106" s="15" t="str">
        <f>+_xlfn.XLOOKUP(G106,MASTER!B:B,MASTER!C:C)</f>
        <v>MONTANA SHOTS 1PZ</v>
      </c>
    </row>
    <row r="107" spans="1:9" s="15" x14ac:dyDescent="0.35">
      <c r="A107" s="65535">
        <v>75069490</v>
      </c>
      <c r="B107" s="65535">
        <f>+_xlfn.XLOOKUP(A107,MASTER!B:B,MASTER!A:A)</f>
        <v>100015215</v>
      </c>
      <c r="C107" s="65535" t="str">
        <f>+_xlfn.XLOOKUP(A107,MASTER!B:B,MASTER!C:C)</f>
        <v>PALL MALL CALIFORNIA NIGHTS 20</v>
      </c>
      <c r="D107" s="15" t="str">
        <f>+_xlfn.XLOOKUP(A107,MASTER!B:B,MASTER!D:D)</f>
        <v>BAT</v>
      </c>
      <c r="E107" s="15" t="str">
        <f>+_xlfn.XLOOKUP(A107,MASTER!B:B,MASTER!I:I)</f>
        <v>Inactivo</v>
      </c>
      <c r="G107" s="65535">
        <v>75064778</v>
      </c>
      <c r="H107" s="15">
        <f>+_xlfn.XLOOKUP(G107,MASTER!B:B,MASTER!A:A)</f>
        <v>100013891</v>
      </c>
      <c r="I107" s="15" t="str">
        <f>+_xlfn.XLOOKUP(G107,MASTER!B:B,MASTER!C:C)</f>
        <v>PALL MALL RED 25 1PZ</v>
      </c>
    </row>
    <row r="108" spans="1:9" s="15" x14ac:dyDescent="0.35">
      <c r="A108" s="65535">
        <v>75069506</v>
      </c>
      <c r="B108" s="65535">
        <f>+_xlfn.XLOOKUP(A108,MASTER!B:B,MASTER!A:A)</f>
        <v>100014571</v>
      </c>
      <c r="C108" s="65535" t="str">
        <f>+_xlfn.XLOOKUP(A108,MASTER!B:B,MASTER!C:C)</f>
        <v>CHESTERFIELD ORIGIN REMIX 100 1CAJE</v>
      </c>
      <c r="D108" s="15" t="str">
        <f>+_xlfn.XLOOKUP(A108,MASTER!B:B,MASTER!D:D)</f>
        <v>PMI</v>
      </c>
      <c r="E108" s="15" t="str">
        <f>+_xlfn.XLOOKUP(A108,MASTER!B:B,MASTER!I:I)</f>
        <v>Descontinuado (con stock)</v>
      </c>
      <c r="G108" s="65535">
        <v>75064785</v>
      </c>
      <c r="H108" s="15">
        <f>+_xlfn.XLOOKUP(G108,MASTER!B:B,MASTER!A:A)</f>
        <v>100013078</v>
      </c>
      <c r="I108" s="15" t="str">
        <f>+_xlfn.XLOOKUP(G108,MASTER!B:B,MASTER!C:C)</f>
        <v>PALL MALL WHITE 15 1PZ</v>
      </c>
    </row>
    <row r="109" spans="1:9" s="15" x14ac:dyDescent="0.35">
      <c r="A109" s="65535">
        <v>75069902</v>
      </c>
      <c r="B109" s="65535">
        <f>+_xlfn.XLOOKUP(A109,MASTER!B:B,MASTER!A:A)</f>
        <v>100018038</v>
      </c>
      <c r="C109" s="65535" t="str">
        <f>+_xlfn.XLOOKUP(A109,MASTER!B:B,MASTER!C:C)</f>
        <v>L&amp;M RED KS BOX 20 1 CAJETILLA</v>
      </c>
      <c r="D109" s="15" t="str">
        <f>+_xlfn.XLOOKUP(A109,MASTER!B:B,MASTER!D:D)</f>
        <v>PMI</v>
      </c>
      <c r="E109" s="15" t="str">
        <f>+_xlfn.XLOOKUP(A109,MASTER!B:B,MASTER!I:I)</f>
        <v>Activo</v>
      </c>
      <c r="G109" s="65535">
        <v>75065515</v>
      </c>
      <c r="H109" s="15">
        <f>+_xlfn.XLOOKUP(G109,MASTER!B:B,MASTER!A:A)</f>
        <v>100013110</v>
      </c>
      <c r="I109" s="15" t="str">
        <f>+_xlfn.XLOOKUP(G109,MASTER!B:B,MASTER!C:C)</f>
        <v>MARLBORO RUBY 14 1CAJETILLA</v>
      </c>
    </row>
    <row r="110" spans="1:9" s="15" x14ac:dyDescent="0.35">
      <c r="A110" s="65535">
        <v>75070090</v>
      </c>
      <c r="B110" s="65535">
        <f>+_xlfn.XLOOKUP(A110,MASTER!B:B,MASTER!A:A)</f>
        <v>100015341</v>
      </c>
      <c r="C110" s="65535" t="str">
        <f>+_xlfn.XLOOKUP(A110,MASTER!B:B,MASTER!C:C)</f>
        <v>PALL MALL MIX PACK 20</v>
      </c>
      <c r="D110" s="15" t="str">
        <f>+_xlfn.XLOOKUP(A110,MASTER!B:B,MASTER!D:D)</f>
        <v>BAT</v>
      </c>
      <c r="E110" s="15" t="str">
        <f>+_xlfn.XLOOKUP(A110,MASTER!B:B,MASTER!I:I)</f>
        <v>Descontinuado (con stock)</v>
      </c>
      <c r="G110" s="65535">
        <v>75066345</v>
      </c>
      <c r="H110" s="15">
        <f>+_xlfn.XLOOKUP(G110,MASTER!B:B,MASTER!A:A)</f>
        <v>100013136</v>
      </c>
      <c r="I110" s="15" t="str">
        <f>+_xlfn.XLOOKUP(G110,MASTER!B:B,MASTER!C:C)</f>
        <v>MARLBORO FUSION SUMMER 100BOX 1CAJ</v>
      </c>
    </row>
    <row r="111" spans="1:9" s="15" x14ac:dyDescent="0.35">
      <c r="A111" s="65535">
        <v>75070373</v>
      </c>
      <c r="B111" s="65535">
        <f>+_xlfn.XLOOKUP(A111,MASTER!B:B,MASTER!A:A)</f>
        <v>100015645</v>
      </c>
      <c r="C111" s="65535" t="str">
        <f>+_xlfn.XLOOKUP(A111,MASTER!B:B,MASTER!C:C)</f>
        <v xml:space="preserve">LUCKY STRIKE 94MM WINTER STORM 1 CAJETILLA		</v>
      </c>
      <c r="D111" s="15" t="str">
        <f>+_xlfn.XLOOKUP(A111,MASTER!B:B,MASTER!D:D)</f>
        <v>BAT</v>
      </c>
      <c r="E111" s="15" t="str">
        <f>+_xlfn.XLOOKUP(A111,MASTER!B:B,MASTER!I:I)</f>
        <v>Descontinuado (con stock)</v>
      </c>
      <c r="G111" s="65535">
        <v>75066413</v>
      </c>
      <c r="H111" s="15">
        <f>+_xlfn.XLOOKUP(G111,MASTER!B:B,MASTER!A:A)</f>
        <v>100022336</v>
      </c>
      <c r="I111" s="15" t="str">
        <f>+_xlfn.XLOOKUP(G111,MASTER!B:B,MASTER!C:C)</f>
        <v>MARLBORO CRAFTED 25S CAJETILLA</v>
      </c>
    </row>
    <row r="112" spans="1:9" s="15" x14ac:dyDescent="0.35">
      <c r="A112" s="65535">
        <v>75070588</v>
      </c>
      <c r="B112" s="65535">
        <f>+_xlfn.XLOOKUP(A112,MASTER!B:B,MASTER!A:A)</f>
        <v>100015648</v>
      </c>
      <c r="C112" s="65535" t="str">
        <f>+_xlfn.XLOOKUP(A112,MASTER!B:B,MASTER!C:C)</f>
        <v>LUCKY STRIKE 100S MYSTIC 1 CAJETILLA</v>
      </c>
      <c r="D112" s="15" t="str">
        <f>+_xlfn.XLOOKUP(A112,MASTER!B:B,MASTER!D:D)</f>
        <v>BAT</v>
      </c>
      <c r="E112" s="15" t="str">
        <f>+_xlfn.XLOOKUP(A112,MASTER!B:B,MASTER!I:I)</f>
        <v>Inactivo</v>
      </c>
      <c r="G112" s="65535">
        <v>75067854</v>
      </c>
      <c r="H112" s="15">
        <f>+_xlfn.XLOOKUP(G112,MASTER!B:B,MASTER!A:A)</f>
        <v>100013983</v>
      </c>
      <c r="I112" s="15" t="str">
        <f>+_xlfn.XLOOKUP(G112,MASTER!B:B,MASTER!C:C)</f>
        <v>CHESTERFIELD ORIGIN 25 PERMANENT 1CAJE</v>
      </c>
    </row>
    <row r="113" spans="1:9" s="15" x14ac:dyDescent="0.35">
      <c r="A113" s="65535">
        <v>75071295</v>
      </c>
      <c r="B113" s="65535">
        <f>+_xlfn.XLOOKUP(A113,MASTER!B:B,MASTER!A:A)</f>
        <v>100016443</v>
      </c>
      <c r="C113" s="65535" t="str">
        <f>+_xlfn.XLOOKUP(A113,MASTER!B:B,MASTER!C:C)</f>
        <v>PALL MALL ALASKA DUSK 20</v>
      </c>
      <c r="D113" s="15" t="str">
        <f>+_xlfn.XLOOKUP(A113,MASTER!B:B,MASTER!D:D)</f>
        <v>BAT</v>
      </c>
      <c r="E113" s="15" t="str">
        <f>+_xlfn.XLOOKUP(A113,MASTER!B:B,MASTER!I:I)</f>
        <v>Activo</v>
      </c>
      <c r="G113" s="65535">
        <v>75067878</v>
      </c>
      <c r="H113" s="15">
        <f>+_xlfn.XLOOKUP(G113,MASTER!B:B,MASTER!A:A)</f>
        <v>100015174</v>
      </c>
      <c r="I113" s="15" t="str">
        <f>+_xlfn.XLOOKUP(G113,MASTER!B:B,MASTER!C:C)</f>
        <v xml:space="preserve">LUCKY STRIKE 94MM SUNSHINE BLAST 1 CAJETILLA				</v>
      </c>
    </row>
    <row r="114" spans="1:9" s="15" x14ac:dyDescent="0.35">
      <c r="A114" s="65535">
        <v>75071455</v>
      </c>
      <c r="B114" s="65535">
        <f>+_xlfn.XLOOKUP(A114,MASTER!B:B,MASTER!A:A)</f>
        <v>100016413</v>
      </c>
      <c r="C114" s="65535" t="str">
        <f>+_xlfn.XLOOKUP(A114,MASTER!B:B,MASTER!C:C)</f>
        <v>PALL MALL RED 20</v>
      </c>
      <c r="D114" s="15" t="str">
        <f>+_xlfn.XLOOKUP(A114,MASTER!B:B,MASTER!D:D)</f>
        <v>BAT</v>
      </c>
      <c r="E114" s="15" t="str">
        <f>+_xlfn.XLOOKUP(A114,MASTER!B:B,MASTER!I:I)</f>
        <v>Activo</v>
      </c>
      <c r="G114" s="65535">
        <v>75067885</v>
      </c>
      <c r="H114" s="15" t="e">
        <f>+_xlfn.XLOOKUP(G114,MASTER!B:B,MASTER!A:A)</f>
        <v>#N/A</v>
      </c>
      <c r="I114" s="15" t="e">
        <f>+_xlfn.XLOOKUP(G114,MASTER!B:B,MASTER!C:C)</f>
        <v>#N/A</v>
      </c>
    </row>
    <row r="115" spans="1:9" s="15" x14ac:dyDescent="0.35">
      <c r="A115" s="65535">
        <v>75071479</v>
      </c>
      <c r="B115" s="65535">
        <f>+_xlfn.XLOOKUP(A115,MASTER!B:B,MASTER!A:A)</f>
        <v>100016412</v>
      </c>
      <c r="C115" s="65535" t="str">
        <f>+_xlfn.XLOOKUP(A115,MASTER!B:B,MASTER!C:C)</f>
        <v>PALL MALL WHITE 20</v>
      </c>
      <c r="D115" s="15" t="str">
        <f>+_xlfn.XLOOKUP(A115,MASTER!B:B,MASTER!D:D)</f>
        <v>BAT</v>
      </c>
      <c r="E115" s="15" t="str">
        <f>+_xlfn.XLOOKUP(A115,MASTER!B:B,MASTER!I:I)</f>
        <v>Activo</v>
      </c>
      <c r="G115" s="65535">
        <v>75067908</v>
      </c>
      <c r="H115" s="15" t="e">
        <f>+_xlfn.XLOOKUP(G115,MASTER!B:B,MASTER!A:A)</f>
        <v>#N/A</v>
      </c>
      <c r="I115" s="15" t="e">
        <f>+_xlfn.XLOOKUP(G115,MASTER!B:B,MASTER!C:C)</f>
        <v>#N/A</v>
      </c>
    </row>
    <row r="116" spans="1:9" s="15" x14ac:dyDescent="0.35">
      <c r="A116" s="65535">
        <v>75071776</v>
      </c>
      <c r="B116" s="65535">
        <f>+_xlfn.XLOOKUP(A116,MASTER!B:B,MASTER!A:A)</f>
        <v>100017982</v>
      </c>
      <c r="C116" s="65535" t="str">
        <f>+_xlfn.XLOOKUP(A116,MASTER!B:B,MASTER!C:C)</f>
        <v>PALL MALL CLASSICS 20</v>
      </c>
      <c r="D116" s="15" t="str">
        <f>+_xlfn.XLOOKUP(A116,MASTER!B:B,MASTER!D:D)</f>
        <v>BAT</v>
      </c>
      <c r="E116" s="15" t="str">
        <f>+_xlfn.XLOOKUP(A116,MASTER!B:B,MASTER!I:I)</f>
        <v>Activo</v>
      </c>
      <c r="G116" s="65535">
        <v>75068363</v>
      </c>
      <c r="H116" s="15">
        <f>+_xlfn.XLOOKUP(G116,MASTER!B:B,MASTER!A:A)</f>
        <v>100014187</v>
      </c>
      <c r="I116" s="15" t="str">
        <f>+_xlfn.XLOOKUP(G116,MASTER!B:B,MASTER!C:C)</f>
        <v>PALL MALL NEW YORK 20</v>
      </c>
    </row>
    <row r="117" spans="1:9" s="15" x14ac:dyDescent="0.35">
      <c r="A117" s="65535">
        <v>75072674</v>
      </c>
      <c r="B117" s="65535">
        <f>+_xlfn.XLOOKUP(A117,MASTER!B:B,MASTER!A:A)</f>
        <v>100017624</v>
      </c>
      <c r="C117" s="65535" t="str">
        <f>+_xlfn.XLOOKUP(A117,MASTER!B:B,MASTER!C:C)</f>
        <v>LUCKY STRIKE 100S ECLIPSE 20S 1 PZ</v>
      </c>
      <c r="D117" s="15" t="str">
        <f>+_xlfn.XLOOKUP(A117,MASTER!B:B,MASTER!D:D)</f>
        <v>BAT</v>
      </c>
      <c r="E117" s="15" t="str">
        <f>+_xlfn.XLOOKUP(A117,MASTER!B:B,MASTER!I:I)</f>
        <v>Descontinuado (con stock)</v>
      </c>
      <c r="G117" s="65535">
        <v>75068738</v>
      </c>
      <c r="H117" s="15">
        <f>+_xlfn.XLOOKUP(G117,MASTER!B:B,MASTER!A:A)</f>
        <v>100014570</v>
      </c>
      <c r="I117" s="15" t="str">
        <f>+_xlfn.XLOOKUP(G117,MASTER!B:B,MASTER!C:C)</f>
        <v>MARLBORO GOLD 20 RCB 1CAJE</v>
      </c>
    </row>
    <row r="118" spans="1:9" s="15" x14ac:dyDescent="0.35">
      <c r="A118" s="65535">
        <v>75073534</v>
      </c>
      <c r="B118" s="65535">
        <f>+_xlfn.XLOOKUP(A118,MASTER!B:B,MASTER!A:A)</f>
        <v>100018746</v>
      </c>
      <c r="C118" s="65535" t="str">
        <f>+_xlfn.XLOOKUP(A118,MASTER!B:B,MASTER!C:C)</f>
        <v>PALL MALL EX RED 15 1 CAJETILLA</v>
      </c>
      <c r="D118" s="15" t="str">
        <f>+_xlfn.XLOOKUP(A118,MASTER!B:B,MASTER!D:D)</f>
        <v>BAT</v>
      </c>
      <c r="E118" s="15" t="str">
        <f>+_xlfn.XLOOKUP(A118,MASTER!B:B,MASTER!I:I)</f>
        <v>Descontinuado (con stock)</v>
      </c>
      <c r="G118" s="65535">
        <v>75068745</v>
      </c>
      <c r="H118" s="15">
        <f>+_xlfn.XLOOKUP(G118,MASTER!B:B,MASTER!A:A)</f>
        <v>100015037</v>
      </c>
      <c r="I118" s="15" t="str">
        <f>+_xlfn.XLOOKUP(G118,MASTER!B:B,MASTER!C:C)</f>
        <v>MARLBORO GOLD KS SOF 20 1 CAJETILLA</v>
      </c>
    </row>
    <row r="119" spans="1:9" s="15" x14ac:dyDescent="0.35">
      <c r="A119" s="65535">
        <v>75073541</v>
      </c>
      <c r="B119" s="65535">
        <f>+_xlfn.XLOOKUP(A119,MASTER!B:B,MASTER!A:A)</f>
        <v>100018745</v>
      </c>
      <c r="C119" s="65535" t="str">
        <f>+_xlfn.XLOOKUP(A119,MASTER!B:B,MASTER!C:C)</f>
        <v>PALL MALL EX WHITE 15 1 CAJETILLA</v>
      </c>
      <c r="D119" s="15" t="str">
        <f>+_xlfn.XLOOKUP(A119,MASTER!B:B,MASTER!D:D)</f>
        <v>BAT</v>
      </c>
      <c r="E119" s="15" t="str">
        <f>+_xlfn.XLOOKUP(A119,MASTER!B:B,MASTER!I:I)</f>
        <v>Activo</v>
      </c>
      <c r="G119" s="65535">
        <v>75068769</v>
      </c>
      <c r="H119" s="15">
        <f>+_xlfn.XLOOKUP(G119,MASTER!B:B,MASTER!A:A)</f>
        <v>100014868</v>
      </c>
      <c r="I119" s="15" t="str">
        <f>+_xlfn.XLOOKUP(G119,MASTER!B:B,MASTER!C:C)</f>
        <v>MARLBORO VELVET 100 BOX 20 1 CAJETILLA</v>
      </c>
    </row>
    <row r="120" spans="1:9" s="15" x14ac:dyDescent="0.35">
      <c r="A120" s="65535">
        <v>75073978</v>
      </c>
      <c r="B120" s="65535">
        <f>+_xlfn.XLOOKUP(A120,MASTER!B:B,MASTER!A:A)</f>
        <v>100019548</v>
      </c>
      <c r="C120" s="65535" t="str">
        <f>+_xlfn.XLOOKUP(A120,MASTER!B:B,MASTER!C:C)</f>
        <v>LUCKY STRIKE NOVA LATA 1 CAJETILLA</v>
      </c>
      <c r="D120" s="15" t="str">
        <f>+_xlfn.XLOOKUP(A120,MASTER!B:B,MASTER!D:D)</f>
        <v>BAT</v>
      </c>
      <c r="E120" s="15" t="str">
        <f>+_xlfn.XLOOKUP(A120,MASTER!B:B,MASTER!I:I)</f>
        <v>Descontinuado (con stock)</v>
      </c>
      <c r="G120" s="65535">
        <v>75068776</v>
      </c>
      <c r="H120" s="15">
        <f>+_xlfn.XLOOKUP(G120,MASTER!B:B,MASTER!A:A)</f>
        <v>100014714</v>
      </c>
      <c r="I120" s="15" t="str">
        <f>+_xlfn.XLOOKUP(G120,MASTER!B:B,MASTER!C:C)</f>
        <v>BENSON&amp;HEDGE GOLD 100 RCB 20 1CAJE</v>
      </c>
    </row>
    <row r="121" spans="1:9" s="15" x14ac:dyDescent="0.35">
      <c r="A121" s="65535">
        <v>75073985</v>
      </c>
      <c r="B121" s="65535">
        <f>+_xlfn.XLOOKUP(A121,MASTER!B:B,MASTER!A:A)</f>
        <v>100019549</v>
      </c>
      <c r="C121" s="65535" t="str">
        <f>+_xlfn.XLOOKUP(A121,MASTER!B:B,MASTER!C:C)</f>
        <v>LUCKY STRIKE NOVA 20S 1 CAJETILLA</v>
      </c>
      <c r="D121" s="15" t="str">
        <f>+_xlfn.XLOOKUP(A121,MASTER!B:B,MASTER!D:D)</f>
        <v>BAT</v>
      </c>
      <c r="E121" s="15" t="str">
        <f>+_xlfn.XLOOKUP(A121,MASTER!B:B,MASTER!I:I)</f>
        <v>Inactivo</v>
      </c>
      <c r="G121" s="65535">
        <v>75068783</v>
      </c>
      <c r="H121" s="15">
        <f>+_xlfn.XLOOKUP(G121,MASTER!B:B,MASTER!A:A)</f>
        <v>100014711</v>
      </c>
      <c r="I121" s="15" t="str">
        <f>+_xlfn.XLOOKUP(G121,MASTER!B:B,MASTER!C:C)</f>
        <v>MARLBORO RUBY 100 BOX 20 1CAJE</v>
      </c>
    </row>
    <row r="122" spans="1:9" s="15" x14ac:dyDescent="0.35">
      <c r="A122" s="65535">
        <v>75074081</v>
      </c>
      <c r="B122" s="65535">
        <f>+_xlfn.XLOOKUP(A122,MASTER!B:B,MASTER!A:A)</f>
        <v>100020837</v>
      </c>
      <c r="C122" s="65535" t="str">
        <f>+_xlfn.XLOOKUP(A122,MASTER!B:B,MASTER!C:C)</f>
        <v>PALL MALL EX CLASSI 14S 1 CAJETILLA</v>
      </c>
      <c r="D122" s="15" t="str">
        <f>+_xlfn.XLOOKUP(A122,MASTER!B:B,MASTER!D:D)</f>
        <v>BAT</v>
      </c>
      <c r="E122" s="15" t="str">
        <f>+_xlfn.XLOOKUP(A122,MASTER!B:B,MASTER!I:I)</f>
        <v>Activo</v>
      </c>
      <c r="G122" s="65535">
        <v>75068790</v>
      </c>
      <c r="H122" s="15">
        <f>+_xlfn.XLOOKUP(G122,MASTER!B:B,MASTER!A:A)</f>
        <v>100015222</v>
      </c>
      <c r="I122" s="15" t="str">
        <f>+_xlfn.XLOOKUP(G122,MASTER!B:B,MASTER!C:C)</f>
        <v>MARLBORO AMBER 100 BOX 20 1 CAJETILLA</v>
      </c>
    </row>
    <row r="123" spans="1:9" s="15" x14ac:dyDescent="0.35">
      <c r="A123" s="65535">
        <v>75074203</v>
      </c>
      <c r="B123" s="65535">
        <f>+_xlfn.XLOOKUP(A123,MASTER!B:B,MASTER!A:A)</f>
        <v>100018748</v>
      </c>
      <c r="C123" s="65535" t="str">
        <f>+_xlfn.XLOOKUP(A123,MASTER!B:B,MASTER!C:C)</f>
        <v>LUCKY STRIKE ECLIPS LATA 1 CAJETILLA</v>
      </c>
      <c r="D123" s="15" t="str">
        <f>+_xlfn.XLOOKUP(A123,MASTER!B:B,MASTER!D:D)</f>
        <v>BAT</v>
      </c>
      <c r="E123" s="15" t="str">
        <f>+_xlfn.XLOOKUP(A123,MASTER!B:B,MASTER!I:I)</f>
        <v>Inactivo</v>
      </c>
      <c r="G123" s="65535">
        <v>75068806</v>
      </c>
      <c r="H123" s="15">
        <f>+_xlfn.XLOOKUP(G123,MASTER!B:B,MASTER!A:A)</f>
        <v>100014718</v>
      </c>
      <c r="I123" s="15" t="str">
        <f>+_xlfn.XLOOKUP(G123,MASTER!B:B,MASTER!C:C)</f>
        <v>BENSON&amp;HEDGE GOLD 100 BOX 14 1CAJE</v>
      </c>
    </row>
    <row r="124" spans="1:9" s="15" x14ac:dyDescent="0.35">
      <c r="A124" s="65535">
        <v>75074227</v>
      </c>
      <c r="B124" s="65535">
        <f>+_xlfn.XLOOKUP(A124,MASTER!B:B,MASTER!A:A)</f>
        <v>100019550</v>
      </c>
      <c r="C124" s="65535" t="str">
        <f>+_xlfn.XLOOKUP(A124,MASTER!B:B,MASTER!C:C)</f>
        <v>LUCKY STRIKE COMET 20S 1 CAJETILLA</v>
      </c>
      <c r="D124" s="15" t="str">
        <f>+_xlfn.XLOOKUP(A124,MASTER!B:B,MASTER!D:D)</f>
        <v>BAT</v>
      </c>
      <c r="E124" s="15" t="str">
        <f>+_xlfn.XLOOKUP(A124,MASTER!B:B,MASTER!I:I)</f>
        <v>Activo</v>
      </c>
      <c r="G124" s="65535">
        <v>75068813</v>
      </c>
      <c r="H124" s="15">
        <f>+_xlfn.XLOOKUP(G124,MASTER!B:B,MASTER!A:A)</f>
        <v>100014569</v>
      </c>
      <c r="I124" s="15" t="str">
        <f>+_xlfn.XLOOKUP(G124,MASTER!B:B,MASTER!C:C)</f>
        <v>MARLBORO RED 100 CAPS 14 1CAJE</v>
      </c>
    </row>
    <row r="125" spans="1:9" s="15" x14ac:dyDescent="0.35">
      <c r="A125" s="65535">
        <v>75074746</v>
      </c>
      <c r="B125" s="65535">
        <f>+_xlfn.XLOOKUP(A125,MASTER!B:B,MASTER!A:A)</f>
        <v>100019981</v>
      </c>
      <c r="C125" s="65535" t="str">
        <f>+_xlfn.XLOOKUP(A125,MASTER!B:B,MASTER!C:C)</f>
        <v>MARLBORO BLOSSO VISTA BLOSSOM 1 CAJETILLA</v>
      </c>
      <c r="D125" s="15" t="str">
        <f>+_xlfn.XLOOKUP(A125,MASTER!B:B,MASTER!D:D)</f>
        <v>PMI</v>
      </c>
      <c r="E125" s="15" t="str">
        <f>+_xlfn.XLOOKUP(A125,MASTER!B:B,MASTER!I:I)</f>
        <v>Activo</v>
      </c>
      <c r="G125" s="65535">
        <v>75068844</v>
      </c>
      <c r="H125" s="15">
        <f>+_xlfn.XLOOKUP(G125,MASTER!B:B,MASTER!A:A)</f>
        <v>100015186</v>
      </c>
      <c r="I125" s="15" t="str">
        <f>+_xlfn.XLOOKUP(G125,MASTER!B:B,MASTER!C:C)</f>
        <v>MARLBORO GOLD KS SRR 14 1 CAJETILLA</v>
      </c>
    </row>
    <row r="126" spans="1:9" s="15" x14ac:dyDescent="0.35">
      <c r="A126" s="65535">
        <v>75074753</v>
      </c>
      <c r="B126" s="65535">
        <f>+_xlfn.XLOOKUP(A126,MASTER!B:B,MASTER!A:A)</f>
        <v>100020770</v>
      </c>
      <c r="C126" s="65535" t="str">
        <f>+_xlfn.XLOOKUP(A126,MASTER!B:B,MASTER!C:C)</f>
        <v>MARLBORO WINTER EDICION LIMITADA W 1 CAJETILLA</v>
      </c>
      <c r="D126" s="15" t="str">
        <f>+_xlfn.XLOOKUP(A126,MASTER!B:B,MASTER!D:D)</f>
        <v>PMI</v>
      </c>
      <c r="E126" s="15" t="str">
        <f>+_xlfn.XLOOKUP(A126,MASTER!B:B,MASTER!I:I)</f>
        <v>Descontinuado (con stock)</v>
      </c>
      <c r="G126" s="65535">
        <v>75069490</v>
      </c>
      <c r="H126" s="15">
        <f>+_xlfn.XLOOKUP(G126,MASTER!B:B,MASTER!A:A)</f>
        <v>100015215</v>
      </c>
      <c r="I126" s="15" t="str">
        <f>+_xlfn.XLOOKUP(G126,MASTER!B:B,MASTER!C:C)</f>
        <v>PALL MALL CALIFORNIA NIGHTS 20</v>
      </c>
    </row>
    <row r="127" spans="1:9" s="15" x14ac:dyDescent="0.35">
      <c r="A127" s="65535">
        <v>75074784</v>
      </c>
      <c r="B127" s="65535">
        <f>+_xlfn.XLOOKUP(A127,MASTER!B:B,MASTER!A:A)</f>
        <v>100019052</v>
      </c>
      <c r="C127" s="65535" t="str">
        <f>+_xlfn.XLOOKUP(A127,MASTER!B:B,MASTER!C:C)</f>
        <v>MONTANA SHOTS XL 20S 1 CAJETILLA</v>
      </c>
      <c r="D127" s="15" t="str">
        <f>+_xlfn.XLOOKUP(A127,MASTER!B:B,MASTER!D:D)</f>
        <v>BAT</v>
      </c>
      <c r="E127" s="15" t="str">
        <f>+_xlfn.XLOOKUP(A127,MASTER!B:B,MASTER!I:I)</f>
        <v>Descontinuado (con stock)</v>
      </c>
      <c r="G127" s="65535">
        <v>75069506</v>
      </c>
      <c r="H127" s="15">
        <f>+_xlfn.XLOOKUP(G127,MASTER!B:B,MASTER!A:A)</f>
        <v>100014571</v>
      </c>
      <c r="I127" s="15" t="str">
        <f>+_xlfn.XLOOKUP(G127,MASTER!B:B,MASTER!C:C)</f>
        <v>CHESTERFIELD ORIGIN REMIX 100 1CAJE</v>
      </c>
    </row>
    <row r="128" spans="1:9" s="15" x14ac:dyDescent="0.35">
      <c r="A128" s="65535">
        <v>75074876</v>
      </c>
      <c r="B128" s="65535">
        <f>+_xlfn.XLOOKUP(A128,MASTER!B:B,MASTER!A:A)</f>
        <v>100019232</v>
      </c>
      <c r="C128" s="65535" t="str">
        <f>+_xlfn.XLOOKUP(A128,MASTER!B:B,MASTER!C:C)</f>
        <v>PALL MALL XL RED &amp; CLICK 15S 1 CAJETILLA</v>
      </c>
      <c r="D128" s="15" t="str">
        <f>+_xlfn.XLOOKUP(A128,MASTER!B:B,MASTER!D:D)</f>
        <v>BAT</v>
      </c>
      <c r="E128" s="15" t="str">
        <f>+_xlfn.XLOOKUP(A128,MASTER!B:B,MASTER!I:I)</f>
        <v>Descontinuado (con stock)</v>
      </c>
      <c r="G128" s="65535">
        <v>75069902</v>
      </c>
      <c r="H128" s="15">
        <f>+_xlfn.XLOOKUP(G128,MASTER!B:B,MASTER!A:A)</f>
        <v>100018038</v>
      </c>
      <c r="I128" s="15" t="str">
        <f>+_xlfn.XLOOKUP(G128,MASTER!B:B,MASTER!C:C)</f>
        <v>L&amp;M RED KS BOX 20 1 CAJETILLA</v>
      </c>
    </row>
    <row r="129" spans="1:9" s="15" x14ac:dyDescent="0.35">
      <c r="A129" s="65535">
        <v>75074883</v>
      </c>
      <c r="B129" s="65535">
        <f>+_xlfn.XLOOKUP(A129,MASTER!B:B,MASTER!A:A)</f>
        <v>100019228</v>
      </c>
      <c r="C129" s="65535" t="str">
        <f>+_xlfn.XLOOKUP(A129,MASTER!B:B,MASTER!C:C)</f>
        <v>PALL MALL XL WHITE&amp; CLICK 15S 1 CAJETILLA</v>
      </c>
      <c r="D129" s="15" t="str">
        <f>+_xlfn.XLOOKUP(A129,MASTER!B:B,MASTER!D:D)</f>
        <v>BAT</v>
      </c>
      <c r="E129" s="15" t="str">
        <f>+_xlfn.XLOOKUP(A129,MASTER!B:B,MASTER!I:I)</f>
        <v>Descontinuado (con stock)</v>
      </c>
      <c r="G129" s="65535">
        <v>75069933</v>
      </c>
      <c r="H129" s="15">
        <f>+_xlfn.XLOOKUP(G129,MASTER!B:B,MASTER!A:A)</f>
        <v>100015219</v>
      </c>
      <c r="I129" s="15" t="str">
        <f>+_xlfn.XLOOKUP(G129,MASTER!B:B,MASTER!C:C)</f>
        <v>MARLBORO MEXICO LATA 1 CAJETILLA</v>
      </c>
    </row>
    <row r="130" spans="1:9" s="15" x14ac:dyDescent="0.35">
      <c r="A130" s="65535">
        <v>75074913</v>
      </c>
      <c r="B130" s="65535">
        <f>+_xlfn.XLOOKUP(A130,MASTER!B:B,MASTER!A:A)</f>
        <v>100019959</v>
      </c>
      <c r="C130" s="65535" t="str">
        <f>+_xlfn.XLOOKUP(A130,MASTER!B:B,MASTER!C:C)</f>
        <v>PALL MALL XL ATHENS 20S 1 CAJETILLA</v>
      </c>
      <c r="D130" s="15" t="str">
        <f>+_xlfn.XLOOKUP(A130,MASTER!B:B,MASTER!D:D)</f>
        <v>BAT</v>
      </c>
      <c r="E130" s="15" t="str">
        <f>+_xlfn.XLOOKUP(A130,MASTER!B:B,MASTER!I:I)</f>
        <v>Descontinuado (con stock)</v>
      </c>
      <c r="G130" s="65535">
        <v>75070090</v>
      </c>
      <c r="H130" s="15">
        <f>+_xlfn.XLOOKUP(G130,MASTER!B:B,MASTER!A:A)</f>
        <v>100015341</v>
      </c>
      <c r="I130" s="15" t="str">
        <f>+_xlfn.XLOOKUP(G130,MASTER!B:B,MASTER!C:C)</f>
        <v>PALL MALL MIX PACK 20</v>
      </c>
    </row>
    <row r="131" spans="1:9" s="15" x14ac:dyDescent="0.35">
      <c r="A131" s="65535">
        <v>75074920</v>
      </c>
      <c r="B131" s="65535">
        <f>+_xlfn.XLOOKUP(A131,MASTER!B:B,MASTER!A:A)</f>
        <v>100019958</v>
      </c>
      <c r="C131" s="65535" t="str">
        <f>+_xlfn.XLOOKUP(A131,MASTER!B:B,MASTER!C:C)</f>
        <v>PALL MALL XL ICEBER 20S 1 CAJETILLA</v>
      </c>
      <c r="D131" s="15" t="str">
        <f>+_xlfn.XLOOKUP(A131,MASTER!B:B,MASTER!D:D)</f>
        <v>BAT</v>
      </c>
      <c r="E131" s="15" t="str">
        <f>+_xlfn.XLOOKUP(A131,MASTER!B:B,MASTER!I:I)</f>
        <v>Descontinuado (con stock)</v>
      </c>
      <c r="G131" s="65535">
        <v>75070373</v>
      </c>
      <c r="H131" s="15">
        <f>+_xlfn.XLOOKUP(G131,MASTER!B:B,MASTER!A:A)</f>
        <v>100015645</v>
      </c>
      <c r="I131" s="15" t="str">
        <f>+_xlfn.XLOOKUP(G131,MASTER!B:B,MASTER!C:C)</f>
        <v xml:space="preserve">LUCKY STRIKE 94MM WINTER STORM 1 CAJETILLA		</v>
      </c>
    </row>
    <row r="132" spans="1:9" s="15" x14ac:dyDescent="0.35">
      <c r="A132" s="65535">
        <v>75074937</v>
      </c>
      <c r="B132" s="65535">
        <f>+_xlfn.XLOOKUP(A132,MASTER!B:B,MASTER!A:A)</f>
        <v>100020528</v>
      </c>
      <c r="C132" s="65535" t="str">
        <f>+_xlfn.XLOOKUP(A132,MASTER!B:B,MASTER!C:C)</f>
        <v>PALL MALL XL FUJI 20S 1 CAJETILLA</v>
      </c>
      <c r="D132" s="15" t="str">
        <f>+_xlfn.XLOOKUP(A132,MASTER!B:B,MASTER!D:D)</f>
        <v>BAT</v>
      </c>
      <c r="E132" s="15" t="str">
        <f>+_xlfn.XLOOKUP(A132,MASTER!B:B,MASTER!I:I)</f>
        <v>Descontinuado (con stock)</v>
      </c>
      <c r="G132" s="65535">
        <v>75070588</v>
      </c>
      <c r="H132" s="15">
        <f>+_xlfn.XLOOKUP(G132,MASTER!B:B,MASTER!A:A)</f>
        <v>100015648</v>
      </c>
      <c r="I132" s="15" t="str">
        <f>+_xlfn.XLOOKUP(G132,MASTER!B:B,MASTER!C:C)</f>
        <v>LUCKY STRIKE 100S MYSTIC 1 CAJETILLA</v>
      </c>
    </row>
    <row r="133" spans="1:9" s="15" x14ac:dyDescent="0.35">
      <c r="A133" s="65535">
        <v>75074944</v>
      </c>
      <c r="B133" s="65535">
        <f>+_xlfn.XLOOKUP(A133,MASTER!B:B,MASTER!A:A)</f>
        <v>100020838</v>
      </c>
      <c r="C133" s="65535" t="str">
        <f>+_xlfn.XLOOKUP(A133,MASTER!B:B,MASTER!C:C)</f>
        <v>PALL MALL XL RÍO SU 20S 1 CAJETILLA</v>
      </c>
      <c r="D133" s="15" t="str">
        <f>+_xlfn.XLOOKUP(A133,MASTER!B:B,MASTER!D:D)</f>
        <v>BAT</v>
      </c>
      <c r="E133" s="15" t="str">
        <f>+_xlfn.XLOOKUP(A133,MASTER!B:B,MASTER!I:I)</f>
        <v>Descontinuado (con stock)</v>
      </c>
      <c r="G133" s="65535">
        <v>75071295</v>
      </c>
      <c r="H133" s="15">
        <f>+_xlfn.XLOOKUP(G133,MASTER!B:B,MASTER!A:A)</f>
        <v>100016443</v>
      </c>
      <c r="I133" s="15" t="str">
        <f>+_xlfn.XLOOKUP(G133,MASTER!B:B,MASTER!C:C)</f>
        <v>PALL MALL ALASKA DUSK 20</v>
      </c>
    </row>
    <row r="134" spans="1:9" s="15" x14ac:dyDescent="0.35">
      <c r="A134" s="65535">
        <v>75074975</v>
      </c>
      <c r="B134" s="65535">
        <f>+_xlfn.XLOOKUP(A134,MASTER!B:B,MASTER!A:A)</f>
        <v>100019234</v>
      </c>
      <c r="C134" s="65535" t="str">
        <f>+_xlfn.XLOOKUP(A134,MASTER!B:B,MASTER!C:C)</f>
        <v>PALL MALL XL ALASKA 15S 1 CAJETILLA</v>
      </c>
      <c r="D134" s="15" t="str">
        <f>+_xlfn.XLOOKUP(A134,MASTER!B:B,MASTER!D:D)</f>
        <v>BAT</v>
      </c>
      <c r="E134" s="15" t="str">
        <f>+_xlfn.XLOOKUP(A134,MASTER!B:B,MASTER!I:I)</f>
        <v>Activo</v>
      </c>
      <c r="G134" s="65535">
        <v>75071455</v>
      </c>
      <c r="H134" s="15">
        <f>+_xlfn.XLOOKUP(G134,MASTER!B:B,MASTER!A:A)</f>
        <v>100016413</v>
      </c>
      <c r="I134" s="15" t="str">
        <f>+_xlfn.XLOOKUP(G134,MASTER!B:B,MASTER!C:C)</f>
        <v>PALL MALL RED 20</v>
      </c>
    </row>
    <row r="135" spans="1:9" s="15" x14ac:dyDescent="0.35">
      <c r="A135" s="65535">
        <v>75074982</v>
      </c>
      <c r="B135" s="65535">
        <f>+_xlfn.XLOOKUP(A135,MASTER!B:B,MASTER!A:A)</f>
        <v>100019230</v>
      </c>
      <c r="C135" s="65535" t="str">
        <f>+_xlfn.XLOOKUP(A135,MASTER!B:B,MASTER!C:C)</f>
        <v>PALL MALL XL TOKYO 15S 1 CAJETILLA</v>
      </c>
      <c r="D135" s="15" t="str">
        <f>+_xlfn.XLOOKUP(A135,MASTER!B:B,MASTER!D:D)</f>
        <v>BAT</v>
      </c>
      <c r="E135" s="15" t="str">
        <f>+_xlfn.XLOOKUP(A135,MASTER!B:B,MASTER!I:I)</f>
        <v>Activo</v>
      </c>
      <c r="G135" s="65535">
        <v>75071479</v>
      </c>
      <c r="H135" s="15">
        <f>+_xlfn.XLOOKUP(G135,MASTER!B:B,MASTER!A:A)</f>
        <v>100016412</v>
      </c>
      <c r="I135" s="15" t="str">
        <f>+_xlfn.XLOOKUP(G135,MASTER!B:B,MASTER!C:C)</f>
        <v>PALL MALL WHITE 20</v>
      </c>
    </row>
    <row r="136" spans="1:9" s="15" x14ac:dyDescent="0.35">
      <c r="A136" s="65535">
        <v>75074999</v>
      </c>
      <c r="B136" s="65535">
        <f>+_xlfn.XLOOKUP(A136,MASTER!B:B,MASTER!A:A)</f>
        <v>100019233</v>
      </c>
      <c r="C136" s="65535" t="str">
        <f>+_xlfn.XLOOKUP(A136,MASTER!B:B,MASTER!C:C)</f>
        <v>PALL MALL XL MYKONO 15S 1 CAJETILLA</v>
      </c>
      <c r="D136" s="15" t="str">
        <f>+_xlfn.XLOOKUP(A136,MASTER!B:B,MASTER!D:D)</f>
        <v>BAT</v>
      </c>
      <c r="E136" s="15" t="str">
        <f>+_xlfn.XLOOKUP(A136,MASTER!B:B,MASTER!I:I)</f>
        <v>Activo</v>
      </c>
      <c r="G136" s="65535">
        <v>75071776</v>
      </c>
      <c r="H136" s="15">
        <f>+_xlfn.XLOOKUP(G136,MASTER!B:B,MASTER!A:A)</f>
        <v>100017982</v>
      </c>
      <c r="I136" s="15" t="str">
        <f>+_xlfn.XLOOKUP(G136,MASTER!B:B,MASTER!C:C)</f>
        <v>PALL MALL CLASSICS 20</v>
      </c>
    </row>
    <row r="137" spans="1:9" s="15" x14ac:dyDescent="0.35">
      <c r="A137" s="65535">
        <v>75075217</v>
      </c>
      <c r="B137" s="65535">
        <f>+_xlfn.XLOOKUP(A137,MASTER!B:B,MASTER!A:A)</f>
        <v>100020133</v>
      </c>
      <c r="C137" s="65535" t="str">
        <f>+_xlfn.XLOOKUP(A137,MASTER!B:B,MASTER!C:C)</f>
        <v>MARLBORO VISTA SUMMER FUSIO 1 CAJETILLA</v>
      </c>
      <c r="D137" s="15" t="str">
        <f>+_xlfn.XLOOKUP(A137,MASTER!B:B,MASTER!D:D)</f>
        <v>PMI</v>
      </c>
      <c r="E137" s="15" t="str">
        <f>+_xlfn.XLOOKUP(A137,MASTER!B:B,MASTER!I:I)</f>
        <v>Activo</v>
      </c>
      <c r="G137" s="65535">
        <v>75072506</v>
      </c>
      <c r="H137" s="15">
        <f>+_xlfn.XLOOKUP(G137,MASTER!B:B,MASTER!A:A)</f>
        <v>100017662</v>
      </c>
      <c r="I137" s="15" t="str">
        <f>+_xlfn.XLOOKUP(G137,MASTER!B:B,MASTER!C:C)</f>
        <v>LUCKY STRIKE LATA CINEMA 25S 1 PZ</v>
      </c>
    </row>
    <row r="138" spans="1:9" s="15" x14ac:dyDescent="0.35">
      <c r="A138" s="65535">
        <v>75076405</v>
      </c>
      <c r="B138" s="65535">
        <f>+_xlfn.XLOOKUP(A138,MASTER!B:B,MASTER!A:A)</f>
        <v>100020970</v>
      </c>
      <c r="C138" s="65535" t="str">
        <f>+_xlfn.XLOOKUP(A138,MASTER!B:B,MASTER!C:C)</f>
        <v>MONTANA CLASSI 14S 1 CAJETILLA</v>
      </c>
      <c r="D138" s="15" t="str">
        <f>+_xlfn.XLOOKUP(A138,MASTER!B:B,MASTER!D:D)</f>
        <v>BAT</v>
      </c>
      <c r="E138" s="15" t="str">
        <f>+_xlfn.XLOOKUP(A138,MASTER!B:B,MASTER!I:I)</f>
        <v>Activo</v>
      </c>
      <c r="G138" s="65535">
        <v>75072605</v>
      </c>
      <c r="H138" s="15">
        <f>+_xlfn.XLOOKUP(G138,MASTER!B:B,MASTER!A:A)</f>
        <v>100019698</v>
      </c>
      <c r="I138" s="15" t="str">
        <f>+_xlfn.XLOOKUP(G138,MASTER!B:B,MASTER!C:C)</f>
        <v>MARLBORO MEXICO GOLD KS 100 MEXICO 1 CAJETILLA</v>
      </c>
    </row>
    <row r="139" spans="1:9" s="15" x14ac:dyDescent="0.35">
      <c r="A139" s="65535">
        <v>75076412</v>
      </c>
      <c r="B139" s="65535">
        <f>+_xlfn.XLOOKUP(A139,MASTER!B:B,MASTER!A:A)</f>
        <v>100022233</v>
      </c>
      <c r="C139" s="65535" t="str">
        <f>+_xlfn.XLOOKUP(A139,MASTER!B:B,MASTER!C:C)</f>
        <v>PALL MALL LONDON 20S 1 CAJETILLA</v>
      </c>
      <c r="D139" s="15" t="str">
        <f>+_xlfn.XLOOKUP(A139,MASTER!B:B,MASTER!D:D)</f>
        <v>BAT</v>
      </c>
      <c r="E139" s="15" t="str">
        <f>+_xlfn.XLOOKUP(A139,MASTER!B:B,MASTER!I:I)</f>
        <v>Activo</v>
      </c>
      <c r="G139" s="65535">
        <v>75072674</v>
      </c>
      <c r="H139" s="15">
        <f>+_xlfn.XLOOKUP(G139,MASTER!B:B,MASTER!A:A)</f>
        <v>100017624</v>
      </c>
      <c r="I139" s="15" t="str">
        <f>+_xlfn.XLOOKUP(G139,MASTER!B:B,MASTER!C:C)</f>
        <v>LUCKY STRIKE 100S ECLIPSE 20S 1 PZ</v>
      </c>
    </row>
    <row r="140" spans="1:9" s="15" x14ac:dyDescent="0.35">
      <c r="A140" s="65535">
        <v>75076429</v>
      </c>
      <c r="B140" s="65535">
        <f>+_xlfn.XLOOKUP(A140,MASTER!B:B,MASTER!A:A)</f>
        <v>100022118</v>
      </c>
      <c r="C140" s="65535" t="str">
        <f>+_xlfn.XLOOKUP(A140,MASTER!B:B,MASTER!C:C)</f>
        <v>PALL MALL HAWAII 20S 1 CAJETILLA</v>
      </c>
      <c r="D140" s="15" t="str">
        <f>+_xlfn.XLOOKUP(A140,MASTER!B:B,MASTER!D:D)</f>
        <v>BAT</v>
      </c>
      <c r="E140" s="15" t="str">
        <f>+_xlfn.XLOOKUP(A140,MASTER!B:B,MASTER!I:I)</f>
        <v>Activo</v>
      </c>
      <c r="G140" s="65535">
        <v>75073534</v>
      </c>
      <c r="H140" s="15">
        <f>+_xlfn.XLOOKUP(G140,MASTER!B:B,MASTER!A:A)</f>
        <v>100018746</v>
      </c>
      <c r="I140" s="15" t="str">
        <f>+_xlfn.XLOOKUP(G140,MASTER!B:B,MASTER!C:C)</f>
        <v>PALL MALL EX RED 15 1 CAJETILLA</v>
      </c>
    </row>
    <row r="141" spans="1:9" s="15" x14ac:dyDescent="0.35">
      <c r="A141" s="65535">
        <v>75076740</v>
      </c>
      <c r="B141" s="65535">
        <f>+_xlfn.XLOOKUP(A141,MASTER!B:B,MASTER!A:A)</f>
        <v>100020969</v>
      </c>
      <c r="C141" s="65535" t="str">
        <f>+_xlfn.XLOOKUP(A141,MASTER!B:B,MASTER!C:C)</f>
        <v>MONTANA CLASSI 20S 1 CAJETILLA</v>
      </c>
      <c r="D141" s="15" t="str">
        <f>+_xlfn.XLOOKUP(A141,MASTER!B:B,MASTER!D:D)</f>
        <v>BAT</v>
      </c>
      <c r="E141" s="15" t="str">
        <f>+_xlfn.XLOOKUP(A141,MASTER!B:B,MASTER!I:I)</f>
        <v>Activo</v>
      </c>
      <c r="G141" s="65535">
        <v>75073541</v>
      </c>
      <c r="H141" s="15">
        <f>+_xlfn.XLOOKUP(G141,MASTER!B:B,MASTER!A:A)</f>
        <v>100018745</v>
      </c>
      <c r="I141" s="15" t="str">
        <f>+_xlfn.XLOOKUP(G141,MASTER!B:B,MASTER!C:C)</f>
        <v>PALL MALL EX WHITE 15 1 CAJETILLA</v>
      </c>
    </row>
    <row r="142" spans="1:9" s="15" x14ac:dyDescent="0.35">
      <c r="A142" s="65535">
        <v>75076757</v>
      </c>
      <c r="B142" s="65535">
        <f>+_xlfn.XLOOKUP(A142,MASTER!B:B,MASTER!A:A)</f>
        <v>100021658</v>
      </c>
      <c r="C142" s="65535" t="str">
        <f>+_xlfn.XLOOKUP(A142,MASTER!B:B,MASTER!C:C)</f>
        <v>PALL MALL EX GOLD C 14S 1 CAJETILLA</v>
      </c>
      <c r="D142" s="15" t="str">
        <f>+_xlfn.XLOOKUP(A142,MASTER!B:B,MASTER!D:D)</f>
        <v>BAT</v>
      </c>
      <c r="E142" s="15" t="str">
        <f>+_xlfn.XLOOKUP(A142,MASTER!B:B,MASTER!I:I)</f>
        <v>Activo</v>
      </c>
      <c r="G142" s="65535">
        <v>75073978</v>
      </c>
      <c r="H142" s="15">
        <f>+_xlfn.XLOOKUP(G142,MASTER!B:B,MASTER!A:A)</f>
        <v>100019548</v>
      </c>
      <c r="I142" s="15" t="str">
        <f>+_xlfn.XLOOKUP(G142,MASTER!B:B,MASTER!C:C)</f>
        <v>LUCKY STRIKE NOVA LATA 1 CAJETILLA</v>
      </c>
    </row>
    <row r="143" spans="1:9" s="15" x14ac:dyDescent="0.35">
      <c r="A143" s="65535">
        <v>75077389</v>
      </c>
      <c r="B143" s="65535">
        <f>+_xlfn.XLOOKUP(A143,MASTER!B:B,MASTER!A:A)</f>
        <v>100021886</v>
      </c>
      <c r="C143" s="65535" t="str">
        <f>+_xlfn.XLOOKUP(A143,MASTER!B:B,MASTER!C:C)</f>
        <v>PALL MALL LT ALA 20S 1 CAJETILLA</v>
      </c>
      <c r="D143" s="15" t="str">
        <f>+_xlfn.XLOOKUP(A143,MASTER!B:B,MASTER!D:D)</f>
        <v>BAT</v>
      </c>
      <c r="E143" s="15" t="str">
        <f>+_xlfn.XLOOKUP(A143,MASTER!B:B,MASTER!I:I)</f>
        <v>Inactivo</v>
      </c>
      <c r="G143" s="65535">
        <v>75073985</v>
      </c>
      <c r="H143" s="15">
        <f>+_xlfn.XLOOKUP(G143,MASTER!B:B,MASTER!A:A)</f>
        <v>100019549</v>
      </c>
      <c r="I143" s="15" t="str">
        <f>+_xlfn.XLOOKUP(G143,MASTER!B:B,MASTER!C:C)</f>
        <v>LUCKY STRIKE NOVA 20S 1 CAJETILLA</v>
      </c>
    </row>
    <row r="144" spans="1:9" s="15" x14ac:dyDescent="0.35">
      <c r="A144" s="65535">
        <v>75077402</v>
      </c>
      <c r="B144" s="65535">
        <f>+_xlfn.XLOOKUP(A144,MASTER!B:B,MASTER!A:A)</f>
        <v>100021887</v>
      </c>
      <c r="C144" s="65535" t="str">
        <f>+_xlfn.XLOOKUP(A144,MASTER!B:B,MASTER!C:C)</f>
        <v>PALL MALL LT MYK 20S 1 CAJETILLA</v>
      </c>
      <c r="D144" s="15" t="str">
        <f>+_xlfn.XLOOKUP(A144,MASTER!B:B,MASTER!D:D)</f>
        <v>BAT</v>
      </c>
      <c r="E144" s="15" t="str">
        <f>+_xlfn.XLOOKUP(A144,MASTER!B:B,MASTER!I:I)</f>
        <v>Inactivo</v>
      </c>
      <c r="G144" s="65535">
        <v>75074081</v>
      </c>
      <c r="H144" s="15">
        <f>+_xlfn.XLOOKUP(G144,MASTER!B:B,MASTER!A:A)</f>
        <v>100020837</v>
      </c>
      <c r="I144" s="15" t="str">
        <f>+_xlfn.XLOOKUP(G144,MASTER!B:B,MASTER!C:C)</f>
        <v>PALL MALL EX CLASSI 14S 1 CAJETILLA</v>
      </c>
    </row>
    <row r="145" spans="1:9" s="15" x14ac:dyDescent="0.35">
      <c r="A145" s="65535">
        <v>75077426</v>
      </c>
      <c r="B145" s="65535">
        <f>+_xlfn.XLOOKUP(A145,MASTER!B:B,MASTER!A:A)</f>
        <v>100021889</v>
      </c>
      <c r="C145" s="65535" t="str">
        <f>+_xlfn.XLOOKUP(A145,MASTER!B:B,MASTER!C:C)</f>
        <v>PALL MALL LT RÍO 20S 1 CAJETILLA</v>
      </c>
      <c r="D145" s="15" t="str">
        <f>+_xlfn.XLOOKUP(A145,MASTER!B:B,MASTER!D:D)</f>
        <v>BAT</v>
      </c>
      <c r="E145" s="15" t="str">
        <f>+_xlfn.XLOOKUP(A145,MASTER!B:B,MASTER!I:I)</f>
        <v>Inactivo</v>
      </c>
      <c r="G145" s="65535">
        <v>75074203</v>
      </c>
      <c r="H145" s="15">
        <f>+_xlfn.XLOOKUP(G145,MASTER!B:B,MASTER!A:A)</f>
        <v>100018748</v>
      </c>
      <c r="I145" s="15" t="str">
        <f>+_xlfn.XLOOKUP(G145,MASTER!B:B,MASTER!C:C)</f>
        <v>LUCKY STRIKE ECLIPS LATA 1 CAJETILLA</v>
      </c>
    </row>
    <row r="146" spans="1:9" s="15" x14ac:dyDescent="0.35">
      <c r="A146" s="65535">
        <v>75077433</v>
      </c>
      <c r="B146" s="65535">
        <f>+_xlfn.XLOOKUP(A146,MASTER!B:B,MASTER!A:A)</f>
        <v>100021888</v>
      </c>
      <c r="C146" s="65535" t="str">
        <f>+_xlfn.XLOOKUP(A146,MASTER!B:B,MASTER!C:C)</f>
        <v>PALL MALL LT TOK 20S 1 CAJETILLA</v>
      </c>
      <c r="D146" s="15" t="str">
        <f>+_xlfn.XLOOKUP(A146,MASTER!B:B,MASTER!D:D)</f>
        <v>BAT</v>
      </c>
      <c r="E146" s="15" t="str">
        <f>+_xlfn.XLOOKUP(A146,MASTER!B:B,MASTER!I:I)</f>
        <v>Inactivo</v>
      </c>
      <c r="G146" s="65535">
        <v>75074227</v>
      </c>
      <c r="H146" s="15">
        <f>+_xlfn.XLOOKUP(G146,MASTER!B:B,MASTER!A:A)</f>
        <v>100019550</v>
      </c>
      <c r="I146" s="15" t="str">
        <f>+_xlfn.XLOOKUP(G146,MASTER!B:B,MASTER!C:C)</f>
        <v>LUCKY STRIKE COMET 20S 1 CAJETILLA</v>
      </c>
    </row>
    <row r="147" spans="1:9" s="15" x14ac:dyDescent="0.35">
      <c r="A147" s="65535">
        <v>75078638</v>
      </c>
      <c r="B147" s="65535">
        <f>+_xlfn.XLOOKUP(A147,MASTER!B:B,MASTER!A:A)</f>
        <v>100021978</v>
      </c>
      <c r="C147" s="65535" t="str">
        <f>+_xlfn.XLOOKUP(A147,MASTER!B:B,MASTER!C:C)</f>
        <v>PALL MALL EX GOLD C 20S 1 CAJETILLA</v>
      </c>
      <c r="D147" s="15" t="str">
        <f>+_xlfn.XLOOKUP(A147,MASTER!B:B,MASTER!D:D)</f>
        <v>BAT</v>
      </c>
      <c r="E147" s="15" t="str">
        <f>+_xlfn.XLOOKUP(A147,MASTER!B:B,MASTER!I:I)</f>
        <v>Activo</v>
      </c>
      <c r="G147" s="65535">
        <v>75074722</v>
      </c>
      <c r="H147" s="15" t="e">
        <f>+_xlfn.XLOOKUP(G147,MASTER!B:B,MASTER!A:A)</f>
        <v>#N/A</v>
      </c>
      <c r="I147" s="15" t="e">
        <f>+_xlfn.XLOOKUP(G147,MASTER!B:B,MASTER!C:C)</f>
        <v>#N/A</v>
      </c>
    </row>
    <row r="148" spans="1:9" s="15" x14ac:dyDescent="0.35">
      <c r="A148" s="65535">
        <v>75078843</v>
      </c>
      <c r="B148" s="65535">
        <f>+_xlfn.XLOOKUP(A148,MASTER!B:B,MASTER!A:A)</f>
        <v>100023317</v>
      </c>
      <c r="C148" s="65535" t="str">
        <f>+_xlfn.XLOOKUP(A148,MASTER!B:B,MASTER!C:C)</f>
        <v>MONTANA SHOTS CLASSICS 25 PZ</v>
      </c>
      <c r="D148" s="15" t="str">
        <f>+_xlfn.XLOOKUP(A148,MASTER!B:B,MASTER!D:D)</f>
        <v>BAT</v>
      </c>
      <c r="E148" s="15" t="str">
        <f>+_xlfn.XLOOKUP(A148,MASTER!B:B,MASTER!I:I)</f>
        <v>Activo</v>
      </c>
      <c r="G148" s="65535">
        <v>75074739</v>
      </c>
      <c r="H148" s="15" t="e">
        <f>+_xlfn.XLOOKUP(G148,MASTER!B:B,MASTER!A:A)</f>
        <v>#N/A</v>
      </c>
      <c r="I148" s="15" t="e">
        <f>+_xlfn.XLOOKUP(G148,MASTER!B:B,MASTER!C:C)</f>
        <v>#N/A</v>
      </c>
    </row>
    <row r="149" spans="1:9" s="15" x14ac:dyDescent="0.35">
      <c r="A149" s="65535">
        <v>75079017</v>
      </c>
      <c r="B149" s="65535">
        <f>+_xlfn.XLOOKUP(A149,MASTER!B:B,MASTER!A:A)</f>
        <v>101000079</v>
      </c>
      <c r="C149" s="65535" t="str">
        <f>+_xlfn.XLOOKUP(A149,MASTER!B:B,MASTER!C:C)</f>
        <v>PALL MALL BORA BORA SUNBREAK 20 PZ</v>
      </c>
      <c r="D149" s="15" t="str">
        <f>+_xlfn.XLOOKUP(A149,MASTER!B:B,MASTER!D:D)</f>
        <v>BAT</v>
      </c>
      <c r="E149" s="15" t="str">
        <f>+_xlfn.XLOOKUP(A149,MASTER!B:B,MASTER!I:I)</f>
        <v>Activo</v>
      </c>
      <c r="G149" s="65535">
        <v>75074746</v>
      </c>
      <c r="H149" s="15">
        <f>+_xlfn.XLOOKUP(G149,MASTER!B:B,MASTER!A:A)</f>
        <v>100019981</v>
      </c>
      <c r="I149" s="15" t="str">
        <f>+_xlfn.XLOOKUP(G149,MASTER!B:B,MASTER!C:C)</f>
        <v>MARLBORO BLOSSO VISTA BLOSSOM 1 CAJETILLA</v>
      </c>
    </row>
    <row r="150" spans="1:9" s="15" x14ac:dyDescent="0.35">
      <c r="A150" s="65535">
        <v>75079642</v>
      </c>
      <c r="B150" s="65535">
        <f>+_xlfn.XLOOKUP(A150,MASTER!B:B,MASTER!A:A)</f>
        <v>100023316</v>
      </c>
      <c r="C150" s="65535" t="str">
        <f>+_xlfn.XLOOKUP(A150,MASTER!B:B,MASTER!C:C)</f>
        <v>PALL MALL TOKYO SUNSHINE LATA 20 PZ</v>
      </c>
      <c r="D150" s="15" t="str">
        <f>+_xlfn.XLOOKUP(A150,MASTER!B:B,MASTER!D:D)</f>
        <v>BAT</v>
      </c>
      <c r="E150" s="15" t="str">
        <f>+_xlfn.XLOOKUP(A150,MASTER!B:B,MASTER!I:I)</f>
        <v>Inactivo</v>
      </c>
      <c r="G150" s="65535">
        <v>75074753</v>
      </c>
      <c r="H150" s="15">
        <f>+_xlfn.XLOOKUP(G150,MASTER!B:B,MASTER!A:A)</f>
        <v>100020770</v>
      </c>
      <c r="I150" s="15" t="str">
        <f>+_xlfn.XLOOKUP(G150,MASTER!B:B,MASTER!C:C)</f>
        <v>MARLBORO WINTER EDICION LIMITADA W 1 CAJETILLA</v>
      </c>
    </row>
    <row r="151" spans="1:9" s="15" x14ac:dyDescent="0.35">
      <c r="A151" s="65535">
        <v>75079697</v>
      </c>
      <c r="B151" s="65535">
        <f>+_xlfn.XLOOKUP(A151,MASTER!B:B,MASTER!A:A)</f>
        <v>100023315</v>
      </c>
      <c r="C151" s="65535" t="str">
        <f>+_xlfn.XLOOKUP(A151,MASTER!B:B,MASTER!C:C)</f>
        <v>PALL MALL ALASKA SUNSHINE LATA 20 PZ</v>
      </c>
      <c r="D151" s="15" t="str">
        <f>+_xlfn.XLOOKUP(A151,MASTER!B:B,MASTER!D:D)</f>
        <v>BAT</v>
      </c>
      <c r="E151" s="15" t="str">
        <f>+_xlfn.XLOOKUP(A151,MASTER!B:B,MASTER!I:I)</f>
        <v>Inactivo</v>
      </c>
      <c r="G151" s="65535">
        <v>75074784</v>
      </c>
      <c r="H151" s="15">
        <f>+_xlfn.XLOOKUP(G151,MASTER!B:B,MASTER!A:A)</f>
        <v>100019052</v>
      </c>
      <c r="I151" s="15" t="str">
        <f>+_xlfn.XLOOKUP(G151,MASTER!B:B,MASTER!C:C)</f>
        <v>MONTANA SHOTS XL 20S 1 CAJETILLA</v>
      </c>
    </row>
    <row r="152" spans="1:9" s="15" x14ac:dyDescent="0.35">
      <c r="A152" s="65535">
        <v>75079888</v>
      </c>
      <c r="B152" s="65535">
        <f>+_xlfn.XLOOKUP(A152,MASTER!B:B,MASTER!A:A)</f>
        <v>100023423</v>
      </c>
      <c r="C152" s="65535" t="str">
        <f>+_xlfn.XLOOKUP(A152,MASTER!B:B,MASTER!C:C)</f>
        <v>LUCKY STRIKE ORIGINS RICH 20 PZ</v>
      </c>
      <c r="D152" s="15" t="str">
        <f>+_xlfn.XLOOKUP(A152,MASTER!B:B,MASTER!D:D)</f>
        <v>BAT</v>
      </c>
      <c r="E152" s="15" t="str">
        <f>+_xlfn.XLOOKUP(A152,MASTER!B:B,MASTER!I:I)</f>
        <v>Descontinuado (con stock)</v>
      </c>
      <c r="G152" s="65535">
        <v>75074876</v>
      </c>
      <c r="H152" s="15">
        <f>+_xlfn.XLOOKUP(G152,MASTER!B:B,MASTER!A:A)</f>
        <v>100019232</v>
      </c>
      <c r="I152" s="15" t="str">
        <f>+_xlfn.XLOOKUP(G152,MASTER!B:B,MASTER!C:C)</f>
        <v>PALL MALL XL RED &amp; CLICK 15S 1 CAJETILLA</v>
      </c>
    </row>
    <row r="153" spans="1:9" s="15" x14ac:dyDescent="0.35">
      <c r="A153" s="65535">
        <v>75079895</v>
      </c>
      <c r="B153" s="65535">
        <f>+_xlfn.XLOOKUP(A153,MASTER!B:B,MASTER!A:A)</f>
        <v>100023424</v>
      </c>
      <c r="C153" s="65535" t="str">
        <f>+_xlfn.XLOOKUP(A153,MASTER!B:B,MASTER!C:C)</f>
        <v>LUCKY STRIKE ORIGINS BRIGHT 20 PZ</v>
      </c>
      <c r="D153" s="15" t="str">
        <f>+_xlfn.XLOOKUP(A153,MASTER!B:B,MASTER!D:D)</f>
        <v>BAT</v>
      </c>
      <c r="E153" s="15" t="str">
        <f>+_xlfn.XLOOKUP(A153,MASTER!B:B,MASTER!I:I)</f>
        <v>Descontinuado (con stock)</v>
      </c>
      <c r="G153" s="65535">
        <v>75074883</v>
      </c>
      <c r="H153" s="15">
        <f>+_xlfn.XLOOKUP(G153,MASTER!B:B,MASTER!A:A)</f>
        <v>100019228</v>
      </c>
      <c r="I153" s="15" t="str">
        <f>+_xlfn.XLOOKUP(G153,MASTER!B:B,MASTER!C:C)</f>
        <v>PALL MALL XL WHITE&amp; CLICK 15S 1 CAJETILLA</v>
      </c>
    </row>
    <row r="154" spans="1:9" s="15" x14ac:dyDescent="0.35">
      <c r="A154" s="65535">
        <v>75079901</v>
      </c>
      <c r="B154" s="65535">
        <f>+_xlfn.XLOOKUP(A154,MASTER!B:B,MASTER!A:A)</f>
        <v>100023422</v>
      </c>
      <c r="C154" s="65535" t="str">
        <f>+_xlfn.XLOOKUP(A154,MASTER!B:B,MASTER!C:C)</f>
        <v>LUCKY STRIKE ORIGINS DARK 20 PZ</v>
      </c>
      <c r="D154" s="15" t="str">
        <f>+_xlfn.XLOOKUP(A154,MASTER!B:B,MASTER!D:D)</f>
        <v>BAT</v>
      </c>
      <c r="E154" s="15" t="str">
        <f>+_xlfn.XLOOKUP(A154,MASTER!B:B,MASTER!I:I)</f>
        <v>Descontinuado (con stock)</v>
      </c>
      <c r="G154" s="65535">
        <v>75074913</v>
      </c>
      <c r="H154" s="15">
        <f>+_xlfn.XLOOKUP(G154,MASTER!B:B,MASTER!A:A)</f>
        <v>100019959</v>
      </c>
      <c r="I154" s="15" t="str">
        <f>+_xlfn.XLOOKUP(G154,MASTER!B:B,MASTER!C:C)</f>
        <v>PALL MALL XL ATHENS 20S 1 CAJETILLA</v>
      </c>
    </row>
    <row r="155" spans="1:9" s="15" x14ac:dyDescent="0.35">
      <c r="A155" s="65535">
        <v>75079956</v>
      </c>
      <c r="B155" s="65535">
        <f>+_xlfn.XLOOKUP(A155,MASTER!B:B,MASTER!A:A)</f>
        <v>100023426</v>
      </c>
      <c r="C155" s="65535" t="str">
        <f>+_xlfn.XLOOKUP(A155,MASTER!B:B,MASTER!C:C)</f>
        <v>LUCKY STRIKE ORIGINAL RED 20 PZ</v>
      </c>
      <c r="D155" s="15" t="str">
        <f>+_xlfn.XLOOKUP(A155,MASTER!B:B,MASTER!D:D)</f>
        <v>BAT</v>
      </c>
      <c r="E155" s="15" t="str">
        <f>+_xlfn.XLOOKUP(A155,MASTER!B:B,MASTER!I:I)</f>
        <v>Descontinuado (con stock)</v>
      </c>
      <c r="G155" s="65535">
        <v>75074920</v>
      </c>
      <c r="H155" s="15">
        <f>+_xlfn.XLOOKUP(G155,MASTER!B:B,MASTER!A:A)</f>
        <v>100019958</v>
      </c>
      <c r="I155" s="15" t="str">
        <f>+_xlfn.XLOOKUP(G155,MASTER!B:B,MASTER!C:C)</f>
        <v>PALL MALL XL ICEBER 20S 1 CAJETILLA</v>
      </c>
    </row>
    <row r="156" spans="1:9" s="15" x14ac:dyDescent="0.35">
      <c r="A156" s="65535">
        <v>75079963</v>
      </c>
      <c r="B156" s="65535">
        <f>+_xlfn.XLOOKUP(A156,MASTER!B:B,MASTER!A:A)</f>
        <v>100023425</v>
      </c>
      <c r="C156" s="65535" t="str">
        <f>+_xlfn.XLOOKUP(A156,MASTER!B:B,MASTER!C:C)</f>
        <v>PALL MALL CLASSICS 25 PZ</v>
      </c>
      <c r="D156" s="15" t="str">
        <f>+_xlfn.XLOOKUP(A156,MASTER!B:B,MASTER!D:D)</f>
        <v>BAT</v>
      </c>
      <c r="E156" s="15" t="str">
        <f>+_xlfn.XLOOKUP(A156,MASTER!B:B,MASTER!I:I)</f>
        <v>Activo</v>
      </c>
      <c r="G156" s="65535">
        <v>75074937</v>
      </c>
      <c r="H156" s="15">
        <f>+_xlfn.XLOOKUP(G156,MASTER!B:B,MASTER!A:A)</f>
        <v>100020528</v>
      </c>
      <c r="I156" s="15" t="str">
        <f>+_xlfn.XLOOKUP(G156,MASTER!B:B,MASTER!C:C)</f>
        <v>PALL MALL XL FUJI 20S 1 CAJETILLA</v>
      </c>
    </row>
    <row r="157" spans="1:9" s="15" x14ac:dyDescent="0.35">
      <c r="A157" s="65535">
        <v>75080105</v>
      </c>
      <c r="B157" s="65535">
        <f>+_xlfn.XLOOKUP(A157,MASTER!B:B,MASTER!A:A)</f>
        <v>100023714</v>
      </c>
      <c r="C157" s="65535" t="str">
        <f>+_xlfn.XLOOKUP(A157,MASTER!B:B,MASTER!C:C)</f>
        <v>LUCKY STRIKE LATA CLÁSICA RED 20 PZ</v>
      </c>
      <c r="D157" s="15" t="str">
        <f>+_xlfn.XLOOKUP(A157,MASTER!B:B,MASTER!D:D)</f>
        <v>BAT</v>
      </c>
      <c r="E157" s="15" t="str">
        <f>+_xlfn.XLOOKUP(A157,MASTER!B:B,MASTER!I:I)</f>
        <v>Descontinuado (con stock)</v>
      </c>
      <c r="G157" s="65535">
        <v>75074944</v>
      </c>
      <c r="H157" s="15">
        <f>+_xlfn.XLOOKUP(G157,MASTER!B:B,MASTER!A:A)</f>
        <v>100020838</v>
      </c>
      <c r="I157" s="15" t="str">
        <f>+_xlfn.XLOOKUP(G157,MASTER!B:B,MASTER!C:C)</f>
        <v>PALL MALL XL RÍO SU 20S 1 CAJETILLA</v>
      </c>
    </row>
    <row r="158" spans="1:9" s="15" x14ac:dyDescent="0.35">
      <c r="A158" s="65535">
        <v>75080495</v>
      </c>
      <c r="B158" s="65535">
        <f>+_xlfn.XLOOKUP(A158,MASTER!B:B,MASTER!A:A)</f>
        <v>100026386</v>
      </c>
      <c r="C158" s="65535" t="str">
        <f>+_xlfn.XLOOKUP(A158,MASTER!B:B,MASTER!C:C)</f>
        <v>PALL MALL ICELAND 20 PZ</v>
      </c>
      <c r="D158" s="15" t="str">
        <f>+_xlfn.XLOOKUP(A158,MASTER!B:B,MASTER!D:D)</f>
        <v>BAT</v>
      </c>
      <c r="E158" s="15" t="str">
        <f>+_xlfn.XLOOKUP(A158,MASTER!B:B,MASTER!I:I)</f>
        <v>Activo</v>
      </c>
      <c r="G158" s="65535">
        <v>75074975</v>
      </c>
      <c r="H158" s="15">
        <f>+_xlfn.XLOOKUP(G158,MASTER!B:B,MASTER!A:A)</f>
        <v>100019234</v>
      </c>
      <c r="I158" s="15" t="str">
        <f>+_xlfn.XLOOKUP(G158,MASTER!B:B,MASTER!C:C)</f>
        <v>PALL MALL XL ALASKA 15S 1 CAJETILLA</v>
      </c>
    </row>
    <row r="159" spans="1:9" s="15" x14ac:dyDescent="0.35">
      <c r="A159" s="65535">
        <v>75080501</v>
      </c>
      <c r="B159" s="65535">
        <f>+_xlfn.XLOOKUP(A159,MASTER!B:B,MASTER!A:A)</f>
        <v>100026387</v>
      </c>
      <c r="C159" s="65535" t="str">
        <f>+_xlfn.XLOOKUP(A159,MASTER!B:B,MASTER!C:C)</f>
        <v>PALL MALL ARUBA 20 PZ</v>
      </c>
      <c r="D159" s="15" t="str">
        <f>+_xlfn.XLOOKUP(A159,MASTER!B:B,MASTER!D:D)</f>
        <v>BAT</v>
      </c>
      <c r="E159" s="15" t="str">
        <f>+_xlfn.XLOOKUP(A159,MASTER!B:B,MASTER!I:I)</f>
        <v>Activo</v>
      </c>
      <c r="G159" s="65535">
        <v>75074982</v>
      </c>
      <c r="H159" s="15">
        <f>+_xlfn.XLOOKUP(G159,MASTER!B:B,MASTER!A:A)</f>
        <v>100019230</v>
      </c>
      <c r="I159" s="15" t="str">
        <f>+_xlfn.XLOOKUP(G159,MASTER!B:B,MASTER!C:C)</f>
        <v>PALL MALL XL TOKYO 15S 1 CAJETILLA</v>
      </c>
    </row>
    <row r="160" spans="1:9" s="15" x14ac:dyDescent="0.35">
      <c r="A160" s="65535">
        <v>75080518</v>
      </c>
      <c r="B160" s="65535">
        <f>+_xlfn.XLOOKUP(A160,MASTER!B:B,MASTER!A:A)</f>
        <v>100026388</v>
      </c>
      <c r="C160" s="65535" t="str">
        <f>+_xlfn.XLOOKUP(A160,MASTER!B:B,MASTER!C:C)</f>
        <v>PALL MALL OSAKA 20 PZ</v>
      </c>
      <c r="D160" s="15" t="str">
        <f>+_xlfn.XLOOKUP(A160,MASTER!B:B,MASTER!D:D)</f>
        <v>BAT</v>
      </c>
      <c r="E160" s="15" t="str">
        <f>+_xlfn.XLOOKUP(A160,MASTER!B:B,MASTER!I:I)</f>
        <v>Activo</v>
      </c>
      <c r="G160" s="65535">
        <v>75074999</v>
      </c>
      <c r="H160" s="15">
        <f>+_xlfn.XLOOKUP(G160,MASTER!B:B,MASTER!A:A)</f>
        <v>100019233</v>
      </c>
      <c r="I160" s="15" t="str">
        <f>+_xlfn.XLOOKUP(G160,MASTER!B:B,MASTER!C:C)</f>
        <v>PALL MALL XL MYKONO 15S 1 CAJETILLA</v>
      </c>
    </row>
    <row r="161" spans="1:9" s="15" x14ac:dyDescent="0.35">
      <c r="A161" s="65535">
        <v>75080525</v>
      </c>
      <c r="B161" s="65535">
        <f>+_xlfn.XLOOKUP(A161,MASTER!B:B,MASTER!A:A)</f>
        <v>100026385</v>
      </c>
      <c r="C161" s="65535" t="str">
        <f>+_xlfn.XLOOKUP(A161,MASTER!B:B,MASTER!C:C)</f>
        <v>PALL MALL HONOLULU 20 PZ</v>
      </c>
      <c r="D161" s="15" t="str">
        <f>+_xlfn.XLOOKUP(A161,MASTER!B:B,MASTER!D:D)</f>
        <v>BAT</v>
      </c>
      <c r="E161" s="15" t="str">
        <f>+_xlfn.XLOOKUP(A161,MASTER!B:B,MASTER!I:I)</f>
        <v>Activo</v>
      </c>
      <c r="G161" s="65535">
        <v>75075217</v>
      </c>
      <c r="H161" s="15">
        <f>+_xlfn.XLOOKUP(G161,MASTER!B:B,MASTER!A:A)</f>
        <v>100020133</v>
      </c>
      <c r="I161" s="15" t="str">
        <f>+_xlfn.XLOOKUP(G161,MASTER!B:B,MASTER!C:C)</f>
        <v>MARLBORO VISTA SUMMER FUSIO 1 CAJETILLA</v>
      </c>
    </row>
    <row r="162" spans="1:9" s="15" x14ac:dyDescent="0.35">
      <c r="A162" s="65535">
        <v>75080679</v>
      </c>
      <c r="B162" s="65535">
        <f>+_xlfn.XLOOKUP(A162,MASTER!B:B,MASTER!A:A)</f>
        <v>100024321</v>
      </c>
      <c r="C162" s="65535" t="str">
        <f>+_xlfn.XLOOKUP(A162,MASTER!B:B,MASTER!C:C)</f>
        <v>LUCKIES 25S</v>
      </c>
      <c r="D162" s="15" t="str">
        <f>+_xlfn.XLOOKUP(A162,MASTER!B:B,MASTER!D:D)</f>
        <v>BAT</v>
      </c>
      <c r="E162" s="15" t="str">
        <f>+_xlfn.XLOOKUP(A162,MASTER!B:B,MASTER!I:I)</f>
        <v>Descontinuado (con stock)</v>
      </c>
      <c r="G162" s="65535">
        <v>75076405</v>
      </c>
      <c r="H162" s="15">
        <f>+_xlfn.XLOOKUP(G162,MASTER!B:B,MASTER!A:A)</f>
        <v>100020970</v>
      </c>
      <c r="I162" s="15" t="str">
        <f>+_xlfn.XLOOKUP(G162,MASTER!B:B,MASTER!C:C)</f>
        <v>MONTANA CLASSI 14S 1 CAJETILLA</v>
      </c>
    </row>
    <row r="163" spans="1:9" s="15" x14ac:dyDescent="0.35">
      <c r="A163" s="65535">
        <v>75081058</v>
      </c>
      <c r="B163" s="65535">
        <f>+_xlfn.XLOOKUP(A163,MASTER!B:B,MASTER!A:A)</f>
        <v>100024596</v>
      </c>
      <c r="C163" s="65535" t="str">
        <f>+_xlfn.XLOOKUP(A163,MASTER!B:B,MASTER!C:C)</f>
        <v>PALL MALL XL MIAMI PARADISE 20S 20 PZ</v>
      </c>
      <c r="D163" s="15" t="str">
        <f>+_xlfn.XLOOKUP(A163,MASTER!B:B,MASTER!D:D)</f>
        <v>BAT</v>
      </c>
      <c r="E163" s="15" t="str">
        <f>+_xlfn.XLOOKUP(A163,MASTER!B:B,MASTER!I:I)</f>
        <v>Activo</v>
      </c>
      <c r="G163" s="65535">
        <v>75076412</v>
      </c>
      <c r="H163" s="15">
        <f>+_xlfn.XLOOKUP(G163,MASTER!B:B,MASTER!A:A)</f>
        <v>100022233</v>
      </c>
      <c r="I163" s="15" t="str">
        <f>+_xlfn.XLOOKUP(G163,MASTER!B:B,MASTER!C:C)</f>
        <v>PALL MALL LONDON 20S 1 CAJETILLA</v>
      </c>
    </row>
    <row r="164" spans="1:9" s="15" x14ac:dyDescent="0.35">
      <c r="A164" s="65535">
        <v>75081362</v>
      </c>
      <c r="B164" s="65535">
        <f>+_xlfn.XLOOKUP(A164,MASTER!B:B,MASTER!A:A)</f>
        <v>100024932</v>
      </c>
      <c r="C164" s="65535" t="str">
        <f>+_xlfn.XLOOKUP(A164,MASTER!B:B,MASTER!C:C)</f>
        <v>TEREA BLACK TROPICAL CAJETILLA PZ</v>
      </c>
      <c r="D164" s="15" t="str">
        <f>+_xlfn.XLOOKUP(A164,MASTER!B:B,MASTER!D:D)</f>
        <v>PMI</v>
      </c>
      <c r="E164" s="15" t="str">
        <f>+_xlfn.XLOOKUP(A164,MASTER!B:B,MASTER!I:I)</f>
        <v>Activo</v>
      </c>
      <c r="G164" s="65535">
        <v>75076429</v>
      </c>
      <c r="H164" s="15">
        <f>+_xlfn.XLOOKUP(G164,MASTER!B:B,MASTER!A:A)</f>
        <v>100022118</v>
      </c>
      <c r="I164" s="15" t="str">
        <f>+_xlfn.XLOOKUP(G164,MASTER!B:B,MASTER!C:C)</f>
        <v>PALL MALL HAWAII 20S 1 CAJETILLA</v>
      </c>
    </row>
    <row r="165" spans="1:9" s="15" x14ac:dyDescent="0.35">
      <c r="A165" s="65535">
        <v>75081652</v>
      </c>
      <c r="B165" s="65535">
        <f>+_xlfn.XLOOKUP(A165,MASTER!B:B,MASTER!A:A)</f>
        <v>100024999</v>
      </c>
      <c r="C165" s="65535" t="str">
        <f>+_xlfn.XLOOKUP(A165,MASTER!B:B,MASTER!C:C)</f>
        <v>TEREA PROVENCE PEARL MNT 20 CAJETILLA PZ</v>
      </c>
      <c r="D165" s="15" t="str">
        <f>+_xlfn.XLOOKUP(A165,MASTER!B:B,MASTER!D:D)</f>
        <v>PMI</v>
      </c>
      <c r="E165" s="15" t="str">
        <f>+_xlfn.XLOOKUP(A165,MASTER!B:B,MASTER!I:I)</f>
        <v>Activo</v>
      </c>
      <c r="G165" s="65535">
        <v>75076740</v>
      </c>
      <c r="H165" s="15">
        <f>+_xlfn.XLOOKUP(G165,MASTER!B:B,MASTER!A:A)</f>
        <v>100020969</v>
      </c>
      <c r="I165" s="15" t="str">
        <f>+_xlfn.XLOOKUP(G165,MASTER!B:B,MASTER!C:C)</f>
        <v>MONTANA CLASSI 20S 1 CAJETILLA</v>
      </c>
    </row>
    <row r="166" spans="1:9" s="15" x14ac:dyDescent="0.35">
      <c r="A166" s="65535">
        <v>75081942</v>
      </c>
      <c r="B166" s="65535">
        <f>+_xlfn.XLOOKUP(A166,MASTER!B:B,MASTER!A:A)</f>
        <v>100025053</v>
      </c>
      <c r="C166" s="65535" t="str">
        <f>+_xlfn.XLOOKUP(A166,MASTER!B:B,MASTER!C:C)</f>
        <v>LUCKIES 20S</v>
      </c>
      <c r="D166" s="15" t="str">
        <f>+_xlfn.XLOOKUP(A166,MASTER!B:B,MASTER!D:D)</f>
        <v>BAT</v>
      </c>
      <c r="E166" s="15" t="str">
        <f>+_xlfn.XLOOKUP(A166,MASTER!B:B,MASTER!I:I)</f>
        <v>Descontinuado (con stock)</v>
      </c>
      <c r="G166" s="65535">
        <v>75076757</v>
      </c>
      <c r="H166" s="15">
        <f>+_xlfn.XLOOKUP(G166,MASTER!B:B,MASTER!A:A)</f>
        <v>100021658</v>
      </c>
      <c r="I166" s="15" t="str">
        <f>+_xlfn.XLOOKUP(G166,MASTER!B:B,MASTER!C:C)</f>
        <v>PALL MALL EX GOLD C 14S 1 CAJETILLA</v>
      </c>
    </row>
    <row r="167" spans="1:9" s="15" x14ac:dyDescent="0.35">
      <c r="A167" s="65535">
        <v>75082277</v>
      </c>
      <c r="B167" s="65535">
        <f>+_xlfn.XLOOKUP(A167,MASTER!B:B,MASTER!A:A)</f>
        <v>100024882</v>
      </c>
      <c r="C167" s="65535" t="str">
        <f>+_xlfn.XLOOKUP(A167,MASTER!B:B,MASTER!C:C)</f>
        <v>PALL MALL 125 AÑOS CASE ALASKA 20 PZ</v>
      </c>
      <c r="D167" s="15" t="str">
        <f>+_xlfn.XLOOKUP(A167,MASTER!B:B,MASTER!D:D)</f>
        <v>BAT</v>
      </c>
      <c r="E167" s="15" t="str">
        <f>+_xlfn.XLOOKUP(A167,MASTER!B:B,MASTER!I:I)</f>
        <v>Descontinuado (con stock)</v>
      </c>
      <c r="G167" s="65535">
        <v>75077389</v>
      </c>
      <c r="H167" s="15">
        <f>+_xlfn.XLOOKUP(G167,MASTER!B:B,MASTER!A:A)</f>
        <v>100021886</v>
      </c>
      <c r="I167" s="15" t="str">
        <f>+_xlfn.XLOOKUP(G167,MASTER!B:B,MASTER!C:C)</f>
        <v>PALL MALL LT ALA 20S 1 CAJETILLA</v>
      </c>
    </row>
    <row r="168" spans="1:9" s="15" x14ac:dyDescent="0.35">
      <c r="A168" s="65535">
        <v>75082284</v>
      </c>
      <c r="B168" s="65535">
        <f>+_xlfn.XLOOKUP(A168,MASTER!B:B,MASTER!A:A)</f>
        <v>100024884</v>
      </c>
      <c r="C168" s="65535" t="str">
        <f>+_xlfn.XLOOKUP(A168,MASTER!B:B,MASTER!C:C)</f>
        <v>PALL MALL 125 AÑOS CASE TOKYO 20 PZ</v>
      </c>
      <c r="D168" s="15" t="str">
        <f>+_xlfn.XLOOKUP(A168,MASTER!B:B,MASTER!D:D)</f>
        <v>BAT</v>
      </c>
      <c r="E168" s="15" t="str">
        <f>+_xlfn.XLOOKUP(A168,MASTER!B:B,MASTER!I:I)</f>
        <v>Descontinuado (con stock)</v>
      </c>
      <c r="G168" s="65535">
        <v>75077402</v>
      </c>
      <c r="H168" s="15">
        <f>+_xlfn.XLOOKUP(G168,MASTER!B:B,MASTER!A:A)</f>
        <v>100021887</v>
      </c>
      <c r="I168" s="15" t="str">
        <f>+_xlfn.XLOOKUP(G168,MASTER!B:B,MASTER!C:C)</f>
        <v>PALL MALL LT MYK 20S 1 CAJETILLA</v>
      </c>
    </row>
    <row r="169" spans="1:9" s="15" x14ac:dyDescent="0.35">
      <c r="A169" s="65535">
        <v>75082291</v>
      </c>
      <c r="B169" s="65535">
        <f>+_xlfn.XLOOKUP(A169,MASTER!B:B,MASTER!A:A)</f>
        <v>100024885</v>
      </c>
      <c r="C169" s="65535" t="str">
        <f>+_xlfn.XLOOKUP(A169,MASTER!B:B,MASTER!C:C)</f>
        <v>PALL MALL 125 AÑOS CASE MYKONOS 20 PZ</v>
      </c>
      <c r="D169" s="15" t="str">
        <f>+_xlfn.XLOOKUP(A169,MASTER!B:B,MASTER!D:D)</f>
        <v>BAT</v>
      </c>
      <c r="E169" s="15" t="str">
        <f>+_xlfn.XLOOKUP(A169,MASTER!B:B,MASTER!I:I)</f>
        <v>Descontinuado (con stock)</v>
      </c>
      <c r="G169" s="65535">
        <v>75077426</v>
      </c>
      <c r="H169" s="15">
        <f>+_xlfn.XLOOKUP(G169,MASTER!B:B,MASTER!A:A)</f>
        <v>100021889</v>
      </c>
      <c r="I169" s="15" t="str">
        <f>+_xlfn.XLOOKUP(G169,MASTER!B:B,MASTER!C:C)</f>
        <v>PALL MALL LT RÍO 20S 1 CAJETILLA</v>
      </c>
    </row>
    <row r="170" spans="1:9" s="15" x14ac:dyDescent="0.35">
      <c r="A170" s="65535">
        <v>75082307</v>
      </c>
      <c r="B170" s="65535">
        <f>+_xlfn.XLOOKUP(A170,MASTER!B:B,MASTER!A:A)</f>
        <v>100024887</v>
      </c>
      <c r="C170" s="65535" t="str">
        <f>+_xlfn.XLOOKUP(A170,MASTER!B:B,MASTER!C:C)</f>
        <v>PALL MALL 125 AÑOS CASE HAWAII 20 PZ</v>
      </c>
      <c r="D170" s="15" t="str">
        <f>+_xlfn.XLOOKUP(A170,MASTER!B:B,MASTER!D:D)</f>
        <v>BAT</v>
      </c>
      <c r="E170" s="15" t="str">
        <f>+_xlfn.XLOOKUP(A170,MASTER!B:B,MASTER!I:I)</f>
        <v>Descontinuado (con stock)</v>
      </c>
      <c r="G170" s="65535">
        <v>75077433</v>
      </c>
      <c r="H170" s="15">
        <f>+_xlfn.XLOOKUP(G170,MASTER!B:B,MASTER!A:A)</f>
        <v>100021888</v>
      </c>
      <c r="I170" s="15" t="str">
        <f>+_xlfn.XLOOKUP(G170,MASTER!B:B,MASTER!C:C)</f>
        <v>PALL MALL LT TOK 20S 1 CAJETILLA</v>
      </c>
    </row>
    <row r="171" spans="1:9" s="15" x14ac:dyDescent="0.35">
      <c r="A171" s="65535">
        <v>75082314</v>
      </c>
      <c r="B171" s="65535">
        <f>+_xlfn.XLOOKUP(A171,MASTER!B:B,MASTER!A:A)</f>
        <v>100024886</v>
      </c>
      <c r="C171" s="65535" t="str">
        <f>+_xlfn.XLOOKUP(A171,MASTER!B:B,MASTER!C:C)</f>
        <v>PALL MALL 125 AÑOS CASE LONDON 20 PZ</v>
      </c>
      <c r="D171" s="15" t="str">
        <f>+_xlfn.XLOOKUP(A171,MASTER!B:B,MASTER!D:D)</f>
        <v>BAT</v>
      </c>
      <c r="E171" s="15" t="str">
        <f>+_xlfn.XLOOKUP(A171,MASTER!B:B,MASTER!I:I)</f>
        <v>Descontinuado (con stock)</v>
      </c>
      <c r="G171" s="65535">
        <v>75078638</v>
      </c>
      <c r="H171" s="15">
        <f>+_xlfn.XLOOKUP(G171,MASTER!B:B,MASTER!A:A)</f>
        <v>100021978</v>
      </c>
      <c r="I171" s="15" t="str">
        <f>+_xlfn.XLOOKUP(G171,MASTER!B:B,MASTER!C:C)</f>
        <v>PALL MALL EX GOLD C 20S 1 CAJETILLA</v>
      </c>
    </row>
    <row r="172" spans="1:9" s="15" x14ac:dyDescent="0.35">
      <c r="A172" s="65535">
        <v>75082321</v>
      </c>
      <c r="B172" s="65535">
        <f>+_xlfn.XLOOKUP(A172,MASTER!B:B,MASTER!A:A)</f>
        <v>100024883</v>
      </c>
      <c r="C172" s="65535" t="str">
        <f>+_xlfn.XLOOKUP(A172,MASTER!B:B,MASTER!C:C)</f>
        <v>PALL MALL 125 AÑOS CASE BORA BORA 20 PZ</v>
      </c>
      <c r="D172" s="15" t="str">
        <f>+_xlfn.XLOOKUP(A172,MASTER!B:B,MASTER!D:D)</f>
        <v>BAT</v>
      </c>
      <c r="E172" s="15" t="str">
        <f>+_xlfn.XLOOKUP(A172,MASTER!B:B,MASTER!I:I)</f>
        <v>Descontinuado (con stock)</v>
      </c>
      <c r="G172" s="65535">
        <v>75078843</v>
      </c>
      <c r="H172" s="15">
        <f>+_xlfn.XLOOKUP(G172,MASTER!B:B,MASTER!A:A)</f>
        <v>100023317</v>
      </c>
      <c r="I172" s="15" t="str">
        <f>+_xlfn.XLOOKUP(G172,MASTER!B:B,MASTER!C:C)</f>
        <v>MONTANA SHOTS CLASSICS 25 PZ</v>
      </c>
    </row>
    <row r="173" spans="1:9" s="15" x14ac:dyDescent="0.35">
      <c r="A173" s="65535">
        <v>75082338</v>
      </c>
      <c r="B173" s="65535">
        <f>+_xlfn.XLOOKUP(A173,MASTER!B:B,MASTER!A:A)</f>
        <v>100024888</v>
      </c>
      <c r="C173" s="65535" t="str">
        <f>+_xlfn.XLOOKUP(A173,MASTER!B:B,MASTER!C:C)</f>
        <v>PALL MALL 125 AÑOS CASE MIAMI 20 PZ</v>
      </c>
      <c r="D173" s="15" t="str">
        <f>+_xlfn.XLOOKUP(A173,MASTER!B:B,MASTER!D:D)</f>
        <v>BAT</v>
      </c>
      <c r="E173" s="15" t="str">
        <f>+_xlfn.XLOOKUP(A173,MASTER!B:B,MASTER!I:I)</f>
        <v>Descontinuado (con stock)</v>
      </c>
      <c r="G173" s="65535">
        <v>75079017</v>
      </c>
      <c r="H173" s="15">
        <f>+_xlfn.XLOOKUP(G173,MASTER!B:B,MASTER!A:A)</f>
        <v>101000079</v>
      </c>
      <c r="I173" s="15" t="str">
        <f>+_xlfn.XLOOKUP(G173,MASTER!B:B,MASTER!C:C)</f>
        <v>PALL MALL BORA BORA SUNBREAK 20 PZ</v>
      </c>
    </row>
    <row r="174" spans="1:9" s="15" x14ac:dyDescent="0.35">
      <c r="A174" s="65535">
        <v>75082345</v>
      </c>
      <c r="B174" s="65535">
        <f>+_xlfn.XLOOKUP(A174,MASTER!B:B,MASTER!A:A)</f>
        <v>100024881</v>
      </c>
      <c r="C174" s="65535" t="str">
        <f>+_xlfn.XLOOKUP(A174,MASTER!B:B,MASTER!C:C)</f>
        <v>MARLBORO PROVENCE FUSION MNT 100 BOX 20 CAJETILLA PZ</v>
      </c>
      <c r="D174" s="15" t="str">
        <f>+_xlfn.XLOOKUP(A174,MASTER!B:B,MASTER!D:D)</f>
        <v>PMI</v>
      </c>
      <c r="E174" s="15" t="str">
        <f>+_xlfn.XLOOKUP(A174,MASTER!B:B,MASTER!I:I)</f>
        <v>Activo</v>
      </c>
      <c r="G174" s="65535">
        <v>75079642</v>
      </c>
      <c r="H174" s="15">
        <f>+_xlfn.XLOOKUP(G174,MASTER!B:B,MASTER!A:A)</f>
        <v>100023316</v>
      </c>
      <c r="I174" s="15" t="str">
        <f>+_xlfn.XLOOKUP(G174,MASTER!B:B,MASTER!C:C)</f>
        <v>PALL MALL TOKYO SUNSHINE LATA 20 PZ</v>
      </c>
    </row>
    <row r="175" spans="1:9" s="15" x14ac:dyDescent="0.35">
      <c r="A175" s="65535">
        <v>75082543</v>
      </c>
      <c r="B175" s="65535">
        <f>+_xlfn.XLOOKUP(A175,MASTER!B:B,MASTER!A:A)</f>
        <v>100025282</v>
      </c>
      <c r="C175" s="65535" t="str">
        <f>+_xlfn.XLOOKUP(A175,MASTER!B:B,MASTER!C:C)</f>
        <v>PALL MALL HAWAII SUNLIGHT 15 PZ</v>
      </c>
      <c r="D175" s="15" t="str">
        <f>+_xlfn.XLOOKUP(A175,MASTER!B:B,MASTER!D:D)</f>
        <v>BAT</v>
      </c>
      <c r="E175" s="15" t="str">
        <f>+_xlfn.XLOOKUP(A175,MASTER!B:B,MASTER!I:I)</f>
        <v>Activo</v>
      </c>
      <c r="G175" s="65535">
        <v>75079697</v>
      </c>
      <c r="H175" s="15">
        <f>+_xlfn.XLOOKUP(G175,MASTER!B:B,MASTER!A:A)</f>
        <v>100023315</v>
      </c>
      <c r="I175" s="15" t="str">
        <f>+_xlfn.XLOOKUP(G175,MASTER!B:B,MASTER!C:C)</f>
        <v>PALL MALL ALASKA SUNSHINE LATA 20 PZ</v>
      </c>
    </row>
    <row r="176" spans="1:9" s="15" x14ac:dyDescent="0.35">
      <c r="A176" s="65535">
        <v>75083632</v>
      </c>
      <c r="B176" s="65535">
        <f>+_xlfn.XLOOKUP(A176,MASTER!B:B,MASTER!A:A)</f>
        <v>100025850</v>
      </c>
      <c r="C176" s="65535" t="str">
        <f>+_xlfn.XLOOKUP(A176,MASTER!B:B,MASTER!C:C)</f>
        <v>PALL MALL PM MANILA DAYLIGHT 20 PZ</v>
      </c>
      <c r="D176" s="15" t="str">
        <f>+_xlfn.XLOOKUP(A176,MASTER!B:B,MASTER!D:D)</f>
        <v>BAT</v>
      </c>
      <c r="E176" s="15" t="str">
        <f>+_xlfn.XLOOKUP(A176,MASTER!B:B,MASTER!I:I)</f>
        <v>Activo</v>
      </c>
      <c r="G176" s="65535">
        <v>75079888</v>
      </c>
      <c r="H176" s="15">
        <f>+_xlfn.XLOOKUP(G176,MASTER!B:B,MASTER!A:A)</f>
        <v>100023423</v>
      </c>
      <c r="I176" s="15" t="str">
        <f>+_xlfn.XLOOKUP(G176,MASTER!B:B,MASTER!C:C)</f>
        <v>LUCKY STRIKE ORIGINS RICH 20 PZ</v>
      </c>
    </row>
    <row r="177" spans="1:9" s="15" x14ac:dyDescent="0.35">
      <c r="A177" s="65535">
        <v>75083649</v>
      </c>
      <c r="B177" s="65535">
        <f>+_xlfn.XLOOKUP(A177,MASTER!B:B,MASTER!A:A)</f>
        <v>100025310</v>
      </c>
      <c r="C177" s="65535" t="str">
        <f>+_xlfn.XLOOKUP(A177,MASTER!B:B,MASTER!C:C)</f>
        <v>TEREA GLACIER PEARL 20 CAJETILLA PZ</v>
      </c>
      <c r="D177" s="15" t="str">
        <f>+_xlfn.XLOOKUP(A177,MASTER!B:B,MASTER!D:D)</f>
        <v>PMI</v>
      </c>
      <c r="E177" s="15" t="str">
        <f>+_xlfn.XLOOKUP(A177,MASTER!B:B,MASTER!I:I)</f>
        <v>Activo</v>
      </c>
      <c r="G177" s="65535">
        <v>75079895</v>
      </c>
      <c r="H177" s="15">
        <f>+_xlfn.XLOOKUP(G177,MASTER!B:B,MASTER!A:A)</f>
        <v>100023424</v>
      </c>
      <c r="I177" s="15" t="str">
        <f>+_xlfn.XLOOKUP(G177,MASTER!B:B,MASTER!C:C)</f>
        <v>LUCKY STRIKE ORIGINS BRIGHT 20 PZ</v>
      </c>
    </row>
    <row r="178" spans="1:9" s="15" x14ac:dyDescent="0.35">
      <c r="A178" s="65535">
        <v>75083656</v>
      </c>
      <c r="B178" s="65535">
        <f>+_xlfn.XLOOKUP(A178,MASTER!B:B,MASTER!A:A)</f>
        <v>100025311</v>
      </c>
      <c r="C178" s="65535" t="str">
        <f>+_xlfn.XLOOKUP(A178,MASTER!B:B,MASTER!C:C)</f>
        <v>TEREA TWILIGHT PEARL 20 CAJETILLA PZ</v>
      </c>
      <c r="D178" s="15" t="str">
        <f>+_xlfn.XLOOKUP(A178,MASTER!B:B,MASTER!D:D)</f>
        <v>PMI</v>
      </c>
      <c r="E178" s="15" t="str">
        <f>+_xlfn.XLOOKUP(A178,MASTER!B:B,MASTER!I:I)</f>
        <v>Activo</v>
      </c>
      <c r="G178" s="65535">
        <v>75079901</v>
      </c>
      <c r="H178" s="15">
        <f>+_xlfn.XLOOKUP(G178,MASTER!B:B,MASTER!A:A)</f>
        <v>100023422</v>
      </c>
      <c r="I178" s="15" t="str">
        <f>+_xlfn.XLOOKUP(G178,MASTER!B:B,MASTER!C:C)</f>
        <v>LUCKY STRIKE ORIGINS DARK 20 PZ</v>
      </c>
    </row>
    <row r="179" spans="1:9" s="15" x14ac:dyDescent="0.35">
      <c r="A179" s="65535">
        <v>75083755</v>
      </c>
      <c r="B179" s="65535">
        <f>+_xlfn.XLOOKUP(A179,MASTER!B:B,MASTER!A:A)</f>
        <v>100025675</v>
      </c>
      <c r="C179" s="65535" t="str">
        <f>+_xlfn.XLOOKUP(A179,MASTER!B:B,MASTER!C:C)</f>
        <v>PALL MALL PALL MALL SELECT 20 PZ</v>
      </c>
      <c r="D179" s="15" t="str">
        <f>+_xlfn.XLOOKUP(A179,MASTER!B:B,MASTER!D:D)</f>
        <v>BAT</v>
      </c>
      <c r="E179" s="15" t="str">
        <f>+_xlfn.XLOOKUP(A179,MASTER!B:B,MASTER!I:I)</f>
        <v>Activo</v>
      </c>
      <c r="G179" s="65535">
        <v>75079956</v>
      </c>
      <c r="H179" s="15">
        <f>+_xlfn.XLOOKUP(G179,MASTER!B:B,MASTER!A:A)</f>
        <v>100023426</v>
      </c>
      <c r="I179" s="15" t="str">
        <f>+_xlfn.XLOOKUP(G179,MASTER!B:B,MASTER!C:C)</f>
        <v>LUCKY STRIKE ORIGINAL RED 20 PZ</v>
      </c>
    </row>
    <row r="180" spans="1:9" s="15" x14ac:dyDescent="0.35">
      <c r="A180" s="65535">
        <v>75083762</v>
      </c>
      <c r="B180" s="65535">
        <f>+_xlfn.XLOOKUP(A180,MASTER!B:B,MASTER!A:A)</f>
        <v>100025672</v>
      </c>
      <c r="C180" s="65535" t="str">
        <f>+_xlfn.XLOOKUP(A180,MASTER!B:B,MASTER!C:C)</f>
        <v>PALL MALL PALL MALL SELECT 14 PZ</v>
      </c>
      <c r="D180" s="15" t="str">
        <f>+_xlfn.XLOOKUP(A180,MASTER!B:B,MASTER!D:D)</f>
        <v>BAT</v>
      </c>
      <c r="E180" s="15" t="str">
        <f>+_xlfn.XLOOKUP(A180,MASTER!B:B,MASTER!I:I)</f>
        <v>Activo</v>
      </c>
      <c r="G180" s="65535">
        <v>75079963</v>
      </c>
      <c r="H180" s="15">
        <f>+_xlfn.XLOOKUP(G180,MASTER!B:B,MASTER!A:A)</f>
        <v>100023425</v>
      </c>
      <c r="I180" s="15" t="str">
        <f>+_xlfn.XLOOKUP(G180,MASTER!B:B,MASTER!C:C)</f>
        <v>PALL MALL CLASSICS 25 PZ</v>
      </c>
    </row>
    <row r="181" spans="1:9" s="15" x14ac:dyDescent="0.35">
      <c r="A181" s="65535">
        <v>75083779</v>
      </c>
      <c r="B181" s="65535">
        <f>+_xlfn.XLOOKUP(A181,MASTER!B:B,MASTER!A:A)</f>
        <v>100025673</v>
      </c>
      <c r="C181" s="65535" t="str">
        <f>+_xlfn.XLOOKUP(A181,MASTER!B:B,MASTER!C:C)</f>
        <v>PALL MALL PALL MALL GOLD SELECT 20 PZ</v>
      </c>
      <c r="D181" s="15" t="str">
        <f>+_xlfn.XLOOKUP(A181,MASTER!B:B,MASTER!D:D)</f>
        <v>BAT</v>
      </c>
      <c r="E181" s="15" t="str">
        <f>+_xlfn.XLOOKUP(A181,MASTER!B:B,MASTER!I:I)</f>
        <v>Activo</v>
      </c>
      <c r="G181" s="65535">
        <v>75080105</v>
      </c>
      <c r="H181" s="15">
        <f>+_xlfn.XLOOKUP(G181,MASTER!B:B,MASTER!A:A)</f>
        <v>100023714</v>
      </c>
      <c r="I181" s="15" t="str">
        <f>+_xlfn.XLOOKUP(G181,MASTER!B:B,MASTER!C:C)</f>
        <v>LUCKY STRIKE LATA CLÁSICA RED 20 PZ</v>
      </c>
    </row>
    <row r="182" spans="1:9" s="15" x14ac:dyDescent="0.35">
      <c r="A182" s="65535">
        <v>75083786</v>
      </c>
      <c r="B182" s="65535">
        <f>+_xlfn.XLOOKUP(A182,MASTER!B:B,MASTER!A:A)</f>
        <v>100025670</v>
      </c>
      <c r="C182" s="65535" t="str">
        <f>+_xlfn.XLOOKUP(A182,MASTER!B:B,MASTER!C:C)</f>
        <v>PALL MALL GOLD SELECT 14 PZ</v>
      </c>
      <c r="D182" s="15" t="str">
        <f>+_xlfn.XLOOKUP(A182,MASTER!B:B,MASTER!D:D)</f>
        <v>BAT</v>
      </c>
      <c r="E182" s="15" t="str">
        <f>+_xlfn.XLOOKUP(A182,MASTER!B:B,MASTER!I:I)</f>
        <v>Activo</v>
      </c>
      <c r="G182" s="65535">
        <v>75080495</v>
      </c>
      <c r="H182" s="15">
        <f>+_xlfn.XLOOKUP(G182,MASTER!B:B,MASTER!A:A)</f>
        <v>100026386</v>
      </c>
      <c r="I182" s="15" t="str">
        <f>+_xlfn.XLOOKUP(G182,MASTER!B:B,MASTER!C:C)</f>
        <v>PALL MALL ICELAND 20 PZ</v>
      </c>
    </row>
    <row r="183" spans="1:9" s="15" x14ac:dyDescent="0.35">
      <c r="A183" s="65535">
        <v>75083793</v>
      </c>
      <c r="B183" s="65535">
        <f>+_xlfn.XLOOKUP(A183,MASTER!B:B,MASTER!A:A)</f>
        <v>100025677</v>
      </c>
      <c r="C183" s="65535" t="str">
        <f>+_xlfn.XLOOKUP(A183,MASTER!B:B,MASTER!C:C)</f>
        <v>PALL MALL PALL MALL RED SELECT 25 PZ</v>
      </c>
      <c r="D183" s="15" t="str">
        <f>+_xlfn.XLOOKUP(A183,MASTER!B:B,MASTER!D:D)</f>
        <v>BAT</v>
      </c>
      <c r="E183" s="15" t="str">
        <f>+_xlfn.XLOOKUP(A183,MASTER!B:B,MASTER!I:I)</f>
        <v>Activo</v>
      </c>
      <c r="G183" s="65535">
        <v>75080501</v>
      </c>
      <c r="H183" s="15">
        <f>+_xlfn.XLOOKUP(G183,MASTER!B:B,MASTER!A:A)</f>
        <v>100026387</v>
      </c>
      <c r="I183" s="15" t="str">
        <f>+_xlfn.XLOOKUP(G183,MASTER!B:B,MASTER!C:C)</f>
        <v>PALL MALL ARUBA 20 PZ</v>
      </c>
    </row>
    <row r="184" spans="1:9" s="15" x14ac:dyDescent="0.35">
      <c r="A184" s="65535">
        <v>75083885</v>
      </c>
      <c r="B184" s="65535">
        <f>+_xlfn.XLOOKUP(A184,MASTER!B:B,MASTER!A:A)</f>
        <v>100025283</v>
      </c>
      <c r="C184" s="65535" t="str">
        <f>+_xlfn.XLOOKUP(A184,MASTER!B:B,MASTER!C:C)</f>
        <v>PALL MALL HAWAII SUNLIGHT STRESS RELIEVER 15 PZ</v>
      </c>
      <c r="D184" s="15" t="str">
        <f>+_xlfn.XLOOKUP(A184,MASTER!B:B,MASTER!D:D)</f>
        <v>BAT</v>
      </c>
      <c r="E184" s="15" t="str">
        <f>+_xlfn.XLOOKUP(A184,MASTER!B:B,MASTER!I:I)</f>
        <v>Descontinuado (con stock)</v>
      </c>
      <c r="G184" s="65535">
        <v>75080518</v>
      </c>
      <c r="H184" s="15">
        <f>+_xlfn.XLOOKUP(G184,MASTER!B:B,MASTER!A:A)</f>
        <v>100026388</v>
      </c>
      <c r="I184" s="15" t="str">
        <f>+_xlfn.XLOOKUP(G184,MASTER!B:B,MASTER!C:C)</f>
        <v>PALL MALL OSAKA 20 PZ</v>
      </c>
    </row>
    <row r="185" spans="1:9" s="15" x14ac:dyDescent="0.35">
      <c r="A185" s="65535">
        <v>75083892</v>
      </c>
      <c r="B185" s="65535">
        <f>+_xlfn.XLOOKUP(A185,MASTER!B:B,MASTER!A:A)</f>
        <v>100025284</v>
      </c>
      <c r="C185" s="65535" t="str">
        <f>+_xlfn.XLOOKUP(A185,MASTER!B:B,MASTER!C:C)</f>
        <v>PALL MALL HAWAII SUNLIGHT STRESS RELIEVER 20 PZ</v>
      </c>
      <c r="D185" s="15" t="str">
        <f>+_xlfn.XLOOKUP(A185,MASTER!B:B,MASTER!D:D)</f>
        <v>BAT</v>
      </c>
      <c r="E185" s="15" t="str">
        <f>+_xlfn.XLOOKUP(A185,MASTER!B:B,MASTER!I:I)</f>
        <v>Descontinuado (con stock)</v>
      </c>
      <c r="G185" s="65535">
        <v>75080525</v>
      </c>
      <c r="H185" s="15">
        <f>+_xlfn.XLOOKUP(G185,MASTER!B:B,MASTER!A:A)</f>
        <v>100026385</v>
      </c>
      <c r="I185" s="15" t="str">
        <f>+_xlfn.XLOOKUP(G185,MASTER!B:B,MASTER!C:C)</f>
        <v>PALL MALL HONOLULU 20 PZ</v>
      </c>
    </row>
    <row r="186" spans="1:9" s="15" x14ac:dyDescent="0.35">
      <c r="A186" s="65535">
        <v>75083922</v>
      </c>
      <c r="B186" s="65535">
        <f>+_xlfn.XLOOKUP(A186,MASTER!B:B,MASTER!A:A)</f>
        <v>100025448</v>
      </c>
      <c r="C186" s="65535" t="str">
        <f>+_xlfn.XLOOKUP(A186,MASTER!B:B,MASTER!C:C)</f>
        <v>PALL MALL ALASKA STRESS RELIEVER 15 PZ</v>
      </c>
      <c r="D186" s="15" t="str">
        <f>+_xlfn.XLOOKUP(A186,MASTER!B:B,MASTER!D:D)</f>
        <v>BAT</v>
      </c>
      <c r="E186" s="15" t="str">
        <f>+_xlfn.XLOOKUP(A186,MASTER!B:B,MASTER!I:I)</f>
        <v>Descontinuado (con stock)</v>
      </c>
      <c r="G186" s="65535">
        <v>75080679</v>
      </c>
      <c r="H186" s="15">
        <f>+_xlfn.XLOOKUP(G186,MASTER!B:B,MASTER!A:A)</f>
        <v>100024321</v>
      </c>
      <c r="I186" s="15" t="str">
        <f>+_xlfn.XLOOKUP(G186,MASTER!B:B,MASTER!C:C)</f>
        <v>LUCKIES 25S</v>
      </c>
    </row>
    <row r="187" spans="1:9" s="15" x14ac:dyDescent="0.35">
      <c r="A187" s="65535">
        <v>75083939</v>
      </c>
      <c r="B187" s="65535">
        <f>+_xlfn.XLOOKUP(A187,MASTER!B:B,MASTER!A:A)</f>
        <v>100025442</v>
      </c>
      <c r="C187" s="65535" t="str">
        <f>+_xlfn.XLOOKUP(A187,MASTER!B:B,MASTER!C:C)</f>
        <v>PALL MALL ALASKA STRESS RELIEVER 20 PZ</v>
      </c>
      <c r="D187" s="15" t="str">
        <f>+_xlfn.XLOOKUP(A187,MASTER!B:B,MASTER!D:D)</f>
        <v>BAT</v>
      </c>
      <c r="E187" s="15" t="str">
        <f>+_xlfn.XLOOKUP(A187,MASTER!B:B,MASTER!I:I)</f>
        <v>Descontinuado (con stock)</v>
      </c>
      <c r="G187" s="65535">
        <v>75081058</v>
      </c>
      <c r="H187" s="15">
        <f>+_xlfn.XLOOKUP(G187,MASTER!B:B,MASTER!A:A)</f>
        <v>100024596</v>
      </c>
      <c r="I187" s="15" t="str">
        <f>+_xlfn.XLOOKUP(G187,MASTER!B:B,MASTER!C:C)</f>
        <v>PALL MALL XL MIAMI PARADISE 20S 20 PZ</v>
      </c>
    </row>
    <row r="188" spans="1:9" s="15" x14ac:dyDescent="0.35">
      <c r="A188" s="65535">
        <v>75083953</v>
      </c>
      <c r="B188" s="65535">
        <f>+_xlfn.XLOOKUP(A188,MASTER!B:B,MASTER!A:A)</f>
        <v>100025444</v>
      </c>
      <c r="C188" s="65535" t="str">
        <f>+_xlfn.XLOOKUP(A188,MASTER!B:B,MASTER!C:C)</f>
        <v>PALL MALL TOKYO STRESS RELIEVER 20 PZ</v>
      </c>
      <c r="D188" s="15" t="str">
        <f>+_xlfn.XLOOKUP(A188,MASTER!B:B,MASTER!D:D)</f>
        <v>BAT</v>
      </c>
      <c r="E188" s="15" t="str">
        <f>+_xlfn.XLOOKUP(A188,MASTER!B:B,MASTER!I:I)</f>
        <v>Descontinuado (con stock)</v>
      </c>
      <c r="G188" s="65535">
        <v>75081362</v>
      </c>
      <c r="H188" s="15">
        <f>+_xlfn.XLOOKUP(G188,MASTER!B:B,MASTER!A:A)</f>
        <v>100024932</v>
      </c>
      <c r="I188" s="15" t="str">
        <f>+_xlfn.XLOOKUP(G188,MASTER!B:B,MASTER!C:C)</f>
        <v>TEREA BLACK TROPICAL CAJETILLA PZ</v>
      </c>
    </row>
    <row r="189" spans="1:9" s="15" x14ac:dyDescent="0.35">
      <c r="A189" s="65535">
        <v>75083960</v>
      </c>
      <c r="B189" s="65535">
        <f>+_xlfn.XLOOKUP(A189,MASTER!B:B,MASTER!A:A)</f>
        <v>100025446</v>
      </c>
      <c r="C189" s="65535" t="str">
        <f>+_xlfn.XLOOKUP(A189,MASTER!B:B,MASTER!C:C)</f>
        <v>PALL MALL LONDON STRESS RELIEVER 20 PZ</v>
      </c>
      <c r="D189" s="15" t="str">
        <f>+_xlfn.XLOOKUP(A189,MASTER!B:B,MASTER!D:D)</f>
        <v>BAT</v>
      </c>
      <c r="E189" s="15" t="str">
        <f>+_xlfn.XLOOKUP(A189,MASTER!B:B,MASTER!I:I)</f>
        <v>Descontinuado (con stock)</v>
      </c>
      <c r="G189" s="65535">
        <v>75081652</v>
      </c>
      <c r="H189" s="15">
        <f>+_xlfn.XLOOKUP(G189,MASTER!B:B,MASTER!A:A)</f>
        <v>100024999</v>
      </c>
      <c r="I189" s="15" t="str">
        <f>+_xlfn.XLOOKUP(G189,MASTER!B:B,MASTER!C:C)</f>
        <v>TEREA PROVENCE PEARL MNT 20 CAJETILLA PZ</v>
      </c>
    </row>
    <row r="190" spans="1:9" s="15" x14ac:dyDescent="0.35">
      <c r="A190" s="65535">
        <v>75083977</v>
      </c>
      <c r="B190" s="65535">
        <f>+_xlfn.XLOOKUP(A190,MASTER!B:B,MASTER!A:A)</f>
        <v>100025445</v>
      </c>
      <c r="C190" s="65535" t="str">
        <f>+_xlfn.XLOOKUP(A190,MASTER!B:B,MASTER!C:C)</f>
        <v>PALL MALL MIAMI STRESS RELIEVER 20 PZ</v>
      </c>
      <c r="D190" s="15" t="str">
        <f>+_xlfn.XLOOKUP(A190,MASTER!B:B,MASTER!D:D)</f>
        <v>BAT</v>
      </c>
      <c r="E190" s="15" t="str">
        <f>+_xlfn.XLOOKUP(A190,MASTER!B:B,MASTER!I:I)</f>
        <v>Descontinuado (con stock)</v>
      </c>
      <c r="G190" s="65535">
        <v>75081942</v>
      </c>
      <c r="H190" s="15">
        <f>+_xlfn.XLOOKUP(G190,MASTER!B:B,MASTER!A:A)</f>
        <v>100025053</v>
      </c>
      <c r="I190" s="15" t="str">
        <f>+_xlfn.XLOOKUP(G190,MASTER!B:B,MASTER!C:C)</f>
        <v>LUCKIES 20S</v>
      </c>
    </row>
    <row r="191" spans="1:9" s="15" x14ac:dyDescent="0.35">
      <c r="A191" s="65535">
        <v>75084004</v>
      </c>
      <c r="B191" s="65535">
        <f>+_xlfn.XLOOKUP(A191,MASTER!B:B,MASTER!A:A)</f>
        <v>100026383</v>
      </c>
      <c r="C191" s="65535" t="str">
        <f>+_xlfn.XLOOKUP(A191,MASTER!B:B,MASTER!C:C)</f>
        <v>TEREA BERRINE EDITION 20 CAJETILLA PZ</v>
      </c>
      <c r="D191" s="15" t="str">
        <f>+_xlfn.XLOOKUP(A191,MASTER!B:B,MASTER!D:D)</f>
        <v>PMI</v>
      </c>
      <c r="E191" s="15" t="str">
        <f>+_xlfn.XLOOKUP(A191,MASTER!B:B,MASTER!I:I)</f>
        <v>Activo</v>
      </c>
      <c r="G191" s="65535">
        <v>75082284</v>
      </c>
      <c r="H191" s="15">
        <f>+_xlfn.XLOOKUP(G191,MASTER!B:B,MASTER!A:A)</f>
        <v>100024884</v>
      </c>
      <c r="I191" s="15" t="str">
        <f>+_xlfn.XLOOKUP(G191,MASTER!B:B,MASTER!C:C)</f>
        <v>PALL MALL 125 AÑOS CASE TOKYO 20 PZ</v>
      </c>
    </row>
    <row r="192" spans="1:9" s="15" x14ac:dyDescent="0.35">
      <c r="A192" s="65535">
        <v>75084011</v>
      </c>
      <c r="B192" s="65535">
        <f>+_xlfn.XLOOKUP(A192,MASTER!B:B,MASTER!A:A)</f>
        <v>100026143</v>
      </c>
      <c r="C192" s="65535" t="str">
        <f>+_xlfn.XLOOKUP(A192,MASTER!B:B,MASTER!C:C)</f>
        <v>TEREA RIVIERA PEARL 2 CAJETILLA PZ</v>
      </c>
      <c r="D192" s="15" t="str">
        <f>+_xlfn.XLOOKUP(A192,MASTER!B:B,MASTER!D:D)</f>
        <v>PMI</v>
      </c>
      <c r="E192" s="15" t="str">
        <f>+_xlfn.XLOOKUP(A192,MASTER!B:B,MASTER!I:I)</f>
        <v>Activo</v>
      </c>
      <c r="G192" s="65535">
        <v>75082291</v>
      </c>
      <c r="H192" s="15">
        <f>+_xlfn.XLOOKUP(G192,MASTER!B:B,MASTER!A:A)</f>
        <v>100024885</v>
      </c>
      <c r="I192" s="15" t="str">
        <f>+_xlfn.XLOOKUP(G192,MASTER!B:B,MASTER!C:C)</f>
        <v>PALL MALL 125 AÑOS CASE MYKONOS 20 PZ</v>
      </c>
    </row>
    <row r="193" spans="1:9" s="15" x14ac:dyDescent="0.35">
      <c r="A193" s="65535">
        <v>75084127</v>
      </c>
      <c r="B193" s="65535">
        <f>+_xlfn.XLOOKUP(A193,MASTER!B:B,MASTER!A:A)</f>
        <v>100025845</v>
      </c>
      <c r="C193" s="65535" t="str">
        <f>+_xlfn.XLOOKUP(A193,MASTER!B:B,MASTER!C:C)</f>
        <v>PALL MALL HAWAII ROADTRIP CAN 20 PZ</v>
      </c>
      <c r="D193" s="15" t="str">
        <f>+_xlfn.XLOOKUP(A193,MASTER!B:B,MASTER!D:D)</f>
        <v>BAT</v>
      </c>
      <c r="E193" s="15" t="str">
        <f>+_xlfn.XLOOKUP(A193,MASTER!B:B,MASTER!I:I)</f>
        <v>Descontinuado (con stock)</v>
      </c>
      <c r="G193" s="65535">
        <v>75082307</v>
      </c>
      <c r="H193" s="15">
        <f>+_xlfn.XLOOKUP(G193,MASTER!B:B,MASTER!A:A)</f>
        <v>100024887</v>
      </c>
      <c r="I193" s="15" t="str">
        <f>+_xlfn.XLOOKUP(G193,MASTER!B:B,MASTER!C:C)</f>
        <v>PALL MALL 125 AÑOS CASE HAWAII 20 PZ</v>
      </c>
    </row>
    <row r="194" spans="1:9" s="15" x14ac:dyDescent="0.35">
      <c r="A194" s="65535">
        <v>75084134</v>
      </c>
      <c r="B194" s="65535">
        <f>+_xlfn.XLOOKUP(A194,MASTER!B:B,MASTER!A:A)</f>
        <v>100025846</v>
      </c>
      <c r="C194" s="65535" t="str">
        <f>+_xlfn.XLOOKUP(A194,MASTER!B:B,MASTER!C:C)</f>
        <v>PALL MALL BORA BORA ROADTRIP CAN 20 PZ</v>
      </c>
      <c r="D194" s="15" t="str">
        <f>+_xlfn.XLOOKUP(A194,MASTER!B:B,MASTER!D:D)</f>
        <v>BAT</v>
      </c>
      <c r="E194" s="15" t="str">
        <f>+_xlfn.XLOOKUP(A194,MASTER!B:B,MASTER!I:I)</f>
        <v>Descontinuado (con stock)</v>
      </c>
      <c r="G194" s="65535">
        <v>75082314</v>
      </c>
      <c r="H194" s="15">
        <f>+_xlfn.XLOOKUP(G194,MASTER!B:B,MASTER!A:A)</f>
        <v>100024886</v>
      </c>
      <c r="I194" s="15" t="str">
        <f>+_xlfn.XLOOKUP(G194,MASTER!B:B,MASTER!C:C)</f>
        <v>PALL MALL 125 AÑOS CASE LONDON 20 PZ</v>
      </c>
    </row>
    <row r="195" spans="1:9" s="15" x14ac:dyDescent="0.35">
      <c r="A195" s="65535">
        <v>75084141</v>
      </c>
      <c r="B195" s="65535">
        <f>+_xlfn.XLOOKUP(A195,MASTER!B:B,MASTER!A:A)</f>
        <v>100025847</v>
      </c>
      <c r="C195" s="65535" t="str">
        <f>+_xlfn.XLOOKUP(A195,MASTER!B:B,MASTER!C:C)</f>
        <v>PALL MALL MIAMI ROADTRIP CAN 20 PZ</v>
      </c>
      <c r="D195" s="15" t="str">
        <f>+_xlfn.XLOOKUP(A195,MASTER!B:B,MASTER!D:D)</f>
        <v>BAT</v>
      </c>
      <c r="E195" s="15" t="str">
        <f>+_xlfn.XLOOKUP(A195,MASTER!B:B,MASTER!I:I)</f>
        <v>Descontinuado (con stock)</v>
      </c>
      <c r="G195" s="65535">
        <v>75082321</v>
      </c>
      <c r="H195" s="15">
        <f>+_xlfn.XLOOKUP(G195,MASTER!B:B,MASTER!A:A)</f>
        <v>100024883</v>
      </c>
      <c r="I195" s="15" t="str">
        <f>+_xlfn.XLOOKUP(G195,MASTER!B:B,MASTER!C:C)</f>
        <v>PALL MALL 125 AÑOS CASE BORA BORA 20 PZ</v>
      </c>
    </row>
    <row r="196" spans="1:9" s="15" x14ac:dyDescent="0.35">
      <c r="A196" s="65535">
        <v>75084165</v>
      </c>
      <c r="B196" s="65535">
        <f>+_xlfn.XLOOKUP(A196,MASTER!B:B,MASTER!A:A)</f>
        <v>100025843</v>
      </c>
      <c r="C196" s="65535" t="str">
        <f>+_xlfn.XLOOKUP(A196,MASTER!B:B,MASTER!C:C)</f>
        <v>PALL MALL TOKYO ROADTRIP CAN 20 PZ</v>
      </c>
      <c r="D196" s="15" t="str">
        <f>+_xlfn.XLOOKUP(A196,MASTER!B:B,MASTER!D:D)</f>
        <v>BAT</v>
      </c>
      <c r="E196" s="15" t="str">
        <f>+_xlfn.XLOOKUP(A196,MASTER!B:B,MASTER!I:I)</f>
        <v>Descontinuado (con stock)</v>
      </c>
      <c r="G196" s="65535">
        <v>75082338</v>
      </c>
      <c r="H196" s="15">
        <f>+_xlfn.XLOOKUP(G196,MASTER!B:B,MASTER!A:A)</f>
        <v>100024888</v>
      </c>
      <c r="I196" s="15" t="str">
        <f>+_xlfn.XLOOKUP(G196,MASTER!B:B,MASTER!C:C)</f>
        <v>PALL MALL 125 AÑOS CASE MIAMI 20 PZ</v>
      </c>
    </row>
    <row r="197" spans="1:9" s="15" x14ac:dyDescent="0.35">
      <c r="A197" s="65535">
        <v>75084172</v>
      </c>
      <c r="B197" s="65535">
        <f>+_xlfn.XLOOKUP(A197,MASTER!B:B,MASTER!A:A)</f>
        <v>100025844</v>
      </c>
      <c r="C197" s="65535" t="str">
        <f>+_xlfn.XLOOKUP(A197,MASTER!B:B,MASTER!C:C)</f>
        <v>PALL MALL MYKONOS ROADTRIP CAN 20 PZ</v>
      </c>
      <c r="D197" s="15" t="str">
        <f>+_xlfn.XLOOKUP(A197,MASTER!B:B,MASTER!D:D)</f>
        <v>BAT</v>
      </c>
      <c r="E197" s="15" t="str">
        <f>+_xlfn.XLOOKUP(A197,MASTER!B:B,MASTER!I:I)</f>
        <v>Descontinuado (con stock)</v>
      </c>
      <c r="G197" s="65535">
        <v>75082345</v>
      </c>
      <c r="H197" s="15">
        <f>+_xlfn.XLOOKUP(G197,MASTER!B:B,MASTER!A:A)</f>
        <v>100024881</v>
      </c>
      <c r="I197" s="15" t="str">
        <f>+_xlfn.XLOOKUP(G197,MASTER!B:B,MASTER!C:C)</f>
        <v>MARLBORO PROVENCE FUSION MNT 100 BOX 20 CAJETILLA PZ</v>
      </c>
    </row>
    <row r="198" spans="1:9" s="15" x14ac:dyDescent="0.35">
      <c r="A198" s="65535">
        <v>75084189</v>
      </c>
      <c r="B198" s="65535">
        <f>+_xlfn.XLOOKUP(A198,MASTER!B:B,MASTER!A:A)</f>
        <v>100025842</v>
      </c>
      <c r="C198" s="65535" t="str">
        <f>+_xlfn.XLOOKUP(A198,MASTER!B:B,MASTER!C:C)</f>
        <v>PALL MALL ALASKA ROADTRIP CAN 20 PZ</v>
      </c>
      <c r="D198" s="15" t="str">
        <f>+_xlfn.XLOOKUP(A198,MASTER!B:B,MASTER!D:D)</f>
        <v>BAT</v>
      </c>
      <c r="E198" s="15" t="str">
        <f>+_xlfn.XLOOKUP(A198,MASTER!B:B,MASTER!I:I)</f>
        <v>Descontinuado (con stock)</v>
      </c>
      <c r="G198" s="65535">
        <v>75082543</v>
      </c>
      <c r="H198" s="15">
        <f>+_xlfn.XLOOKUP(G198,MASTER!B:B,MASTER!A:A)</f>
        <v>100025282</v>
      </c>
      <c r="I198" s="15" t="str">
        <f>+_xlfn.XLOOKUP(G198,MASTER!B:B,MASTER!C:C)</f>
        <v>PALL MALL HAWAII SUNLIGHT 15 PZ</v>
      </c>
    </row>
    <row r="199" spans="1:9" s="15" x14ac:dyDescent="0.35">
      <c r="A199" s="65535">
        <v>75084332</v>
      </c>
      <c r="B199" s="65535">
        <f>+_xlfn.XLOOKUP(A199,MASTER!B:B,MASTER!A:A)</f>
        <v>100026068</v>
      </c>
      <c r="C199" s="65535" t="str">
        <f>+_xlfn.XLOOKUP(A199,MASTER!B:B,MASTER!C:C)</f>
        <v>LUCKY STRIKE LUCKIES STICK 20S 20 PZ</v>
      </c>
      <c r="D199" s="15" t="str">
        <f>+_xlfn.XLOOKUP(A199,MASTER!B:B,MASTER!D:D)</f>
        <v>BAT</v>
      </c>
      <c r="E199" s="15" t="str">
        <f>+_xlfn.XLOOKUP(A199,MASTER!B:B,MASTER!I:I)</f>
        <v>Descontinuado (con stock)</v>
      </c>
      <c r="G199" s="65535">
        <v>75083632</v>
      </c>
      <c r="H199" s="15">
        <f>+_xlfn.XLOOKUP(G199,MASTER!B:B,MASTER!A:A)</f>
        <v>100025850</v>
      </c>
      <c r="I199" s="15" t="str">
        <f>+_xlfn.XLOOKUP(G199,MASTER!B:B,MASTER!C:C)</f>
        <v>PALL MALL PM MANILA DAYLIGHT 20 PZ</v>
      </c>
    </row>
    <row r="200" spans="1:9" s="15" x14ac:dyDescent="0.35">
      <c r="A200" s="65535">
        <v>75084486</v>
      </c>
      <c r="B200" s="65535">
        <f>+_xlfn.XLOOKUP(A200,MASTER!B:B,MASTER!A:A)</f>
        <v>100025848</v>
      </c>
      <c r="C200" s="65535" t="str">
        <f>+_xlfn.XLOOKUP(A200,MASTER!B:B,MASTER!C:C)</f>
        <v>PALL MALL MANILA ROADTRIP CAN 20 PZ</v>
      </c>
      <c r="D200" s="15" t="str">
        <f>+_xlfn.XLOOKUP(A200,MASTER!B:B,MASTER!D:D)</f>
        <v>BAT</v>
      </c>
      <c r="E200" s="15" t="str">
        <f>+_xlfn.XLOOKUP(A200,MASTER!B:B,MASTER!I:I)</f>
        <v>Descontinuado (con stock)</v>
      </c>
      <c r="G200" s="65535">
        <v>75083649</v>
      </c>
      <c r="H200" s="15">
        <f>+_xlfn.XLOOKUP(G200,MASTER!B:B,MASTER!A:A)</f>
        <v>100025310</v>
      </c>
      <c r="I200" s="15" t="str">
        <f>+_xlfn.XLOOKUP(G200,MASTER!B:B,MASTER!C:C)</f>
        <v>TEREA GLACIER PEARL 20 CAJETILLA PZ</v>
      </c>
    </row>
    <row r="201" spans="1:9" s="15" x14ac:dyDescent="0.35">
      <c r="A201" s="65535">
        <v>75084585</v>
      </c>
      <c r="B201" s="65535">
        <f>+_xlfn.XLOOKUP(A201,MASTER!B:B,MASTER!A:A)</f>
        <v>100026687</v>
      </c>
      <c r="C201" s="65535" t="str">
        <f>+_xlfn.XLOOKUP(A201,MASTER!B:B,MASTER!C:C)</f>
        <v>PALL MALL AIRLINES ALASKA 20 PZ</v>
      </c>
      <c r="D201" s="15" t="str">
        <f>+_xlfn.XLOOKUP(A201,MASTER!B:B,MASTER!D:D)</f>
        <v>BAT</v>
      </c>
      <c r="E201" s="15" t="str">
        <f>+_xlfn.XLOOKUP(A201,MASTER!B:B,MASTER!I:I)</f>
        <v>Descontinuado (con stock)</v>
      </c>
      <c r="G201" s="65535">
        <v>75083656</v>
      </c>
      <c r="H201" s="15">
        <f>+_xlfn.XLOOKUP(G201,MASTER!B:B,MASTER!A:A)</f>
        <v>100025311</v>
      </c>
      <c r="I201" s="15" t="str">
        <f>+_xlfn.XLOOKUP(G201,MASTER!B:B,MASTER!C:C)</f>
        <v>TEREA TWILIGHT PEARL 20 CAJETILLA PZ</v>
      </c>
    </row>
    <row r="202" spans="1:9" s="15" x14ac:dyDescent="0.35">
      <c r="A202" s="65535">
        <v>75084592</v>
      </c>
      <c r="B202" s="65535">
        <f>+_xlfn.XLOOKUP(A202,MASTER!B:B,MASTER!A:A)</f>
        <v>100026689</v>
      </c>
      <c r="C202" s="65535" t="str">
        <f>+_xlfn.XLOOKUP(A202,MASTER!B:B,MASTER!C:C)</f>
        <v>PALL MALL AIRLINES MYKONOS 20 PZ</v>
      </c>
      <c r="D202" s="15" t="str">
        <f>+_xlfn.XLOOKUP(A202,MASTER!B:B,MASTER!D:D)</f>
        <v>BAT</v>
      </c>
      <c r="E202" s="15" t="str">
        <f>+_xlfn.XLOOKUP(A202,MASTER!B:B,MASTER!I:I)</f>
        <v>Descontinuado (con stock)</v>
      </c>
      <c r="G202" s="65535">
        <v>75083755</v>
      </c>
      <c r="H202" s="15">
        <f>+_xlfn.XLOOKUP(G202,MASTER!B:B,MASTER!A:A)</f>
        <v>100025675</v>
      </c>
      <c r="I202" s="15" t="str">
        <f>+_xlfn.XLOOKUP(G202,MASTER!B:B,MASTER!C:C)</f>
        <v>PALL MALL PALL MALL SELECT 20 PZ</v>
      </c>
    </row>
    <row r="203" spans="1:9" s="15" x14ac:dyDescent="0.35">
      <c r="A203" s="65535">
        <v>75084608</v>
      </c>
      <c r="B203" s="65535">
        <f>+_xlfn.XLOOKUP(A203,MASTER!B:B,MASTER!A:A)</f>
        <v>100026688</v>
      </c>
      <c r="C203" s="65535" t="str">
        <f>+_xlfn.XLOOKUP(A203,MASTER!B:B,MASTER!C:C)</f>
        <v>PALL MALL AIRLINES TOKYO 20 PZ</v>
      </c>
      <c r="D203" s="15" t="str">
        <f>+_xlfn.XLOOKUP(A203,MASTER!B:B,MASTER!D:D)</f>
        <v>BAT</v>
      </c>
      <c r="E203" s="15" t="str">
        <f>+_xlfn.XLOOKUP(A203,MASTER!B:B,MASTER!I:I)</f>
        <v>Descontinuado (con stock)</v>
      </c>
      <c r="G203" s="65535">
        <v>75083762</v>
      </c>
      <c r="H203" s="15">
        <f>+_xlfn.XLOOKUP(G203,MASTER!B:B,MASTER!A:A)</f>
        <v>100025672</v>
      </c>
      <c r="I203" s="15" t="str">
        <f>+_xlfn.XLOOKUP(G203,MASTER!B:B,MASTER!C:C)</f>
        <v>PALL MALL PALL MALL SELECT 14 PZ</v>
      </c>
    </row>
    <row r="204" spans="1:9" s="15" x14ac:dyDescent="0.35">
      <c r="A204" s="65535">
        <v>75084639</v>
      </c>
      <c r="B204" s="65535">
        <f>+_xlfn.XLOOKUP(A204,MASTER!B:B,MASTER!A:A)</f>
        <v>100026691</v>
      </c>
      <c r="C204" s="65535" t="str">
        <f>+_xlfn.XLOOKUP(A204,MASTER!B:B,MASTER!C:C)</f>
        <v>PALL MALL AIRLINES BORA BORA 20 PZ</v>
      </c>
      <c r="D204" s="15" t="str">
        <f>+_xlfn.XLOOKUP(A204,MASTER!B:B,MASTER!D:D)</f>
        <v>BAT</v>
      </c>
      <c r="E204" s="15" t="str">
        <f>+_xlfn.XLOOKUP(A204,MASTER!B:B,MASTER!I:I)</f>
        <v>Descontinuado (con stock)</v>
      </c>
      <c r="G204" s="65535">
        <v>75083779</v>
      </c>
      <c r="H204" s="15">
        <f>+_xlfn.XLOOKUP(G204,MASTER!B:B,MASTER!A:A)</f>
        <v>100025673</v>
      </c>
      <c r="I204" s="15" t="str">
        <f>+_xlfn.XLOOKUP(G204,MASTER!B:B,MASTER!C:C)</f>
        <v>PALL MALL PALL MALL GOLD SELECT 20 PZ</v>
      </c>
    </row>
    <row r="205" spans="1:9" s="15" x14ac:dyDescent="0.35">
      <c r="A205" s="65535">
        <v>75084646</v>
      </c>
      <c r="B205" s="65535">
        <f>+_xlfn.XLOOKUP(A205,MASTER!B:B,MASTER!A:A)</f>
        <v>100026690</v>
      </c>
      <c r="C205" s="65535" t="str">
        <f>+_xlfn.XLOOKUP(A205,MASTER!B:B,MASTER!C:C)</f>
        <v>PALL MALL AIRLINES HAWAII 20 PZ</v>
      </c>
      <c r="D205" s="15" t="str">
        <f>+_xlfn.XLOOKUP(A205,MASTER!B:B,MASTER!D:D)</f>
        <v>BAT</v>
      </c>
      <c r="E205" s="15" t="str">
        <f>+_xlfn.XLOOKUP(A205,MASTER!B:B,MASTER!I:I)</f>
        <v>Descontinuado (con stock)</v>
      </c>
      <c r="G205" s="65535">
        <v>75083786</v>
      </c>
      <c r="H205" s="15">
        <f>+_xlfn.XLOOKUP(G205,MASTER!B:B,MASTER!A:A)</f>
        <v>100025670</v>
      </c>
      <c r="I205" s="15" t="str">
        <f>+_xlfn.XLOOKUP(G205,MASTER!B:B,MASTER!C:C)</f>
        <v>PALL MALL GOLD SELECT 14 PZ</v>
      </c>
    </row>
    <row r="206" spans="1:9" s="15" x14ac:dyDescent="0.35">
      <c r="A206" s="65535">
        <v>75084653</v>
      </c>
      <c r="B206" s="65535">
        <f>+_xlfn.XLOOKUP(A206,MASTER!B:B,MASTER!A:A)</f>
        <v>100026692</v>
      </c>
      <c r="C206" s="65535" t="str">
        <f>+_xlfn.XLOOKUP(A206,MASTER!B:B,MASTER!C:C)</f>
        <v>PALL MALL AIRLINES MANILA 20 PZ</v>
      </c>
      <c r="D206" s="15" t="str">
        <f>+_xlfn.XLOOKUP(A206,MASTER!B:B,MASTER!D:D)</f>
        <v>BAT</v>
      </c>
      <c r="E206" s="15" t="str">
        <f>+_xlfn.XLOOKUP(A206,MASTER!B:B,MASTER!I:I)</f>
        <v>Descontinuado (con stock)</v>
      </c>
      <c r="G206" s="65535">
        <v>75083793</v>
      </c>
      <c r="H206" s="15">
        <f>+_xlfn.XLOOKUP(G206,MASTER!B:B,MASTER!A:A)</f>
        <v>100025677</v>
      </c>
      <c r="I206" s="15" t="str">
        <f>+_xlfn.XLOOKUP(G206,MASTER!B:B,MASTER!C:C)</f>
        <v>PALL MALL PALL MALL RED SELECT 25 PZ</v>
      </c>
    </row>
    <row r="207" spans="1:9" s="15" x14ac:dyDescent="0.35">
      <c r="A207" s="65535">
        <v>75085384</v>
      </c>
      <c r="B207" s="65535">
        <f>+_xlfn.XLOOKUP(A207,MASTER!B:B,MASTER!A:A)</f>
        <v>100026382</v>
      </c>
      <c r="C207" s="65535" t="str">
        <f>+_xlfn.XLOOKUP(A207,MASTER!B:B,MASTER!C:C)</f>
        <v>MARLBORO CRAFTED BLOSSOM MIX 100</v>
      </c>
      <c r="D207" s="15" t="str">
        <f>+_xlfn.XLOOKUP(A207,MASTER!B:B,MASTER!D:D)</f>
        <v>PMI</v>
      </c>
      <c r="E207" s="15" t="str">
        <f>+_xlfn.XLOOKUP(A207,MASTER!B:B,MASTER!I:I)</f>
        <v>Activo</v>
      </c>
      <c r="G207" s="65535">
        <v>75083885</v>
      </c>
      <c r="H207" s="15">
        <f>+_xlfn.XLOOKUP(G207,MASTER!B:B,MASTER!A:A)</f>
        <v>100025283</v>
      </c>
      <c r="I207" s="15" t="str">
        <f>+_xlfn.XLOOKUP(G207,MASTER!B:B,MASTER!C:C)</f>
        <v>PALL MALL HAWAII SUNLIGHT STRESS RELIEVER 15 PZ</v>
      </c>
    </row>
    <row r="208" spans="1:9" s="15" x14ac:dyDescent="0.35">
      <c r="A208" s="65535">
        <v>75086091</v>
      </c>
      <c r="B208" s="65535">
        <f>+_xlfn.XLOOKUP(A208,MASTER!B:B,MASTER!A:A)</f>
        <v>100026380</v>
      </c>
      <c r="C208" s="65535" t="str">
        <f>+_xlfn.XLOOKUP(A208,MASTER!B:B,MASTER!C:C)</f>
        <v>MARLBORO CRAFTED SUMMER MIX 100</v>
      </c>
      <c r="D208" s="15" t="str">
        <f>+_xlfn.XLOOKUP(A208,MASTER!B:B,MASTER!D:D)</f>
        <v>PMI</v>
      </c>
      <c r="E208" s="15" t="str">
        <f>+_xlfn.XLOOKUP(A208,MASTER!B:B,MASTER!I:I)</f>
        <v>Activo</v>
      </c>
      <c r="G208" s="65535">
        <v>75083892</v>
      </c>
      <c r="H208" s="15">
        <f>+_xlfn.XLOOKUP(G208,MASTER!B:B,MASTER!A:A)</f>
        <v>100025284</v>
      </c>
      <c r="I208" s="15" t="str">
        <f>+_xlfn.XLOOKUP(G208,MASTER!B:B,MASTER!C:C)</f>
        <v>PALL MALL HAWAII SUNLIGHT STRESS RELIEVER 20 PZ</v>
      </c>
    </row>
    <row r="209" spans="1:9" s="15" x14ac:dyDescent="0.35">
      <c r="A209" s="65535">
        <v>75086381</v>
      </c>
      <c r="B209" s="65535">
        <f>+_xlfn.XLOOKUP(A209,MASTER!B:B,MASTER!A:A)</f>
        <v>100026685</v>
      </c>
      <c r="C209" s="65535" t="str">
        <f>+_xlfn.XLOOKUP(A209,MASTER!B:B,MASTER!C:C)</f>
        <v>MARLBORO CRAFTED RUBY PZ</v>
      </c>
      <c r="D209" s="15" t="str">
        <f>+_xlfn.XLOOKUP(A209,MASTER!B:B,MASTER!D:D)</f>
        <v>PMI</v>
      </c>
      <c r="E209" s="15" t="str">
        <f>+_xlfn.XLOOKUP(A209,MASTER!B:B,MASTER!I:I)</f>
        <v>Activo</v>
      </c>
      <c r="G209" s="65535">
        <v>75083922</v>
      </c>
      <c r="H209" s="15">
        <f>+_xlfn.XLOOKUP(G209,MASTER!B:B,MASTER!A:A)</f>
        <v>100025448</v>
      </c>
      <c r="I209" s="15" t="str">
        <f>+_xlfn.XLOOKUP(G209,MASTER!B:B,MASTER!C:C)</f>
        <v>PALL MALL ALASKA STRESS RELIEVER 15 PZ</v>
      </c>
    </row>
    <row r="210" spans="1:9" s="15" x14ac:dyDescent="0.35">
      <c r="A210" s="65535">
        <v>25900000295</v>
      </c>
      <c r="B210" s="65535">
        <f>+_xlfn.XLOOKUP(A210,MASTER!B:B,MASTER!A:A)</f>
        <v>100016254</v>
      </c>
      <c r="C210" s="65535" t="str">
        <f>+_xlfn.XLOOKUP(A210,MASTER!B:B,MASTER!C:C)</f>
        <v>KING EDWARD PURO  ORIGINAL 1 PZ</v>
      </c>
      <c r="D210" s="15" t="str">
        <f>+_xlfn.XLOOKUP(A210,MASTER!B:B,MASTER!D:D)</f>
        <v>PUROS</v>
      </c>
      <c r="E210" s="15" t="str">
        <f>+_xlfn.XLOOKUP(A210,MASTER!B:B,MASTER!I:I)</f>
        <v>Activo</v>
      </c>
      <c r="G210" s="65535">
        <v>75083939</v>
      </c>
      <c r="H210" s="15">
        <f>+_xlfn.XLOOKUP(G210,MASTER!B:B,MASTER!A:A)</f>
        <v>100025442</v>
      </c>
      <c r="I210" s="15" t="str">
        <f>+_xlfn.XLOOKUP(G210,MASTER!B:B,MASTER!C:C)</f>
        <v>PALL MALL ALASKA STRESS RELIEVER 20 PZ</v>
      </c>
    </row>
    <row r="211" spans="1:9" s="15" x14ac:dyDescent="0.35">
      <c r="A211" s="65535">
        <v>4033100094316</v>
      </c>
      <c r="B211" s="65535">
        <f>+_xlfn.XLOOKUP(A211,MASTER!B:B,MASTER!A:A)</f>
        <v>100014850</v>
      </c>
      <c r="C211" s="65535" t="str">
        <f>+_xlfn.XLOOKUP(A211,MASTER!B:B,MASTER!C:C)</f>
        <v xml:space="preserve">WINSTON CLASSIC 25S		</v>
      </c>
      <c r="D211" s="15" t="str">
        <f>+_xlfn.XLOOKUP(A211,MASTER!B:B,MASTER!D:D)</f>
        <v>JTI</v>
      </c>
      <c r="E211" s="15" t="str">
        <f>+_xlfn.XLOOKUP(A211,MASTER!B:B,MASTER!I:I)</f>
        <v>Descontinuado (con stock)</v>
      </c>
      <c r="G211" s="65535">
        <v>75083946</v>
      </c>
      <c r="H211" s="15">
        <f>+_xlfn.XLOOKUP(G211,MASTER!B:B,MASTER!A:A)</f>
        <v>100025443</v>
      </c>
      <c r="I211" s="15" t="str">
        <f>+_xlfn.XLOOKUP(G211,MASTER!B:B,MASTER!C:C)</f>
        <v>PALL MALL MYKONOS STRESS RELIEVER 20 PZ</v>
      </c>
    </row>
    <row r="212" spans="1:9" s="15" x14ac:dyDescent="0.35">
      <c r="A212" s="65535">
        <v>5410706884739</v>
      </c>
      <c r="B212" s="65535">
        <f>+_xlfn.XLOOKUP(A212,MASTER!B:B,MASTER!A:A)</f>
        <v>100020177</v>
      </c>
      <c r="C212" s="65535" t="str">
        <f>+_xlfn.XLOOKUP(A212,MASTER!B:B,MASTER!C:C)</f>
        <v>IQOS 3 IQOS DUO GREY KIT 1 PZ</v>
      </c>
      <c r="D212" s="15" t="str">
        <f>+_xlfn.XLOOKUP(A212,MASTER!B:B,MASTER!D:D)</f>
        <v>PMI</v>
      </c>
      <c r="E212" s="15" t="str">
        <f>+_xlfn.XLOOKUP(A212,MASTER!B:B,MASTER!I:I)</f>
        <v>Descontinuado (con stock)</v>
      </c>
      <c r="G212" s="65535">
        <v>75083953</v>
      </c>
      <c r="H212" s="15">
        <f>+_xlfn.XLOOKUP(G212,MASTER!B:B,MASTER!A:A)</f>
        <v>100025444</v>
      </c>
      <c r="I212" s="15" t="str">
        <f>+_xlfn.XLOOKUP(G212,MASTER!B:B,MASTER!C:C)</f>
        <v>PALL MALL TOKYO STRESS RELIEVER 20 PZ</v>
      </c>
    </row>
    <row r="213" spans="1:9" s="15" x14ac:dyDescent="0.35">
      <c r="A213" s="65535">
        <v>7311250035555</v>
      </c>
      <c r="B213" s="65535">
        <f>+_xlfn.XLOOKUP(A213,MASTER!B:B,MASTER!A:A)</f>
        <v>100026062</v>
      </c>
      <c r="C213" s="65535" t="str">
        <f>+_xlfn.XLOOKUP(A213,MASTER!B:B,MASTER!C:C)</f>
        <v>ZYN BLACK CHERRY 1.5MG LOW LATA PZ</v>
      </c>
      <c r="D213" s="15" t="str">
        <f>+_xlfn.XLOOKUP(A213,MASTER!B:B,MASTER!D:D)</f>
        <v>PMI</v>
      </c>
      <c r="E213" s="15" t="str">
        <f>+_xlfn.XLOOKUP(A213,MASTER!B:B,MASTER!I:I)</f>
        <v>Activo</v>
      </c>
      <c r="G213" s="65535">
        <v>75083960</v>
      </c>
      <c r="H213" s="15">
        <f>+_xlfn.XLOOKUP(G213,MASTER!B:B,MASTER!A:A)</f>
        <v>100025446</v>
      </c>
      <c r="I213" s="15" t="str">
        <f>+_xlfn.XLOOKUP(G213,MASTER!B:B,MASTER!C:C)</f>
        <v>PALL MALL LONDON STRESS RELIEVER 20 PZ</v>
      </c>
    </row>
    <row r="214" spans="1:9" s="15" x14ac:dyDescent="0.35">
      <c r="A214" s="65535">
        <v>7311250035562</v>
      </c>
      <c r="B214" s="65535">
        <f>+_xlfn.XLOOKUP(A214,MASTER!B:B,MASTER!A:A)</f>
        <v>100026064</v>
      </c>
      <c r="C214" s="65535" t="str">
        <f>+_xlfn.XLOOKUP(A214,MASTER!B:B,MASTER!C:C)</f>
        <v>ZYN COOL MINT 1.5MG LOW LATA PZ</v>
      </c>
      <c r="D214" s="15" t="str">
        <f>+_xlfn.XLOOKUP(A214,MASTER!B:B,MASTER!D:D)</f>
        <v>PMI</v>
      </c>
      <c r="E214" s="15" t="str">
        <f>+_xlfn.XLOOKUP(A214,MASTER!B:B,MASTER!I:I)</f>
        <v>Activo</v>
      </c>
      <c r="G214" s="65535">
        <v>75083977</v>
      </c>
      <c r="H214" s="15">
        <f>+_xlfn.XLOOKUP(G214,MASTER!B:B,MASTER!A:A)</f>
        <v>100025445</v>
      </c>
      <c r="I214" s="15" t="str">
        <f>+_xlfn.XLOOKUP(G214,MASTER!B:B,MASTER!C:C)</f>
        <v>PALL MALL MIAMI STRESS RELIEVER 20 PZ</v>
      </c>
    </row>
    <row r="215" spans="1:9" s="15" x14ac:dyDescent="0.35">
      <c r="A215" s="65535">
        <v>7311250035579</v>
      </c>
      <c r="B215" s="65535">
        <f>+_xlfn.XLOOKUP(A215,MASTER!B:B,MASTER!A:A)</f>
        <v>100026067</v>
      </c>
      <c r="C215" s="65535" t="str">
        <f>+_xlfn.XLOOKUP(A215,MASTER!B:B,MASTER!C:C)</f>
        <v>ZYN PEACH 6MG STRONG LATA PZ</v>
      </c>
      <c r="D215" s="15" t="str">
        <f>+_xlfn.XLOOKUP(A215,MASTER!B:B,MASTER!D:D)</f>
        <v>PMI</v>
      </c>
      <c r="E215" s="15" t="str">
        <f>+_xlfn.XLOOKUP(A215,MASTER!B:B,MASTER!I:I)</f>
        <v>Activo</v>
      </c>
      <c r="G215" s="65535">
        <v>75084004</v>
      </c>
      <c r="H215" s="15">
        <f>+_xlfn.XLOOKUP(G215,MASTER!B:B,MASTER!A:A)</f>
        <v>100026383</v>
      </c>
      <c r="I215" s="15" t="str">
        <f>+_xlfn.XLOOKUP(G215,MASTER!B:B,MASTER!C:C)</f>
        <v>TEREA BERRINE EDITION 20 CAJETILLA PZ</v>
      </c>
    </row>
    <row r="216" spans="1:9" s="15" x14ac:dyDescent="0.35">
      <c r="A216" s="65535">
        <v>7311250035593</v>
      </c>
      <c r="B216" s="65535">
        <f>+_xlfn.XLOOKUP(A216,MASTER!B:B,MASTER!A:A)</f>
        <v>100026065</v>
      </c>
      <c r="C216" s="65535" t="str">
        <f>+_xlfn.XLOOKUP(A216,MASTER!B:B,MASTER!C:C)</f>
        <v>ZYN PEACH 3MG MEDIUM LATA PZ</v>
      </c>
      <c r="D216" s="15" t="str">
        <f>+_xlfn.XLOOKUP(A216,MASTER!B:B,MASTER!D:D)</f>
        <v>PMI</v>
      </c>
      <c r="E216" s="15" t="str">
        <f>+_xlfn.XLOOKUP(A216,MASTER!B:B,MASTER!I:I)</f>
        <v>Activo</v>
      </c>
      <c r="G216" s="65535">
        <v>75084011</v>
      </c>
      <c r="H216" s="15">
        <f>+_xlfn.XLOOKUP(G216,MASTER!B:B,MASTER!A:A)</f>
        <v>100026143</v>
      </c>
      <c r="I216" s="15" t="str">
        <f>+_xlfn.XLOOKUP(G216,MASTER!B:B,MASTER!C:C)</f>
        <v>TEREA RIVIERA PEARL 2 CAJETILLA PZ</v>
      </c>
    </row>
    <row r="217" spans="1:9" s="15" x14ac:dyDescent="0.35">
      <c r="A217" s="65535">
        <v>7311250044373</v>
      </c>
      <c r="B217" s="65535">
        <f>+_xlfn.XLOOKUP(A217,MASTER!B:B,MASTER!A:A)</f>
        <v>100024289</v>
      </c>
      <c r="C217" s="65535" t="str">
        <f>+_xlfn.XLOOKUP(A217,MASTER!B:B,MASTER!C:C)</f>
        <v>ZYN BLACK CHERRY MINI MEDIUM CAJETILLA PZ</v>
      </c>
      <c r="D217" s="15" t="str">
        <f>+_xlfn.XLOOKUP(A217,MASTER!B:B,MASTER!D:D)</f>
        <v>PMI</v>
      </c>
      <c r="E217" s="15" t="str">
        <f>+_xlfn.XLOOKUP(A217,MASTER!B:B,MASTER!I:I)</f>
        <v>Activo</v>
      </c>
      <c r="G217" s="65535">
        <v>75084332</v>
      </c>
      <c r="H217" s="15">
        <f>+_xlfn.XLOOKUP(G217,MASTER!B:B,MASTER!A:A)</f>
        <v>100026068</v>
      </c>
      <c r="I217" s="15" t="str">
        <f>+_xlfn.XLOOKUP(G217,MASTER!B:B,MASTER!C:C)</f>
        <v>LUCKY STRIKE LUCKIES STICK 20S 20 PZ</v>
      </c>
    </row>
    <row r="218" spans="1:9" s="15" x14ac:dyDescent="0.35">
      <c r="A218" s="65535">
        <v>7311250044380</v>
      </c>
      <c r="B218" s="65535">
        <f>+_xlfn.XLOOKUP(A218,MASTER!B:B,MASTER!A:A)</f>
        <v>100024397</v>
      </c>
      <c r="C218" s="65535" t="str">
        <f>+_xlfn.XLOOKUP(A218,MASTER!B:B,MASTER!C:C)</f>
        <v>ZYN BLACK CHERRY MINI STRONG UNIDAD PZ</v>
      </c>
      <c r="D218" s="15" t="str">
        <f>+_xlfn.XLOOKUP(A218,MASTER!B:B,MASTER!D:D)</f>
        <v>PMI</v>
      </c>
      <c r="E218" s="15" t="str">
        <f>+_xlfn.XLOOKUP(A218,MASTER!B:B,MASTER!I:I)</f>
        <v>Activo</v>
      </c>
      <c r="G218" s="65535">
        <v>75084493</v>
      </c>
      <c r="H218" s="15">
        <f>+_xlfn.XLOOKUP(G218,MASTER!B:B,MASTER!A:A)</f>
        <v>100026684</v>
      </c>
      <c r="I218" s="15" t="str">
        <f>+_xlfn.XLOOKUP(G218,MASTER!B:B,MASTER!C:C)</f>
        <v>PALL MALL AMALFI 20 PZ</v>
      </c>
    </row>
    <row r="219" spans="1:9" s="15" x14ac:dyDescent="0.35">
      <c r="A219" s="65535">
        <v>7311250044397</v>
      </c>
      <c r="B219" s="65535">
        <f>+_xlfn.XLOOKUP(A219,MASTER!B:B,MASTER!A:A)</f>
        <v>100024294</v>
      </c>
      <c r="C219" s="65535" t="str">
        <f>+_xlfn.XLOOKUP(A219,MASTER!B:B,MASTER!C:C)</f>
        <v>ZYN COOL MINT MINI MEDIUM CAJETILLA PZ</v>
      </c>
      <c r="D219" s="15" t="str">
        <f>+_xlfn.XLOOKUP(A219,MASTER!B:B,MASTER!D:D)</f>
        <v>PMI</v>
      </c>
      <c r="E219" s="15" t="str">
        <f>+_xlfn.XLOOKUP(A219,MASTER!B:B,MASTER!I:I)</f>
        <v>Activo</v>
      </c>
      <c r="G219" s="65535">
        <v>75084585</v>
      </c>
      <c r="H219" s="15">
        <f>+_xlfn.XLOOKUP(G219,MASTER!B:B,MASTER!A:A)</f>
        <v>100026687</v>
      </c>
      <c r="I219" s="15" t="str">
        <f>+_xlfn.XLOOKUP(G219,MASTER!B:B,MASTER!C:C)</f>
        <v>PALL MALL AIRLINES ALASKA 20 PZ</v>
      </c>
    </row>
    <row r="220" spans="1:9" s="15" x14ac:dyDescent="0.35">
      <c r="A220" s="65535">
        <v>7311250044403</v>
      </c>
      <c r="B220" s="65535">
        <f>+_xlfn.XLOOKUP(A220,MASTER!B:B,MASTER!A:A)</f>
        <v>100024399</v>
      </c>
      <c r="C220" s="65535" t="str">
        <f>+_xlfn.XLOOKUP(A220,MASTER!B:B,MASTER!C:C)</f>
        <v>ZYN COOL MINT MINI STRONG UNIDAD PZ</v>
      </c>
      <c r="D220" s="15" t="str">
        <f>+_xlfn.XLOOKUP(A220,MASTER!B:B,MASTER!D:D)</f>
        <v>PMI</v>
      </c>
      <c r="E220" s="15" t="str">
        <f>+_xlfn.XLOOKUP(A220,MASTER!B:B,MASTER!I:I)</f>
        <v>Activo</v>
      </c>
      <c r="G220" s="65535">
        <v>75084592</v>
      </c>
      <c r="H220" s="15">
        <f>+_xlfn.XLOOKUP(G220,MASTER!B:B,MASTER!A:A)</f>
        <v>100026689</v>
      </c>
      <c r="I220" s="15" t="str">
        <f>+_xlfn.XLOOKUP(G220,MASTER!B:B,MASTER!C:C)</f>
        <v>PALL MALL AIRLINES MYKONOS 20 PZ</v>
      </c>
    </row>
    <row r="221" spans="1:9" s="15" x14ac:dyDescent="0.35">
      <c r="A221" s="65535">
        <v>7311250044410</v>
      </c>
      <c r="B221" s="65535">
        <f>+_xlfn.XLOOKUP(A221,MASTER!B:B,MASTER!A:A)</f>
        <v>100024293</v>
      </c>
      <c r="C221" s="65535" t="str">
        <f>+_xlfn.XLOOKUP(A221,MASTER!B:B,MASTER!C:C)</f>
        <v>ZYN CITRUS MINI MEDIUM CAJETILLA PZ</v>
      </c>
      <c r="D221" s="15" t="str">
        <f>+_xlfn.XLOOKUP(A221,MASTER!B:B,MASTER!D:D)</f>
        <v>PMI</v>
      </c>
      <c r="E221" s="15" t="str">
        <f>+_xlfn.XLOOKUP(A221,MASTER!B:B,MASTER!I:I)</f>
        <v>Activo</v>
      </c>
      <c r="G221" s="65535">
        <v>75084608</v>
      </c>
      <c r="H221" s="15">
        <f>+_xlfn.XLOOKUP(G221,MASTER!B:B,MASTER!A:A)</f>
        <v>100026688</v>
      </c>
      <c r="I221" s="15" t="str">
        <f>+_xlfn.XLOOKUP(G221,MASTER!B:B,MASTER!C:C)</f>
        <v>PALL MALL AIRLINES TOKYO 20 PZ</v>
      </c>
    </row>
    <row r="222" spans="1:9" s="15" x14ac:dyDescent="0.35">
      <c r="A222" s="65535">
        <v>7311250044427</v>
      </c>
      <c r="B222" s="65535">
        <f>+_xlfn.XLOOKUP(A222,MASTER!B:B,MASTER!A:A)</f>
        <v>100024398</v>
      </c>
      <c r="C222" s="65535" t="str">
        <f>+_xlfn.XLOOKUP(A222,MASTER!B:B,MASTER!C:C)</f>
        <v>ZYN CITRUS MINI STRONG UNIDAD PZ</v>
      </c>
      <c r="D222" s="15" t="str">
        <f>+_xlfn.XLOOKUP(A222,MASTER!B:B,MASTER!D:D)</f>
        <v>PMI</v>
      </c>
      <c r="E222" s="15" t="str">
        <f>+_xlfn.XLOOKUP(A222,MASTER!B:B,MASTER!I:I)</f>
        <v>Activo</v>
      </c>
      <c r="G222" s="65535">
        <v>75084639</v>
      </c>
      <c r="H222" s="15">
        <f>+_xlfn.XLOOKUP(G222,MASTER!B:B,MASTER!A:A)</f>
        <v>100026691</v>
      </c>
      <c r="I222" s="15" t="str">
        <f>+_xlfn.XLOOKUP(G222,MASTER!B:B,MASTER!C:C)</f>
        <v>PALL MALL AIRLINES BORA BORA 20 PZ</v>
      </c>
    </row>
    <row r="223" spans="1:9" s="15" x14ac:dyDescent="0.35">
      <c r="A223" s="65535">
        <v>7311250044434</v>
      </c>
      <c r="B223" s="65535">
        <f>+_xlfn.XLOOKUP(A223,MASTER!B:B,MASTER!A:A)</f>
        <v>100024295</v>
      </c>
      <c r="C223" s="65535" t="str">
        <f>+_xlfn.XLOOKUP(A223,MASTER!B:B,MASTER!C:C)</f>
        <v>ZYN ESPRESSINO MINI MEDIUM CAJETILLA PZ</v>
      </c>
      <c r="D223" s="15" t="str">
        <f>+_xlfn.XLOOKUP(A223,MASTER!B:B,MASTER!D:D)</f>
        <v>PMI</v>
      </c>
      <c r="E223" s="15" t="str">
        <f>+_xlfn.XLOOKUP(A223,MASTER!B:B,MASTER!I:I)</f>
        <v>Descontinuado (con stock)</v>
      </c>
      <c r="G223" s="65535">
        <v>75084646</v>
      </c>
      <c r="H223" s="15">
        <f>+_xlfn.XLOOKUP(G223,MASTER!B:B,MASTER!A:A)</f>
        <v>100026690</v>
      </c>
      <c r="I223" s="15" t="str">
        <f>+_xlfn.XLOOKUP(G223,MASTER!B:B,MASTER!C:C)</f>
        <v>PALL MALL AIRLINES HAWAII 20 PZ</v>
      </c>
    </row>
    <row r="224" spans="1:9" s="15" x14ac:dyDescent="0.35">
      <c r="A224" s="65535">
        <v>7311250044441</v>
      </c>
      <c r="B224" s="65535">
        <f>+_xlfn.XLOOKUP(A224,MASTER!B:B,MASTER!A:A)</f>
        <v>100024400</v>
      </c>
      <c r="C224" s="65535" t="str">
        <f>+_xlfn.XLOOKUP(A224,MASTER!B:B,MASTER!C:C)</f>
        <v>ZYN ESPRESSINO MINI STRONG UNIDAD PZ</v>
      </c>
      <c r="D224" s="15" t="str">
        <f>+_xlfn.XLOOKUP(A224,MASTER!B:B,MASTER!D:D)</f>
        <v>PMI</v>
      </c>
      <c r="E224" s="15" t="str">
        <f>+_xlfn.XLOOKUP(A224,MASTER!B:B,MASTER!I:I)</f>
        <v>Descontinuado (con stock)</v>
      </c>
      <c r="G224" s="65535">
        <v>75084653</v>
      </c>
      <c r="H224" s="15">
        <f>+_xlfn.XLOOKUP(G224,MASTER!B:B,MASTER!A:A)</f>
        <v>100026692</v>
      </c>
      <c r="I224" s="15" t="str">
        <f>+_xlfn.XLOOKUP(G224,MASTER!B:B,MASTER!C:C)</f>
        <v>PALL MALL AIRLINES MANILA 20 PZ</v>
      </c>
    </row>
    <row r="225" spans="1:9" s="15" x14ac:dyDescent="0.35">
      <c r="A225" s="65535">
        <v>7311250046971</v>
      </c>
      <c r="B225" s="65535">
        <f>+_xlfn.XLOOKUP(A225,MASTER!B:B,MASTER!A:A)</f>
        <v>100024997</v>
      </c>
      <c r="C225" s="65535" t="str">
        <f>+_xlfn.XLOOKUP(A225,MASTER!B:B,MASTER!C:C)</f>
        <v>ZYN SPEARMINT 3MG MEDIUM CAJETILLA PZ</v>
      </c>
      <c r="D225" s="15" t="str">
        <f>+_xlfn.XLOOKUP(A225,MASTER!B:B,MASTER!D:D)</f>
        <v>PMI</v>
      </c>
      <c r="E225" s="15" t="str">
        <f>+_xlfn.XLOOKUP(A225,MASTER!B:B,MASTER!I:I)</f>
        <v>Activo</v>
      </c>
      <c r="G225" s="65535">
        <v>75085384</v>
      </c>
      <c r="H225" s="15">
        <f>+_xlfn.XLOOKUP(G225,MASTER!B:B,MASTER!A:A)</f>
        <v>100026382</v>
      </c>
      <c r="I225" s="15" t="str">
        <f>+_xlfn.XLOOKUP(G225,MASTER!B:B,MASTER!C:C)</f>
        <v>MARLBORO CRAFTED BLOSSOM MIX 100</v>
      </c>
    </row>
    <row r="226" spans="1:9" s="15" x14ac:dyDescent="0.35">
      <c r="A226" s="65535">
        <v>7311250046988</v>
      </c>
      <c r="B226" s="65535">
        <f>+_xlfn.XLOOKUP(A226,MASTER!B:B,MASTER!A:A)</f>
        <v>100024998</v>
      </c>
      <c r="C226" s="65535" t="str">
        <f>+_xlfn.XLOOKUP(A226,MASTER!B:B,MASTER!C:C)</f>
        <v>ZYN SPEARMINT 6MG STRONG CAJETILLA PZ</v>
      </c>
      <c r="D226" s="15" t="str">
        <f>+_xlfn.XLOOKUP(A226,MASTER!B:B,MASTER!D:D)</f>
        <v>PMI</v>
      </c>
      <c r="E226" s="15" t="str">
        <f>+_xlfn.XLOOKUP(A226,MASTER!B:B,MASTER!I:I)</f>
        <v>Activo</v>
      </c>
      <c r="G226" s="65535">
        <v>75086091</v>
      </c>
      <c r="H226" s="15">
        <f>+_xlfn.XLOOKUP(G226,MASTER!B:B,MASTER!A:A)</f>
        <v>100026380</v>
      </c>
      <c r="I226" s="15" t="str">
        <f>+_xlfn.XLOOKUP(G226,MASTER!B:B,MASTER!C:C)</f>
        <v>MARLBORO CRAFTED SUMMER MIX 100</v>
      </c>
    </row>
    <row r="227" spans="1:9" s="15" x14ac:dyDescent="0.35">
      <c r="A227" s="65535">
        <v>7311250048388</v>
      </c>
      <c r="B227" s="65535">
        <f>+_xlfn.XLOOKUP(A227,MASTER!B:B,MASTER!A:A)</f>
        <v>100025304</v>
      </c>
      <c r="C227" s="65535" t="str">
        <f>+_xlfn.XLOOKUP(A227,MASTER!B:B,MASTER!C:C)</f>
        <v>ZYN SPEARMINIT 1.5MG LOW CAJETILLA PZ</v>
      </c>
      <c r="D227" s="15" t="str">
        <f>+_xlfn.XLOOKUP(A227,MASTER!B:B,MASTER!D:D)</f>
        <v>PMI</v>
      </c>
      <c r="E227" s="15" t="str">
        <f>+_xlfn.XLOOKUP(A227,MASTER!B:B,MASTER!I:I)</f>
        <v>Activo</v>
      </c>
      <c r="G227" s="65535">
        <v>75086381</v>
      </c>
      <c r="H227" s="15">
        <f>+_xlfn.XLOOKUP(G227,MASTER!B:B,MASTER!A:A)</f>
        <v>100026685</v>
      </c>
      <c r="I227" s="15" t="str">
        <f>+_xlfn.XLOOKUP(G227,MASTER!B:B,MASTER!C:C)</f>
        <v>MARLBORO CRAFTED RUBY PZ</v>
      </c>
    </row>
    <row r="228" spans="1:9" s="15" x14ac:dyDescent="0.35">
      <c r="A228" s="65535">
        <v>7465603180529</v>
      </c>
      <c r="B228" s="65535">
        <f>+_xlfn.XLOOKUP(A228,MASTER!B:B,MASTER!A:A)</f>
        <v>100016045</v>
      </c>
      <c r="C228" s="65535" t="str">
        <f>+_xlfn.XLOOKUP(A228,MASTER!B:B,MASTER!C:C)</f>
        <v>PRINCIPE PURO FOIL CEREZA 1 PZ</v>
      </c>
      <c r="D228" s="15" t="str">
        <f>+_xlfn.XLOOKUP(A228,MASTER!B:B,MASTER!D:D)</f>
        <v>PUROS</v>
      </c>
      <c r="E228" s="15" t="str">
        <f>+_xlfn.XLOOKUP(A228,MASTER!B:B,MASTER!I:I)</f>
        <v>Activo</v>
      </c>
      <c r="G228" s="65535">
        <v>5410706884555</v>
      </c>
      <c r="H228" s="15">
        <f>+_xlfn.XLOOKUP(G228,MASTER!B:B,MASTER!A:A)</f>
        <v>100020228</v>
      </c>
      <c r="I228" s="15" t="str">
        <f>+_xlfn.XLOOKUP(G228,MASTER!B:B,MASTER!C:C)</f>
        <v>IQOS IQOS 3 IQOS DUO WHITE KIT 1 PZ</v>
      </c>
    </row>
    <row r="229" spans="1:9" s="15" x14ac:dyDescent="0.35">
      <c r="A229" s="65535">
        <v>7465603183629</v>
      </c>
      <c r="B229" s="65535">
        <f>+_xlfn.XLOOKUP(A229,MASTER!B:B,MASTER!A:A)</f>
        <v>100016042</v>
      </c>
      <c r="C229" s="65535" t="str">
        <f>+_xlfn.XLOOKUP(A229,MASTER!B:B,MASTER!C:C)</f>
        <v>PRINCIPE PURO FOIL CHOCOLATE 1 PZ</v>
      </c>
      <c r="D229" s="15" t="str">
        <f>+_xlfn.XLOOKUP(A229,MASTER!B:B,MASTER!D:D)</f>
        <v>PUROS</v>
      </c>
      <c r="E229" s="15" t="str">
        <f>+_xlfn.XLOOKUP(A229,MASTER!B:B,MASTER!I:I)</f>
        <v>Activo</v>
      </c>
      <c r="G229" s="65535">
        <v>5410706884739</v>
      </c>
      <c r="H229" s="15">
        <f>+_xlfn.XLOOKUP(G229,MASTER!B:B,MASTER!A:A)</f>
        <v>100020177</v>
      </c>
      <c r="I229" s="15" t="str">
        <f>+_xlfn.XLOOKUP(G229,MASTER!B:B,MASTER!C:C)</f>
        <v>IQOS 3 IQOS DUO GREY KIT 1 PZ</v>
      </c>
    </row>
    <row r="230" spans="1:9" s="15" x14ac:dyDescent="0.35">
      <c r="A230" s="65535">
        <v>7465603183636</v>
      </c>
      <c r="B230" s="65535">
        <f>+_xlfn.XLOOKUP(A230,MASTER!B:B,MASTER!A:A)</f>
        <v>100016043</v>
      </c>
      <c r="C230" s="65535" t="str">
        <f>+_xlfn.XLOOKUP(A230,MASTER!B:B,MASTER!C:C)</f>
        <v>PRINCIPE PURO FOIL NATURAL 1 PZ</v>
      </c>
      <c r="D230" s="15" t="str">
        <f>+_xlfn.XLOOKUP(A230,MASTER!B:B,MASTER!D:D)</f>
        <v>PUROS</v>
      </c>
      <c r="E230" s="15" t="str">
        <f>+_xlfn.XLOOKUP(A230,MASTER!B:B,MASTER!I:I)</f>
        <v>Activo</v>
      </c>
      <c r="G230" s="65535">
        <v>7311250035555</v>
      </c>
      <c r="H230" s="15">
        <f>+_xlfn.XLOOKUP(G230,MASTER!B:B,MASTER!A:A)</f>
        <v>100026062</v>
      </c>
      <c r="I230" s="15" t="str">
        <f>+_xlfn.XLOOKUP(G230,MASTER!B:B,MASTER!C:C)</f>
        <v>ZYN BLACK CHERRY 1.5MG LOW LATA PZ</v>
      </c>
    </row>
    <row r="231" spans="1:9" s="15" x14ac:dyDescent="0.35">
      <c r="A231" s="65535">
        <v>7465603183667</v>
      </c>
      <c r="B231" s="65535">
        <f>+_xlfn.XLOOKUP(A231,MASTER!B:B,MASTER!A:A)</f>
        <v>100016044</v>
      </c>
      <c r="C231" s="65535" t="str">
        <f>+_xlfn.XLOOKUP(A231,MASTER!B:B,MASTER!C:C)</f>
        <v>PRINCIPE PURO FOIL VAINILLA 1 PZ</v>
      </c>
      <c r="D231" s="15" t="str">
        <f>+_xlfn.XLOOKUP(A231,MASTER!B:B,MASTER!D:D)</f>
        <v>PUROS</v>
      </c>
      <c r="E231" s="15" t="str">
        <f>+_xlfn.XLOOKUP(A231,MASTER!B:B,MASTER!I:I)</f>
        <v>Activo</v>
      </c>
      <c r="G231" s="65535">
        <v>7311250035562</v>
      </c>
      <c r="H231" s="15">
        <f>+_xlfn.XLOOKUP(G231,MASTER!B:B,MASTER!A:A)</f>
        <v>100026064</v>
      </c>
      <c r="I231" s="15" t="str">
        <f>+_xlfn.XLOOKUP(G231,MASTER!B:B,MASTER!C:C)</f>
        <v>ZYN COOL MINT 1.5MG LOW LATA PZ</v>
      </c>
    </row>
    <row r="232" spans="1:9" s="15" x14ac:dyDescent="0.35">
      <c r="A232" s="65535">
        <v>7501045300177</v>
      </c>
      <c r="B232" s="65535">
        <f>+_xlfn.XLOOKUP(A232,MASTER!B:B,MASTER!A:A)</f>
        <v>100026614</v>
      </c>
      <c r="C232" s="65535" t="str">
        <f>+_xlfn.XLOOKUP(A232,MASTER!B:B,MASTER!C:C)</f>
        <v>MARLBORO VISTA BLOSSOM MIST 100 PZ</v>
      </c>
      <c r="D232" s="15" t="str">
        <f>+_xlfn.XLOOKUP(A232,MASTER!B:B,MASTER!D:D)</f>
        <v>PMI</v>
      </c>
      <c r="E232" s="15" t="str">
        <f>+_xlfn.XLOOKUP(A232,MASTER!B:B,MASTER!I:I)</f>
        <v>Descontinuado (con stock)</v>
      </c>
      <c r="G232" s="65535">
        <v>7311250035579</v>
      </c>
      <c r="H232" s="15">
        <f>+_xlfn.XLOOKUP(G232,MASTER!B:B,MASTER!A:A)</f>
        <v>100026067</v>
      </c>
      <c r="I232" s="15" t="str">
        <f>+_xlfn.XLOOKUP(G232,MASTER!B:B,MASTER!C:C)</f>
        <v>ZYN PEACH 6MG STRONG LATA PZ</v>
      </c>
    </row>
    <row r="233" spans="1:9" s="15" x14ac:dyDescent="0.35">
      <c r="A233" s="65535">
        <v>7501045356259</v>
      </c>
      <c r="B233" s="65535">
        <f>+_xlfn.XLOOKUP(A233,MASTER!B:B,MASTER!A:A)</f>
        <v>100015416</v>
      </c>
      <c r="C233" s="65535" t="str">
        <f>+_xlfn.XLOOKUP(A233,MASTER!B:B,MASTER!C:C)</f>
        <v>HEETS AMBER SELECTION 1 CAJETILLA</v>
      </c>
      <c r="D233" s="15" t="str">
        <f>+_xlfn.XLOOKUP(A233,MASTER!B:B,MASTER!D:D)</f>
        <v>PMI</v>
      </c>
      <c r="E233" s="15" t="str">
        <f>+_xlfn.XLOOKUP(A233,MASTER!B:B,MASTER!I:I)</f>
        <v>Descontinuado (con stock)</v>
      </c>
      <c r="G233" s="65535">
        <v>7311250035593</v>
      </c>
      <c r="H233" s="15">
        <f>+_xlfn.XLOOKUP(G233,MASTER!B:B,MASTER!A:A)</f>
        <v>100026065</v>
      </c>
      <c r="I233" s="15" t="str">
        <f>+_xlfn.XLOOKUP(G233,MASTER!B:B,MASTER!C:C)</f>
        <v>ZYN PEACH 3MG MEDIUM LATA PZ</v>
      </c>
    </row>
    <row r="234" spans="1:9" s="15" x14ac:dyDescent="0.35">
      <c r="A234" s="65535">
        <v>7501045357416</v>
      </c>
      <c r="B234" s="65535">
        <f>+_xlfn.XLOOKUP(A234,MASTER!B:B,MASTER!A:A)</f>
        <v>100015420</v>
      </c>
      <c r="C234" s="65535" t="str">
        <f>+_xlfn.XLOOKUP(A234,MASTER!B:B,MASTER!C:C)</f>
        <v>HEETS TURQUO SELECTION 1 CAJETILLA</v>
      </c>
      <c r="D234" s="15" t="str">
        <f>+_xlfn.XLOOKUP(A234,MASTER!B:B,MASTER!D:D)</f>
        <v>PMI</v>
      </c>
      <c r="E234" s="15" t="str">
        <f>+_xlfn.XLOOKUP(A234,MASTER!B:B,MASTER!I:I)</f>
        <v>Descontinuado (con stock)</v>
      </c>
      <c r="G234" s="65535">
        <v>7311250044373</v>
      </c>
      <c r="H234" s="15">
        <f>+_xlfn.XLOOKUP(G234,MASTER!B:B,MASTER!A:A)</f>
        <v>100024289</v>
      </c>
      <c r="I234" s="15" t="str">
        <f>+_xlfn.XLOOKUP(G234,MASTER!B:B,MASTER!C:C)</f>
        <v>ZYN BLACK CHERRY MINI MEDIUM CAJETILLA PZ</v>
      </c>
    </row>
    <row r="235" spans="1:9" s="15" x14ac:dyDescent="0.35">
      <c r="A235" s="65535">
        <v>7501045357423</v>
      </c>
      <c r="B235" s="65535">
        <f>+_xlfn.XLOOKUP(A235,MASTER!B:B,MASTER!A:A)</f>
        <v>100015421</v>
      </c>
      <c r="C235" s="65535" t="str">
        <f>+_xlfn.XLOOKUP(A235,MASTER!B:B,MASTER!C:C)</f>
        <v>HEETS YELLOW SELECTION 1 CAJETILLA</v>
      </c>
      <c r="D235" s="15" t="str">
        <f>+_xlfn.XLOOKUP(A235,MASTER!B:B,MASTER!D:D)</f>
        <v>PMI</v>
      </c>
      <c r="E235" s="15" t="str">
        <f>+_xlfn.XLOOKUP(A235,MASTER!B:B,MASTER!I:I)</f>
        <v>Descontinuado (con stock)</v>
      </c>
      <c r="G235" s="65535">
        <v>7311250044380</v>
      </c>
      <c r="H235" s="15">
        <f>+_xlfn.XLOOKUP(G235,MASTER!B:B,MASTER!A:A)</f>
        <v>100024397</v>
      </c>
      <c r="I235" s="15" t="str">
        <f>+_xlfn.XLOOKUP(G235,MASTER!B:B,MASTER!C:C)</f>
        <v>ZYN BLACK CHERRY MINI STRONG UNIDAD PZ</v>
      </c>
    </row>
    <row r="236" spans="1:9" s="15" x14ac:dyDescent="0.35">
      <c r="A236" s="65535">
        <v>7501045357430</v>
      </c>
      <c r="B236" s="65535">
        <f>+_xlfn.XLOOKUP(A236,MASTER!B:B,MASTER!A:A)</f>
        <v>100015419</v>
      </c>
      <c r="C236" s="65535" t="str">
        <f>+_xlfn.XLOOKUP(A236,MASTER!B:B,MASTER!C:C)</f>
        <v>HEETS SIENNA SELECTION 1 CAJETILLA</v>
      </c>
      <c r="D236" s="15" t="str">
        <f>+_xlfn.XLOOKUP(A236,MASTER!B:B,MASTER!D:D)</f>
        <v>PMI</v>
      </c>
      <c r="E236" s="15" t="str">
        <f>+_xlfn.XLOOKUP(A236,MASTER!B:B,MASTER!I:I)</f>
        <v>Descontinuado (con stock)</v>
      </c>
      <c r="G236" s="65535">
        <v>7311250044397</v>
      </c>
      <c r="H236" s="15">
        <f>+_xlfn.XLOOKUP(G236,MASTER!B:B,MASTER!A:A)</f>
        <v>100024294</v>
      </c>
      <c r="I236" s="15" t="str">
        <f>+_xlfn.XLOOKUP(G236,MASTER!B:B,MASTER!C:C)</f>
        <v>ZYN COOL MINT MINI MEDIUM CAJETILLA PZ</v>
      </c>
    </row>
    <row r="237" spans="1:9" s="15" x14ac:dyDescent="0.35">
      <c r="A237" s="65535">
        <v>7501045357447</v>
      </c>
      <c r="B237" s="65535">
        <f>+_xlfn.XLOOKUP(A237,MASTER!B:B,MASTER!A:A)</f>
        <v>100015417</v>
      </c>
      <c r="C237" s="65535" t="str">
        <f>+_xlfn.XLOOKUP(A237,MASTER!B:B,MASTER!C:C)</f>
        <v>HEETS BLUE  SELECTION 1 CAJETILLA</v>
      </c>
      <c r="D237" s="15" t="str">
        <f>+_xlfn.XLOOKUP(A237,MASTER!B:B,MASTER!D:D)</f>
        <v>PMI</v>
      </c>
      <c r="E237" s="15" t="str">
        <f>+_xlfn.XLOOKUP(A237,MASTER!B:B,MASTER!I:I)</f>
        <v>Descontinuado (con stock)</v>
      </c>
      <c r="G237" s="65535">
        <v>7311250044403</v>
      </c>
      <c r="H237" s="15">
        <f>+_xlfn.XLOOKUP(G237,MASTER!B:B,MASTER!A:A)</f>
        <v>100024399</v>
      </c>
      <c r="I237" s="15" t="str">
        <f>+_xlfn.XLOOKUP(G237,MASTER!B:B,MASTER!C:C)</f>
        <v>ZYN COOL MINT MINI STRONG UNIDAD PZ</v>
      </c>
    </row>
    <row r="238" spans="1:9" s="15" x14ac:dyDescent="0.35">
      <c r="A238" s="65535">
        <v>7501045357454</v>
      </c>
      <c r="B238" s="65535">
        <f>+_xlfn.XLOOKUP(A238,MASTER!B:B,MASTER!A:A)</f>
        <v>100015418</v>
      </c>
      <c r="C238" s="65535" t="str">
        <f>+_xlfn.XLOOKUP(A238,MASTER!B:B,MASTER!C:C)</f>
        <v>HEETS PURPLE SELECTION 1 CAJETILLA</v>
      </c>
      <c r="D238" s="15" t="str">
        <f>+_xlfn.XLOOKUP(A238,MASTER!B:B,MASTER!D:D)</f>
        <v>PMI</v>
      </c>
      <c r="E238" s="15" t="str">
        <f>+_xlfn.XLOOKUP(A238,MASTER!B:B,MASTER!I:I)</f>
        <v>Descontinuado (con stock)</v>
      </c>
      <c r="G238" s="65535">
        <v>7311250044410</v>
      </c>
      <c r="H238" s="15">
        <f>+_xlfn.XLOOKUP(G238,MASTER!B:B,MASTER!A:A)</f>
        <v>100024293</v>
      </c>
      <c r="I238" s="15" t="str">
        <f>+_xlfn.XLOOKUP(G238,MASTER!B:B,MASTER!C:C)</f>
        <v>ZYN CITRUS MINI MEDIUM CAJETILLA PZ</v>
      </c>
    </row>
    <row r="239" spans="1:9" s="15" x14ac:dyDescent="0.35">
      <c r="A239" s="65535">
        <v>7501045357881</v>
      </c>
      <c r="B239" s="65535">
        <f>+_xlfn.XLOOKUP(A239,MASTER!B:B,MASTER!A:A)</f>
        <v>100017980</v>
      </c>
      <c r="C239" s="65535" t="str">
        <f>+_xlfn.XLOOKUP(A239,MASTER!B:B,MASTER!C:C)</f>
        <v>HEETS BRONZE SELECTION 1 CAJETILLA</v>
      </c>
      <c r="D239" s="15" t="str">
        <f>+_xlfn.XLOOKUP(A239,MASTER!B:B,MASTER!D:D)</f>
        <v>PMI</v>
      </c>
      <c r="E239" s="15" t="str">
        <f>+_xlfn.XLOOKUP(A239,MASTER!B:B,MASTER!I:I)</f>
        <v>Descontinuado (con stock)</v>
      </c>
      <c r="G239" s="65535">
        <v>7311250044427</v>
      </c>
      <c r="H239" s="15">
        <f>+_xlfn.XLOOKUP(G239,MASTER!B:B,MASTER!A:A)</f>
        <v>100024398</v>
      </c>
      <c r="I239" s="15" t="str">
        <f>+_xlfn.XLOOKUP(G239,MASTER!B:B,MASTER!C:C)</f>
        <v>ZYN CITRUS MINI STRONG UNIDAD PZ</v>
      </c>
    </row>
    <row r="240" spans="1:9" s="15" x14ac:dyDescent="0.35">
      <c r="A240" s="65535">
        <v>7501045357898</v>
      </c>
      <c r="B240" s="65535">
        <f>+_xlfn.XLOOKUP(A240,MASTER!B:B,MASTER!A:A)</f>
        <v>100018638</v>
      </c>
      <c r="C240" s="65535" t="str">
        <f>+_xlfn.XLOOKUP(A240,MASTER!B:B,MASTER!C:C)</f>
        <v>HEETS RUSSET SELECTION 1 CAJETILLA</v>
      </c>
      <c r="D240" s="15" t="str">
        <f>+_xlfn.XLOOKUP(A240,MASTER!B:B,MASTER!D:D)</f>
        <v>PMI</v>
      </c>
      <c r="E240" s="15" t="str">
        <f>+_xlfn.XLOOKUP(A240,MASTER!B:B,MASTER!I:I)</f>
        <v>Descontinuado (con stock)</v>
      </c>
      <c r="G240" s="65535">
        <v>7311250044434</v>
      </c>
      <c r="H240" s="15">
        <f>+_xlfn.XLOOKUP(G240,MASTER!B:B,MASTER!A:A)</f>
        <v>100024295</v>
      </c>
      <c r="I240" s="15" t="str">
        <f>+_xlfn.XLOOKUP(G240,MASTER!B:B,MASTER!C:C)</f>
        <v>ZYN ESPRESSINO MINI MEDIUM CAJETILLA PZ</v>
      </c>
    </row>
    <row r="241" spans="1:9" s="15" x14ac:dyDescent="0.35">
      <c r="A241" s="65535">
        <v>7501045357966</v>
      </c>
      <c r="B241" s="65535">
        <f>+_xlfn.XLOOKUP(A241,MASTER!B:B,MASTER!A:A)</f>
        <v>100018639</v>
      </c>
      <c r="C241" s="65535" t="str">
        <f>+_xlfn.XLOOKUP(A241,MASTER!B:B,MASTER!C:C)</f>
        <v>HEETS GREEN ZING 1 CAJETILLA</v>
      </c>
      <c r="D241" s="15" t="str">
        <f>+_xlfn.XLOOKUP(A241,MASTER!B:B,MASTER!D:D)</f>
        <v>PMI</v>
      </c>
      <c r="E241" s="15" t="str">
        <f>+_xlfn.XLOOKUP(A241,MASTER!B:B,MASTER!I:I)</f>
        <v>Descontinuado (con stock)</v>
      </c>
      <c r="G241" s="65535">
        <v>7311250044441</v>
      </c>
      <c r="H241" s="15">
        <f>+_xlfn.XLOOKUP(G241,MASTER!B:B,MASTER!A:A)</f>
        <v>100024400</v>
      </c>
      <c r="I241" s="15" t="str">
        <f>+_xlfn.XLOOKUP(G241,MASTER!B:B,MASTER!C:C)</f>
        <v>ZYN ESPRESSINO MINI STRONG UNIDAD PZ</v>
      </c>
    </row>
    <row r="242" spans="1:9" s="15" x14ac:dyDescent="0.35">
      <c r="A242" s="65535">
        <v>7501609500241</v>
      </c>
      <c r="B242" s="65535">
        <f>+_xlfn.XLOOKUP(A242,MASTER!B:B,MASTER!A:A)</f>
        <v>100080351</v>
      </c>
      <c r="C242" s="65535" t="str">
        <f>+_xlfn.XLOOKUP(A242,MASTER!B:B,MASTER!C:C)</f>
        <v>TE AMO PURO NUM 4 NATURAL PZ</v>
      </c>
      <c r="D242" s="15" t="str">
        <f>+_xlfn.XLOOKUP(A242,MASTER!B:B,MASTER!D:D)</f>
        <v>PUROS</v>
      </c>
      <c r="E242" s="15" t="str">
        <f>+_xlfn.XLOOKUP(A242,MASTER!B:B,MASTER!I:I)</f>
        <v>Activo</v>
      </c>
      <c r="G242" s="65535">
        <v>7311250046971</v>
      </c>
      <c r="H242" s="15">
        <f>+_xlfn.XLOOKUP(G242,MASTER!B:B,MASTER!A:A)</f>
        <v>100024997</v>
      </c>
      <c r="I242" s="15" t="str">
        <f>+_xlfn.XLOOKUP(G242,MASTER!B:B,MASTER!C:C)</f>
        <v>ZYN SPEARMINT 3MG MEDIUM CAJETILLA PZ</v>
      </c>
    </row>
    <row r="243" spans="1:9" s="15" x14ac:dyDescent="0.35">
      <c r="A243" s="65535">
        <v>7501609501521</v>
      </c>
      <c r="B243" s="65535">
        <f>+_xlfn.XLOOKUP(A243,MASTER!B:B,MASTER!A:A)</f>
        <v>100080372</v>
      </c>
      <c r="C243" s="65535" t="str">
        <f>+_xlfn.XLOOKUP(A243,MASTER!B:B,MASTER!C:C)</f>
        <v>MAGNIFICOS PURO CAJET</v>
      </c>
      <c r="D243" s="15" t="str">
        <f>+_xlfn.XLOOKUP(A243,MASTER!B:B,MASTER!D:D)</f>
        <v>PUROS</v>
      </c>
      <c r="E243" s="15" t="str">
        <f>+_xlfn.XLOOKUP(A243,MASTER!B:B,MASTER!I:I)</f>
        <v>Activo</v>
      </c>
      <c r="G243" s="65535">
        <v>7311250046988</v>
      </c>
      <c r="H243" s="15">
        <f>+_xlfn.XLOOKUP(G243,MASTER!B:B,MASTER!A:A)</f>
        <v>100024998</v>
      </c>
      <c r="I243" s="15" t="str">
        <f>+_xlfn.XLOOKUP(G243,MASTER!B:B,MASTER!C:C)</f>
        <v>ZYN SPEARMINT 6MG STRONG CAJETILLA PZ</v>
      </c>
    </row>
    <row r="244" spans="1:9" s="15" x14ac:dyDescent="0.35">
      <c r="A244" s="65535">
        <v>7501609501804</v>
      </c>
      <c r="B244" s="65535">
        <f>+_xlfn.XLOOKUP(A244,MASTER!B:B,MASTER!A:A)</f>
        <v>100080381</v>
      </c>
      <c r="C244" s="65535" t="str">
        <f>+_xlfn.XLOOKUP(A244,MASTER!B:B,MASTER!C:C)</f>
        <v>MATACAN PURO NO.7 CAJET</v>
      </c>
      <c r="D244" s="15" t="str">
        <f>+_xlfn.XLOOKUP(A244,MASTER!B:B,MASTER!D:D)</f>
        <v>PUROS</v>
      </c>
      <c r="E244" s="15" t="str">
        <f>+_xlfn.XLOOKUP(A244,MASTER!B:B,MASTER!I:I)</f>
        <v>Activo</v>
      </c>
      <c r="G244" s="65535">
        <v>7311250048388</v>
      </c>
      <c r="H244" s="15">
        <f>+_xlfn.XLOOKUP(G244,MASTER!B:B,MASTER!A:A)</f>
        <v>100025304</v>
      </c>
      <c r="I244" s="15" t="str">
        <f>+_xlfn.XLOOKUP(G244,MASTER!B:B,MASTER!C:C)</f>
        <v>ZYN SPEARMINIT 1.5MG LOW CAJETILLA PZ</v>
      </c>
    </row>
    <row r="245" spans="1:9" s="15" x14ac:dyDescent="0.35">
      <c r="A245" s="65535">
        <v>7501609506908</v>
      </c>
      <c r="B245" s="65535">
        <f>+_xlfn.XLOOKUP(A245,MASTER!B:B,MASTER!A:A)</f>
        <v>100080763</v>
      </c>
      <c r="C245" s="65535" t="str">
        <f>+_xlfn.XLOOKUP(A245,MASTER!B:B,MASTER!C:C)</f>
        <v>HUMIDIBG PURO PLATINUM CAJET</v>
      </c>
      <c r="D245" s="15" t="str">
        <f>+_xlfn.XLOOKUP(A245,MASTER!B:B,MASTER!D:D)</f>
        <v>PUROS</v>
      </c>
      <c r="E245" s="15" t="str">
        <f>+_xlfn.XLOOKUP(A245,MASTER!B:B,MASTER!I:I)</f>
        <v>Activo</v>
      </c>
      <c r="G245" s="65535">
        <v>7501045300122</v>
      </c>
      <c r="H245" s="15">
        <f>+_xlfn.XLOOKUP(G245,MASTER!B:B,MASTER!A:A)</f>
        <v>100018203</v>
      </c>
      <c r="I245" s="15" t="str">
        <f>+_xlfn.XLOOKUP(G245,MASTER!B:B,MASTER!C:C)</f>
        <v>CHESTERFIELD REMIX  LATA 20S 1 CAJETILLA</v>
      </c>
    </row>
    <row r="246" spans="1:9" s="15" x14ac:dyDescent="0.35">
      <c r="A246" s="65535">
        <v>7501609515894</v>
      </c>
      <c r="B246" s="65535">
        <f>+_xlfn.XLOOKUP(A246,MASTER!B:B,MASTER!A:A)</f>
        <v>100024599</v>
      </c>
      <c r="C246" s="65535" t="str">
        <f>+_xlfn.XLOOKUP(A246,MASTER!B:B,MASTER!C:C)</f>
        <v>PURO MATACAN ROBUSTO IND</v>
      </c>
      <c r="D246" s="15" t="str">
        <f>+_xlfn.XLOOKUP(A246,MASTER!B:B,MASTER!D:D)</f>
        <v>PUROS</v>
      </c>
      <c r="E246" s="15" t="str">
        <f>+_xlfn.XLOOKUP(A246,MASTER!B:B,MASTER!I:I)</f>
        <v>Activo</v>
      </c>
      <c r="G246" s="65535">
        <v>7501045300177</v>
      </c>
      <c r="H246" s="15">
        <f>+_xlfn.XLOOKUP(G246,MASTER!B:B,MASTER!A:A)</f>
        <v>100026614</v>
      </c>
      <c r="I246" s="15" t="str">
        <f>+_xlfn.XLOOKUP(G246,MASTER!B:B,MASTER!C:C)</f>
        <v>MARLBORO VISTA BLOSSOM MIST 100 PZ</v>
      </c>
    </row>
    <row r="247" spans="1:9" s="15" x14ac:dyDescent="0.35">
      <c r="A247" s="65535">
        <v>7502236550005</v>
      </c>
      <c r="B247" s="65535">
        <f>+_xlfn.XLOOKUP(A247,MASTER!B:B,MASTER!A:A)</f>
        <v>100014778</v>
      </c>
      <c r="C247" s="65535" t="str">
        <f>+_xlfn.XLOOKUP(A247,MASTER!B:B,MASTER!C:C)</f>
        <v xml:space="preserve">ARTIGAS/CARL PURO MIX PLUS ROBUSTO M 50GR					</v>
      </c>
      <c r="D247" s="15" t="str">
        <f>+_xlfn.XLOOKUP(A247,MASTER!B:B,MASTER!D:D)</f>
        <v>PUROS</v>
      </c>
      <c r="E247" s="15" t="str">
        <f>+_xlfn.XLOOKUP(A247,MASTER!B:B,MASTER!I:I)</f>
        <v>Activo</v>
      </c>
      <c r="G247" s="65535">
        <v>7501045356259</v>
      </c>
      <c r="H247" s="15">
        <f>+_xlfn.XLOOKUP(G247,MASTER!B:B,MASTER!A:A)</f>
        <v>100015416</v>
      </c>
      <c r="I247" s="15" t="str">
        <f>+_xlfn.XLOOKUP(G247,MASTER!B:B,MASTER!C:C)</f>
        <v>HEETS AMBER SELECTION 1 CAJETILLA</v>
      </c>
    </row>
    <row r="248" spans="1:9" s="15" x14ac:dyDescent="0.35">
      <c r="A248" s="65535">
        <v>7502236550012</v>
      </c>
      <c r="B248" s="65535">
        <f>+_xlfn.XLOOKUP(A248,MASTER!B:B,MASTER!A:A)</f>
        <v>100014775</v>
      </c>
      <c r="C248" s="65535" t="str">
        <f>+_xlfn.XLOOKUP(A248,MASTER!B:B,MASTER!C:C)</f>
        <v xml:space="preserve">ARTIGAS/CARL PURO MIX PLUS BELICOSO  50GR				</v>
      </c>
      <c r="D248" s="15" t="str">
        <f>+_xlfn.XLOOKUP(A248,MASTER!B:B,MASTER!D:D)</f>
        <v>PUROS</v>
      </c>
      <c r="E248" s="15" t="str">
        <f>+_xlfn.XLOOKUP(A248,MASTER!B:B,MASTER!I:I)</f>
        <v>Activo</v>
      </c>
      <c r="G248" s="65535">
        <v>7501045357416</v>
      </c>
      <c r="H248" s="15">
        <f>+_xlfn.XLOOKUP(G248,MASTER!B:B,MASTER!A:A)</f>
        <v>100015420</v>
      </c>
      <c r="I248" s="15" t="str">
        <f>+_xlfn.XLOOKUP(G248,MASTER!B:B,MASTER!C:C)</f>
        <v>HEETS TURQUO SELECTION 1 CAJETILLA</v>
      </c>
    </row>
    <row r="249" spans="1:9" s="15" x14ac:dyDescent="0.35">
      <c r="A249" s="65535">
        <v>7502236550043</v>
      </c>
      <c r="B249" s="65535">
        <f>+_xlfn.XLOOKUP(A249,MASTER!B:B,MASTER!A:A)</f>
        <v>100080947</v>
      </c>
      <c r="C249" s="65535" t="str">
        <f>+_xlfn.XLOOKUP(A249,MASTER!B:B,MASTER!C:C)</f>
        <v>ARTIGAS/CARL PURO MIX PLUS CORONA GO 40GR</v>
      </c>
      <c r="D249" s="15" t="str">
        <f>+_xlfn.XLOOKUP(A249,MASTER!B:B,MASTER!D:D)</f>
        <v>PUROS</v>
      </c>
      <c r="E249" s="15" t="str">
        <f>+_xlfn.XLOOKUP(A249,MASTER!B:B,MASTER!I:I)</f>
        <v>Activo</v>
      </c>
      <c r="G249" s="65535">
        <v>7501045357423</v>
      </c>
      <c r="H249" s="15">
        <f>+_xlfn.XLOOKUP(G249,MASTER!B:B,MASTER!A:A)</f>
        <v>100015421</v>
      </c>
      <c r="I249" s="15" t="str">
        <f>+_xlfn.XLOOKUP(G249,MASTER!B:B,MASTER!C:C)</f>
        <v>HEETS YELLOW SELECTION 1 CAJETILLA</v>
      </c>
    </row>
    <row r="250" spans="1:9" s="15" x14ac:dyDescent="0.35">
      <c r="A250" s="65535">
        <v>7502236550067</v>
      </c>
      <c r="B250" s="65535">
        <f>+_xlfn.XLOOKUP(A250,MASTER!B:B,MASTER!A:A)</f>
        <v>100080948</v>
      </c>
      <c r="C250" s="65535" t="str">
        <f>+_xlfn.XLOOKUP(A250,MASTER!B:B,MASTER!C:C)</f>
        <v>ARTIGAS/CARL PURO MIX PLUS ROBUSTO G 50GR</v>
      </c>
      <c r="D250" s="15" t="str">
        <f>+_xlfn.XLOOKUP(A250,MASTER!B:B,MASTER!D:D)</f>
        <v>PUROS</v>
      </c>
      <c r="E250" s="15" t="str">
        <f>+_xlfn.XLOOKUP(A250,MASTER!B:B,MASTER!I:I)</f>
        <v>Activo</v>
      </c>
      <c r="G250" s="65535">
        <v>7501045357430</v>
      </c>
      <c r="H250" s="15">
        <f>+_xlfn.XLOOKUP(G250,MASTER!B:B,MASTER!A:A)</f>
        <v>100015419</v>
      </c>
      <c r="I250" s="15" t="str">
        <f>+_xlfn.XLOOKUP(G250,MASTER!B:B,MASTER!C:C)</f>
        <v>HEETS SIENNA SELECTION 1 CAJETILLA</v>
      </c>
    </row>
    <row r="251" spans="1:9" s="15" x14ac:dyDescent="0.35">
      <c r="A251" s="65535">
        <v>7502236550173</v>
      </c>
      <c r="B251" s="65535">
        <f>+_xlfn.XLOOKUP(A251,MASTER!B:B,MASTER!A:A)</f>
        <v>100080946</v>
      </c>
      <c r="C251" s="65535" t="str">
        <f>+_xlfn.XLOOKUP(A251,MASTER!B:B,MASTER!C:C)</f>
        <v>GOLD SOFT PUROS HAB GOLD SOFT PZ</v>
      </c>
      <c r="D251" s="15" t="str">
        <f>+_xlfn.XLOOKUP(A251,MASTER!B:B,MASTER!D:D)</f>
        <v>PUROS</v>
      </c>
      <c r="E251" s="15" t="str">
        <f>+_xlfn.XLOOKUP(A251,MASTER!B:B,MASTER!I:I)</f>
        <v>Activo</v>
      </c>
      <c r="G251" s="65535">
        <v>7501045357447</v>
      </c>
      <c r="H251" s="15">
        <f>+_xlfn.XLOOKUP(G251,MASTER!B:B,MASTER!A:A)</f>
        <v>100015417</v>
      </c>
      <c r="I251" s="15" t="str">
        <f>+_xlfn.XLOOKUP(G251,MASTER!B:B,MASTER!C:C)</f>
        <v>HEETS BLUE  SELECTION 1 CAJETILLA</v>
      </c>
    </row>
    <row r="252" spans="1:9" s="15" x14ac:dyDescent="0.35">
      <c r="A252" s="65535">
        <v>7502236550180</v>
      </c>
      <c r="B252" s="65535">
        <f>+_xlfn.XLOOKUP(A252,MASTER!B:B,MASTER!A:A)</f>
        <v>100080944</v>
      </c>
      <c r="C252" s="65535" t="str">
        <f>+_xlfn.XLOOKUP(A252,MASTER!B:B,MASTER!C:C)</f>
        <v>GOLD SOFT PUROS GOLD SOFT VAIN PZ</v>
      </c>
      <c r="D252" s="15" t="str">
        <f>+_xlfn.XLOOKUP(A252,MASTER!B:B,MASTER!D:D)</f>
        <v>PUROS</v>
      </c>
      <c r="E252" s="15" t="str">
        <f>+_xlfn.XLOOKUP(A252,MASTER!B:B,MASTER!I:I)</f>
        <v>Activo</v>
      </c>
      <c r="G252" s="65535">
        <v>7501045357454</v>
      </c>
      <c r="H252" s="15">
        <f>+_xlfn.XLOOKUP(G252,MASTER!B:B,MASTER!A:A)</f>
        <v>100015418</v>
      </c>
      <c r="I252" s="15" t="str">
        <f>+_xlfn.XLOOKUP(G252,MASTER!B:B,MASTER!C:C)</f>
        <v>HEETS PURPLE SELECTION 1 CAJETILLA</v>
      </c>
    </row>
    <row r="253" spans="1:9" s="15" x14ac:dyDescent="0.35">
      <c r="A253" s="65535">
        <v>7502236550197</v>
      </c>
      <c r="B253" s="65535">
        <f>+_xlfn.XLOOKUP(A253,MASTER!B:B,MASTER!A:A)</f>
        <v>100080945</v>
      </c>
      <c r="C253" s="65535" t="str">
        <f>+_xlfn.XLOOKUP(A253,MASTER!B:B,MASTER!C:C)</f>
        <v>GOLD SOFT PURO PZ</v>
      </c>
      <c r="D253" s="15" t="str">
        <f>+_xlfn.XLOOKUP(A253,MASTER!B:B,MASTER!D:D)</f>
        <v>PUROS</v>
      </c>
      <c r="E253" s="15" t="str">
        <f>+_xlfn.XLOOKUP(A253,MASTER!B:B,MASTER!I:I)</f>
        <v>Activo</v>
      </c>
      <c r="G253" s="65535">
        <v>7501045357881</v>
      </c>
      <c r="H253" s="15">
        <f>+_xlfn.XLOOKUP(G253,MASTER!B:B,MASTER!A:A)</f>
        <v>100017980</v>
      </c>
      <c r="I253" s="15" t="str">
        <f>+_xlfn.XLOOKUP(G253,MASTER!B:B,MASTER!C:C)</f>
        <v>HEETS BRONZE SELECTION 1 CAJETILLA</v>
      </c>
    </row>
    <row r="254" spans="1:9" s="15" x14ac:dyDescent="0.35">
      <c r="A254" s="65535">
        <v>7503006684043</v>
      </c>
      <c r="B254" s="65535">
        <f>+_xlfn.XLOOKUP(A254,MASTER!B:B,MASTER!A:A)</f>
        <v>100080941</v>
      </c>
      <c r="C254" s="65535" t="str">
        <f>+_xlfn.XLOOKUP(A254,MASTER!B:B,MASTER!C:C)</f>
        <v>PURO HABANA PZ</v>
      </c>
      <c r="D254" s="15" t="str">
        <f>+_xlfn.XLOOKUP(A254,MASTER!B:B,MASTER!D:D)</f>
        <v>PUROS</v>
      </c>
      <c r="E254" s="15" t="str">
        <f>+_xlfn.XLOOKUP(A254,MASTER!B:B,MASTER!I:I)</f>
        <v>Activo</v>
      </c>
      <c r="G254" s="65535">
        <v>7501045357898</v>
      </c>
      <c r="H254" s="15">
        <f>+_xlfn.XLOOKUP(G254,MASTER!B:B,MASTER!A:A)</f>
        <v>100018638</v>
      </c>
      <c r="I254" s="15" t="str">
        <f>+_xlfn.XLOOKUP(G254,MASTER!B:B,MASTER!C:C)</f>
        <v>HEETS RUSSET SELECTION 1 CAJETILLA</v>
      </c>
    </row>
    <row r="255" spans="1:9" s="15" x14ac:dyDescent="0.35">
      <c r="A255" s="65535">
        <v>7503006684326</v>
      </c>
      <c r="B255" s="65535">
        <f>+_xlfn.XLOOKUP(A255,MASTER!B:B,MASTER!A:A)</f>
        <v>100014772</v>
      </c>
      <c r="C255" s="65535" t="str">
        <f>+_xlfn.XLOOKUP(A255,MASTER!B:B,MASTER!C:C)</f>
        <v xml:space="preserve">ARTIGAS/CARL PURO MIX BELICOSO T/C H 50GR									</v>
      </c>
      <c r="D255" s="15" t="str">
        <f>+_xlfn.XLOOKUP(A255,MASTER!B:B,MASTER!D:D)</f>
        <v>PUROS</v>
      </c>
      <c r="E255" s="15" t="str">
        <f>+_xlfn.XLOOKUP(A255,MASTER!B:B,MASTER!I:I)</f>
        <v>Activo</v>
      </c>
      <c r="G255" s="65535">
        <v>7501045357966</v>
      </c>
      <c r="H255" s="15">
        <f>+_xlfn.XLOOKUP(G255,MASTER!B:B,MASTER!A:A)</f>
        <v>100018639</v>
      </c>
      <c r="I255" s="15" t="str">
        <f>+_xlfn.XLOOKUP(G255,MASTER!B:B,MASTER!C:C)</f>
        <v>HEETS GREEN ZING 1 CAJETILLA</v>
      </c>
    </row>
    <row r="256" spans="1:9" s="15" x14ac:dyDescent="0.35">
      <c r="A256" s="65535">
        <v>7503006684388</v>
      </c>
      <c r="B256" s="65535">
        <f>+_xlfn.XLOOKUP(A256,MASTER!B:B,MASTER!A:A)</f>
        <v>100014777</v>
      </c>
      <c r="C256" s="65535" t="str">
        <f>+_xlfn.XLOOKUP(A256,MASTER!B:B,MASTER!C:C)</f>
        <v xml:space="preserve">ARTIGAS/CARL PURO MIX PLUS CORONA MA 40GR						</v>
      </c>
      <c r="D256" s="15" t="str">
        <f>+_xlfn.XLOOKUP(A256,MASTER!B:B,MASTER!D:D)</f>
        <v>PUROS</v>
      </c>
      <c r="E256" s="15" t="str">
        <f>+_xlfn.XLOOKUP(A256,MASTER!B:B,MASTER!I:I)</f>
        <v>Activo</v>
      </c>
      <c r="G256" s="65535">
        <v>7503031949001</v>
      </c>
      <c r="H256" s="15">
        <f>+_xlfn.XLOOKUP(G256,MASTER!B:B,MASTER!A:A)</f>
        <v>100024305</v>
      </c>
      <c r="I256" s="15" t="str">
        <f>+_xlfn.XLOOKUP(G256,MASTER!B:B,MASTER!C:C)</f>
        <v>MARLBORO VISTA CARIBBEAN FUSION 100 BOX 20 LATA MEXICO 2024 CAJETILLA PZ</v>
      </c>
    </row>
    <row r="257" spans="1:9" s="15" x14ac:dyDescent="0.35">
      <c r="A257" s="65535">
        <v>7503006684395</v>
      </c>
      <c r="B257" s="65535">
        <f>+_xlfn.XLOOKUP(A257,MASTER!B:B,MASTER!A:A)</f>
        <v>100080939</v>
      </c>
      <c r="C257" s="65535" t="str">
        <f>+_xlfn.XLOOKUP(A257,MASTER!B:B,MASTER!C:C)</f>
        <v>PURO ARTIGAS BLACK PZ</v>
      </c>
      <c r="D257" s="15" t="str">
        <f>+_xlfn.XLOOKUP(A257,MASTER!B:B,MASTER!D:D)</f>
        <v>PUROS</v>
      </c>
      <c r="E257" s="15" t="str">
        <f>+_xlfn.XLOOKUP(A257,MASTER!B:B,MASTER!I:I)</f>
        <v>Activo</v>
      </c>
      <c r="G257" s="65535">
        <v>7503031949094</v>
      </c>
      <c r="H257" s="15">
        <f>+_xlfn.XLOOKUP(G257,MASTER!B:B,MASTER!A:A)</f>
        <v>100024306</v>
      </c>
      <c r="I257" s="15" t="str">
        <f>+_xlfn.XLOOKUP(G257,MASTER!B:B,MASTER!C:C)</f>
        <v>MARLBORO VISTA FOREST FUSION 100 BOX 20 LATA MEXICO 2024 CAJETILLA PZ</v>
      </c>
    </row>
    <row r="258" spans="1:9" s="15" x14ac:dyDescent="0.35">
      <c r="A258" s="65535">
        <v>7503006684425</v>
      </c>
      <c r="B258" s="65535">
        <f>+_xlfn.XLOOKUP(A258,MASTER!B:B,MASTER!A:A)</f>
        <v>100014779</v>
      </c>
      <c r="C258" s="65535" t="str">
        <f>+_xlfn.XLOOKUP(A258,MASTER!B:B,MASTER!C:C)</f>
        <v xml:space="preserve">ARTIGAS/CARL PURO MIX ROBUSTO SABOR  50GR					</v>
      </c>
      <c r="D258" s="15" t="str">
        <f>+_xlfn.XLOOKUP(A258,MASTER!B:B,MASTER!D:D)</f>
        <v>PUROS</v>
      </c>
      <c r="E258" s="15" t="str">
        <f>+_xlfn.XLOOKUP(A258,MASTER!B:B,MASTER!I:I)</f>
        <v>Activo</v>
      </c>
      <c r="G258" s="65535">
        <v>7503031949209</v>
      </c>
      <c r="H258" s="15">
        <f>+_xlfn.XLOOKUP(G258,MASTER!B:B,MASTER!A:A)</f>
        <v>100025451</v>
      </c>
      <c r="I258" s="15" t="str">
        <f>+_xlfn.XLOOKUP(G258,MASTER!B:B,MASTER!C:C)</f>
        <v>MARLBORO VISTA FOREST FUSION 100 BOX 20 (LATA CENICERO '25) CAJETILLA PZ</v>
      </c>
    </row>
    <row r="259" spans="1:9" s="15" x14ac:dyDescent="0.35">
      <c r="A259" s="65535">
        <v>7503006684487</v>
      </c>
      <c r="B259" s="65535">
        <f>+_xlfn.XLOOKUP(A259,MASTER!B:B,MASTER!A:A)</f>
        <v>100014774</v>
      </c>
      <c r="C259" s="65535" t="str">
        <f>+_xlfn.XLOOKUP(A259,MASTER!B:B,MASTER!C:C)</f>
        <v xml:space="preserve">ARTIGAS/CARL PURO MIX CORONA SABOR C 40GR				</v>
      </c>
      <c r="D259" s="15" t="str">
        <f>+_xlfn.XLOOKUP(A259,MASTER!B:B,MASTER!D:D)</f>
        <v>PUROS</v>
      </c>
      <c r="E259" s="15" t="str">
        <f>+_xlfn.XLOOKUP(A259,MASTER!B:B,MASTER!I:I)</f>
        <v>Activo</v>
      </c>
      <c r="G259" s="65535">
        <v>7503031949216</v>
      </c>
      <c r="H259" s="15">
        <f>+_xlfn.XLOOKUP(G259,MASTER!B:B,MASTER!A:A)</f>
        <v>100025449</v>
      </c>
      <c r="I259" s="15" t="str">
        <f>+_xlfn.XLOOKUP(G259,MASTER!B:B,MASTER!C:C)</f>
        <v>VISTA BLOSSOM MIST 100 BOX 20 (LATA CENICERO '25)</v>
      </c>
    </row>
    <row r="260" spans="1:9" s="15" x14ac:dyDescent="0.35">
      <c r="A260" s="65535">
        <v>7503006684791</v>
      </c>
      <c r="B260" s="65535">
        <f>+_xlfn.XLOOKUP(A260,MASTER!B:B,MASTER!A:A)</f>
        <v>100080938</v>
      </c>
      <c r="C260" s="65535" t="str">
        <f>+_xlfn.XLOOKUP(A260,MASTER!B:B,MASTER!C:C)</f>
        <v>PURO SANTA CRUZ PZ</v>
      </c>
      <c r="D260" s="15" t="str">
        <f>+_xlfn.XLOOKUP(A260,MASTER!B:B,MASTER!D:D)</f>
        <v>PUROS</v>
      </c>
      <c r="E260" s="15" t="str">
        <f>+_xlfn.XLOOKUP(A260,MASTER!B:B,MASTER!I:I)</f>
        <v>Activo</v>
      </c>
      <c r="G260" s="65535">
        <v>7503031949223</v>
      </c>
      <c r="H260" s="15">
        <f>+_xlfn.XLOOKUP(G260,MASTER!B:B,MASTER!A:A)</f>
        <v>100025450</v>
      </c>
      <c r="I260" s="15" t="str">
        <f>+_xlfn.XLOOKUP(G260,MASTER!B:B,MASTER!C:C)</f>
        <v>MARLBORO VISTA CARIBBEAN FUSION 100 BOX 20 (LATA CENICERO '25) CAJETILLA PZ</v>
      </c>
    </row>
    <row r="261" spans="1:9" s="15" x14ac:dyDescent="0.35">
      <c r="A261" s="65535">
        <v>7503006684807</v>
      </c>
      <c r="B261" s="65535">
        <f>+_xlfn.XLOOKUP(A261,MASTER!B:B,MASTER!A:A)</f>
        <v>100080940</v>
      </c>
      <c r="C261" s="65535" t="str">
        <f>+_xlfn.XLOOKUP(A261,MASTER!B:B,MASTER!C:C)</f>
        <v>PURITO HABANA GOLD VA PZ</v>
      </c>
      <c r="D261" s="15" t="str">
        <f>+_xlfn.XLOOKUP(A261,MASTER!B:B,MASTER!D:D)</f>
        <v>PUROS</v>
      </c>
      <c r="E261" s="15" t="str">
        <f>+_xlfn.XLOOKUP(A261,MASTER!B:B,MASTER!I:I)</f>
        <v>Activo</v>
      </c>
      <c r="G261" s="65535">
        <v>7503031949322</v>
      </c>
      <c r="H261" s="15">
        <f>+_xlfn.XLOOKUP(G261,MASTER!B:B,MASTER!A:A)</f>
        <v>100025452</v>
      </c>
      <c r="I261" s="15" t="str">
        <f>+_xlfn.XLOOKUP(G261,MASTER!B:B,MASTER!C:C)</f>
        <v>MARLBORO VISTA PROVENCE FUSION 100 BOX 20 (LATA CENICERO '25) CAJETILLA PZ</v>
      </c>
    </row>
    <row r="262" spans="1:9" s="15" x14ac:dyDescent="0.35">
      <c r="A262" s="65535">
        <v>7503006684838</v>
      </c>
      <c r="B262" s="65535">
        <f>+_xlfn.XLOOKUP(A262,MASTER!B:B,MASTER!A:A)</f>
        <v>100080942</v>
      </c>
      <c r="C262" s="65535" t="str">
        <f>+_xlfn.XLOOKUP(A262,MASTER!B:B,MASTER!C:C)</f>
        <v>PURO HABANA PZ</v>
      </c>
      <c r="D262" s="15" t="str">
        <f>+_xlfn.XLOOKUP(A262,MASTER!B:B,MASTER!D:D)</f>
        <v>PUROS</v>
      </c>
      <c r="E262" s="15" t="str">
        <f>+_xlfn.XLOOKUP(A262,MASTER!B:B,MASTER!I:I)</f>
        <v>Activo</v>
      </c>
      <c r="G262" s="65535">
        <v>7503031950113</v>
      </c>
      <c r="H262" s="15">
        <f>+_xlfn.XLOOKUP(G262,MASTER!B:B,MASTER!A:A)</f>
        <v>100019960</v>
      </c>
      <c r="I262" s="15" t="str">
        <f>+_xlfn.XLOOKUP(G262,MASTER!B:B,MASTER!C:C)</f>
        <v>CHESTERFIELD LATA P REMIX PASSION 1 CAJETILLA</v>
      </c>
    </row>
    <row r="263" spans="1:9" s="15" x14ac:dyDescent="0.35">
      <c r="A263" s="65535">
        <v>7503006684852</v>
      </c>
      <c r="B263" s="65535">
        <f>+_xlfn.XLOOKUP(A263,MASTER!B:B,MASTER!A:A)</f>
        <v>100080943</v>
      </c>
      <c r="C263" s="65535" t="str">
        <f>+_xlfn.XLOOKUP(A263,MASTER!B:B,MASTER!C:C)</f>
        <v>PURO HABANA PZ</v>
      </c>
      <c r="D263" s="15" t="str">
        <f>+_xlfn.XLOOKUP(A263,MASTER!B:B,MASTER!D:D)</f>
        <v>PUROS</v>
      </c>
      <c r="E263" s="15" t="str">
        <f>+_xlfn.XLOOKUP(A263,MASTER!B:B,MASTER!I:I)</f>
        <v>Activo</v>
      </c>
      <c r="G263" s="65535">
        <v>7503031950137</v>
      </c>
      <c r="H263" s="15">
        <f>+_xlfn.XLOOKUP(G263,MASTER!B:B,MASTER!A:A)</f>
        <v>100020135</v>
      </c>
      <c r="I263" s="15" t="str">
        <f>+_xlfn.XLOOKUP(G263,MASTER!B:B,MASTER!C:C)</f>
        <v>MARLBORO LATAS  SUMMER DICIEMBRE  1 CAJETILLA</v>
      </c>
    </row>
    <row r="264" spans="1:9" s="15" x14ac:dyDescent="0.35">
      <c r="A264" s="65535">
        <v>7503023648011</v>
      </c>
      <c r="B264" s="65535">
        <f>+_xlfn.XLOOKUP(A264,MASTER!B:B,MASTER!A:A)</f>
        <v>100009364</v>
      </c>
      <c r="C264" s="65535" t="str">
        <f>+_xlfn.XLOOKUP(A264,MASTER!B:B,MASTER!C:C)</f>
        <v>MAZATAN PURO TORO PZ</v>
      </c>
      <c r="D264" s="15" t="str">
        <f>+_xlfn.XLOOKUP(A264,MASTER!B:B,MASTER!D:D)</f>
        <v>PUROS</v>
      </c>
      <c r="E264" s="15" t="str">
        <f>+_xlfn.XLOOKUP(A264,MASTER!B:B,MASTER!I:I)</f>
        <v>Activo</v>
      </c>
      <c r="G264" s="65535">
        <v>7503031950144</v>
      </c>
      <c r="H264" s="15">
        <f>+_xlfn.XLOOKUP(G264,MASTER!B:B,MASTER!A:A)</f>
        <v>100020134</v>
      </c>
      <c r="I264" s="15" t="str">
        <f>+_xlfn.XLOOKUP(G264,MASTER!B:B,MASTER!C:C)</f>
        <v>MARLBORO LATAS  GARDEN DICIEMBRE  1 CAJETILLA</v>
      </c>
    </row>
    <row r="265" spans="1:9" s="15" x14ac:dyDescent="0.35">
      <c r="A265" s="65535">
        <v>7503023648042</v>
      </c>
      <c r="B265" s="65535">
        <f>+_xlfn.XLOOKUP(A265,MASTER!B:B,MASTER!A:A)</f>
        <v>100009359</v>
      </c>
      <c r="C265" s="65535" t="str">
        <f>+_xlfn.XLOOKUP(A265,MASTER!B:B,MASTER!C:C)</f>
        <v>MAZATAN PURO PETTITE PANATELA PZ</v>
      </c>
      <c r="D265" s="15" t="str">
        <f>+_xlfn.XLOOKUP(A265,MASTER!B:B,MASTER!D:D)</f>
        <v>PUROS</v>
      </c>
      <c r="E265" s="15" t="str">
        <f>+_xlfn.XLOOKUP(A265,MASTER!B:B,MASTER!I:I)</f>
        <v>Activo</v>
      </c>
      <c r="G265" s="65535">
        <v>7503031950168</v>
      </c>
      <c r="H265" s="15">
        <f>+_xlfn.XLOOKUP(G265,MASTER!B:B,MASTER!A:A)</f>
        <v>100020137</v>
      </c>
      <c r="I265" s="15" t="str">
        <f>+_xlfn.XLOOKUP(G265,MASTER!B:B,MASTER!C:C)</f>
        <v>MARLBORO CRAFTE CRAFTED ARTESANAL  1 CAJETILLA</v>
      </c>
    </row>
    <row r="266" spans="1:9" s="15" x14ac:dyDescent="0.35">
      <c r="A266" s="65535">
        <v>7503023959001</v>
      </c>
      <c r="B266" s="65535">
        <f>+_xlfn.XLOOKUP(A266,MASTER!B:B,MASTER!A:A)</f>
        <v>100012957</v>
      </c>
      <c r="C266" s="65535" t="str">
        <f>+_xlfn.XLOOKUP(A266,MASTER!B:B,MASTER!C:C)</f>
        <v>CAMEL FILTERS 20S 1CAJE</v>
      </c>
      <c r="D266" s="15" t="str">
        <f>+_xlfn.XLOOKUP(A266,MASTER!B:B,MASTER!D:D)</f>
        <v>JTI</v>
      </c>
      <c r="E266" s="15" t="str">
        <f>+_xlfn.XLOOKUP(A266,MASTER!B:B,MASTER!I:I)</f>
        <v>Activo</v>
      </c>
      <c r="G266" s="65535">
        <v>7503031950175</v>
      </c>
      <c r="H266" s="15">
        <f>+_xlfn.XLOOKUP(G266,MASTER!B:B,MASTER!A:A)</f>
        <v>100020429</v>
      </c>
      <c r="I266" s="15" t="str">
        <f>+_xlfn.XLOOKUP(G266,MASTER!B:B,MASTER!C:C)</f>
        <v>MARLBORO LATA B BLOSSOM 1 CAJETILLA</v>
      </c>
    </row>
    <row r="267" spans="1:9" s="15" x14ac:dyDescent="0.35">
      <c r="A267" s="65535">
        <v>7503023959025</v>
      </c>
      <c r="B267" s="65535">
        <f>+_xlfn.XLOOKUP(A267,MASTER!B:B,MASTER!A:A)</f>
        <v>100014240</v>
      </c>
      <c r="C267" s="65535" t="str">
        <f>+_xlfn.XLOOKUP(A267,MASTER!B:B,MASTER!C:C)</f>
        <v>CAMEL CAMEL  FILTERS 14S 1CAJE</v>
      </c>
      <c r="D267" s="15" t="str">
        <f>+_xlfn.XLOOKUP(A267,MASTER!B:B,MASTER!D:D)</f>
        <v>JTI</v>
      </c>
      <c r="E267" s="15" t="str">
        <f>+_xlfn.XLOOKUP(A267,MASTER!B:B,MASTER!I:I)</f>
        <v>Inactivo</v>
      </c>
      <c r="G267" s="65535">
        <v>7503031950182</v>
      </c>
      <c r="H267" s="15">
        <f>+_xlfn.XLOOKUP(G267,MASTER!B:B,MASTER!A:A)</f>
        <v>100020724</v>
      </c>
      <c r="I267" s="15" t="str">
        <f>+_xlfn.XLOOKUP(G267,MASTER!B:B,MASTER!C:C)</f>
        <v>MARLBORO LATA L SUMMER 1 CAJETILLA</v>
      </c>
    </row>
    <row r="268" spans="1:9" s="15" x14ac:dyDescent="0.35">
      <c r="A268" s="65535">
        <v>7503023959117</v>
      </c>
      <c r="B268" s="65535">
        <f>+_xlfn.XLOOKUP(A268,MASTER!B:B,MASTER!A:A)</f>
        <v>100014242</v>
      </c>
      <c r="C268" s="65535" t="str">
        <f>+_xlfn.XLOOKUP(A268,MASTER!B:B,MASTER!C:C)</f>
        <v>CAMEL CAMEL  ACTIVA MINT PURPLE 1CAJE</v>
      </c>
      <c r="D268" s="15" t="str">
        <f>+_xlfn.XLOOKUP(A268,MASTER!B:B,MASTER!D:D)</f>
        <v>JTI</v>
      </c>
      <c r="E268" s="15" t="str">
        <f>+_xlfn.XLOOKUP(A268,MASTER!B:B,MASTER!I:I)</f>
        <v>Inactivo</v>
      </c>
      <c r="G268" s="65535">
        <v>7503031950199</v>
      </c>
      <c r="H268" s="15">
        <f>+_xlfn.XLOOKUP(G268,MASTER!B:B,MASTER!A:A)</f>
        <v>100020725</v>
      </c>
      <c r="I268" s="15" t="str">
        <f>+_xlfn.XLOOKUP(G268,MASTER!B:B,MASTER!C:C)</f>
        <v>MARLBORO LATA L GARDEN 1 CAJETILLA</v>
      </c>
    </row>
    <row r="269" spans="1:9" s="15" x14ac:dyDescent="0.35">
      <c r="A269" s="65535">
        <v>7503023959148</v>
      </c>
      <c r="B269" s="65535">
        <f>+_xlfn.XLOOKUP(A269,MASTER!B:B,MASTER!A:A)</f>
        <v>100014678</v>
      </c>
      <c r="C269" s="65535" t="str">
        <f>+_xlfn.XLOOKUP(A269,MASTER!B:B,MASTER!C:C)</f>
        <v xml:space="preserve">CAMEL NATURAL FLAVOR 20						</v>
      </c>
      <c r="D269" s="15" t="str">
        <f>+_xlfn.XLOOKUP(A269,MASTER!B:B,MASTER!D:D)</f>
        <v>JTI</v>
      </c>
      <c r="E269" s="15" t="str">
        <f>+_xlfn.XLOOKUP(A269,MASTER!B:B,MASTER!I:I)</f>
        <v>Activo</v>
      </c>
      <c r="G269" s="65535">
        <v>7503031950205</v>
      </c>
      <c r="H269" s="15">
        <f>+_xlfn.XLOOKUP(G269,MASTER!B:B,MASTER!A:A)</f>
        <v>100020726</v>
      </c>
      <c r="I269" s="15" t="str">
        <f>+_xlfn.XLOOKUP(G269,MASTER!B:B,MASTER!C:C)</f>
        <v>MARLBORO LATA L ARCTIC 1 CAJETILLA</v>
      </c>
    </row>
    <row r="270" spans="1:9" s="15" x14ac:dyDescent="0.35">
      <c r="A270" s="65535">
        <v>7503023959162</v>
      </c>
      <c r="B270" s="65535">
        <f>+_xlfn.XLOOKUP(A270,MASTER!B:B,MASTER!A:A)</f>
        <v>100016411</v>
      </c>
      <c r="C270" s="65535" t="str">
        <f>+_xlfn.XLOOKUP(A270,MASTER!B:B,MASTER!C:C)</f>
        <v>WINSTON WINSTO WATERMELON 100S 1CAJE</v>
      </c>
      <c r="D270" s="15" t="str">
        <f>+_xlfn.XLOOKUP(A270,MASTER!B:B,MASTER!D:D)</f>
        <v>JTI</v>
      </c>
      <c r="E270" s="15" t="str">
        <f>+_xlfn.XLOOKUP(A270,MASTER!B:B,MASTER!I:I)</f>
        <v>Inactivo</v>
      </c>
      <c r="G270" s="65535">
        <v>7503031950212</v>
      </c>
      <c r="H270" s="15">
        <f>+_xlfn.XLOOKUP(G270,MASTER!B:B,MASTER!A:A)</f>
        <v>100021091</v>
      </c>
      <c r="I270" s="15" t="str">
        <f>+_xlfn.XLOOKUP(G270,MASTER!B:B,MASTER!C:C)</f>
        <v>MARLBORO LATA B BLOSOM LPE 1 CAJETILLA</v>
      </c>
    </row>
    <row r="271" spans="1:9" s="15" x14ac:dyDescent="0.35">
      <c r="A271" s="65535">
        <v>7503023959230</v>
      </c>
      <c r="B271" s="65535">
        <f>+_xlfn.XLOOKUP(A271,MASTER!B:B,MASTER!A:A)</f>
        <v>100017393</v>
      </c>
      <c r="C271" s="65535" t="str">
        <f>+_xlfn.XLOOKUP(A271,MASTER!B:B,MASTER!C:C)</f>
        <v>CAMEL FILTER GREETINGS 20S 1 PZ</v>
      </c>
      <c r="D271" s="15" t="str">
        <f>+_xlfn.XLOOKUP(A271,MASTER!B:B,MASTER!D:D)</f>
        <v>JTI</v>
      </c>
      <c r="E271" s="15" t="str">
        <f>+_xlfn.XLOOKUP(A271,MASTER!B:B,MASTER!I:I)</f>
        <v>Inactivo</v>
      </c>
      <c r="G271" s="65535">
        <v>7503031950229</v>
      </c>
      <c r="H271" s="15">
        <f>+_xlfn.XLOOKUP(G271,MASTER!B:B,MASTER!A:A)</f>
        <v>100021413</v>
      </c>
      <c r="I271" s="15" t="str">
        <f>+_xlfn.XLOOKUP(G271,MASTER!B:B,MASTER!C:C)</f>
        <v>MARLBORO LPE ME MEXICO SUMMER 1 CAJETILLA</v>
      </c>
    </row>
    <row r="272" spans="1:9" s="15" x14ac:dyDescent="0.35">
      <c r="A272" s="65535">
        <v>7503023959278</v>
      </c>
      <c r="B272" s="65535">
        <f>+_xlfn.XLOOKUP(A272,MASTER!B:B,MASTER!A:A)</f>
        <v>100022971</v>
      </c>
      <c r="C272" s="65535" t="str">
        <f>+_xlfn.XLOOKUP(A272,MASTER!B:B,MASTER!C:C)</f>
        <v>CAMEL CAMEL FILTERS ORIGINAL 25S 29 GR</v>
      </c>
      <c r="D272" s="15" t="str">
        <f>+_xlfn.XLOOKUP(A272,MASTER!B:B,MASTER!D:D)</f>
        <v>JTI</v>
      </c>
      <c r="E272" s="15" t="str">
        <f>+_xlfn.XLOOKUP(A272,MASTER!B:B,MASTER!I:I)</f>
        <v>Activo</v>
      </c>
      <c r="G272" s="65535">
        <v>7503031950243</v>
      </c>
      <c r="H272" s="15">
        <f>+_xlfn.XLOOKUP(G272,MASTER!B:B,MASTER!A:A)</f>
        <v>100021407</v>
      </c>
      <c r="I272" s="15" t="str">
        <f>+_xlfn.XLOOKUP(G272,MASTER!B:B,MASTER!C:C)</f>
        <v>MARLBORO LPE ME MEXICO ARCTIC 1 CAJETILLA</v>
      </c>
    </row>
    <row r="273" spans="1:9" s="15" x14ac:dyDescent="0.35">
      <c r="A273" s="65535">
        <v>7503023959346</v>
      </c>
      <c r="B273" s="65535">
        <f>+_xlfn.XLOOKUP(A273,MASTER!B:B,MASTER!A:A)</f>
        <v>100018931</v>
      </c>
      <c r="C273" s="65535" t="str">
        <f>+_xlfn.XLOOKUP(A273,MASTER!B:B,MASTER!C:C)</f>
        <v>CAMEL FILTER LEP ANIMALS 20S 23 G</v>
      </c>
      <c r="D273" s="15" t="str">
        <f>+_xlfn.XLOOKUP(A273,MASTER!B:B,MASTER!D:D)</f>
        <v>JTI</v>
      </c>
      <c r="E273" s="15" t="str">
        <f>+_xlfn.XLOOKUP(A273,MASTER!B:B,MASTER!I:I)</f>
        <v>Inactivo</v>
      </c>
      <c r="G273" s="65535">
        <v>7503031950267</v>
      </c>
      <c r="H273" s="15">
        <f>+_xlfn.XLOOKUP(G273,MASTER!B:B,MASTER!A:A)</f>
        <v>100021797</v>
      </c>
      <c r="I273" s="15" t="str">
        <f>+_xlfn.XLOOKUP(G273,MASTER!B:B,MASTER!C:C)</f>
        <v>CHESTERFIELD LPE OR LPE 125 1 CAJETILLA</v>
      </c>
    </row>
    <row r="274" spans="1:9" s="15" x14ac:dyDescent="0.35">
      <c r="A274" s="65535">
        <v>7503023959438</v>
      </c>
      <c r="B274" s="65535">
        <f>+_xlfn.XLOOKUP(A274,MASTER!B:B,MASTER!A:A)</f>
        <v>100022054</v>
      </c>
      <c r="C274" s="65535" t="str">
        <f>+_xlfn.XLOOKUP(A274,MASTER!B:B,MASTER!C:C)</f>
        <v xml:space="preserve"> WINSTON OASIS FRES 27.4 G	</v>
      </c>
      <c r="D274" s="15" t="str">
        <f>+_xlfn.XLOOKUP(A274,MASTER!B:B,MASTER!D:D)</f>
        <v>JTI</v>
      </c>
      <c r="E274" s="15" t="str">
        <f>+_xlfn.XLOOKUP(A274,MASTER!B:B,MASTER!I:I)</f>
        <v>Activo</v>
      </c>
      <c r="G274" s="65535">
        <v>7503031950274</v>
      </c>
      <c r="H274" s="15">
        <f>+_xlfn.XLOOKUP(G274,MASTER!B:B,MASTER!A:A)</f>
        <v>100022139</v>
      </c>
      <c r="I274" s="15" t="str">
        <f>+_xlfn.XLOOKUP(G274,MASTER!B:B,MASTER!C:C)</f>
        <v>MARLBORO SUMMER LPE SUMMER 1 CAJETILLA</v>
      </c>
    </row>
    <row r="275" spans="1:9" s="15" x14ac:dyDescent="0.35">
      <c r="A275" s="65535">
        <v>7503023959452</v>
      </c>
      <c r="B275" s="65535">
        <f>+_xlfn.XLOOKUP(A275,MASTER!B:B,MASTER!A:A)</f>
        <v>100025162</v>
      </c>
      <c r="C275" s="65535" t="str">
        <f>+_xlfn.XLOOKUP(A275,MASTER!B:B,MASTER!C:C)</f>
        <v>WINSTON WINSTON CLASSIC 25S 25 PZ</v>
      </c>
      <c r="D275" s="15" t="str">
        <f>+_xlfn.XLOOKUP(A275,MASTER!B:B,MASTER!D:D)</f>
        <v>JTI</v>
      </c>
      <c r="E275" s="15" t="str">
        <f>+_xlfn.XLOOKUP(A275,MASTER!B:B,MASTER!I:I)</f>
        <v>Descontinuado (con stock)</v>
      </c>
      <c r="G275" s="65535">
        <v>7503031950281</v>
      </c>
      <c r="H275" s="15">
        <f>+_xlfn.XLOOKUP(G275,MASTER!B:B,MASTER!A:A)</f>
        <v>100022138</v>
      </c>
      <c r="I275" s="15" t="str">
        <f>+_xlfn.XLOOKUP(G275,MASTER!B:B,MASTER!C:C)</f>
        <v xml:space="preserve">MARLBORO GARDEN LPE GARDEN 1 CAJETILLA	</v>
      </c>
    </row>
    <row r="276" spans="1:9" s="15" x14ac:dyDescent="0.35">
      <c r="A276" s="65535">
        <v>7503023959490</v>
      </c>
      <c r="B276" s="65535">
        <f>+_xlfn.XLOOKUP(A276,MASTER!B:B,MASTER!A:A)</f>
        <v>100021814</v>
      </c>
      <c r="C276" s="65535" t="str">
        <f>+_xlfn.XLOOKUP(A276,MASTER!B:B,MASTER!C:C)</f>
        <v>CAMEL SWITCH 100S 27.4 G</v>
      </c>
      <c r="D276" s="15" t="str">
        <f>+_xlfn.XLOOKUP(A276,MASTER!B:B,MASTER!D:D)</f>
        <v>JTI</v>
      </c>
      <c r="E276" s="15" t="str">
        <f>+_xlfn.XLOOKUP(A276,MASTER!B:B,MASTER!I:I)</f>
        <v>Descontinuado (con stock)</v>
      </c>
      <c r="G276" s="65535">
        <v>7503031950298</v>
      </c>
      <c r="H276" s="15">
        <f>+_xlfn.XLOOKUP(G276,MASTER!B:B,MASTER!A:A)</f>
        <v>100022134</v>
      </c>
      <c r="I276" s="15" t="str">
        <f>+_xlfn.XLOOKUP(G276,MASTER!B:B,MASTER!C:C)</f>
        <v>MARLBORO ARCTIC LPE ARCTIC 1 CAJETILLA</v>
      </c>
    </row>
    <row r="277" spans="1:9" s="15" x14ac:dyDescent="0.35">
      <c r="A277" s="65535">
        <v>7503023959506</v>
      </c>
      <c r="B277" s="65535">
        <f>+_xlfn.XLOOKUP(A277,MASTER!B:B,MASTER!A:A)</f>
        <v>100021813</v>
      </c>
      <c r="C277" s="65535" t="str">
        <f>+_xlfn.XLOOKUP(A277,MASTER!B:B,MASTER!C:C)</f>
        <v>CAMEL MAX DOUBLE 1 27.4 G</v>
      </c>
      <c r="D277" s="15" t="str">
        <f>+_xlfn.XLOOKUP(A277,MASTER!B:B,MASTER!D:D)</f>
        <v>JTI</v>
      </c>
      <c r="E277" s="15" t="str">
        <f>+_xlfn.XLOOKUP(A277,MASTER!B:B,MASTER!I:I)</f>
        <v>Descontinuado (con stock)</v>
      </c>
      <c r="G277" s="65535">
        <v>7503031950304</v>
      </c>
      <c r="H277" s="15">
        <f>+_xlfn.XLOOKUP(G277,MASTER!B:B,MASTER!A:A)</f>
        <v>100022136</v>
      </c>
      <c r="I277" s="15" t="str">
        <f>+_xlfn.XLOOKUP(G277,MASTER!B:B,MASTER!C:C)</f>
        <v>MARLBORO BLOSSO LPE BLOSSOM 1 CAJETILLA</v>
      </c>
    </row>
    <row r="278" spans="1:9" s="15" x14ac:dyDescent="0.35">
      <c r="A278" s="65535">
        <v>7503023959513</v>
      </c>
      <c r="B278" s="65535">
        <f>+_xlfn.XLOOKUP(A278,MASTER!B:B,MASTER!A:A)</f>
        <v>100022996</v>
      </c>
      <c r="C278" s="65535" t="str">
        <f>+_xlfn.XLOOKUP(A278,MASTER!B:B,MASTER!C:C)</f>
        <v>WINSTON WINSTON RED 20S 1 PZ</v>
      </c>
      <c r="D278" s="15" t="str">
        <f>+_xlfn.XLOOKUP(A278,MASTER!B:B,MASTER!D:D)</f>
        <v>JTI</v>
      </c>
      <c r="E278" s="15" t="str">
        <f>+_xlfn.XLOOKUP(A278,MASTER!B:B,MASTER!I:I)</f>
        <v>Activo</v>
      </c>
      <c r="G278" s="65535">
        <v>7503031950311</v>
      </c>
      <c r="H278" s="15">
        <f>+_xlfn.XLOOKUP(G278,MASTER!B:B,MASTER!A:A)</f>
        <v>100022137</v>
      </c>
      <c r="I278" s="15" t="str">
        <f>+_xlfn.XLOOKUP(G278,MASTER!B:B,MASTER!C:C)</f>
        <v>MARLBORO CARIBB LPE CARIBBEAN 1 CAJETILLA</v>
      </c>
    </row>
    <row r="279" spans="1:9" s="15" x14ac:dyDescent="0.35">
      <c r="A279" s="65535">
        <v>7503023959520</v>
      </c>
      <c r="B279" s="65535">
        <f>+_xlfn.XLOOKUP(A279,MASTER!B:B,MASTER!A:A)</f>
        <v>100022995</v>
      </c>
      <c r="C279" s="65535" t="str">
        <f>+_xlfn.XLOOKUP(A279,MASTER!B:B,MASTER!C:C)</f>
        <v>WINSTON WINSTON RED 25S 1 PZ</v>
      </c>
      <c r="D279" s="15" t="str">
        <f>+_xlfn.XLOOKUP(A279,MASTER!B:B,MASTER!D:D)</f>
        <v>JTI</v>
      </c>
      <c r="E279" s="15" t="str">
        <f>+_xlfn.XLOOKUP(A279,MASTER!B:B,MASTER!I:I)</f>
        <v>Activo</v>
      </c>
      <c r="G279" s="65535">
        <v>7503031950458</v>
      </c>
      <c r="H279" s="15">
        <f>+_xlfn.XLOOKUP(G279,MASTER!B:B,MASTER!A:A)</f>
        <v>100022845</v>
      </c>
      <c r="I279" s="15" t="str">
        <f>+_xlfn.XLOOKUP(G279,MASTER!B:B,MASTER!C:C)</f>
        <v>MARLBORO SUMMER LATA 23 CAJET PZ</v>
      </c>
    </row>
    <row r="280" spans="1:9" s="15" x14ac:dyDescent="0.35">
      <c r="A280" s="65535">
        <v>7503023959629</v>
      </c>
      <c r="B280" s="65535">
        <f>+_xlfn.XLOOKUP(A280,MASTER!B:B,MASTER!A:A)</f>
        <v>100025152</v>
      </c>
      <c r="C280" s="65535" t="str">
        <f>+_xlfn.XLOOKUP(A280,MASTER!B:B,MASTER!C:C)</f>
        <v>CAMEL CAMEL TROPICAL BREW DOBLE CÁPSULA 20 PZ</v>
      </c>
      <c r="D280" s="15" t="str">
        <f>+_xlfn.XLOOKUP(A280,MASTER!B:B,MASTER!D:D)</f>
        <v>JTI</v>
      </c>
      <c r="E280" s="15" t="str">
        <f>+_xlfn.XLOOKUP(A280,MASTER!B:B,MASTER!I:I)</f>
        <v>Descontinuado (con stock)</v>
      </c>
      <c r="G280" s="65535">
        <v>7503031950465</v>
      </c>
      <c r="H280" s="15">
        <f>+_xlfn.XLOOKUP(G280,MASTER!B:B,MASTER!A:A)</f>
        <v>100022849</v>
      </c>
      <c r="I280" s="15" t="str">
        <f>+_xlfn.XLOOKUP(G280,MASTER!B:B,MASTER!C:C)</f>
        <v>MARLBORO GARDEN LATA 23 CAJET PZ</v>
      </c>
    </row>
    <row r="281" spans="1:9" s="15" x14ac:dyDescent="0.35">
      <c r="A281" s="65535">
        <v>7503031949001</v>
      </c>
      <c r="B281" s="65535">
        <f>+_xlfn.XLOOKUP(A281,MASTER!B:B,MASTER!A:A)</f>
        <v>100024305</v>
      </c>
      <c r="C281" s="65535" t="str">
        <f>+_xlfn.XLOOKUP(A281,MASTER!B:B,MASTER!C:C)</f>
        <v>MARLBORO VISTA CARIBBEAN FUSION 100 BOX 20 LATA MEXICO 2024 CAJETILLA PZ</v>
      </c>
      <c r="D281" s="15" t="str">
        <f>+_xlfn.XLOOKUP(A281,MASTER!B:B,MASTER!D:D)</f>
        <v>PMI</v>
      </c>
      <c r="E281" s="15" t="str">
        <f>+_xlfn.XLOOKUP(A281,MASTER!B:B,MASTER!I:I)</f>
        <v>Descontinuado (con stock)</v>
      </c>
      <c r="G281" s="65535">
        <v>7503031950472</v>
      </c>
      <c r="H281" s="15">
        <f>+_xlfn.XLOOKUP(G281,MASTER!B:B,MASTER!A:A)</f>
        <v>100022847</v>
      </c>
      <c r="I281" s="15" t="str">
        <f>+_xlfn.XLOOKUP(G281,MASTER!B:B,MASTER!C:C)</f>
        <v>MARLBORO ARTIC LATA 23 CAJET PZ</v>
      </c>
    </row>
    <row r="282" spans="1:9" s="15" x14ac:dyDescent="0.35">
      <c r="A282" s="65535">
        <v>7503031949094</v>
      </c>
      <c r="B282" s="65535">
        <f>+_xlfn.XLOOKUP(A282,MASTER!B:B,MASTER!A:A)</f>
        <v>100024306</v>
      </c>
      <c r="C282" s="65535" t="str">
        <f>+_xlfn.XLOOKUP(A282,MASTER!B:B,MASTER!C:C)</f>
        <v>MARLBORO VISTA FOREST FUSION 100 BOX 20 LATA MEXICO 2024 CAJETILLA PZ</v>
      </c>
      <c r="D282" s="15" t="str">
        <f>+_xlfn.XLOOKUP(A282,MASTER!B:B,MASTER!D:D)</f>
        <v>PMI</v>
      </c>
      <c r="E282" s="15" t="str">
        <f>+_xlfn.XLOOKUP(A282,MASTER!B:B,MASTER!I:I)</f>
        <v>Descontinuado (con stock)</v>
      </c>
      <c r="G282" s="65535">
        <v>7503031950489</v>
      </c>
      <c r="H282" s="15">
        <f>+_xlfn.XLOOKUP(G282,MASTER!B:B,MASTER!A:A)</f>
        <v>100022846</v>
      </c>
      <c r="I282" s="15" t="str">
        <f>+_xlfn.XLOOKUP(G282,MASTER!B:B,MASTER!C:C)</f>
        <v>MARLBORO BLOSSOM LATA 23 CAJET PZ</v>
      </c>
    </row>
    <row r="283" spans="1:9" s="15" x14ac:dyDescent="0.35">
      <c r="A283" s="65535">
        <v>7503031949209</v>
      </c>
      <c r="B283" s="65535">
        <f>+_xlfn.XLOOKUP(A283,MASTER!B:B,MASTER!A:A)</f>
        <v>100025451</v>
      </c>
      <c r="C283" s="65535" t="str">
        <f>+_xlfn.XLOOKUP(A283,MASTER!B:B,MASTER!C:C)</f>
        <v>MARLBORO VISTA FOREST FUSION 100 BOX 20 (LATA CENICERO '25) CAJETILLA PZ</v>
      </c>
      <c r="D283" s="15" t="str">
        <f>+_xlfn.XLOOKUP(A283,MASTER!B:B,MASTER!D:D)</f>
        <v>PMI</v>
      </c>
      <c r="E283" s="15" t="str">
        <f>+_xlfn.XLOOKUP(A283,MASTER!B:B,MASTER!I:I)</f>
        <v>Descontinuado (con stock)</v>
      </c>
      <c r="G283" s="65535">
        <v>7503031950496</v>
      </c>
      <c r="H283" s="15">
        <f>+_xlfn.XLOOKUP(G283,MASTER!B:B,MASTER!A:A)</f>
        <v>100022848</v>
      </c>
      <c r="I283" s="15" t="str">
        <f>+_xlfn.XLOOKUP(G283,MASTER!B:B,MASTER!C:C)</f>
        <v>MARLBORO CARIBBEAN LATA 23 CAJET PZ</v>
      </c>
    </row>
    <row r="284" spans="1:9" s="15" x14ac:dyDescent="0.35">
      <c r="A284" s="65535">
        <v>7503031949216</v>
      </c>
      <c r="B284" s="65535">
        <f>+_xlfn.XLOOKUP(A284,MASTER!B:B,MASTER!A:A)</f>
        <v>100025449</v>
      </c>
      <c r="C284" s="65535" t="str">
        <f>+_xlfn.XLOOKUP(A284,MASTER!B:B,MASTER!C:C)</f>
        <v>VISTA BLOSSOM MIST 100 BOX 20 (LATA CENICERO '25)</v>
      </c>
      <c r="D284" s="15" t="str">
        <f>+_xlfn.XLOOKUP(A284,MASTER!B:B,MASTER!D:D)</f>
        <v>PMI</v>
      </c>
      <c r="E284" s="15" t="str">
        <f>+_xlfn.XLOOKUP(A284,MASTER!B:B,MASTER!I:I)</f>
        <v>Descontinuado (con stock)</v>
      </c>
      <c r="G284" s="65535">
        <v>7503031950533</v>
      </c>
      <c r="H284" s="15">
        <f>+_xlfn.XLOOKUP(G284,MASTER!B:B,MASTER!A:A)</f>
        <v>100023362</v>
      </c>
      <c r="I284" s="15" t="str">
        <f>+_xlfn.XLOOKUP(G284,MASTER!B:B,MASTER!C:C)</f>
        <v>MARLBORO CRAFTED 2.0 RED KS BOX 20 STD - VAO CAJETILLA PZ</v>
      </c>
    </row>
    <row r="285" spans="1:9" s="15" x14ac:dyDescent="0.35">
      <c r="A285" s="65535">
        <v>7503031949223</v>
      </c>
      <c r="B285" s="65535">
        <f>+_xlfn.XLOOKUP(A285,MASTER!B:B,MASTER!A:A)</f>
        <v>100025450</v>
      </c>
      <c r="C285" s="65535" t="str">
        <f>+_xlfn.XLOOKUP(A285,MASTER!B:B,MASTER!C:C)</f>
        <v>MARLBORO VISTA CARIBBEAN FUSION 100 BOX 20 (LATA CENICERO '25) CAJETILLA PZ</v>
      </c>
      <c r="D285" s="15" t="str">
        <f>+_xlfn.XLOOKUP(A285,MASTER!B:B,MASTER!D:D)</f>
        <v>PMI</v>
      </c>
      <c r="E285" s="15" t="str">
        <f>+_xlfn.XLOOKUP(A285,MASTER!B:B,MASTER!I:I)</f>
        <v>Descontinuado (con stock)</v>
      </c>
      <c r="G285" s="65535">
        <v>7503031950540</v>
      </c>
      <c r="H285" s="15">
        <f>+_xlfn.XLOOKUP(G285,MASTER!B:B,MASTER!A:A)</f>
        <v>100023361</v>
      </c>
      <c r="I285" s="15" t="str">
        <f>+_xlfn.XLOOKUP(G285,MASTER!B:B,MASTER!C:C)</f>
        <v>MARLBORO  MARLBORO CRAFTED 2.0 GOLD KS BOX 20 STD - VAO CAJETILLA PZ</v>
      </c>
    </row>
    <row r="286" spans="1:9" s="15" x14ac:dyDescent="0.35">
      <c r="A286" s="65535">
        <v>7503031949322</v>
      </c>
      <c r="B286" s="65535">
        <f>+_xlfn.XLOOKUP(A286,MASTER!B:B,MASTER!A:A)</f>
        <v>100025452</v>
      </c>
      <c r="C286" s="65535" t="str">
        <f>+_xlfn.XLOOKUP(A286,MASTER!B:B,MASTER!C:C)</f>
        <v>MARLBORO VISTA PROVENCE FUSION 100 BOX 20 (LATA CENICERO '25) CAJETILLA PZ</v>
      </c>
      <c r="D286" s="15" t="str">
        <f>+_xlfn.XLOOKUP(A286,MASTER!B:B,MASTER!D:D)</f>
        <v>PMI</v>
      </c>
      <c r="E286" s="15" t="str">
        <f>+_xlfn.XLOOKUP(A286,MASTER!B:B,MASTER!I:I)</f>
        <v>Descontinuado (con stock)</v>
      </c>
      <c r="G286" s="65535">
        <v>7503031950571</v>
      </c>
      <c r="H286" s="15">
        <f>+_xlfn.XLOOKUP(G286,MASTER!B:B,MASTER!A:A)</f>
        <v>100022970</v>
      </c>
      <c r="I286" s="15" t="str">
        <f>+_xlfn.XLOOKUP(G286,MASTER!B:B,MASTER!C:C)</f>
        <v>HEETS BLACK GREEN SELECTION S50 PRI 20 SLI</v>
      </c>
    </row>
    <row r="287" spans="1:9" s="15" x14ac:dyDescent="0.35">
      <c r="A287" s="65535">
        <v>7503031950212</v>
      </c>
      <c r="B287" s="65535">
        <f>+_xlfn.XLOOKUP(A287,MASTER!B:B,MASTER!A:A)</f>
        <v>100021091</v>
      </c>
      <c r="C287" s="65535" t="str">
        <f>+_xlfn.XLOOKUP(A287,MASTER!B:B,MASTER!C:C)</f>
        <v>MARLBORO LATA B BLOSOM LPE 1 CAJETILLA</v>
      </c>
      <c r="D287" s="15" t="str">
        <f>+_xlfn.XLOOKUP(A287,MASTER!B:B,MASTER!D:D)</f>
        <v>PMI</v>
      </c>
      <c r="E287" s="15" t="str">
        <f>+_xlfn.XLOOKUP(A287,MASTER!B:B,MASTER!I:I)</f>
        <v>Descontinuado (con stock)</v>
      </c>
      <c r="G287" s="65535">
        <v>7503031950939</v>
      </c>
      <c r="H287" s="15">
        <f>+_xlfn.XLOOKUP(G287,MASTER!B:B,MASTER!A:A)</f>
        <v>100023891</v>
      </c>
      <c r="I287" s="15" t="str">
        <f>+_xlfn.XLOOKUP(G287,MASTER!B:B,MASTER!C:C)</f>
        <v>MARLBORO SUMMER FUSION MNT LATA DISCO 24 MARLBORO SUMMER LATA 24 DISCO CAJETILLA PZ</v>
      </c>
    </row>
    <row r="288" spans="1:9" s="15" x14ac:dyDescent="0.35">
      <c r="A288" s="65535">
        <v>7503031950274</v>
      </c>
      <c r="B288" s="65535">
        <f>+_xlfn.XLOOKUP(A288,MASTER!B:B,MASTER!A:A)</f>
        <v>100022139</v>
      </c>
      <c r="C288" s="65535" t="str">
        <f>+_xlfn.XLOOKUP(A288,MASTER!B:B,MASTER!C:C)</f>
        <v>MARLBORO SUMMER LPE SUMMER 1 CAJETILLA</v>
      </c>
      <c r="D288" s="15" t="str">
        <f>+_xlfn.XLOOKUP(A288,MASTER!B:B,MASTER!D:D)</f>
        <v>PMI</v>
      </c>
      <c r="E288" s="15" t="str">
        <f>+_xlfn.XLOOKUP(A288,MASTER!B:B,MASTER!I:I)</f>
        <v>Descontinuado (con stock)</v>
      </c>
      <c r="G288" s="65535">
        <v>7503031950946</v>
      </c>
      <c r="H288" s="15">
        <f>+_xlfn.XLOOKUP(G288,MASTER!B:B,MASTER!A:A)</f>
        <v>100023892</v>
      </c>
      <c r="I288" s="15" t="str">
        <f>+_xlfn.XLOOKUP(G288,MASTER!B:B,MASTER!C:C)</f>
        <v>MARLBORO BLOSSOM MIST MNT LATA DISCO 24 PZ</v>
      </c>
    </row>
    <row r="289" spans="1:9" s="15" x14ac:dyDescent="0.35">
      <c r="A289" s="65535">
        <v>7503031950281</v>
      </c>
      <c r="B289" s="65535">
        <f>+_xlfn.XLOOKUP(A289,MASTER!B:B,MASTER!A:A)</f>
        <v>100022138</v>
      </c>
      <c r="C289" s="65535" t="str">
        <f>+_xlfn.XLOOKUP(A289,MASTER!B:B,MASTER!C:C)</f>
        <v xml:space="preserve">MARLBORO GARDEN LPE GARDEN 1 CAJETILLA	</v>
      </c>
      <c r="D289" s="15" t="str">
        <f>+_xlfn.XLOOKUP(A289,MASTER!B:B,MASTER!D:D)</f>
        <v>PMI</v>
      </c>
      <c r="E289" s="15" t="str">
        <f>+_xlfn.XLOOKUP(A289,MASTER!B:B,MASTER!I:I)</f>
        <v>Descontinuado (con stock)</v>
      </c>
      <c r="G289" s="65535">
        <v>7503031950953</v>
      </c>
      <c r="H289" s="15">
        <f>+_xlfn.XLOOKUP(G289,MASTER!B:B,MASTER!A:A)</f>
        <v>100023889</v>
      </c>
      <c r="I289" s="15" t="str">
        <f>+_xlfn.XLOOKUP(G289,MASTER!B:B,MASTER!C:C)</f>
        <v>MARLBORO FOREST FUSION MNT LATA DISCO 24</v>
      </c>
    </row>
    <row r="290" spans="1:9" s="15" x14ac:dyDescent="0.35">
      <c r="A290" s="65535">
        <v>7503031950298</v>
      </c>
      <c r="B290" s="65535">
        <f>+_xlfn.XLOOKUP(A290,MASTER!B:B,MASTER!A:A)</f>
        <v>100022134</v>
      </c>
      <c r="C290" s="65535" t="str">
        <f>+_xlfn.XLOOKUP(A290,MASTER!B:B,MASTER!C:C)</f>
        <v>MARLBORO ARCTIC LPE ARCTIC 1 CAJETILLA</v>
      </c>
      <c r="D290" s="15" t="str">
        <f>+_xlfn.XLOOKUP(A290,MASTER!B:B,MASTER!D:D)</f>
        <v>PMI</v>
      </c>
      <c r="E290" s="15" t="str">
        <f>+_xlfn.XLOOKUP(A290,MASTER!B:B,MASTER!I:I)</f>
        <v>Descontinuado (con stock)</v>
      </c>
      <c r="G290" s="65535">
        <v>7503031950960</v>
      </c>
      <c r="H290" s="15">
        <f>+_xlfn.XLOOKUP(G290,MASTER!B:B,MASTER!A:A)</f>
        <v>100024301</v>
      </c>
      <c r="I290" s="15" t="str">
        <f>+_xlfn.XLOOKUP(G290,MASTER!B:B,MASTER!C:C)</f>
        <v>MARLBORO VISTA SUMMER FUSION 100 BOX 20 LATA MEXICO 2024 CAJETILLA PZ</v>
      </c>
    </row>
    <row r="291" spans="1:9" s="15" x14ac:dyDescent="0.35">
      <c r="A291" s="65535">
        <v>7503031950304</v>
      </c>
      <c r="B291" s="65535">
        <f>+_xlfn.XLOOKUP(A291,MASTER!B:B,MASTER!A:A)</f>
        <v>100022136</v>
      </c>
      <c r="C291" s="65535" t="str">
        <f>+_xlfn.XLOOKUP(A291,MASTER!B:B,MASTER!C:C)</f>
        <v>MARLBORO BLOSSO LPE BLOSSOM 1 CAJETILLA</v>
      </c>
      <c r="D291" s="15" t="str">
        <f>+_xlfn.XLOOKUP(A291,MASTER!B:B,MASTER!D:D)</f>
        <v>PMI</v>
      </c>
      <c r="E291" s="15" t="str">
        <f>+_xlfn.XLOOKUP(A291,MASTER!B:B,MASTER!I:I)</f>
        <v>Descontinuado (con stock)</v>
      </c>
      <c r="G291" s="65535">
        <v>7503031950977</v>
      </c>
      <c r="H291" s="15">
        <f>+_xlfn.XLOOKUP(G291,MASTER!B:B,MASTER!A:A)</f>
        <v>100024303</v>
      </c>
      <c r="I291" s="15" t="str">
        <f>+_xlfn.XLOOKUP(G291,MASTER!B:B,MASTER!C:C)</f>
        <v>MARLBORO VISTA GARDEN FUSION 100 BOX 20 LATA MEXICO 2024 CAJETILLA PZ</v>
      </c>
    </row>
    <row r="292" spans="1:9" s="15" x14ac:dyDescent="0.35">
      <c r="A292" s="65535">
        <v>7503031950311</v>
      </c>
      <c r="B292" s="65535">
        <f>+_xlfn.XLOOKUP(A292,MASTER!B:B,MASTER!A:A)</f>
        <v>100022137</v>
      </c>
      <c r="C292" s="65535" t="str">
        <f>+_xlfn.XLOOKUP(A292,MASTER!B:B,MASTER!C:C)</f>
        <v>MARLBORO CARIBB LPE CARIBBEAN 1 CAJETILLA</v>
      </c>
      <c r="D292" s="15" t="str">
        <f>+_xlfn.XLOOKUP(A292,MASTER!B:B,MASTER!D:D)</f>
        <v>PMI</v>
      </c>
      <c r="E292" s="15" t="str">
        <f>+_xlfn.XLOOKUP(A292,MASTER!B:B,MASTER!I:I)</f>
        <v>Descontinuado (con stock)</v>
      </c>
      <c r="G292" s="65535">
        <v>7503031950991</v>
      </c>
      <c r="H292" s="15">
        <f>+_xlfn.XLOOKUP(G292,MASTER!B:B,MASTER!A:A)</f>
        <v>100024304</v>
      </c>
      <c r="I292" s="15" t="str">
        <f>+_xlfn.XLOOKUP(G292,MASTER!B:B,MASTER!C:C)</f>
        <v>MARLBORO VISTA BLOSSOM 100 BOX 20 LATA MEXICO 2024 CAJETILLA PZ</v>
      </c>
    </row>
    <row r="293" spans="1:9" s="15" x14ac:dyDescent="0.35">
      <c r="A293" s="65535">
        <v>7503031950458</v>
      </c>
      <c r="B293" s="65535">
        <f>+_xlfn.XLOOKUP(A293,MASTER!B:B,MASTER!A:A)</f>
        <v>100022845</v>
      </c>
      <c r="C293" s="65535" t="str">
        <f>+_xlfn.XLOOKUP(A293,MASTER!B:B,MASTER!C:C)</f>
        <v>MARLBORO SUMMER LATA 23 CAJET PZ</v>
      </c>
      <c r="D293" s="15" t="str">
        <f>+_xlfn.XLOOKUP(A293,MASTER!B:B,MASTER!D:D)</f>
        <v>PMI</v>
      </c>
      <c r="E293" s="15" t="str">
        <f>+_xlfn.XLOOKUP(A293,MASTER!B:B,MASTER!I:I)</f>
        <v>Descontinuado (con stock)</v>
      </c>
      <c r="G293" s="65535">
        <v>7503039738386</v>
      </c>
      <c r="H293" s="15">
        <f>+_xlfn.XLOOKUP(G293,MASTER!B:B,MASTER!A:A)</f>
        <v>100025292</v>
      </c>
      <c r="I293" s="15" t="str">
        <f>+_xlfn.XLOOKUP(G293,MASTER!B:B,MASTER!C:C)</f>
        <v>VELO TROPICAL MANGO 8 MG 20 PZ</v>
      </c>
    </row>
    <row r="294" spans="1:9" s="15" x14ac:dyDescent="0.35">
      <c r="A294" s="65535">
        <v>7503031950465</v>
      </c>
      <c r="B294" s="65535">
        <f>+_xlfn.XLOOKUP(A294,MASTER!B:B,MASTER!A:A)</f>
        <v>100022849</v>
      </c>
      <c r="C294" s="65535" t="str">
        <f>+_xlfn.XLOOKUP(A294,MASTER!B:B,MASTER!C:C)</f>
        <v>MARLBORO GARDEN LATA 23 CAJET PZ</v>
      </c>
      <c r="D294" s="15" t="str">
        <f>+_xlfn.XLOOKUP(A294,MASTER!B:B,MASTER!D:D)</f>
        <v>PMI</v>
      </c>
      <c r="E294" s="15" t="str">
        <f>+_xlfn.XLOOKUP(A294,MASTER!B:B,MASTER!I:I)</f>
        <v>Descontinuado (con stock)</v>
      </c>
      <c r="G294" s="65535">
        <v>7503039738393</v>
      </c>
      <c r="H294" s="15">
        <f>+_xlfn.XLOOKUP(G294,MASTER!B:B,MASTER!A:A)</f>
        <v>100025297</v>
      </c>
      <c r="I294" s="15" t="str">
        <f>+_xlfn.XLOOKUP(G294,MASTER!B:B,MASTER!C:C)</f>
        <v>VELO GREEN SPEARMINT 8 MG 20 PZ</v>
      </c>
    </row>
    <row r="295" spans="1:9" s="15" x14ac:dyDescent="0.35">
      <c r="A295" s="65535">
        <v>7503031950472</v>
      </c>
      <c r="B295" s="65535">
        <f>+_xlfn.XLOOKUP(A295,MASTER!B:B,MASTER!A:A)</f>
        <v>100022847</v>
      </c>
      <c r="C295" s="65535" t="str">
        <f>+_xlfn.XLOOKUP(A295,MASTER!B:B,MASTER!C:C)</f>
        <v>MARLBORO ARTIC LATA 23 CAJET PZ</v>
      </c>
      <c r="D295" s="15" t="str">
        <f>+_xlfn.XLOOKUP(A295,MASTER!B:B,MASTER!D:D)</f>
        <v>PMI</v>
      </c>
      <c r="E295" s="15" t="str">
        <f>+_xlfn.XLOOKUP(A295,MASTER!B:B,MASTER!I:I)</f>
        <v>Descontinuado (con stock)</v>
      </c>
      <c r="G295" s="65535">
        <v>7503039738409</v>
      </c>
      <c r="H295" s="15">
        <f>+_xlfn.XLOOKUP(G295,MASTER!B:B,MASTER!A:A)</f>
        <v>100025296</v>
      </c>
      <c r="I295" s="15" t="str">
        <f>+_xlfn.XLOOKUP(G295,MASTER!B:B,MASTER!C:C)</f>
        <v>VELO STRAWBERRY ICE 8 MG 20 PZ</v>
      </c>
    </row>
    <row r="296" spans="1:9" s="15" x14ac:dyDescent="0.35">
      <c r="A296" s="65535">
        <v>7503031950489</v>
      </c>
      <c r="B296" s="65535">
        <f>+_xlfn.XLOOKUP(A296,MASTER!B:B,MASTER!A:A)</f>
        <v>100022846</v>
      </c>
      <c r="C296" s="65535" t="str">
        <f>+_xlfn.XLOOKUP(A296,MASTER!B:B,MASTER!C:C)</f>
        <v>MARLBORO BLOSSOM LATA 23 CAJET PZ</v>
      </c>
      <c r="D296" s="15" t="str">
        <f>+_xlfn.XLOOKUP(A296,MASTER!B:B,MASTER!D:D)</f>
        <v>PMI</v>
      </c>
      <c r="E296" s="15" t="str">
        <f>+_xlfn.XLOOKUP(A296,MASTER!B:B,MASTER!I:I)</f>
        <v>Descontinuado (con stock)</v>
      </c>
      <c r="G296" s="65535">
        <v>7503039738416</v>
      </c>
      <c r="H296" s="15">
        <f>+_xlfn.XLOOKUP(G296,MASTER!B:B,MASTER!A:A)</f>
        <v>100025298</v>
      </c>
      <c r="I296" s="15" t="str">
        <f>+_xlfn.XLOOKUP(G296,MASTER!B:B,MASTER!C:C)</f>
        <v>VELO POLAR PEPPERMINT 8 MG 20 PZ</v>
      </c>
    </row>
    <row r="297" spans="1:9" s="15" x14ac:dyDescent="0.35">
      <c r="A297" s="65535">
        <v>7503031950496</v>
      </c>
      <c r="B297" s="65535">
        <f>+_xlfn.XLOOKUP(A297,MASTER!B:B,MASTER!A:A)</f>
        <v>100022848</v>
      </c>
      <c r="C297" s="65535" t="str">
        <f>+_xlfn.XLOOKUP(A297,MASTER!B:B,MASTER!C:C)</f>
        <v>MARLBORO CARIBBEAN LATA 23 CAJET PZ</v>
      </c>
      <c r="D297" s="15" t="str">
        <f>+_xlfn.XLOOKUP(A297,MASTER!B:B,MASTER!D:D)</f>
        <v>PMI</v>
      </c>
      <c r="E297" s="15" t="str">
        <f>+_xlfn.XLOOKUP(A297,MASTER!B:B,MASTER!I:I)</f>
        <v>Descontinuado (con stock)</v>
      </c>
      <c r="G297" s="65535">
        <v>7503039738447</v>
      </c>
      <c r="H297" s="15">
        <f>+_xlfn.XLOOKUP(G297,MASTER!B:B,MASTER!A:A)</f>
        <v>100025893</v>
      </c>
      <c r="I297" s="15" t="str">
        <f>+_xlfn.XLOOKUP(G297,MASTER!B:B,MASTER!C:C)</f>
        <v>VELO CHERRY ICE 6 MG 15 PZ</v>
      </c>
    </row>
    <row r="298" spans="1:9" s="15" x14ac:dyDescent="0.35">
      <c r="A298" s="65535">
        <v>7503031950533</v>
      </c>
      <c r="B298" s="65535">
        <f>+_xlfn.XLOOKUP(A298,MASTER!B:B,MASTER!A:A)</f>
        <v>100023362</v>
      </c>
      <c r="C298" s="65535" t="str">
        <f>+_xlfn.XLOOKUP(A298,MASTER!B:B,MASTER!C:C)</f>
        <v>MARLBORO CRAFTED 2.0 RED KS BOX 20 STD - VAO CAJETILLA PZ</v>
      </c>
      <c r="D298" s="15" t="str">
        <f>+_xlfn.XLOOKUP(A298,MASTER!B:B,MASTER!D:D)</f>
        <v>PMI</v>
      </c>
      <c r="E298" s="15" t="str">
        <f>+_xlfn.XLOOKUP(A298,MASTER!B:B,MASTER!I:I)</f>
        <v>Descontinuado (con stock)</v>
      </c>
      <c r="G298" s="65535">
        <v>7503039738461</v>
      </c>
      <c r="H298" s="15">
        <f>+_xlfn.XLOOKUP(G298,MASTER!B:B,MASTER!A:A)</f>
        <v>100025894</v>
      </c>
      <c r="I298" s="15" t="str">
        <f>+_xlfn.XLOOKUP(G298,MASTER!B:B,MASTER!C:C)</f>
        <v>VELO PURPLE GRAPE 6MG 15 PZ</v>
      </c>
    </row>
    <row r="299" spans="1:9" s="15" x14ac:dyDescent="0.35">
      <c r="A299" s="65535">
        <v>7503031950540</v>
      </c>
      <c r="B299" s="65535">
        <f>+_xlfn.XLOOKUP(A299,MASTER!B:B,MASTER!A:A)</f>
        <v>100023361</v>
      </c>
      <c r="C299" s="65535" t="str">
        <f>+_xlfn.XLOOKUP(A299,MASTER!B:B,MASTER!C:C)</f>
        <v>MARLBORO  MARLBORO CRAFTED 2.0 GOLD KS BOX 20 STD - VAO CAJETILLA PZ</v>
      </c>
      <c r="D299" s="15" t="str">
        <f>+_xlfn.XLOOKUP(A299,MASTER!B:B,MASTER!D:D)</f>
        <v>PMI</v>
      </c>
      <c r="E299" s="15" t="str">
        <f>+_xlfn.XLOOKUP(A299,MASTER!B:B,MASTER!I:I)</f>
        <v>Descontinuado (con stock)</v>
      </c>
      <c r="G299" s="65535">
        <v>7503039738478</v>
      </c>
      <c r="H299" s="15">
        <f>+_xlfn.XLOOKUP(G299,MASTER!B:B,MASTER!A:A)</f>
        <v>100025895</v>
      </c>
      <c r="I299" s="15" t="str">
        <f>+_xlfn.XLOOKUP(G299,MASTER!B:B,MASTER!C:C)</f>
        <v>VELO WATERMELON ICE 6 MG 15 PZ</v>
      </c>
    </row>
    <row r="300" spans="1:9" s="15" x14ac:dyDescent="0.35">
      <c r="A300" s="65535">
        <v>7503031950571</v>
      </c>
      <c r="B300" s="65535">
        <f>+_xlfn.XLOOKUP(A300,MASTER!B:B,MASTER!A:A)</f>
        <v>100022970</v>
      </c>
      <c r="C300" s="65535" t="str">
        <f>+_xlfn.XLOOKUP(A300,MASTER!B:B,MASTER!C:C)</f>
        <v>HEETS BLACK GREEN SELECTION S50 PRI 20 SLI</v>
      </c>
      <c r="D300" s="15" t="str">
        <f>+_xlfn.XLOOKUP(A300,MASTER!B:B,MASTER!D:D)</f>
        <v>PMI</v>
      </c>
      <c r="E300" s="15" t="str">
        <f>+_xlfn.XLOOKUP(A300,MASTER!B:B,MASTER!I:I)</f>
        <v>Descontinuado (con stock)</v>
      </c>
      <c r="G300" s="65535">
        <v>7503039738539</v>
      </c>
      <c r="H300" s="15">
        <f>+_xlfn.XLOOKUP(G300,MASTER!B:B,MASTER!A:A)</f>
        <v>100026300</v>
      </c>
      <c r="I300" s="15" t="str">
        <f>+_xlfn.XLOOKUP(G300,MASTER!B:B,MASTER!C:C)</f>
        <v>VELO POLAR PEPPERMINT 6MG TC COLOR 15 PZ</v>
      </c>
    </row>
    <row r="301" spans="1:9" s="15" x14ac:dyDescent="0.35">
      <c r="A301" s="65535">
        <v>7503031950939</v>
      </c>
      <c r="B301" s="65535">
        <f>+_xlfn.XLOOKUP(A301,MASTER!B:B,MASTER!A:A)</f>
        <v>100023891</v>
      </c>
      <c r="C301" s="65535" t="str">
        <f>+_xlfn.XLOOKUP(A301,MASTER!B:B,MASTER!C:C)</f>
        <v>MARLBORO SUMMER FUSION MNT LATA DISCO 24 MARLBORO SUMMER LATA 24 DISCO CAJETILLA PZ</v>
      </c>
      <c r="D301" s="15" t="str">
        <f>+_xlfn.XLOOKUP(A301,MASTER!B:B,MASTER!D:D)</f>
        <v>PMI</v>
      </c>
      <c r="E301" s="15" t="str">
        <f>+_xlfn.XLOOKUP(A301,MASTER!B:B,MASTER!I:I)</f>
        <v>Descontinuado (con stock)</v>
      </c>
      <c r="G301" s="65535">
        <v>7503039738546</v>
      </c>
      <c r="H301" s="15">
        <f>+_xlfn.XLOOKUP(G301,MASTER!B:B,MASTER!A:A)</f>
        <v>100026301</v>
      </c>
      <c r="I301" s="15" t="str">
        <f>+_xlfn.XLOOKUP(G301,MASTER!B:B,MASTER!C:C)</f>
        <v>VELO GREEN SPEARMINT 6MG TC COLOR 15 PZ</v>
      </c>
    </row>
    <row r="302" spans="1:9" s="15" x14ac:dyDescent="0.35">
      <c r="A302" s="65535">
        <v>7503031950946</v>
      </c>
      <c r="B302" s="65535">
        <f>+_xlfn.XLOOKUP(A302,MASTER!B:B,MASTER!A:A)</f>
        <v>100023892</v>
      </c>
      <c r="C302" s="65535" t="str">
        <f>+_xlfn.XLOOKUP(A302,MASTER!B:B,MASTER!C:C)</f>
        <v>MARLBORO BLOSSOM MIST MNT LATA DISCO 24 PZ</v>
      </c>
      <c r="D302" s="15" t="str">
        <f>+_xlfn.XLOOKUP(A302,MASTER!B:B,MASTER!D:D)</f>
        <v>PMI</v>
      </c>
      <c r="E302" s="15" t="str">
        <f>+_xlfn.XLOOKUP(A302,MASTER!B:B,MASTER!I:I)</f>
        <v>Descontinuado (con stock)</v>
      </c>
      <c r="G302" s="65535">
        <v>7503039738553</v>
      </c>
      <c r="H302" s="15">
        <f>+_xlfn.XLOOKUP(G302,MASTER!B:B,MASTER!A:A)</f>
        <v>100026302</v>
      </c>
      <c r="I302" s="15" t="str">
        <f>+_xlfn.XLOOKUP(G302,MASTER!B:B,MASTER!C:C)</f>
        <v>VELO STRAWBERRY ICE 6MG TC COLOR 15 PZ</v>
      </c>
    </row>
    <row r="303" spans="1:9" s="15" x14ac:dyDescent="0.35">
      <c r="A303" s="65535">
        <v>7503031950953</v>
      </c>
      <c r="B303" s="65535">
        <f>+_xlfn.XLOOKUP(A303,MASTER!B:B,MASTER!A:A)</f>
        <v>100023889</v>
      </c>
      <c r="C303" s="65535" t="str">
        <f>+_xlfn.XLOOKUP(A303,MASTER!B:B,MASTER!C:C)</f>
        <v>MARLBORO FOREST FUSION MNT LATA DISCO 24</v>
      </c>
      <c r="D303" s="15" t="str">
        <f>+_xlfn.XLOOKUP(A303,MASTER!B:B,MASTER!D:D)</f>
        <v>PMI</v>
      </c>
      <c r="E303" s="15" t="str">
        <f>+_xlfn.XLOOKUP(A303,MASTER!B:B,MASTER!I:I)</f>
        <v>Descontinuado (con stock)</v>
      </c>
      <c r="G303" s="65535">
        <v>7503039738560</v>
      </c>
      <c r="H303" s="15">
        <f>+_xlfn.XLOOKUP(G303,MASTER!B:B,MASTER!A:A)</f>
        <v>100026304</v>
      </c>
      <c r="I303" s="15" t="str">
        <f>+_xlfn.XLOOKUP(G303,MASTER!B:B,MASTER!C:C)</f>
        <v>VELO TROPICAL MANGO 6MG TC COLOR 15 PZ</v>
      </c>
    </row>
    <row r="304" spans="1:9" s="15" x14ac:dyDescent="0.35">
      <c r="A304" s="65535">
        <v>7503031950960</v>
      </c>
      <c r="B304" s="65535">
        <f>+_xlfn.XLOOKUP(A304,MASTER!B:B,MASTER!A:A)</f>
        <v>100024301</v>
      </c>
      <c r="C304" s="65535" t="str">
        <f>+_xlfn.XLOOKUP(A304,MASTER!B:B,MASTER!C:C)</f>
        <v>MARLBORO VISTA SUMMER FUSION 100 BOX 20 LATA MEXICO 2024 CAJETILLA PZ</v>
      </c>
      <c r="D304" s="15" t="str">
        <f>+_xlfn.XLOOKUP(A304,MASTER!B:B,MASTER!D:D)</f>
        <v>PMI</v>
      </c>
      <c r="E304" s="15" t="str">
        <f>+_xlfn.XLOOKUP(A304,MASTER!B:B,MASTER!I:I)</f>
        <v>Descontinuado (con stock)</v>
      </c>
      <c r="G304" s="65535">
        <v>7503039738577</v>
      </c>
      <c r="H304" s="15">
        <f>+_xlfn.XLOOKUP(G304,MASTER!B:B,MASTER!A:A)</f>
        <v>100026305</v>
      </c>
      <c r="I304" s="15" t="str">
        <f>+_xlfn.XLOOKUP(G304,MASTER!B:B,MASTER!C:C)</f>
        <v>VELO WATERMELON ICE 6MG TC COLOR 15 PZ</v>
      </c>
    </row>
    <row r="305" spans="1:9" s="15" x14ac:dyDescent="0.35">
      <c r="A305" s="65535">
        <v>7503031950977</v>
      </c>
      <c r="B305" s="65535">
        <f>+_xlfn.XLOOKUP(A305,MASTER!B:B,MASTER!A:A)</f>
        <v>100024303</v>
      </c>
      <c r="C305" s="65535" t="str">
        <f>+_xlfn.XLOOKUP(A305,MASTER!B:B,MASTER!C:C)</f>
        <v>MARLBORO VISTA GARDEN FUSION 100 BOX 20 LATA MEXICO 2024 CAJETILLA PZ</v>
      </c>
      <c r="D305" s="15" t="str">
        <f>+_xlfn.XLOOKUP(A305,MASTER!B:B,MASTER!D:D)</f>
        <v>PMI</v>
      </c>
      <c r="E305" s="15" t="str">
        <f>+_xlfn.XLOOKUP(A305,MASTER!B:B,MASTER!I:I)</f>
        <v>Descontinuado (con stock)</v>
      </c>
      <c r="G305" s="65535">
        <v>7503039738584</v>
      </c>
      <c r="H305" s="15">
        <f>+_xlfn.XLOOKUP(G305,MASTER!B:B,MASTER!A:A)</f>
        <v>100026306</v>
      </c>
      <c r="I305" s="15" t="str">
        <f>+_xlfn.XLOOKUP(G305,MASTER!B:B,MASTER!C:C)</f>
        <v>VELO CHERRY ICE 6 MG TC COLOR 15 PZ</v>
      </c>
    </row>
    <row r="306" spans="1:9" s="15" x14ac:dyDescent="0.35">
      <c r="A306" s="65535">
        <v>7503031950991</v>
      </c>
      <c r="B306" s="65535">
        <f>+_xlfn.XLOOKUP(A306,MASTER!B:B,MASTER!A:A)</f>
        <v>100024304</v>
      </c>
      <c r="C306" s="65535" t="str">
        <f>+_xlfn.XLOOKUP(A306,MASTER!B:B,MASTER!C:C)</f>
        <v>MARLBORO VISTA BLOSSOM 100 BOX 20 LATA MEXICO 2024 CAJETILLA PZ</v>
      </c>
      <c r="D306" s="15" t="str">
        <f>+_xlfn.XLOOKUP(A306,MASTER!B:B,MASTER!D:D)</f>
        <v>PMI</v>
      </c>
      <c r="E306" s="15" t="str">
        <f>+_xlfn.XLOOKUP(A306,MASTER!B:B,MASTER!I:I)</f>
        <v>Descontinuado (con stock)</v>
      </c>
      <c r="G306" s="65535">
        <v>7503039738591</v>
      </c>
      <c r="H306" s="15">
        <f>+_xlfn.XLOOKUP(G306,MASTER!B:B,MASTER!A:A)</f>
        <v>100026307</v>
      </c>
      <c r="I306" s="15" t="str">
        <f>+_xlfn.XLOOKUP(G306,MASTER!B:B,MASTER!C:C)</f>
        <v>VELO PURPLE GRAPE 6MG TC COLOR 15 PZ</v>
      </c>
    </row>
    <row r="307" spans="1:9" s="15" x14ac:dyDescent="0.35">
      <c r="A307" s="65535">
        <v>7503039738386</v>
      </c>
      <c r="B307" s="65535">
        <f>+_xlfn.XLOOKUP(A307,MASTER!B:B,MASTER!A:A)</f>
        <v>100025292</v>
      </c>
      <c r="C307" s="65535" t="str">
        <f>+_xlfn.XLOOKUP(A307,MASTER!B:B,MASTER!C:C)</f>
        <v>VELO TROPICAL MANGO 8 MG 20 PZ</v>
      </c>
      <c r="D307" s="15" t="str">
        <f>+_xlfn.XLOOKUP(A307,MASTER!B:B,MASTER!D:D)</f>
        <v>BAT</v>
      </c>
      <c r="E307" s="15" t="str">
        <f>+_xlfn.XLOOKUP(A307,MASTER!B:B,MASTER!I:I)</f>
        <v>Descontinuado (con stock)</v>
      </c>
      <c r="G307" s="65535">
        <v>7622100510727</v>
      </c>
      <c r="H307" s="15">
        <f>+_xlfn.XLOOKUP(G307,MASTER!B:B,MASTER!A:A)</f>
        <v>100026471</v>
      </c>
      <c r="I307" s="15" t="str">
        <f>+_xlfn.XLOOKUP(G307,MASTER!B:B,MASTER!C:C)</f>
        <v>IQOS ILUMA I ONE MIDNIGHT BLACK  PZ</v>
      </c>
    </row>
    <row r="308" spans="1:9" s="15" x14ac:dyDescent="0.35">
      <c r="A308" s="65535">
        <v>7503039738393</v>
      </c>
      <c r="B308" s="65535">
        <f>+_xlfn.XLOOKUP(A308,MASTER!B:B,MASTER!A:A)</f>
        <v>100025297</v>
      </c>
      <c r="C308" s="65535" t="str">
        <f>+_xlfn.XLOOKUP(A308,MASTER!B:B,MASTER!C:C)</f>
        <v>VELO GREEN SPEARMINT 8 MG 20 PZ</v>
      </c>
      <c r="D308" s="15" t="str">
        <f>+_xlfn.XLOOKUP(A308,MASTER!B:B,MASTER!D:D)</f>
        <v>BAT</v>
      </c>
      <c r="E308" s="15" t="str">
        <f>+_xlfn.XLOOKUP(A308,MASTER!B:B,MASTER!I:I)</f>
        <v>Descontinuado (con stock)</v>
      </c>
      <c r="G308" s="65535">
        <v>7622100510765</v>
      </c>
      <c r="H308" s="15">
        <f>+_xlfn.XLOOKUP(G308,MASTER!B:B,MASTER!A:A)</f>
        <v>100026473</v>
      </c>
      <c r="I308" s="15" t="str">
        <f>+_xlfn.XLOOKUP(G308,MASTER!B:B,MASTER!C:C)</f>
        <v>IQOS ILUMA I ONE BREEZE BLUE  PZ</v>
      </c>
    </row>
    <row r="309" spans="1:9" s="15" x14ac:dyDescent="0.35">
      <c r="A309" s="65535">
        <v>7503039738409</v>
      </c>
      <c r="B309" s="65535">
        <f>+_xlfn.XLOOKUP(A309,MASTER!B:B,MASTER!A:A)</f>
        <v>100025296</v>
      </c>
      <c r="C309" s="65535" t="str">
        <f>+_xlfn.XLOOKUP(A309,MASTER!B:B,MASTER!C:C)</f>
        <v>VELO STRAWBERRY ICE 8 MG 20 PZ</v>
      </c>
      <c r="D309" s="15" t="str">
        <f>+_xlfn.XLOOKUP(A309,MASTER!B:B,MASTER!D:D)</f>
        <v>BAT</v>
      </c>
      <c r="E309" s="15" t="str">
        <f>+_xlfn.XLOOKUP(A309,MASTER!B:B,MASTER!I:I)</f>
        <v>Descontinuado (con stock)</v>
      </c>
      <c r="G309" s="65535">
        <v>7622100511038</v>
      </c>
      <c r="H309" s="15">
        <f>+_xlfn.XLOOKUP(G309,MASTER!B:B,MASTER!A:A)</f>
        <v>100026616</v>
      </c>
      <c r="I309" s="15" t="str">
        <f>+_xlfn.XLOOKUP(G309,MASTER!B:B,MASTER!C:C)</f>
        <v>IQOS ILUMA I BREEZE BLUE  PZ</v>
      </c>
    </row>
    <row r="310" spans="1:9" s="15" x14ac:dyDescent="0.35">
      <c r="A310" s="65535">
        <v>7503039738416</v>
      </c>
      <c r="B310" s="65535">
        <f>+_xlfn.XLOOKUP(A310,MASTER!B:B,MASTER!A:A)</f>
        <v>100025298</v>
      </c>
      <c r="C310" s="65535" t="str">
        <f>+_xlfn.XLOOKUP(A310,MASTER!B:B,MASTER!C:C)</f>
        <v>VELO POLAR PEPPERMINT 8 MG 20 PZ</v>
      </c>
      <c r="D310" s="15" t="str">
        <f>+_xlfn.XLOOKUP(A310,MASTER!B:B,MASTER!D:D)</f>
        <v>BAT</v>
      </c>
      <c r="E310" s="15" t="str">
        <f>+_xlfn.XLOOKUP(A310,MASTER!B:B,MASTER!I:I)</f>
        <v>Descontinuado (con stock)</v>
      </c>
      <c r="G310" s="65535">
        <v>7622100511076</v>
      </c>
      <c r="H310" s="15">
        <f>+_xlfn.XLOOKUP(G310,MASTER!B:B,MASTER!A:A)</f>
        <v>100026467</v>
      </c>
      <c r="I310" s="15" t="str">
        <f>+_xlfn.XLOOKUP(G310,MASTER!B:B,MASTER!C:C)</f>
        <v>IQOS ILUMA I MIDNIGHT BLACK  PZ</v>
      </c>
    </row>
    <row r="311" spans="1:9" s="15" x14ac:dyDescent="0.35">
      <c r="A311" s="65535">
        <v>7503039738430</v>
      </c>
      <c r="B311" s="65535">
        <f>+_xlfn.XLOOKUP(A311,MASTER!B:B,MASTER!A:A)</f>
        <v>100026069</v>
      </c>
      <c r="C311" s="65535" t="str">
        <f>+_xlfn.XLOOKUP(A311,MASTER!B:B,MASTER!C:C)</f>
        <v>VELO SWEET PAPAYA 8 MG 20 PZ</v>
      </c>
      <c r="D311" s="15" t="str">
        <f>+_xlfn.XLOOKUP(A311,MASTER!B:B,MASTER!D:D)</f>
        <v>BAT</v>
      </c>
      <c r="E311" s="15" t="str">
        <f>+_xlfn.XLOOKUP(A311,MASTER!B:B,MASTER!I:I)</f>
        <v>Activo</v>
      </c>
      <c r="G311" s="65535">
        <v>7622100558248</v>
      </c>
      <c r="H311" s="15">
        <f>+_xlfn.XLOOKUP(G311,MASTER!B:B,MASTER!A:A)</f>
        <v>100024861</v>
      </c>
      <c r="I311" s="15" t="str">
        <f>+_xlfn.XLOOKUP(G311,MASTER!B:B,MASTER!C:C)</f>
        <v xml:space="preserve"> IQOS ILUMA AZURE BLUE CAJETILLA PZ</v>
      </c>
    </row>
    <row r="312" spans="1:9" s="15" x14ac:dyDescent="0.35">
      <c r="A312" s="65535">
        <v>7503039738447</v>
      </c>
      <c r="B312" s="65535">
        <f>+_xlfn.XLOOKUP(A312,MASTER!B:B,MASTER!A:A)</f>
        <v>100025893</v>
      </c>
      <c r="C312" s="65535" t="str">
        <f>+_xlfn.XLOOKUP(A312,MASTER!B:B,MASTER!C:C)</f>
        <v>VELO CHERRY ICE 6 MG 15 PZ</v>
      </c>
      <c r="D312" s="15" t="str">
        <f>+_xlfn.XLOOKUP(A312,MASTER!B:B,MASTER!D:D)</f>
        <v>BAT</v>
      </c>
      <c r="E312" s="15" t="str">
        <f>+_xlfn.XLOOKUP(A312,MASTER!B:B,MASTER!I:I)</f>
        <v>Descontinuado (con stock)</v>
      </c>
      <c r="G312" s="65535">
        <v>7622100558293</v>
      </c>
      <c r="H312" s="15">
        <f>+_xlfn.XLOOKUP(G312,MASTER!B:B,MASTER!A:A)</f>
        <v>100024282</v>
      </c>
      <c r="I312" s="15" t="str">
        <f>+_xlfn.XLOOKUP(G312,MASTER!B:B,MASTER!C:C)</f>
        <v xml:space="preserve"> IQOS ILUMA ONE AZURE BLUE CAJETILLA PZ</v>
      </c>
    </row>
    <row r="313" spans="1:9" s="15" x14ac:dyDescent="0.35">
      <c r="A313" s="65535">
        <v>7503039738461</v>
      </c>
      <c r="B313" s="65535">
        <f>+_xlfn.XLOOKUP(A313,MASTER!B:B,MASTER!A:A)</f>
        <v>100025894</v>
      </c>
      <c r="C313" s="65535" t="str">
        <f>+_xlfn.XLOOKUP(A313,MASTER!B:B,MASTER!C:C)</f>
        <v>VELO PURPLE GRAPE 6MG 15 PZ</v>
      </c>
      <c r="D313" s="15" t="str">
        <f>+_xlfn.XLOOKUP(A313,MASTER!B:B,MASTER!D:D)</f>
        <v>BAT</v>
      </c>
      <c r="E313" s="15" t="str">
        <f>+_xlfn.XLOOKUP(A313,MASTER!B:B,MASTER!I:I)</f>
        <v>Activo</v>
      </c>
      <c r="G313" s="65535">
        <v>7622100558309</v>
      </c>
      <c r="H313" s="15">
        <f>+_xlfn.XLOOKUP(G313,MASTER!B:B,MASTER!A:A)</f>
        <v>100024286</v>
      </c>
      <c r="I313" s="15" t="str">
        <f>+_xlfn.XLOOKUP(G313,MASTER!B:B,MASTER!C:C)</f>
        <v xml:space="preserve"> IQOS ILUMA ONE PEBBLE GREY CAJETILLA PZ</v>
      </c>
    </row>
    <row r="314" spans="1:9" s="15" x14ac:dyDescent="0.35">
      <c r="A314" s="65535">
        <v>7503039738478</v>
      </c>
      <c r="B314" s="65535">
        <f>+_xlfn.XLOOKUP(A314,MASTER!B:B,MASTER!A:A)</f>
        <v>100025895</v>
      </c>
      <c r="C314" s="65535" t="str">
        <f>+_xlfn.XLOOKUP(A314,MASTER!B:B,MASTER!C:C)</f>
        <v>VELO WATERMELON ICE 6 MG 15 PZ</v>
      </c>
      <c r="D314" s="15" t="str">
        <f>+_xlfn.XLOOKUP(A314,MASTER!B:B,MASTER!D:D)</f>
        <v>BAT</v>
      </c>
      <c r="E314" s="15" t="str">
        <f>+_xlfn.XLOOKUP(A314,MASTER!B:B,MASTER!I:I)</f>
        <v>Descontinuado (con stock)</v>
      </c>
      <c r="G314" s="65535">
        <v>7622100558323</v>
      </c>
      <c r="H314" s="15">
        <f>+_xlfn.XLOOKUP(G314,MASTER!B:B,MASTER!A:A)</f>
        <v>100024859</v>
      </c>
      <c r="I314" s="15" t="str">
        <f>+_xlfn.XLOOKUP(G314,MASTER!B:B,MASTER!C:C)</f>
        <v xml:space="preserve"> IQOS ILUMA ONE SUNSET RED - CAJETILLA PZ</v>
      </c>
    </row>
    <row r="315" spans="1:9" s="15" x14ac:dyDescent="0.35">
      <c r="A315" s="65535">
        <v>7503039738492</v>
      </c>
      <c r="B315" s="65535">
        <f>+_xlfn.XLOOKUP(A315,MASTER!B:B,MASTER!A:A)</f>
        <v>100026070</v>
      </c>
      <c r="C315" s="65535" t="str">
        <f>+_xlfn.XLOOKUP(A315,MASTER!B:B,MASTER!C:C)</f>
        <v>VELO POLAR PEPPERMINT 4 MG TC BK 15 PZ</v>
      </c>
      <c r="D315" s="15" t="str">
        <f>+_xlfn.XLOOKUP(A315,MASTER!B:B,MASTER!D:D)</f>
        <v>BAT</v>
      </c>
      <c r="E315" s="15" t="str">
        <f>+_xlfn.XLOOKUP(A315,MASTER!B:B,MASTER!I:I)</f>
        <v>Descontinuado (con stock)</v>
      </c>
      <c r="G315" s="65535">
        <v>7622100558446</v>
      </c>
      <c r="H315" s="15">
        <f>+_xlfn.XLOOKUP(G315,MASTER!B:B,MASTER!A:A)</f>
        <v>100024862</v>
      </c>
      <c r="I315" s="15" t="str">
        <f>+_xlfn.XLOOKUP(G315,MASTER!B:B,MASTER!C:C)</f>
        <v xml:space="preserve"> IQOS ILUMA MOSS GREEN CAJETILLA PZ</v>
      </c>
    </row>
    <row r="316" spans="1:9" s="15" x14ac:dyDescent="0.35">
      <c r="A316" s="65535">
        <v>7503039738508</v>
      </c>
      <c r="B316" s="65535">
        <f>+_xlfn.XLOOKUP(A316,MASTER!B:B,MASTER!A:A)</f>
        <v>100026071</v>
      </c>
      <c r="C316" s="65535" t="str">
        <f>+_xlfn.XLOOKUP(A316,MASTER!B:B,MASTER!C:C)</f>
        <v>VELO GREEN SPEARMINT 4 MG TC BK 15 PZ</v>
      </c>
      <c r="D316" s="15" t="str">
        <f>+_xlfn.XLOOKUP(A316,MASTER!B:B,MASTER!D:D)</f>
        <v>BAT</v>
      </c>
      <c r="E316" s="15" t="str">
        <f>+_xlfn.XLOOKUP(A316,MASTER!B:B,MASTER!I:I)</f>
        <v>Descontinuado (con stock)</v>
      </c>
      <c r="G316" s="65535">
        <v>7622100558453</v>
      </c>
      <c r="H316" s="15">
        <f>+_xlfn.XLOOKUP(G316,MASTER!B:B,MASTER!A:A)</f>
        <v>100024288</v>
      </c>
      <c r="I316" s="15" t="str">
        <f>+_xlfn.XLOOKUP(G316,MASTER!B:B,MASTER!C:C)</f>
        <v xml:space="preserve"> IQOS ILUMA PEBBLE GREY CAJETILLA PZ</v>
      </c>
    </row>
    <row r="317" spans="1:9" s="15" x14ac:dyDescent="0.35">
      <c r="A317" s="65535">
        <v>7503039738515</v>
      </c>
      <c r="B317" s="65535">
        <f>+_xlfn.XLOOKUP(A317,MASTER!B:B,MASTER!A:A)</f>
        <v>100026072</v>
      </c>
      <c r="C317" s="65535" t="str">
        <f>+_xlfn.XLOOKUP(A317,MASTER!B:B,MASTER!C:C)</f>
        <v>VELO STRAWBERRY ICE 4 MG TC BK 15 PZ</v>
      </c>
      <c r="D317" s="15" t="str">
        <f>+_xlfn.XLOOKUP(A317,MASTER!B:B,MASTER!D:D)</f>
        <v>BAT</v>
      </c>
      <c r="E317" s="15" t="str">
        <f>+_xlfn.XLOOKUP(A317,MASTER!B:B,MASTER!I:I)</f>
        <v>Descontinuado (con stock)</v>
      </c>
      <c r="G317" s="65535">
        <v>7622100711049</v>
      </c>
      <c r="H317" s="15">
        <f>+_xlfn.XLOOKUP(G317,MASTER!B:B,MASTER!A:A)</f>
        <v>100021272</v>
      </c>
      <c r="I317" s="15" t="str">
        <f>+_xlfn.XLOOKUP(G317,MASTER!B:B,MASTER!C:C)</f>
        <v xml:space="preserve">IQOS HISOPO GLICERINA  1 CAJETILLA	</v>
      </c>
    </row>
    <row r="318" spans="1:9" s="15" x14ac:dyDescent="0.35">
      <c r="A318" s="65535">
        <v>7503039738522</v>
      </c>
      <c r="B318" s="65535">
        <f>+_xlfn.XLOOKUP(A318,MASTER!B:B,MASTER!A:A)</f>
        <v>100026074</v>
      </c>
      <c r="C318" s="65535" t="str">
        <f>+_xlfn.XLOOKUP(A318,MASTER!B:B,MASTER!C:C)</f>
        <v>VELO TROPICAL MANGO 4MG TC BK 15 PZ</v>
      </c>
      <c r="D318" s="15" t="str">
        <f>+_xlfn.XLOOKUP(A318,MASTER!B:B,MASTER!D:D)</f>
        <v>BAT</v>
      </c>
      <c r="E318" s="15" t="str">
        <f>+_xlfn.XLOOKUP(A318,MASTER!B:B,MASTER!I:I)</f>
        <v>Descontinuado (con stock)</v>
      </c>
      <c r="G318" s="65535">
        <v>7702303121477</v>
      </c>
      <c r="H318" s="15">
        <f>+_xlfn.XLOOKUP(G318,MASTER!B:B,MASTER!A:A)</f>
        <v>100024420</v>
      </c>
      <c r="I318" s="15" t="str">
        <f>+_xlfn.XLOOKUP(G318,MASTER!B:B,MASTER!C:C)</f>
        <v>VELO GREEN SPEARMINT 6 MG 15 PZ</v>
      </c>
    </row>
    <row r="319" spans="1:9" s="15" x14ac:dyDescent="0.35">
      <c r="A319" s="65535">
        <v>7503039738539</v>
      </c>
      <c r="B319" s="65535">
        <f>+_xlfn.XLOOKUP(A319,MASTER!B:B,MASTER!A:A)</f>
        <v>100026300</v>
      </c>
      <c r="C319" s="65535" t="str">
        <f>+_xlfn.XLOOKUP(A319,MASTER!B:B,MASTER!C:C)</f>
        <v>VELO POLAR PEPPERMINT 6MG TC COLOR 15 PZ</v>
      </c>
      <c r="D319" s="15" t="str">
        <f>+_xlfn.XLOOKUP(A319,MASTER!B:B,MASTER!D:D)</f>
        <v>BAT</v>
      </c>
      <c r="E319" s="15" t="str">
        <f>+_xlfn.XLOOKUP(A319,MASTER!B:B,MASTER!I:I)</f>
        <v>Descontinuado (con stock)</v>
      </c>
      <c r="G319" s="65535">
        <v>7702303253338</v>
      </c>
      <c r="H319" s="15">
        <f>+_xlfn.XLOOKUP(G319,MASTER!B:B,MASTER!A:A)</f>
        <v>100024418</v>
      </c>
      <c r="I319" s="15" t="str">
        <f>+_xlfn.XLOOKUP(G319,MASTER!B:B,MASTER!C:C)</f>
        <v>VELO STRAWBERRY ICE 6 MG 15 PZ</v>
      </c>
    </row>
    <row r="320" spans="1:9" s="15" x14ac:dyDescent="0.35">
      <c r="A320" s="65535">
        <v>7503039738546</v>
      </c>
      <c r="B320" s="65535">
        <f>+_xlfn.XLOOKUP(A320,MASTER!B:B,MASTER!A:A)</f>
        <v>100026301</v>
      </c>
      <c r="C320" s="65535" t="str">
        <f>+_xlfn.XLOOKUP(A320,MASTER!B:B,MASTER!C:C)</f>
        <v>VELO GREEN SPEARMINT 6MG TC COLOR 15 PZ</v>
      </c>
      <c r="D320" s="15" t="str">
        <f>+_xlfn.XLOOKUP(A320,MASTER!B:B,MASTER!D:D)</f>
        <v>BAT</v>
      </c>
      <c r="E320" s="15" t="str">
        <f>+_xlfn.XLOOKUP(A320,MASTER!B:B,MASTER!I:I)</f>
        <v>Descontinuado (con stock)</v>
      </c>
      <c r="G320" s="65535">
        <v>7702303391467</v>
      </c>
      <c r="H320" s="15">
        <f>+_xlfn.XLOOKUP(G320,MASTER!B:B,MASTER!A:A)</f>
        <v>100024417</v>
      </c>
      <c r="I320" s="15" t="str">
        <f>+_xlfn.XLOOKUP(G320,MASTER!B:B,MASTER!C:C)</f>
        <v>VELO STRAWBERRY ICE 4 MG 15 PZ</v>
      </c>
    </row>
    <row r="321" spans="1:9" s="15" x14ac:dyDescent="0.35">
      <c r="A321" s="65535">
        <v>7503039738553</v>
      </c>
      <c r="B321" s="65535">
        <f>+_xlfn.XLOOKUP(A321,MASTER!B:B,MASTER!A:A)</f>
        <v>100026302</v>
      </c>
      <c r="C321" s="65535" t="str">
        <f>+_xlfn.XLOOKUP(A321,MASTER!B:B,MASTER!C:C)</f>
        <v>VELO STRAWBERRY ICE 6MG TC COLOR 15 PZ</v>
      </c>
      <c r="D321" s="15" t="str">
        <f>+_xlfn.XLOOKUP(A321,MASTER!B:B,MASTER!D:D)</f>
        <v>BAT</v>
      </c>
      <c r="E321" s="15" t="str">
        <f>+_xlfn.XLOOKUP(A321,MASTER!B:B,MASTER!I:I)</f>
        <v>Descontinuado (con stock)</v>
      </c>
      <c r="G321" s="65535">
        <v>7702303622080</v>
      </c>
      <c r="H321" s="15">
        <f>+_xlfn.XLOOKUP(G321,MASTER!B:B,MASTER!A:A)</f>
        <v>100024419</v>
      </c>
      <c r="I321" s="15" t="str">
        <f>+_xlfn.XLOOKUP(G321,MASTER!B:B,MASTER!C:C)</f>
        <v>VELO GREEN SPEARMINT 4 MG 15 PZ</v>
      </c>
    </row>
    <row r="322" spans="1:9" s="15" x14ac:dyDescent="0.35">
      <c r="A322" s="65535">
        <v>7503039738560</v>
      </c>
      <c r="B322" s="65535">
        <f>+_xlfn.XLOOKUP(A322,MASTER!B:B,MASTER!A:A)</f>
        <v>100026304</v>
      </c>
      <c r="C322" s="65535" t="str">
        <f>+_xlfn.XLOOKUP(A322,MASTER!B:B,MASTER!C:C)</f>
        <v>VELO TROPICAL MANGO 6MG TC COLOR 15 PZ</v>
      </c>
      <c r="D322" s="15" t="str">
        <f>+_xlfn.XLOOKUP(A322,MASTER!B:B,MASTER!D:D)</f>
        <v>BAT</v>
      </c>
      <c r="E322" s="15" t="str">
        <f>+_xlfn.XLOOKUP(A322,MASTER!B:B,MASTER!I:I)</f>
        <v>Descontinuado (con stock)</v>
      </c>
      <c r="G322" s="65535">
        <v>7702303630924</v>
      </c>
      <c r="H322" s="15">
        <f>+_xlfn.XLOOKUP(G322,MASTER!B:B,MASTER!A:A)</f>
        <v>100024415</v>
      </c>
      <c r="I322" s="15" t="str">
        <f>+_xlfn.XLOOKUP(G322,MASTER!B:B,MASTER!C:C)</f>
        <v>VELO TROPICAL MANGO 4 MG 15 PZ</v>
      </c>
    </row>
    <row r="323" spans="1:9" s="15" x14ac:dyDescent="0.35">
      <c r="A323" s="65535">
        <v>7503039738577</v>
      </c>
      <c r="B323" s="65535">
        <f>+_xlfn.XLOOKUP(A323,MASTER!B:B,MASTER!A:A)</f>
        <v>100026305</v>
      </c>
      <c r="C323" s="65535" t="str">
        <f>+_xlfn.XLOOKUP(A323,MASTER!B:B,MASTER!C:C)</f>
        <v>VELO WATERMELON ICE 6MG TC COLOR 15 PZ</v>
      </c>
      <c r="D323" s="15" t="str">
        <f>+_xlfn.XLOOKUP(A323,MASTER!B:B,MASTER!D:D)</f>
        <v>BAT</v>
      </c>
      <c r="E323" s="15" t="str">
        <f>+_xlfn.XLOOKUP(A323,MASTER!B:B,MASTER!I:I)</f>
        <v>Descontinuado (con stock)</v>
      </c>
      <c r="G323" s="65535">
        <v>7702303813235</v>
      </c>
      <c r="H323" s="15">
        <f>+_xlfn.XLOOKUP(G323,MASTER!B:B,MASTER!A:A)</f>
        <v>100024416</v>
      </c>
      <c r="I323" s="15" t="str">
        <f>+_xlfn.XLOOKUP(G323,MASTER!B:B,MASTER!C:C)</f>
        <v>VELO TROPICAL MANGO 6 MG 15 PZ</v>
      </c>
    </row>
    <row r="324" spans="1:9" s="15" x14ac:dyDescent="0.35">
      <c r="A324" s="65535">
        <v>7503039738584</v>
      </c>
      <c r="B324" s="65535">
        <f>+_xlfn.XLOOKUP(A324,MASTER!B:B,MASTER!A:A)</f>
        <v>100026306</v>
      </c>
      <c r="C324" s="65535" t="str">
        <f>+_xlfn.XLOOKUP(A324,MASTER!B:B,MASTER!C:C)</f>
        <v>VELO CHERRY ICE 6 MG TC COLOR 15 PZ</v>
      </c>
      <c r="D324" s="15" t="str">
        <f>+_xlfn.XLOOKUP(A324,MASTER!B:B,MASTER!D:D)</f>
        <v>BAT</v>
      </c>
      <c r="E324" s="15" t="str">
        <f>+_xlfn.XLOOKUP(A324,MASTER!B:B,MASTER!I:I)</f>
        <v>Descontinuado (con stock)</v>
      </c>
      <c r="G324" s="65535">
        <v>7707200943245</v>
      </c>
      <c r="H324" s="15">
        <f>+_xlfn.XLOOKUP(G324,MASTER!B:B,MASTER!A:A)</f>
        <v>100024465</v>
      </c>
      <c r="I324" s="15" t="str">
        <f>+_xlfn.XLOOKUP(G324,MASTER!B:B,MASTER!C:C)</f>
        <v>VELO POLAR PEPPERMINT 6 MG 15 PZ</v>
      </c>
    </row>
    <row r="325" spans="1:9" s="15" x14ac:dyDescent="0.35">
      <c r="A325" s="65535">
        <v>7503039738591</v>
      </c>
      <c r="B325" s="65535">
        <f>+_xlfn.XLOOKUP(A325,MASTER!B:B,MASTER!A:A)</f>
        <v>100026307</v>
      </c>
      <c r="C325" s="65535" t="str">
        <f>+_xlfn.XLOOKUP(A325,MASTER!B:B,MASTER!C:C)</f>
        <v>VELO PURPLE GRAPE 6MG TC COLOR 15 PZ</v>
      </c>
      <c r="D325" s="15" t="str">
        <f>+_xlfn.XLOOKUP(A325,MASTER!B:B,MASTER!D:D)</f>
        <v>BAT</v>
      </c>
      <c r="E325" s="15" t="str">
        <f>+_xlfn.XLOOKUP(A325,MASTER!B:B,MASTER!I:I)</f>
        <v>Descontinuado (con stock)</v>
      </c>
      <c r="G325" s="65535">
        <v>7707200946741</v>
      </c>
      <c r="H325" s="15">
        <f>+_xlfn.XLOOKUP(G325,MASTER!B:B,MASTER!A:A)</f>
        <v>100024462</v>
      </c>
      <c r="I325" s="15" t="str">
        <f>+_xlfn.XLOOKUP(G325,MASTER!B:B,MASTER!C:C)</f>
        <v>VELO POLAR PEPPERMINT 4 MG 15 PZ</v>
      </c>
    </row>
    <row r="326" spans="1:9" s="15" x14ac:dyDescent="0.35">
      <c r="A326" s="65535">
        <v>7622100510727</v>
      </c>
      <c r="B326" s="65535">
        <f>+_xlfn.XLOOKUP(A326,MASTER!B:B,MASTER!A:A)</f>
        <v>100026471</v>
      </c>
      <c r="C326" s="65535" t="str">
        <f>+_xlfn.XLOOKUP(A326,MASTER!B:B,MASTER!C:C)</f>
        <v>IQOS ILUMA I ONE MIDNIGHT BLACK  PZ</v>
      </c>
      <c r="D326" s="15" t="str">
        <f>+_xlfn.XLOOKUP(A326,MASTER!B:B,MASTER!D:D)</f>
        <v>PMI</v>
      </c>
      <c r="E326" s="15" t="str">
        <f>+_xlfn.XLOOKUP(A326,MASTER!B:B,MASTER!I:I)</f>
        <v>Activo</v>
      </c>
      <c r="G326" s="65535"/>
    </row>
    <row r="327" spans="1:9" s="15" x14ac:dyDescent="0.35">
      <c r="A327" s="65535">
        <v>7622100510765</v>
      </c>
      <c r="B327" s="65535">
        <f>+_xlfn.XLOOKUP(A327,MASTER!B:B,MASTER!A:A)</f>
        <v>100026473</v>
      </c>
      <c r="C327" s="65535" t="str">
        <f>+_xlfn.XLOOKUP(A327,MASTER!B:B,MASTER!C:C)</f>
        <v>IQOS ILUMA I ONE BREEZE BLUE  PZ</v>
      </c>
      <c r="D327" s="15" t="str">
        <f>+_xlfn.XLOOKUP(A327,MASTER!B:B,MASTER!D:D)</f>
        <v>PMI</v>
      </c>
      <c r="E327" s="15" t="str">
        <f>+_xlfn.XLOOKUP(A327,MASTER!B:B,MASTER!I:I)</f>
        <v>Activo</v>
      </c>
    </row>
    <row r="328" spans="1:9" s="15" x14ac:dyDescent="0.35">
      <c r="A328" s="65535">
        <v>7622100511038</v>
      </c>
      <c r="B328" s="65535">
        <f>+_xlfn.XLOOKUP(A328,MASTER!B:B,MASTER!A:A)</f>
        <v>100026616</v>
      </c>
      <c r="C328" s="65535" t="str">
        <f>+_xlfn.XLOOKUP(A328,MASTER!B:B,MASTER!C:C)</f>
        <v>IQOS ILUMA I BREEZE BLUE  PZ</v>
      </c>
      <c r="D328" s="15" t="str">
        <f>+_xlfn.XLOOKUP(A328,MASTER!B:B,MASTER!D:D)</f>
        <v>PMI</v>
      </c>
      <c r="E328" s="15" t="str">
        <f>+_xlfn.XLOOKUP(A328,MASTER!B:B,MASTER!I:I)</f>
        <v>Activo</v>
      </c>
    </row>
    <row r="329" spans="1:9" s="15" x14ac:dyDescent="0.35">
      <c r="A329" s="65535">
        <v>7622100511076</v>
      </c>
      <c r="B329" s="65535">
        <f>+_xlfn.XLOOKUP(A329,MASTER!B:B,MASTER!A:A)</f>
        <v>100026467</v>
      </c>
      <c r="C329" s="65535" t="str">
        <f>+_xlfn.XLOOKUP(A329,MASTER!B:B,MASTER!C:C)</f>
        <v>IQOS ILUMA I MIDNIGHT BLACK  PZ</v>
      </c>
      <c r="D329" s="15" t="str">
        <f>+_xlfn.XLOOKUP(A329,MASTER!B:B,MASTER!D:D)</f>
        <v>PMI</v>
      </c>
      <c r="E329" s="15" t="str">
        <f>+_xlfn.XLOOKUP(A329,MASTER!B:B,MASTER!I:I)</f>
        <v>Activo</v>
      </c>
    </row>
    <row r="330" spans="1:9" s="15" x14ac:dyDescent="0.35">
      <c r="A330" s="65535">
        <v>7622100558248</v>
      </c>
      <c r="B330" s="65535">
        <f>+_xlfn.XLOOKUP(A330,MASTER!B:B,MASTER!A:A)</f>
        <v>100024861</v>
      </c>
      <c r="C330" s="65535" t="str">
        <f>+_xlfn.XLOOKUP(A330,MASTER!B:B,MASTER!C:C)</f>
        <v xml:space="preserve"> IQOS ILUMA AZURE BLUE CAJETILLA PZ</v>
      </c>
      <c r="D330" s="15" t="str">
        <f>+_xlfn.XLOOKUP(A330,MASTER!B:B,MASTER!D:D)</f>
        <v>PMI</v>
      </c>
      <c r="E330" s="15" t="str">
        <f>+_xlfn.XLOOKUP(A330,MASTER!B:B,MASTER!I:I)</f>
        <v>Descontinuado (con stock)</v>
      </c>
    </row>
    <row r="331" spans="1:9" s="15" x14ac:dyDescent="0.35">
      <c r="A331" s="65535">
        <v>7622100558293</v>
      </c>
      <c r="B331" s="65535">
        <f>+_xlfn.XLOOKUP(A331,MASTER!B:B,MASTER!A:A)</f>
        <v>100024282</v>
      </c>
      <c r="C331" s="65535" t="str">
        <f>+_xlfn.XLOOKUP(A331,MASTER!B:B,MASTER!C:C)</f>
        <v xml:space="preserve"> IQOS ILUMA ONE AZURE BLUE CAJETILLA PZ</v>
      </c>
      <c r="D331" s="15" t="str">
        <f>+_xlfn.XLOOKUP(A331,MASTER!B:B,MASTER!D:D)</f>
        <v>PMI</v>
      </c>
      <c r="E331" s="15" t="str">
        <f>+_xlfn.XLOOKUP(A331,MASTER!B:B,MASTER!I:I)</f>
        <v>Activo</v>
      </c>
    </row>
    <row r="332" spans="1:9" s="15" x14ac:dyDescent="0.35">
      <c r="A332" s="65535">
        <v>7622100558309</v>
      </c>
      <c r="B332" s="65535">
        <f>+_xlfn.XLOOKUP(A332,MASTER!B:B,MASTER!A:A)</f>
        <v>100024286</v>
      </c>
      <c r="C332" s="65535" t="str">
        <f>+_xlfn.XLOOKUP(A332,MASTER!B:B,MASTER!C:C)</f>
        <v xml:space="preserve"> IQOS ILUMA ONE PEBBLE GREY CAJETILLA PZ</v>
      </c>
      <c r="D332" s="15" t="str">
        <f>+_xlfn.XLOOKUP(A332,MASTER!B:B,MASTER!D:D)</f>
        <v>PMI</v>
      </c>
      <c r="E332" s="15" t="str">
        <f>+_xlfn.XLOOKUP(A332,MASTER!B:B,MASTER!I:I)</f>
        <v>Descontinuado (con stock)</v>
      </c>
    </row>
    <row r="333" spans="1:9" s="15" x14ac:dyDescent="0.35">
      <c r="A333" s="65535">
        <v>7622100558323</v>
      </c>
      <c r="B333" s="65535">
        <f>+_xlfn.XLOOKUP(A333,MASTER!B:B,MASTER!A:A)</f>
        <v>100024859</v>
      </c>
      <c r="C333" s="65535" t="str">
        <f>+_xlfn.XLOOKUP(A333,MASTER!B:B,MASTER!C:C)</f>
        <v xml:space="preserve"> IQOS ILUMA ONE SUNSET RED - CAJETILLA PZ</v>
      </c>
      <c r="D333" s="15" t="str">
        <f>+_xlfn.XLOOKUP(A333,MASTER!B:B,MASTER!D:D)</f>
        <v>PMI</v>
      </c>
      <c r="E333" s="15" t="str">
        <f>+_xlfn.XLOOKUP(A333,MASTER!B:B,MASTER!I:I)</f>
        <v>Descontinuado (con stock)</v>
      </c>
    </row>
    <row r="334" spans="1:9" s="15" x14ac:dyDescent="0.35">
      <c r="A334" s="65535">
        <v>7622100558446</v>
      </c>
      <c r="B334" s="65535">
        <f>+_xlfn.XLOOKUP(A334,MASTER!B:B,MASTER!A:A)</f>
        <v>100024862</v>
      </c>
      <c r="C334" s="65535" t="str">
        <f>+_xlfn.XLOOKUP(A334,MASTER!B:B,MASTER!C:C)</f>
        <v xml:space="preserve"> IQOS ILUMA MOSS GREEN CAJETILLA PZ</v>
      </c>
      <c r="D334" s="15" t="str">
        <f>+_xlfn.XLOOKUP(A334,MASTER!B:B,MASTER!D:D)</f>
        <v>PMI</v>
      </c>
      <c r="E334" s="15" t="str">
        <f>+_xlfn.XLOOKUP(A334,MASTER!B:B,MASTER!I:I)</f>
        <v>Descontinuado (con stock)</v>
      </c>
    </row>
    <row r="335" spans="1:9" s="15" x14ac:dyDescent="0.35">
      <c r="A335" s="65535">
        <v>7622100558453</v>
      </c>
      <c r="B335" s="65535">
        <f>+_xlfn.XLOOKUP(A335,MASTER!B:B,MASTER!A:A)</f>
        <v>100024288</v>
      </c>
      <c r="C335" s="65535" t="str">
        <f>+_xlfn.XLOOKUP(A335,MASTER!B:B,MASTER!C:C)</f>
        <v xml:space="preserve"> IQOS ILUMA PEBBLE GREY CAJETILLA PZ</v>
      </c>
      <c r="D335" s="15" t="str">
        <f>+_xlfn.XLOOKUP(A335,MASTER!B:B,MASTER!D:D)</f>
        <v>PMI</v>
      </c>
      <c r="E335" s="15" t="str">
        <f>+_xlfn.XLOOKUP(A335,MASTER!B:B,MASTER!I:I)</f>
        <v>Descontinuado (con stock)</v>
      </c>
    </row>
    <row r="336" spans="1:9" s="15" x14ac:dyDescent="0.35">
      <c r="A336" s="65535">
        <v>7622100711049</v>
      </c>
      <c r="B336" s="65535">
        <f>+_xlfn.XLOOKUP(A336,MASTER!B:B,MASTER!A:A)</f>
        <v>100021272</v>
      </c>
      <c r="C336" s="65535" t="str">
        <f>+_xlfn.XLOOKUP(A336,MASTER!B:B,MASTER!C:C)</f>
        <v xml:space="preserve">IQOS HISOPO GLICERINA  1 CAJETILLA	</v>
      </c>
      <c r="D336" s="15" t="str">
        <f>+_xlfn.XLOOKUP(A336,MASTER!B:B,MASTER!D:D)</f>
        <v>PMI</v>
      </c>
      <c r="E336" s="15" t="str">
        <f>+_xlfn.XLOOKUP(A336,MASTER!B:B,MASTER!I:I)</f>
        <v>Descontinuado (con stock)</v>
      </c>
    </row>
    <row r="337" spans="1:5" s="15" x14ac:dyDescent="0.35">
      <c r="A337" s="65535">
        <v>7702303121477</v>
      </c>
      <c r="B337" s="65535">
        <f>+_xlfn.XLOOKUP(A337,MASTER!B:B,MASTER!A:A)</f>
        <v>100024420</v>
      </c>
      <c r="C337" s="65535" t="str">
        <f>+_xlfn.XLOOKUP(A337,MASTER!B:B,MASTER!C:C)</f>
        <v>VELO GREEN SPEARMINT 6 MG 15 PZ</v>
      </c>
      <c r="D337" s="15" t="str">
        <f>+_xlfn.XLOOKUP(A337,MASTER!B:B,MASTER!D:D)</f>
        <v>BAT</v>
      </c>
      <c r="E337" s="15" t="str">
        <f>+_xlfn.XLOOKUP(A337,MASTER!B:B,MASTER!I:I)</f>
        <v>Activo</v>
      </c>
    </row>
    <row r="338" spans="1:5" s="15" x14ac:dyDescent="0.35">
      <c r="A338" s="65535">
        <v>7702303253338</v>
      </c>
      <c r="B338" s="65535">
        <f>+_xlfn.XLOOKUP(A338,MASTER!B:B,MASTER!A:A)</f>
        <v>100024418</v>
      </c>
      <c r="C338" s="65535" t="str">
        <f>+_xlfn.XLOOKUP(A338,MASTER!B:B,MASTER!C:C)</f>
        <v>VELO STRAWBERRY ICE 6 MG 15 PZ</v>
      </c>
      <c r="D338" s="15" t="str">
        <f>+_xlfn.XLOOKUP(A338,MASTER!B:B,MASTER!D:D)</f>
        <v>BAT</v>
      </c>
      <c r="E338" s="15" t="str">
        <f>+_xlfn.XLOOKUP(A338,MASTER!B:B,MASTER!I:I)</f>
        <v>Activo</v>
      </c>
    </row>
    <row r="339" spans="1:5" s="15" x14ac:dyDescent="0.35">
      <c r="A339" s="65535">
        <v>7702303391467</v>
      </c>
      <c r="B339" s="65535">
        <f>+_xlfn.XLOOKUP(A339,MASTER!B:B,MASTER!A:A)</f>
        <v>100024417</v>
      </c>
      <c r="C339" s="65535" t="str">
        <f>+_xlfn.XLOOKUP(A339,MASTER!B:B,MASTER!C:C)</f>
        <v>VELO STRAWBERRY ICE 4 MG 15 PZ</v>
      </c>
      <c r="D339" s="15" t="str">
        <f>+_xlfn.XLOOKUP(A339,MASTER!B:B,MASTER!D:D)</f>
        <v>BAT</v>
      </c>
      <c r="E339" s="15" t="str">
        <f>+_xlfn.XLOOKUP(A339,MASTER!B:B,MASTER!I:I)</f>
        <v>Activo</v>
      </c>
    </row>
    <row r="340" spans="1:5" s="15" x14ac:dyDescent="0.35">
      <c r="A340" s="65535">
        <v>7702303622080</v>
      </c>
      <c r="B340" s="65535">
        <f>+_xlfn.XLOOKUP(A340,MASTER!B:B,MASTER!A:A)</f>
        <v>100024419</v>
      </c>
      <c r="C340" s="65535" t="str">
        <f>+_xlfn.XLOOKUP(A340,MASTER!B:B,MASTER!C:C)</f>
        <v>VELO GREEN SPEARMINT 4 MG 15 PZ</v>
      </c>
      <c r="D340" s="15" t="str">
        <f>+_xlfn.XLOOKUP(A340,MASTER!B:B,MASTER!D:D)</f>
        <v>BAT</v>
      </c>
      <c r="E340" s="15" t="str">
        <f>+_xlfn.XLOOKUP(A340,MASTER!B:B,MASTER!I:I)</f>
        <v>Activo</v>
      </c>
    </row>
    <row r="341" spans="1:5" s="15" x14ac:dyDescent="0.35">
      <c r="A341" s="65535">
        <v>7702303630924</v>
      </c>
      <c r="B341" s="65535">
        <f>+_xlfn.XLOOKUP(A341,MASTER!B:B,MASTER!A:A)</f>
        <v>100024415</v>
      </c>
      <c r="C341" s="65535" t="str">
        <f>+_xlfn.XLOOKUP(A341,MASTER!B:B,MASTER!C:C)</f>
        <v>VELO TROPICAL MANGO 4 MG 15 PZ</v>
      </c>
      <c r="D341" s="15" t="str">
        <f>+_xlfn.XLOOKUP(A341,MASTER!B:B,MASTER!D:D)</f>
        <v>BAT</v>
      </c>
      <c r="E341" s="15" t="str">
        <f>+_xlfn.XLOOKUP(A341,MASTER!B:B,MASTER!I:I)</f>
        <v>Activo</v>
      </c>
    </row>
    <row r="342" spans="1:5" s="15" x14ac:dyDescent="0.35">
      <c r="A342" s="65535">
        <v>7702303813235</v>
      </c>
      <c r="B342" s="65535">
        <f>+_xlfn.XLOOKUP(A342,MASTER!B:B,MASTER!A:A)</f>
        <v>100024416</v>
      </c>
      <c r="C342" s="65535" t="str">
        <f>+_xlfn.XLOOKUP(A342,MASTER!B:B,MASTER!C:C)</f>
        <v>VELO TROPICAL MANGO 6 MG 15 PZ</v>
      </c>
      <c r="D342" s="15" t="str">
        <f>+_xlfn.XLOOKUP(A342,MASTER!B:B,MASTER!D:D)</f>
        <v>BAT</v>
      </c>
      <c r="E342" s="15" t="str">
        <f>+_xlfn.XLOOKUP(A342,MASTER!B:B,MASTER!I:I)</f>
        <v>Activo</v>
      </c>
    </row>
    <row r="343" spans="1:5" s="15" x14ac:dyDescent="0.35">
      <c r="A343" s="65535">
        <v>7707200943245</v>
      </c>
      <c r="B343" s="65535">
        <f>+_xlfn.XLOOKUP(A343,MASTER!B:B,MASTER!A:A)</f>
        <v>100024465</v>
      </c>
      <c r="C343" s="65535" t="str">
        <f>+_xlfn.XLOOKUP(A343,MASTER!B:B,MASTER!C:C)</f>
        <v>VELO POLAR PEPPERMINT 6 MG 15 PZ</v>
      </c>
      <c r="D343" s="15" t="str">
        <f>+_xlfn.XLOOKUP(A343,MASTER!B:B,MASTER!D:D)</f>
        <v>BAT</v>
      </c>
      <c r="E343" s="15" t="str">
        <f>+_xlfn.XLOOKUP(A343,MASTER!B:B,MASTER!I:I)</f>
        <v>Activo</v>
      </c>
    </row>
    <row r="344" spans="1:5" s="15" x14ac:dyDescent="0.35">
      <c r="A344" s="65535">
        <v>7707200946741</v>
      </c>
      <c r="B344" s="65535">
        <f>+_xlfn.XLOOKUP(A344,MASTER!B:B,MASTER!A:A)</f>
        <v>100024462</v>
      </c>
      <c r="C344" s="65535" t="str">
        <f>+_xlfn.XLOOKUP(A344,MASTER!B:B,MASTER!C:C)</f>
        <v>VELO POLAR PEPPERMINT 4 MG 15 PZ</v>
      </c>
      <c r="D344" s="15" t="str">
        <f>+_xlfn.XLOOKUP(A344,MASTER!B:B,MASTER!D:D)</f>
        <v>BAT</v>
      </c>
      <c r="E344" s="15" t="str">
        <f>+_xlfn.XLOOKUP(A344,MASTER!B:B,MASTER!I:I)</f>
        <v>Activo</v>
      </c>
    </row>
    <row r="345" spans="1:5" s="15" x14ac:dyDescent="0.35">
      <c r="A345" s="65535">
        <v>8414775013578</v>
      </c>
      <c r="B345" s="65535">
        <f>+_xlfn.XLOOKUP(A345,MASTER!B:B,MASTER!A:A)</f>
        <v>100017182</v>
      </c>
      <c r="C345" s="65535" t="str">
        <f>+_xlfn.XLOOKUP(A345,MASTER!B:B,MASTER!C:C)</f>
        <v>SMOKING PAPEL ZIGZAG RED 1 PZ</v>
      </c>
      <c r="D345" s="15" t="str">
        <f>+_xlfn.XLOOKUP(A345,MASTER!B:B,MASTER!D:D)</f>
        <v>PUROS</v>
      </c>
      <c r="E345" s="15" t="str">
        <f>+_xlfn.XLOOKUP(A345,MASTER!B:B,MASTER!I:I)</f>
        <v>Activo</v>
      </c>
    </row>
    <row r="346" spans="1:5" s="15" x14ac:dyDescent="0.35">
      <c r="B346" s="65535"/>
      <c r="C346" s="65535"/>
    </row>
    <row r="347" spans="1:5" s="15" x14ac:dyDescent="0.35">
      <c r="B347" s="65535"/>
      <c r="C347" s="65535"/>
    </row>
    <row r="348" spans="1:5" s="15" x14ac:dyDescent="0.35">
      <c r="B348" s="65535"/>
      <c r="C348" s="65535"/>
    </row>
    <row r="349" spans="1:5" s="15" x14ac:dyDescent="0.35">
      <c r="B349" s="65535"/>
      <c r="C349" s="65535"/>
    </row>
    <row r="350" spans="1:5" s="15" x14ac:dyDescent="0.35">
      <c r="B350" s="65535"/>
      <c r="C350" s="65535"/>
    </row>
    <row r="351" spans="1:5" s="15" x14ac:dyDescent="0.35">
      <c r="B351" s="65535"/>
      <c r="C351" s="65535"/>
    </row>
    <row r="352" spans="1:5" s="15" x14ac:dyDescent="0.35">
      <c r="B352" s="65535"/>
      <c r="C352" s="65535"/>
    </row>
    <row r="353" spans="2:3" s="15" x14ac:dyDescent="0.35">
      <c r="B353" s="65535"/>
      <c r="C353" s="65535"/>
    </row>
    <row r="354" spans="2:3" s="15" x14ac:dyDescent="0.35">
      <c r="B354" s="65535"/>
      <c r="C354" s="65535"/>
    </row>
    <row r="355" spans="2:3" s="15" x14ac:dyDescent="0.35">
      <c r="B355" s="65535"/>
      <c r="C355" s="65535"/>
    </row>
    <row r="356" spans="2:3" s="15" x14ac:dyDescent="0.35">
      <c r="B356" s="65535"/>
      <c r="C356" s="65535"/>
    </row>
    <row r="357" spans="2:3" s="15" x14ac:dyDescent="0.35">
      <c r="B357" s="65535"/>
      <c r="C357" s="65535"/>
    </row>
    <row r="358" spans="2:3" s="15" x14ac:dyDescent="0.35">
      <c r="B358" s="65535"/>
      <c r="C358" s="65535"/>
    </row>
    <row r="359" spans="2:3" s="15" x14ac:dyDescent="0.35">
      <c r="B359" s="65535"/>
      <c r="C359" s="65535"/>
    </row>
    <row r="360" spans="2:3" s="15" x14ac:dyDescent="0.35">
      <c r="B360" s="65535"/>
      <c r="C360" s="65535"/>
    </row>
    <row r="361" spans="2:3" s="15" x14ac:dyDescent="0.35">
      <c r="B361" s="65535"/>
      <c r="C361" s="65535"/>
    </row>
    <row r="362" spans="2:3" s="15" x14ac:dyDescent="0.35">
      <c r="B362" s="65535"/>
      <c r="C362" s="65535"/>
    </row>
    <row r="363" spans="2:3" s="15" x14ac:dyDescent="0.35">
      <c r="B363" s="65535"/>
      <c r="C363" s="65535"/>
    </row>
    <row r="364" spans="2:3" s="15" x14ac:dyDescent="0.35">
      <c r="B364" s="65535"/>
      <c r="C364" s="65535"/>
    </row>
    <row r="365" spans="2:3" s="15" x14ac:dyDescent="0.35">
      <c r="B365" s="65535"/>
      <c r="C365" s="65535"/>
    </row>
    <row r="366" spans="2:3" s="15" x14ac:dyDescent="0.35">
      <c r="B366" s="65535"/>
      <c r="C366" s="65535"/>
    </row>
    <row r="367" spans="2:3" s="15" x14ac:dyDescent="0.35">
      <c r="B367" s="65535"/>
      <c r="C367" s="65535"/>
    </row>
    <row r="368" spans="2:3" s="15" x14ac:dyDescent="0.35">
      <c r="B368" s="65535"/>
      <c r="C368" s="65535"/>
    </row>
    <row r="369" spans="2:3" s="15" x14ac:dyDescent="0.35">
      <c r="B369" s="65535"/>
      <c r="C369" s="65535"/>
    </row>
    <row r="370" spans="2:3" s="15" x14ac:dyDescent="0.35">
      <c r="B370" s="65535"/>
      <c r="C370" s="65535"/>
    </row>
    <row r="371" spans="2:3" s="15" x14ac:dyDescent="0.35">
      <c r="B371" s="65535"/>
      <c r="C371" s="65535"/>
    </row>
    <row r="372" spans="2:3" s="15" x14ac:dyDescent="0.35">
      <c r="B372" s="65535"/>
      <c r="C372" s="65535"/>
    </row>
    <row r="373" spans="2:3" s="15" x14ac:dyDescent="0.35">
      <c r="B373" s="65535"/>
      <c r="C373" s="65535"/>
    </row>
    <row r="374" spans="2:3" s="15" x14ac:dyDescent="0.35">
      <c r="B374" s="65535"/>
      <c r="C374" s="65535"/>
    </row>
    <row r="375" spans="2:3" s="15" x14ac:dyDescent="0.35">
      <c r="B375" s="65535"/>
      <c r="C375" s="65535"/>
    </row>
    <row r="376" spans="2:3" s="15" x14ac:dyDescent="0.35">
      <c r="B376" s="65535"/>
      <c r="C376" s="65535"/>
    </row>
    <row r="377" spans="2:3" s="15" x14ac:dyDescent="0.35">
      <c r="B377" s="65535"/>
      <c r="C377" s="65535"/>
    </row>
    <row r="378" spans="2:3" s="15" x14ac:dyDescent="0.35">
      <c r="B378" s="65535"/>
      <c r="C378" s="65535"/>
    </row>
    <row r="379" spans="2:3" s="15" x14ac:dyDescent="0.35">
      <c r="B379" s="65535"/>
      <c r="C379" s="65535"/>
    </row>
    <row r="380" spans="2:3" s="15" x14ac:dyDescent="0.35">
      <c r="B380" s="65535"/>
      <c r="C380" s="65535"/>
    </row>
    <row r="381" spans="2:3" s="15" x14ac:dyDescent="0.35">
      <c r="B381" s="65535"/>
      <c r="C381" s="65535"/>
    </row>
    <row r="382" spans="2:3" s="15" x14ac:dyDescent="0.35">
      <c r="B382" s="65535"/>
      <c r="C382" s="65535"/>
    </row>
    <row r="383" spans="2:3" s="15" x14ac:dyDescent="0.35">
      <c r="B383" s="65535"/>
      <c r="C383" s="65535"/>
    </row>
    <row r="384" spans="2:3" s="15" x14ac:dyDescent="0.35">
      <c r="B384" s="65535"/>
      <c r="C384" s="65535"/>
    </row>
    <row r="385" spans="2:3" s="15" x14ac:dyDescent="0.35">
      <c r="B385" s="65535"/>
      <c r="C385" s="65535"/>
    </row>
    <row r="386" spans="2:3" s="15" x14ac:dyDescent="0.35">
      <c r="B386" s="65535"/>
      <c r="C386" s="65535"/>
    </row>
    <row r="387" spans="2:3" s="15" x14ac:dyDescent="0.35">
      <c r="B387" s="65535"/>
      <c r="C387" s="65535"/>
    </row>
    <row r="388" spans="2:3" s="15" x14ac:dyDescent="0.35">
      <c r="B388" s="65535"/>
      <c r="C388" s="65535"/>
    </row>
    <row r="389" spans="2:3" s="15" x14ac:dyDescent="0.35">
      <c r="B389" s="65535"/>
      <c r="C389" s="65535"/>
    </row>
    <row r="390" spans="2:3" s="15" x14ac:dyDescent="0.35">
      <c r="B390" s="65535"/>
      <c r="C390" s="65535"/>
    </row>
    <row r="391" spans="2:3" s="15" x14ac:dyDescent="0.35">
      <c r="B391" s="65535"/>
      <c r="C391" s="65535"/>
    </row>
    <row r="392" spans="2:3" s="15" x14ac:dyDescent="0.35">
      <c r="B392" s="65535"/>
      <c r="C392" s="65535"/>
    </row>
    <row r="393" spans="2:3" s="15" x14ac:dyDescent="0.35">
      <c r="B393" s="65535"/>
      <c r="C393" s="65535"/>
    </row>
    <row r="394" spans="2:3" s="15" x14ac:dyDescent="0.35">
      <c r="B394" s="65535"/>
      <c r="C394" s="65535"/>
    </row>
    <row r="395" spans="2:3" s="15" x14ac:dyDescent="0.35">
      <c r="B395" s="65535"/>
      <c r="C395" s="65535"/>
    </row>
    <row r="396" spans="2:3" s="15" x14ac:dyDescent="0.35">
      <c r="B396" s="65535"/>
      <c r="C396" s="65535"/>
    </row>
    <row r="397" spans="2:3" s="15" x14ac:dyDescent="0.35">
      <c r="B397" s="65535"/>
      <c r="C397" s="65535"/>
    </row>
    <row r="398" spans="2:3" s="15" x14ac:dyDescent="0.35">
      <c r="B398" s="65535"/>
      <c r="C398" s="65535"/>
    </row>
    <row r="399" spans="2:3" s="15" x14ac:dyDescent="0.35">
      <c r="B399" s="65535"/>
      <c r="C399" s="65535"/>
    </row>
    <row r="400" spans="2:3" s="15" x14ac:dyDescent="0.35">
      <c r="B400" s="65535"/>
      <c r="C400" s="65535"/>
    </row>
    <row r="401" spans="2:3" s="15" x14ac:dyDescent="0.35">
      <c r="B401" s="65535"/>
      <c r="C401" s="65535"/>
    </row>
    <row r="402" spans="2:3" s="15" x14ac:dyDescent="0.35">
      <c r="B402" s="65535"/>
      <c r="C402" s="65535"/>
    </row>
    <row r="403" spans="2:3" s="15" x14ac:dyDescent="0.35">
      <c r="B403" s="65535"/>
      <c r="C403" s="65535"/>
    </row>
    <row r="404" spans="2:3" s="15" x14ac:dyDescent="0.35">
      <c r="B404" s="65535"/>
      <c r="C404" s="65535"/>
    </row>
    <row r="405" spans="2:3" s="15" x14ac:dyDescent="0.35">
      <c r="B405" s="65535"/>
      <c r="C405" s="65535"/>
    </row>
    <row r="406" spans="2:3" s="15" x14ac:dyDescent="0.35">
      <c r="B406" s="65535"/>
      <c r="C406" s="65535"/>
    </row>
    <row r="407" spans="2:3" s="15" x14ac:dyDescent="0.35">
      <c r="B407" s="65535"/>
      <c r="C407" s="65535"/>
    </row>
    <row r="408" spans="2:3" s="15" x14ac:dyDescent="0.35">
      <c r="B408" s="65535"/>
      <c r="C408" s="65535"/>
    </row>
    <row r="409" spans="2:3" s="15" x14ac:dyDescent="0.35">
      <c r="B409" s="65535"/>
      <c r="C409" s="65535"/>
    </row>
    <row r="410" spans="2:3" s="15" x14ac:dyDescent="0.35">
      <c r="B410" s="65535"/>
      <c r="C410" s="65535"/>
    </row>
    <row r="411" spans="2:3" s="15" x14ac:dyDescent="0.35">
      <c r="B411" s="65535"/>
      <c r="C411" s="65535"/>
    </row>
    <row r="412" spans="2:3" s="15" x14ac:dyDescent="0.35">
      <c r="B412" s="65535"/>
      <c r="C412" s="65535"/>
    </row>
    <row r="413" spans="2:3" s="15" x14ac:dyDescent="0.35">
      <c r="B413" s="65535"/>
      <c r="C413" s="65535"/>
    </row>
    <row r="414" spans="2:3" s="15" x14ac:dyDescent="0.35">
      <c r="B414" s="65535"/>
      <c r="C414" s="65535"/>
    </row>
    <row r="415" spans="2:3" s="15" x14ac:dyDescent="0.35">
      <c r="B415" s="65535"/>
      <c r="C415" s="65535"/>
    </row>
    <row r="416" spans="2:3" s="15" x14ac:dyDescent="0.35">
      <c r="B416" s="65535"/>
      <c r="C416" s="65535"/>
    </row>
    <row r="417" spans="2:3" s="15" x14ac:dyDescent="0.35">
      <c r="B417" s="65535"/>
      <c r="C417" s="65535"/>
    </row>
    <row r="418" spans="2:3" s="15" x14ac:dyDescent="0.35">
      <c r="B418" s="65535"/>
      <c r="C418" s="65535"/>
    </row>
    <row r="419" spans="2:3" s="15" x14ac:dyDescent="0.35">
      <c r="B419" s="65535"/>
      <c r="C419" s="65535"/>
    </row>
    <row r="420" spans="2:3" s="15" x14ac:dyDescent="0.35">
      <c r="B420" s="65535"/>
      <c r="C420" s="65535"/>
    </row>
    <row r="421" spans="2:3" s="15" x14ac:dyDescent="0.35">
      <c r="B421" s="65535"/>
      <c r="C421" s="65535"/>
    </row>
    <row r="422" spans="2:3" s="15" x14ac:dyDescent="0.35">
      <c r="B422" s="65535"/>
      <c r="C422" s="65535"/>
    </row>
    <row r="423" spans="2:3" s="15" x14ac:dyDescent="0.35">
      <c r="B423" s="65535"/>
      <c r="C423" s="65535"/>
    </row>
    <row r="424" spans="2:3" s="15" x14ac:dyDescent="0.35">
      <c r="B424" s="65535"/>
      <c r="C424" s="65535"/>
    </row>
    <row r="425" spans="2:3" s="15" x14ac:dyDescent="0.35">
      <c r="B425" s="65535"/>
      <c r="C425" s="65535"/>
    </row>
    <row r="426" spans="2:3" s="15" x14ac:dyDescent="0.35">
      <c r="B426" s="65535"/>
      <c r="C426" s="65535"/>
    </row>
    <row r="427" spans="2:3" s="15" x14ac:dyDescent="0.35">
      <c r="B427" s="65535"/>
      <c r="C427" s="65535"/>
    </row>
    <row r="428" spans="2:3" s="15" x14ac:dyDescent="0.35">
      <c r="B428" s="65535"/>
      <c r="C428" s="65535"/>
    </row>
    <row r="429" spans="2:3" s="15" x14ac:dyDescent="0.35">
      <c r="B429" s="65535"/>
      <c r="C429" s="65535"/>
    </row>
    <row r="430" spans="2:3" s="15" x14ac:dyDescent="0.35">
      <c r="B430" s="65535"/>
      <c r="C430" s="65535"/>
    </row>
    <row r="431" spans="2:3" s="15" x14ac:dyDescent="0.35">
      <c r="B431" s="65535"/>
      <c r="C431" s="65535"/>
    </row>
    <row r="432" spans="2:3" s="15" x14ac:dyDescent="0.35">
      <c r="B432" s="65535"/>
      <c r="C432" s="65535"/>
    </row>
    <row r="433" spans="2:3" s="15" x14ac:dyDescent="0.35">
      <c r="B433" s="65535"/>
      <c r="C433" s="65535"/>
    </row>
    <row r="434" spans="2:3" s="15" x14ac:dyDescent="0.35">
      <c r="B434" s="65535"/>
      <c r="C434" s="65535"/>
    </row>
    <row r="435" spans="2:3" s="15" x14ac:dyDescent="0.35">
      <c r="B435" s="65535"/>
      <c r="C435" s="65535"/>
    </row>
    <row r="436" spans="2:3" s="15" x14ac:dyDescent="0.35">
      <c r="B436" s="65535"/>
      <c r="C436" s="65535"/>
    </row>
    <row r="437" spans="2:3" s="15" x14ac:dyDescent="0.35">
      <c r="B437" s="65535"/>
      <c r="C437" s="65535"/>
    </row>
    <row r="438" spans="2:3" s="15" x14ac:dyDescent="0.35">
      <c r="B438" s="65535"/>
      <c r="C438" s="65535"/>
    </row>
    <row r="439" spans="2:3" s="15" x14ac:dyDescent="0.35">
      <c r="B439" s="65535"/>
      <c r="C439" s="65535"/>
    </row>
    <row r="440" spans="2:3" s="15" x14ac:dyDescent="0.35">
      <c r="B440" s="65535"/>
      <c r="C440" s="65535"/>
    </row>
    <row r="441" spans="2:3" s="15" x14ac:dyDescent="0.35">
      <c r="B441" s="65535"/>
      <c r="C441" s="65535"/>
    </row>
    <row r="442" spans="2:3" s="15" x14ac:dyDescent="0.35">
      <c r="B442" s="65535"/>
      <c r="C442" s="65535"/>
    </row>
    <row r="443" spans="2:3" s="15" x14ac:dyDescent="0.35">
      <c r="B443" s="65535"/>
      <c r="C443" s="65535"/>
    </row>
    <row r="444" spans="2:3" s="15" x14ac:dyDescent="0.35">
      <c r="B444" s="65535"/>
      <c r="C444" s="65535"/>
    </row>
    <row r="445" spans="2:3" s="15" x14ac:dyDescent="0.35">
      <c r="B445" s="65535"/>
      <c r="C445" s="65535"/>
    </row>
    <row r="446" spans="2:3" s="15" x14ac:dyDescent="0.35">
      <c r="B446" s="65535"/>
      <c r="C446" s="65535"/>
    </row>
    <row r="447" spans="2:3" s="15" x14ac:dyDescent="0.35">
      <c r="B447" s="65535"/>
      <c r="C447" s="65535"/>
    </row>
    <row r="448" spans="2:3" s="15" x14ac:dyDescent="0.35">
      <c r="B448" s="65535"/>
      <c r="C448" s="65535"/>
    </row>
    <row r="449" spans="2:3" s="15" x14ac:dyDescent="0.35">
      <c r="B449" s="65535"/>
      <c r="C449" s="65535"/>
    </row>
    <row r="450" spans="2:3" s="15" x14ac:dyDescent="0.35">
      <c r="B450" s="65535"/>
      <c r="C450" s="65535"/>
    </row>
    <row r="451" spans="2:3" s="15" x14ac:dyDescent="0.35">
      <c r="B451" s="65535"/>
      <c r="C451" s="65535"/>
    </row>
    <row r="452" spans="2:3" s="15" x14ac:dyDescent="0.35">
      <c r="B452" s="65535"/>
      <c r="C452" s="65535"/>
    </row>
    <row r="453" spans="2:3" s="15" x14ac:dyDescent="0.35">
      <c r="B453" s="65535"/>
      <c r="C453" s="65535"/>
    </row>
    <row r="454" spans="2:3" s="15" x14ac:dyDescent="0.35">
      <c r="B454" s="65535"/>
      <c r="C454" s="65535"/>
    </row>
    <row r="455" spans="2:3" s="15" x14ac:dyDescent="0.35">
      <c r="B455" s="65535"/>
      <c r="C455" s="65535"/>
    </row>
    <row r="456" spans="2:3" s="15" x14ac:dyDescent="0.35">
      <c r="B456" s="65535"/>
      <c r="C456" s="65535"/>
    </row>
    <row r="457" spans="2:3" s="15" x14ac:dyDescent="0.35">
      <c r="B457" s="65535"/>
      <c r="C457" s="65535"/>
    </row>
    <row r="458" spans="2:3" s="15" x14ac:dyDescent="0.35">
      <c r="B458" s="65535"/>
      <c r="C458" s="65535"/>
    </row>
    <row r="459" spans="2:3" s="15" x14ac:dyDescent="0.35">
      <c r="B459" s="65535"/>
      <c r="C459" s="65535"/>
    </row>
    <row r="460" spans="2:3" s="15" x14ac:dyDescent="0.35">
      <c r="B460" s="65535"/>
      <c r="C460" s="65535"/>
    </row>
    <row r="461" spans="2:3" s="15" x14ac:dyDescent="0.35">
      <c r="B461" s="65535"/>
      <c r="C461" s="65535"/>
    </row>
    <row r="462" spans="2:3" s="15" x14ac:dyDescent="0.35">
      <c r="B462" s="65535"/>
      <c r="C462" s="65535"/>
    </row>
    <row r="463" spans="2:3" s="15" x14ac:dyDescent="0.35">
      <c r="B463" s="65535"/>
      <c r="C463" s="65535"/>
    </row>
    <row r="464" spans="2:3" s="15" x14ac:dyDescent="0.35">
      <c r="B464" s="65535"/>
      <c r="C464" s="65535"/>
    </row>
    <row r="465" spans="2:3" s="15" x14ac:dyDescent="0.35">
      <c r="B465" s="65535"/>
      <c r="C465" s="65535"/>
    </row>
    <row r="466" spans="2:3" s="15" x14ac:dyDescent="0.35">
      <c r="B466" s="65535"/>
      <c r="C466" s="65535"/>
    </row>
    <row r="467" spans="2:3" s="15" x14ac:dyDescent="0.35">
      <c r="B467" s="65535"/>
      <c r="C467" s="65535"/>
    </row>
    <row r="468" spans="2:3" s="15" x14ac:dyDescent="0.35">
      <c r="B468" s="65535"/>
      <c r="C468" s="65535"/>
    </row>
    <row r="469" spans="2:3" s="15" x14ac:dyDescent="0.35">
      <c r="B469" s="65535"/>
      <c r="C469" s="65535"/>
    </row>
    <row r="470" spans="2:3" s="15" x14ac:dyDescent="0.35">
      <c r="B470" s="65535"/>
      <c r="C470" s="65535"/>
    </row>
    <row r="471" spans="2:3" s="15" x14ac:dyDescent="0.35">
      <c r="B471" s="65535"/>
      <c r="C471" s="65535"/>
    </row>
    <row r="472" spans="2:3" s="15" x14ac:dyDescent="0.35">
      <c r="B472" s="65535"/>
      <c r="C472" s="65535"/>
    </row>
    <row r="473" spans="2:3" s="15" x14ac:dyDescent="0.35">
      <c r="B473" s="65535"/>
      <c r="C473" s="65535"/>
    </row>
    <row r="474" spans="2:3" s="15" x14ac:dyDescent="0.35">
      <c r="B474" s="65535"/>
      <c r="C474" s="65535"/>
    </row>
    <row r="475" spans="2:3" s="15" x14ac:dyDescent="0.35">
      <c r="B475" s="65535"/>
      <c r="C475" s="65535"/>
    </row>
    <row r="476" spans="2:3" s="15" x14ac:dyDescent="0.35">
      <c r="B476" s="65535"/>
      <c r="C476" s="65535"/>
    </row>
    <row r="477" spans="2:3" s="15" x14ac:dyDescent="0.35">
      <c r="B477" s="65535"/>
      <c r="C477" s="65535"/>
    </row>
    <row r="478" spans="2:3" s="15" x14ac:dyDescent="0.35">
      <c r="B478" s="65535"/>
      <c r="C478" s="65535"/>
    </row>
    <row r="479" spans="2:3" s="15" x14ac:dyDescent="0.35">
      <c r="B479" s="65535"/>
      <c r="C479" s="65535"/>
    </row>
    <row r="480" spans="2:3" s="15" x14ac:dyDescent="0.35">
      <c r="B480" s="65535"/>
      <c r="C480" s="65535"/>
    </row>
    <row r="481" spans="2:3" s="15" x14ac:dyDescent="0.35">
      <c r="B481" s="65535"/>
      <c r="C481" s="65535"/>
    </row>
    <row r="482" spans="2:3" s="15" x14ac:dyDescent="0.35">
      <c r="B482" s="65535"/>
      <c r="C482" s="65535"/>
    </row>
    <row r="483" spans="2:3" s="15" x14ac:dyDescent="0.35">
      <c r="B483" s="65535"/>
      <c r="C483" s="65535"/>
    </row>
    <row r="484" spans="2:3" s="15" x14ac:dyDescent="0.35">
      <c r="B484" s="65535"/>
      <c r="C484" s="65535"/>
    </row>
    <row r="485" spans="2:3" s="15" x14ac:dyDescent="0.35">
      <c r="B485" s="65535"/>
      <c r="C485" s="65535"/>
    </row>
    <row r="486" spans="2:3" s="15" x14ac:dyDescent="0.35">
      <c r="B486" s="65535"/>
      <c r="C486" s="65535"/>
    </row>
    <row r="487" spans="2:3" s="15" x14ac:dyDescent="0.35">
      <c r="B487" s="65535"/>
      <c r="C487" s="65535"/>
    </row>
    <row r="488" spans="2:3" s="15" x14ac:dyDescent="0.35">
      <c r="B488" s="65535"/>
      <c r="C488" s="65535"/>
    </row>
    <row r="489" spans="2:3" s="15" x14ac:dyDescent="0.35">
      <c r="B489" s="65535"/>
      <c r="C489" s="65535"/>
    </row>
    <row r="490" spans="2:3" s="15" x14ac:dyDescent="0.35">
      <c r="B490" s="65535"/>
      <c r="C490" s="65535"/>
    </row>
    <row r="491" spans="2:3" s="15" x14ac:dyDescent="0.35">
      <c r="B491" s="65535"/>
      <c r="C491" s="65535"/>
    </row>
    <row r="492" spans="2:3" s="15" x14ac:dyDescent="0.35">
      <c r="B492" s="65535"/>
      <c r="C492" s="65535"/>
    </row>
    <row r="493" spans="2:3" s="15" x14ac:dyDescent="0.35">
      <c r="B493" s="65535"/>
      <c r="C493" s="65535"/>
    </row>
    <row r="494" spans="2:3" s="15" x14ac:dyDescent="0.35">
      <c r="B494" s="65535"/>
      <c r="C494" s="65535"/>
    </row>
    <row r="495" spans="2:3" s="15" x14ac:dyDescent="0.35">
      <c r="B495" s="65535"/>
      <c r="C495" s="65535"/>
    </row>
    <row r="496" spans="2:3" s="15" x14ac:dyDescent="0.35">
      <c r="B496" s="65535"/>
      <c r="C496" s="65535"/>
    </row>
    <row r="497" spans="2:3" s="15" x14ac:dyDescent="0.35">
      <c r="B497" s="65535"/>
      <c r="C497" s="65535"/>
    </row>
    <row r="498" spans="2:3" s="15" x14ac:dyDescent="0.35">
      <c r="B498" s="65535"/>
      <c r="C498" s="65535"/>
    </row>
    <row r="499" spans="2:3" s="15" x14ac:dyDescent="0.35">
      <c r="B499" s="65535"/>
      <c r="C499" s="65535"/>
    </row>
    <row r="500" spans="2:3" s="15" x14ac:dyDescent="0.35">
      <c r="B500" s="65535"/>
      <c r="C500" s="65535"/>
    </row>
    <row r="501" spans="2:3" s="15" x14ac:dyDescent="0.35">
      <c r="B501" s="65535"/>
      <c r="C501" s="65535"/>
    </row>
    <row r="502" spans="2:3" s="15" x14ac:dyDescent="0.35">
      <c r="B502" s="65535"/>
      <c r="C502" s="65535"/>
    </row>
    <row r="503" spans="2:3" s="15" x14ac:dyDescent="0.35">
      <c r="B503" s="65535"/>
      <c r="C503" s="65535"/>
    </row>
    <row r="504" spans="2:3" s="15" x14ac:dyDescent="0.35">
      <c r="B504" s="65535"/>
      <c r="C504" s="65535"/>
    </row>
    <row r="505" spans="2:3" s="15" x14ac:dyDescent="0.35">
      <c r="B505" s="65535"/>
      <c r="C505" s="65535"/>
    </row>
    <row r="506" spans="2:3" s="15" x14ac:dyDescent="0.35">
      <c r="B506" s="65535"/>
      <c r="C506" s="65535"/>
    </row>
    <row r="507" spans="2:3" s="15" x14ac:dyDescent="0.35">
      <c r="B507" s="65535"/>
      <c r="C507" s="65535"/>
    </row>
    <row r="508" spans="2:3" s="15" x14ac:dyDescent="0.35">
      <c r="B508" s="65535"/>
      <c r="C508" s="65535"/>
    </row>
    <row r="509" spans="2:3" s="15" x14ac:dyDescent="0.35">
      <c r="B509" s="65535"/>
      <c r="C509" s="65535"/>
    </row>
    <row r="510" spans="2:3" s="15" x14ac:dyDescent="0.35">
      <c r="B510" s="65535"/>
      <c r="C510" s="65535"/>
    </row>
    <row r="511" spans="2:3" s="15" x14ac:dyDescent="0.35">
      <c r="B511" s="65535"/>
      <c r="C511" s="65535"/>
    </row>
    <row r="512" spans="2:3" s="15" x14ac:dyDescent="0.35">
      <c r="B512" s="65535"/>
      <c r="C512" s="65535"/>
    </row>
    <row r="513" spans="2:3" s="15" x14ac:dyDescent="0.35">
      <c r="B513" s="65535"/>
      <c r="C513" s="65535"/>
    </row>
    <row r="514" spans="2:3" s="15" x14ac:dyDescent="0.35">
      <c r="B514" s="65535"/>
      <c r="C514" s="65535"/>
    </row>
    <row r="515" spans="2:3" s="15" x14ac:dyDescent="0.35">
      <c r="B515" s="65535"/>
      <c r="C515" s="65535"/>
    </row>
    <row r="516" spans="2:3" s="15" x14ac:dyDescent="0.35">
      <c r="B516" s="65535"/>
      <c r="C516" s="65535"/>
    </row>
    <row r="517" spans="2:3" s="15" x14ac:dyDescent="0.35">
      <c r="B517" s="65535"/>
      <c r="C517" s="65535"/>
    </row>
    <row r="518" spans="2:3" s="15" x14ac:dyDescent="0.35">
      <c r="B518" s="65535"/>
      <c r="C518" s="65535"/>
    </row>
    <row r="519" spans="2:3" s="15" x14ac:dyDescent="0.35">
      <c r="B519" s="65535"/>
      <c r="C519" s="65535"/>
    </row>
    <row r="520" spans="2:3" s="15" x14ac:dyDescent="0.35">
      <c r="B520" s="65535"/>
      <c r="C520" s="65535"/>
    </row>
    <row r="521" spans="2:3" s="15" x14ac:dyDescent="0.35">
      <c r="B521" s="65535"/>
      <c r="C521" s="65535"/>
    </row>
    <row r="522" spans="2:3" s="15" x14ac:dyDescent="0.35">
      <c r="B522" s="65535"/>
      <c r="C522" s="65535"/>
    </row>
    <row r="523" spans="2:3" s="15" x14ac:dyDescent="0.35">
      <c r="B523" s="65535"/>
      <c r="C523" s="65535"/>
    </row>
    <row r="524" spans="2:3" s="15" x14ac:dyDescent="0.35">
      <c r="B524" s="65535"/>
      <c r="C524" s="65535"/>
    </row>
    <row r="525" spans="2:3" s="15" x14ac:dyDescent="0.35">
      <c r="B525" s="65535"/>
      <c r="C525" s="65535"/>
    </row>
    <row r="526" spans="2:3" s="15" x14ac:dyDescent="0.35">
      <c r="B526" s="65535"/>
      <c r="C526" s="65535"/>
    </row>
    <row r="527" spans="2:3" s="15" x14ac:dyDescent="0.35">
      <c r="B527" s="65535"/>
      <c r="C527" s="65535"/>
    </row>
    <row r="528" spans="2:3" s="15" x14ac:dyDescent="0.35">
      <c r="B528" s="65535"/>
      <c r="C528" s="65535"/>
    </row>
    <row r="529" spans="2:3" s="15" x14ac:dyDescent="0.35">
      <c r="B529" s="65535"/>
      <c r="C529" s="65535"/>
    </row>
    <row r="530" spans="2:3" s="15" x14ac:dyDescent="0.35">
      <c r="B530" s="65535"/>
      <c r="C530" s="65535"/>
    </row>
    <row r="531" spans="2:3" s="15" x14ac:dyDescent="0.35">
      <c r="B531" s="65535"/>
      <c r="C531" s="65535"/>
    </row>
    <row r="532" spans="2:3" s="15" x14ac:dyDescent="0.35">
      <c r="B532" s="65535"/>
      <c r="C532" s="65535"/>
    </row>
    <row r="533" spans="2:3" s="15" x14ac:dyDescent="0.35">
      <c r="B533" s="65535"/>
      <c r="C533" s="65535"/>
    </row>
    <row r="534" spans="2:3" s="15" x14ac:dyDescent="0.35">
      <c r="B534" s="65535"/>
      <c r="C534" s="65535"/>
    </row>
    <row r="535" spans="2:3" s="15" x14ac:dyDescent="0.35">
      <c r="B535" s="65535"/>
      <c r="C535" s="65535"/>
    </row>
    <row r="536" spans="2:3" s="15" x14ac:dyDescent="0.35">
      <c r="B536" s="65535"/>
      <c r="C536" s="65535"/>
    </row>
    <row r="537" spans="2:3" s="15" x14ac:dyDescent="0.35">
      <c r="B537" s="65535"/>
      <c r="C537" s="65535"/>
    </row>
    <row r="538" spans="2:3" s="15" x14ac:dyDescent="0.35">
      <c r="B538" s="65535"/>
      <c r="C538" s="65535"/>
    </row>
    <row r="539" spans="2:3" s="15" x14ac:dyDescent="0.35">
      <c r="B539" s="65535"/>
      <c r="C539" s="65535"/>
    </row>
    <row r="540" spans="2:3" s="15" x14ac:dyDescent="0.35">
      <c r="B540" s="65535"/>
      <c r="C540" s="65535"/>
    </row>
    <row r="541" spans="2:3" s="15" x14ac:dyDescent="0.35">
      <c r="B541" s="65535"/>
      <c r="C541" s="65535"/>
    </row>
    <row r="542" spans="2:3" s="15" x14ac:dyDescent="0.35">
      <c r="B542" s="65535"/>
      <c r="C542" s="65535"/>
    </row>
    <row r="543" spans="2:3" s="15" x14ac:dyDescent="0.35">
      <c r="B543" s="65535"/>
      <c r="C543" s="65535"/>
    </row>
    <row r="544" spans="2:3" s="15" x14ac:dyDescent="0.35">
      <c r="B544" s="65535"/>
      <c r="C544" s="65535"/>
    </row>
    <row r="545" spans="2:3" s="15" x14ac:dyDescent="0.35">
      <c r="B545" s="65535"/>
      <c r="C545" s="65535"/>
    </row>
    <row r="546" spans="2:3" s="15" x14ac:dyDescent="0.35">
      <c r="B546" s="65535"/>
      <c r="C546" s="65535"/>
    </row>
    <row r="547" spans="2:3" s="15" x14ac:dyDescent="0.35">
      <c r="B547" s="65535"/>
      <c r="C547" s="65535"/>
    </row>
    <row r="548" spans="2:3" s="15" x14ac:dyDescent="0.35">
      <c r="B548" s="65535"/>
      <c r="C548" s="65535"/>
    </row>
    <row r="549" spans="2:3" s="15" x14ac:dyDescent="0.35">
      <c r="B549" s="65535"/>
      <c r="C549" s="65535"/>
    </row>
    <row r="550" spans="2:3" s="15" x14ac:dyDescent="0.35">
      <c r="B550" s="65535"/>
      <c r="C550" s="65535"/>
    </row>
    <row r="551" spans="2:3" s="15" x14ac:dyDescent="0.35">
      <c r="B551" s="65535"/>
      <c r="C551" s="65535"/>
    </row>
    <row r="552" spans="2:3" s="15" x14ac:dyDescent="0.35">
      <c r="B552" s="65535"/>
      <c r="C552" s="65535"/>
    </row>
    <row r="553" spans="2:3" s="15" x14ac:dyDescent="0.35">
      <c r="B553" s="65535"/>
      <c r="C553" s="65535"/>
    </row>
    <row r="554" spans="2:3" s="15" x14ac:dyDescent="0.35">
      <c r="B554" s="65535"/>
      <c r="C554" s="65535"/>
    </row>
    <row r="555" spans="2:3" s="15" x14ac:dyDescent="0.35">
      <c r="B555" s="65535"/>
      <c r="C555" s="65535"/>
    </row>
    <row r="556" spans="2:3" s="15" x14ac:dyDescent="0.35">
      <c r="B556" s="65535"/>
      <c r="C556" s="65535"/>
    </row>
    <row r="557" spans="2:3" s="15" x14ac:dyDescent="0.35">
      <c r="B557" s="65535"/>
      <c r="C557" s="65535"/>
    </row>
    <row r="558" spans="2:3" s="15" x14ac:dyDescent="0.35">
      <c r="B558" s="65535"/>
      <c r="C558" s="65535"/>
    </row>
    <row r="559" spans="2:3" s="15" x14ac:dyDescent="0.35">
      <c r="B559" s="65535"/>
      <c r="C559" s="65535"/>
    </row>
    <row r="560" spans="2:3" s="15" x14ac:dyDescent="0.35">
      <c r="B560" s="65535"/>
      <c r="C560" s="65535"/>
    </row>
    <row r="561" spans="2:3" s="15" x14ac:dyDescent="0.35">
      <c r="B561" s="65535"/>
      <c r="C561" s="65535"/>
    </row>
    <row r="562" spans="2:3" s="15" x14ac:dyDescent="0.35">
      <c r="B562" s="65535"/>
      <c r="C562" s="65535"/>
    </row>
    <row r="563" spans="2:3" s="15" x14ac:dyDescent="0.35">
      <c r="B563" s="65535"/>
      <c r="C563" s="65535"/>
    </row>
    <row r="564" spans="2:3" s="15" x14ac:dyDescent="0.35">
      <c r="B564" s="65535"/>
      <c r="C564" s="65535"/>
    </row>
    <row r="565" spans="2:3" s="15" x14ac:dyDescent="0.35">
      <c r="B565" s="65535"/>
      <c r="C565" s="65535"/>
    </row>
    <row r="566" spans="2:3" s="15" x14ac:dyDescent="0.35">
      <c r="B566" s="65535"/>
      <c r="C566" s="65535"/>
    </row>
    <row r="567" spans="2:3" s="15" x14ac:dyDescent="0.35">
      <c r="B567" s="65535"/>
      <c r="C567" s="65535"/>
    </row>
    <row r="568" spans="2:3" s="15" x14ac:dyDescent="0.35">
      <c r="B568" s="65535"/>
      <c r="C568" s="65535"/>
    </row>
    <row r="569" spans="2:3" s="15" x14ac:dyDescent="0.35">
      <c r="B569" s="65535"/>
      <c r="C569" s="65535"/>
    </row>
    <row r="570" spans="2:3" s="15" x14ac:dyDescent="0.35">
      <c r="B570" s="65535"/>
      <c r="C570" s="65535"/>
    </row>
    <row r="571" spans="2:3" s="15" x14ac:dyDescent="0.35">
      <c r="B571" s="65535"/>
      <c r="C571" s="65535"/>
    </row>
    <row r="572" spans="2:3" s="15" x14ac:dyDescent="0.35">
      <c r="B572" s="65535"/>
      <c r="C572" s="65535"/>
    </row>
    <row r="573" spans="2:3" s="15" x14ac:dyDescent="0.35">
      <c r="B573" s="65535"/>
      <c r="C573" s="65535"/>
    </row>
    <row r="574" spans="2:3" s="15" x14ac:dyDescent="0.35">
      <c r="B574" s="65535"/>
      <c r="C574" s="65535"/>
    </row>
    <row r="575" spans="2:3" s="15" x14ac:dyDescent="0.35">
      <c r="B575" s="65535"/>
      <c r="C575" s="65535"/>
    </row>
    <row r="576" spans="2:3" s="15" x14ac:dyDescent="0.35">
      <c r="B576" s="65535"/>
      <c r="C576" s="65535"/>
    </row>
    <row r="577" spans="2:3" s="15" x14ac:dyDescent="0.35">
      <c r="B577" s="65535"/>
      <c r="C577" s="65535"/>
    </row>
    <row r="578" spans="2:3" s="15" x14ac:dyDescent="0.35">
      <c r="B578" s="65535"/>
      <c r="C578" s="65535"/>
    </row>
    <row r="579" spans="2:3" s="15" x14ac:dyDescent="0.35">
      <c r="B579" s="65535"/>
      <c r="C579" s="65535"/>
    </row>
    <row r="580" spans="2:3" s="15" x14ac:dyDescent="0.35">
      <c r="B580" s="65535"/>
      <c r="C580" s="65535"/>
    </row>
    <row r="581" spans="2:3" s="15" x14ac:dyDescent="0.35">
      <c r="B581" s="65535"/>
      <c r="C581" s="65535"/>
    </row>
    <row r="582" spans="2:3" s="15" x14ac:dyDescent="0.35">
      <c r="B582" s="65535"/>
      <c r="C582" s="65535"/>
    </row>
    <row r="583" spans="2:3" s="15" x14ac:dyDescent="0.35">
      <c r="B583" s="65535"/>
      <c r="C583" s="65535"/>
    </row>
    <row r="584" spans="2:3" s="15" x14ac:dyDescent="0.35">
      <c r="B584" s="65535"/>
      <c r="C584" s="65535"/>
    </row>
    <row r="585" spans="2:3" s="15" x14ac:dyDescent="0.35">
      <c r="B585" s="65535"/>
      <c r="C585" s="65535"/>
    </row>
    <row r="586" spans="2:3" s="15" x14ac:dyDescent="0.35">
      <c r="B586" s="65535"/>
      <c r="C586" s="65535"/>
    </row>
    <row r="587" spans="2:3" s="15" x14ac:dyDescent="0.35">
      <c r="B587" s="65535"/>
      <c r="C587" s="65535"/>
    </row>
    <row r="588" spans="2:3" s="15" x14ac:dyDescent="0.35">
      <c r="B588" s="65535"/>
      <c r="C588" s="65535"/>
    </row>
    <row r="589" spans="2:3" s="15" x14ac:dyDescent="0.35">
      <c r="B589" s="65535"/>
      <c r="C589" s="65535"/>
    </row>
    <row r="590" spans="2:3" s="15" x14ac:dyDescent="0.35">
      <c r="B590" s="65535"/>
      <c r="C590" s="65535"/>
    </row>
    <row r="591" spans="2:3" s="15" x14ac:dyDescent="0.35">
      <c r="B591" s="65535"/>
      <c r="C591" s="65535"/>
    </row>
    <row r="592" spans="2:3" s="15" x14ac:dyDescent="0.35">
      <c r="B592" s="65535"/>
      <c r="C592" s="65535"/>
    </row>
    <row r="593" spans="2:3" s="15" x14ac:dyDescent="0.35">
      <c r="B593" s="65535"/>
      <c r="C593" s="65535"/>
    </row>
    <row r="594" spans="2:3" s="15" x14ac:dyDescent="0.35">
      <c r="B594" s="65535"/>
      <c r="C594" s="65535"/>
    </row>
    <row r="595" spans="2:3" s="15" x14ac:dyDescent="0.35">
      <c r="B595" s="65535"/>
      <c r="C595" s="65535"/>
    </row>
    <row r="596" spans="2:3" s="15" x14ac:dyDescent="0.35">
      <c r="B596" s="65535"/>
      <c r="C596" s="65535"/>
    </row>
    <row r="597" spans="2:3" s="15" x14ac:dyDescent="0.35">
      <c r="B597" s="65535"/>
      <c r="C597" s="65535"/>
    </row>
    <row r="598" spans="2:3" s="15" x14ac:dyDescent="0.35">
      <c r="B598" s="65535"/>
      <c r="C598" s="65535"/>
    </row>
    <row r="599" spans="2:3" s="15" x14ac:dyDescent="0.35">
      <c r="B599" s="65535"/>
      <c r="C599" s="65535"/>
    </row>
    <row r="600" spans="2:3" s="15" x14ac:dyDescent="0.35">
      <c r="B600" s="65535"/>
      <c r="C600" s="65535"/>
    </row>
    <row r="601" spans="2:3" s="15" x14ac:dyDescent="0.35">
      <c r="B601" s="65535"/>
      <c r="C601" s="65535"/>
    </row>
    <row r="602" spans="2:3" s="15" x14ac:dyDescent="0.35">
      <c r="B602" s="65535"/>
      <c r="C602" s="65535"/>
    </row>
    <row r="603" spans="2:3" s="15" x14ac:dyDescent="0.35">
      <c r="B603" s="65535"/>
      <c r="C603" s="65535"/>
    </row>
    <row r="604" spans="2:3" s="15" x14ac:dyDescent="0.35">
      <c r="B604" s="65535"/>
      <c r="C604" s="65535"/>
    </row>
    <row r="605" spans="2:3" s="15" x14ac:dyDescent="0.35">
      <c r="B605" s="65535"/>
      <c r="C605" s="65535"/>
    </row>
    <row r="606" spans="2:3" s="15" x14ac:dyDescent="0.35">
      <c r="B606" s="65535"/>
      <c r="C606" s="65535"/>
    </row>
    <row r="607" spans="2:3" s="15" x14ac:dyDescent="0.35">
      <c r="B607" s="65535"/>
      <c r="C607" s="65535"/>
    </row>
    <row r="608" spans="2:3" s="15" x14ac:dyDescent="0.35">
      <c r="B608" s="65535"/>
      <c r="C608" s="65535"/>
    </row>
    <row r="609" spans="2:3" s="15" x14ac:dyDescent="0.35">
      <c r="B609" s="65535"/>
      <c r="C609" s="65535"/>
    </row>
    <row r="610" spans="2:3" s="15" x14ac:dyDescent="0.35">
      <c r="B610" s="65535"/>
      <c r="C610" s="65535"/>
    </row>
    <row r="611" spans="2:3" s="15" x14ac:dyDescent="0.35">
      <c r="B611" s="65535"/>
      <c r="C611" s="65535"/>
    </row>
    <row r="612" spans="2:3" s="15" x14ac:dyDescent="0.35">
      <c r="B612" s="65535"/>
      <c r="C612" s="65535"/>
    </row>
    <row r="613" spans="2:3" s="15" x14ac:dyDescent="0.35">
      <c r="B613" s="65535"/>
      <c r="C613" s="65535"/>
    </row>
    <row r="614" spans="2:3" s="15" x14ac:dyDescent="0.35">
      <c r="B614" s="65535"/>
      <c r="C614" s="65535"/>
    </row>
    <row r="615" spans="2:3" s="15" x14ac:dyDescent="0.35">
      <c r="B615" s="65535"/>
      <c r="C615" s="65535"/>
    </row>
    <row r="616" spans="2:3" s="15" x14ac:dyDescent="0.35">
      <c r="B616" s="65535"/>
      <c r="C616" s="65535"/>
    </row>
    <row r="617" spans="2:3" s="15" x14ac:dyDescent="0.35">
      <c r="B617" s="65535"/>
      <c r="C617" s="65535"/>
    </row>
    <row r="618" spans="2:3" s="15" x14ac:dyDescent="0.35">
      <c r="B618" s="65535"/>
      <c r="C618" s="65535"/>
    </row>
    <row r="619" spans="2:3" s="15" x14ac:dyDescent="0.35">
      <c r="B619" s="65535"/>
      <c r="C619" s="65535"/>
    </row>
    <row r="620" spans="2:3" s="15" x14ac:dyDescent="0.35">
      <c r="B620" s="65535"/>
      <c r="C620" s="65535"/>
    </row>
    <row r="621" spans="2:3" s="15" x14ac:dyDescent="0.35">
      <c r="B621" s="65535"/>
      <c r="C621" s="65535"/>
    </row>
    <row r="622" spans="2:3" s="15" x14ac:dyDescent="0.35">
      <c r="B622" s="65535"/>
      <c r="C622" s="65535"/>
    </row>
    <row r="623" spans="2:3" s="15" x14ac:dyDescent="0.35">
      <c r="B623" s="65535"/>
      <c r="C623" s="65535"/>
    </row>
    <row r="624" spans="2:3" s="15" x14ac:dyDescent="0.35">
      <c r="B624" s="65535"/>
      <c r="C624" s="65535"/>
    </row>
    <row r="625" spans="2:3" s="15" x14ac:dyDescent="0.35">
      <c r="B625" s="65535"/>
      <c r="C625" s="65535"/>
    </row>
    <row r="626" spans="2:3" s="15" x14ac:dyDescent="0.35">
      <c r="B626" s="65535"/>
      <c r="C626" s="65535"/>
    </row>
    <row r="627" spans="2:3" s="15" x14ac:dyDescent="0.35">
      <c r="B627" s="65535"/>
      <c r="C627" s="65535"/>
    </row>
    <row r="628" spans="2:3" s="15" x14ac:dyDescent="0.35">
      <c r="B628" s="65535"/>
      <c r="C628" s="65535"/>
    </row>
    <row r="629" spans="2:3" s="15" x14ac:dyDescent="0.35">
      <c r="B629" s="65535"/>
      <c r="C629" s="65535"/>
    </row>
    <row r="630" spans="2:3" s="15" x14ac:dyDescent="0.35">
      <c r="B630" s="65535"/>
      <c r="C630" s="65535"/>
    </row>
    <row r="631" spans="2:3" s="15" x14ac:dyDescent="0.35">
      <c r="B631" s="65535"/>
      <c r="C631" s="65535"/>
    </row>
    <row r="632" spans="2:3" s="15" x14ac:dyDescent="0.35">
      <c r="B632" s="65535"/>
      <c r="C632" s="65535"/>
    </row>
    <row r="633" spans="2:3" s="15" x14ac:dyDescent="0.35">
      <c r="B633" s="65535"/>
      <c r="C633" s="65535"/>
    </row>
    <row r="634" spans="2:3" s="15" x14ac:dyDescent="0.35">
      <c r="B634" s="65535"/>
      <c r="C634" s="65535"/>
    </row>
    <row r="635" spans="2:3" s="15" x14ac:dyDescent="0.35">
      <c r="B635" s="65535"/>
      <c r="C635" s="65535"/>
    </row>
    <row r="636" spans="2:3" s="15" x14ac:dyDescent="0.35">
      <c r="B636" s="65535"/>
      <c r="C636" s="65535"/>
    </row>
    <row r="637" spans="2:3" s="15" x14ac:dyDescent="0.35">
      <c r="B637" s="65535"/>
      <c r="C637" s="65535"/>
    </row>
    <row r="638" spans="2:3" s="15" x14ac:dyDescent="0.35">
      <c r="B638" s="65535"/>
      <c r="C638" s="65535"/>
    </row>
    <row r="639" spans="2:3" s="15" x14ac:dyDescent="0.35">
      <c r="B639" s="65535"/>
      <c r="C639" s="65535"/>
    </row>
    <row r="640" spans="2:3" s="15" x14ac:dyDescent="0.35">
      <c r="B640" s="65535"/>
      <c r="C640" s="65535"/>
    </row>
    <row r="641" spans="2:3" s="15" x14ac:dyDescent="0.35">
      <c r="B641" s="65535"/>
      <c r="C641" s="65535"/>
    </row>
    <row r="642" spans="2:3" s="15" x14ac:dyDescent="0.35">
      <c r="B642" s="65535"/>
      <c r="C642" s="65535"/>
    </row>
    <row r="643" spans="2:3" s="15" x14ac:dyDescent="0.35">
      <c r="B643" s="65535"/>
      <c r="C643" s="65535"/>
    </row>
    <row r="644" spans="2:3" s="15" x14ac:dyDescent="0.35">
      <c r="B644" s="65535"/>
      <c r="C644" s="65535"/>
    </row>
    <row r="645" spans="2:3" s="15" x14ac:dyDescent="0.35">
      <c r="B645" s="65535"/>
      <c r="C645" s="65535"/>
    </row>
    <row r="646" spans="2:3" s="15" x14ac:dyDescent="0.35">
      <c r="B646" s="65535"/>
      <c r="C646" s="65535"/>
    </row>
    <row r="647" spans="2:3" s="15" x14ac:dyDescent="0.35">
      <c r="B647" s="65535"/>
      <c r="C647" s="65535"/>
    </row>
    <row r="648" spans="2:3" s="15" x14ac:dyDescent="0.35">
      <c r="B648" s="65535"/>
      <c r="C648" s="65535"/>
    </row>
    <row r="649" spans="2:3" s="15" x14ac:dyDescent="0.35">
      <c r="B649" s="65535"/>
      <c r="C649" s="65535"/>
    </row>
    <row r="650" spans="2:3" s="15" x14ac:dyDescent="0.35">
      <c r="B650" s="65535"/>
      <c r="C650" s="65535"/>
    </row>
    <row r="651" spans="2:3" s="15" x14ac:dyDescent="0.35">
      <c r="B651" s="65535"/>
      <c r="C651" s="65535"/>
    </row>
    <row r="652" spans="2:3" s="15" x14ac:dyDescent="0.35">
      <c r="B652" s="65535"/>
      <c r="C652" s="65535"/>
    </row>
    <row r="653" spans="2:3" s="15" x14ac:dyDescent="0.35">
      <c r="B653" s="65535"/>
      <c r="C653" s="65535"/>
    </row>
    <row r="654" spans="2:3" s="15" x14ac:dyDescent="0.35">
      <c r="B654" s="65535"/>
      <c r="C654" s="65535"/>
    </row>
    <row r="655" spans="2:3" s="15" x14ac:dyDescent="0.35">
      <c r="B655" s="65535"/>
      <c r="C655" s="65535"/>
    </row>
    <row r="656" spans="2:3" s="15" x14ac:dyDescent="0.35">
      <c r="B656" s="65535"/>
      <c r="C656" s="65535"/>
    </row>
    <row r="657" spans="2:3" s="15" x14ac:dyDescent="0.35">
      <c r="B657" s="65535"/>
      <c r="C657" s="65535"/>
    </row>
    <row r="658" spans="2:3" s="15" x14ac:dyDescent="0.35">
      <c r="B658" s="65535"/>
      <c r="C658" s="65535"/>
    </row>
    <row r="659" spans="2:3" s="15" x14ac:dyDescent="0.35">
      <c r="B659" s="65535"/>
      <c r="C659" s="65535"/>
    </row>
    <row r="660" spans="2:3" s="15" x14ac:dyDescent="0.35">
      <c r="B660" s="65535"/>
      <c r="C660" s="65535"/>
    </row>
    <row r="661" spans="2:3" s="15" x14ac:dyDescent="0.35">
      <c r="B661" s="65535"/>
      <c r="C661" s="65535"/>
    </row>
    <row r="662" spans="2:3" s="15" x14ac:dyDescent="0.35">
      <c r="B662" s="65535"/>
      <c r="C662" s="65535"/>
    </row>
    <row r="663" spans="2:3" s="15" x14ac:dyDescent="0.35">
      <c r="B663" s="65535"/>
      <c r="C663" s="65535"/>
    </row>
    <row r="664" spans="2:3" s="15" x14ac:dyDescent="0.35">
      <c r="B664" s="65535"/>
      <c r="C664" s="65535"/>
    </row>
    <row r="665" spans="2:3" s="15" x14ac:dyDescent="0.35">
      <c r="B665" s="65535"/>
      <c r="C665" s="65535"/>
    </row>
    <row r="666" spans="2:3" s="15" x14ac:dyDescent="0.35">
      <c r="B666" s="65535"/>
      <c r="C666" s="65535"/>
    </row>
    <row r="667" spans="2:3" s="15" x14ac:dyDescent="0.35">
      <c r="B667" s="65535"/>
      <c r="C667" s="65535"/>
    </row>
    <row r="668" spans="2:3" s="15" x14ac:dyDescent="0.35">
      <c r="B668" s="65535"/>
      <c r="C668" s="65535"/>
    </row>
    <row r="669" spans="2:3" s="15" x14ac:dyDescent="0.35">
      <c r="B669" s="65535"/>
      <c r="C669" s="65535"/>
    </row>
    <row r="670" spans="2:3" s="15" x14ac:dyDescent="0.35">
      <c r="B670" s="65535"/>
      <c r="C670" s="65535"/>
    </row>
    <row r="671" spans="2:3" s="15" x14ac:dyDescent="0.35">
      <c r="B671" s="65535"/>
      <c r="C671" s="65535"/>
    </row>
    <row r="672" spans="2:3" s="15" x14ac:dyDescent="0.35">
      <c r="B672" s="65535"/>
      <c r="C672" s="65535"/>
    </row>
    <row r="673" spans="2:3" s="15" x14ac:dyDescent="0.35">
      <c r="B673" s="65535"/>
      <c r="C673" s="65535"/>
    </row>
    <row r="674" spans="2:3" s="15" x14ac:dyDescent="0.35">
      <c r="B674" s="65535"/>
      <c r="C674" s="65535"/>
    </row>
    <row r="675" spans="2:3" s="15" x14ac:dyDescent="0.35">
      <c r="B675" s="65535"/>
      <c r="C675" s="65535"/>
    </row>
    <row r="676" spans="2:3" s="15" x14ac:dyDescent="0.35">
      <c r="B676" s="65535"/>
      <c r="C676" s="65535"/>
    </row>
    <row r="677" spans="2:3" s="15" x14ac:dyDescent="0.35">
      <c r="B677" s="65535"/>
      <c r="C677" s="65535"/>
    </row>
    <row r="678" spans="2:3" s="15" x14ac:dyDescent="0.35">
      <c r="B678" s="65535"/>
      <c r="C678" s="65535"/>
    </row>
    <row r="679" spans="2:3" s="15" x14ac:dyDescent="0.35">
      <c r="B679" s="65535"/>
      <c r="C679" s="65535"/>
    </row>
    <row r="680" spans="2:3" s="15" x14ac:dyDescent="0.35">
      <c r="B680" s="65535"/>
      <c r="C680" s="65535"/>
    </row>
    <row r="681" spans="2:3" s="15" x14ac:dyDescent="0.35">
      <c r="B681" s="65535"/>
      <c r="C681" s="65535"/>
    </row>
    <row r="682" spans="2:3" s="15" x14ac:dyDescent="0.35">
      <c r="B682" s="65535"/>
      <c r="C682" s="65535"/>
    </row>
    <row r="683" spans="2:3" s="15" x14ac:dyDescent="0.35">
      <c r="B683" s="65535"/>
      <c r="C683" s="65535"/>
    </row>
    <row r="684" spans="2:3" s="15" x14ac:dyDescent="0.35">
      <c r="B684" s="65535"/>
      <c r="C684" s="65535"/>
    </row>
    <row r="685" spans="2:3" s="15" x14ac:dyDescent="0.35">
      <c r="B685" s="65535"/>
      <c r="C685" s="65535"/>
    </row>
    <row r="686" spans="2:3" s="15" x14ac:dyDescent="0.35">
      <c r="B686" s="65535"/>
      <c r="C686" s="65535"/>
    </row>
    <row r="687" spans="2:3" s="15" x14ac:dyDescent="0.35">
      <c r="B687" s="65535"/>
      <c r="C687" s="65535"/>
    </row>
    <row r="688" spans="2:3" s="15" x14ac:dyDescent="0.35">
      <c r="B688" s="65535"/>
      <c r="C688" s="65535"/>
    </row>
    <row r="689" spans="2:3" s="15" x14ac:dyDescent="0.35">
      <c r="B689" s="65535"/>
      <c r="C689" s="65535"/>
    </row>
    <row r="690" spans="2:3" s="15" x14ac:dyDescent="0.35">
      <c r="B690" s="65535"/>
      <c r="C690" s="65535"/>
    </row>
    <row r="691" spans="2:3" s="15" x14ac:dyDescent="0.35">
      <c r="B691" s="65535"/>
      <c r="C691" s="65535"/>
    </row>
    <row r="692" spans="2:3" s="15" x14ac:dyDescent="0.35">
      <c r="B692" s="65535"/>
      <c r="C692" s="65535"/>
    </row>
    <row r="693" spans="2:3" s="15" x14ac:dyDescent="0.35">
      <c r="B693" s="65535"/>
      <c r="C693" s="65535"/>
    </row>
    <row r="694" spans="2:3" s="15" x14ac:dyDescent="0.35">
      <c r="B694" s="65535"/>
      <c r="C694" s="65535"/>
    </row>
    <row r="695" spans="2:3" s="15" x14ac:dyDescent="0.35">
      <c r="B695" s="65535"/>
      <c r="C695" s="65535"/>
    </row>
    <row r="696" spans="2:3" s="15" x14ac:dyDescent="0.35">
      <c r="B696" s="65535"/>
      <c r="C696" s="65535"/>
    </row>
    <row r="697" spans="2:3" s="15" x14ac:dyDescent="0.35">
      <c r="B697" s="65535"/>
      <c r="C697" s="65535"/>
    </row>
    <row r="698" spans="2:3" s="15" x14ac:dyDescent="0.35">
      <c r="B698" s="65535"/>
      <c r="C698" s="65535"/>
    </row>
    <row r="699" spans="2:3" s="15" x14ac:dyDescent="0.35">
      <c r="B699" s="65535"/>
      <c r="C699" s="65535"/>
    </row>
    <row r="700" spans="2:3" s="15" x14ac:dyDescent="0.35">
      <c r="B700" s="65535"/>
      <c r="C700" s="65535"/>
    </row>
    <row r="701" spans="2:3" s="15" x14ac:dyDescent="0.35">
      <c r="B701" s="65535"/>
      <c r="C701" s="65535"/>
    </row>
    <row r="702" spans="2:3" s="15" x14ac:dyDescent="0.35">
      <c r="B702" s="65535"/>
      <c r="C702" s="65535"/>
    </row>
    <row r="703" spans="2:3" s="15" x14ac:dyDescent="0.35">
      <c r="B703" s="65535"/>
      <c r="C703" s="65535"/>
    </row>
    <row r="704" spans="2:3" s="15" x14ac:dyDescent="0.35">
      <c r="B704" s="65535"/>
      <c r="C704" s="65535"/>
    </row>
    <row r="705" spans="2:3" s="15" x14ac:dyDescent="0.35">
      <c r="B705" s="65535"/>
      <c r="C705" s="65535"/>
    </row>
    <row r="706" spans="2:3" s="15" x14ac:dyDescent="0.35">
      <c r="B706" s="65535"/>
      <c r="C706" s="65535"/>
    </row>
    <row r="707" spans="2:3" s="15" x14ac:dyDescent="0.35">
      <c r="B707" s="65535"/>
      <c r="C707" s="65535"/>
    </row>
    <row r="708" spans="2:3" s="15" x14ac:dyDescent="0.35">
      <c r="B708" s="65535"/>
      <c r="C708" s="65535"/>
    </row>
    <row r="709" spans="2:3" s="15" x14ac:dyDescent="0.35">
      <c r="B709" s="65535"/>
      <c r="C709" s="65535"/>
    </row>
    <row r="710" spans="2:3" s="15" x14ac:dyDescent="0.35">
      <c r="B710" s="65535"/>
      <c r="C710" s="65535"/>
    </row>
    <row r="711" spans="2:3" s="15" x14ac:dyDescent="0.35">
      <c r="B711" s="65535"/>
      <c r="C711" s="65535"/>
    </row>
    <row r="712" spans="2:3" s="15" x14ac:dyDescent="0.35">
      <c r="B712" s="65535"/>
      <c r="C712" s="65535"/>
    </row>
    <row r="713" spans="2:3" s="15" x14ac:dyDescent="0.35">
      <c r="B713" s="65535"/>
      <c r="C713" s="65535"/>
    </row>
    <row r="714" spans="2:3" s="15" x14ac:dyDescent="0.35">
      <c r="B714" s="65535"/>
      <c r="C714" s="65535"/>
    </row>
    <row r="715" spans="2:3" s="15" x14ac:dyDescent="0.35">
      <c r="B715" s="65535"/>
      <c r="C715" s="65535"/>
    </row>
    <row r="716" spans="2:3" s="15" x14ac:dyDescent="0.35">
      <c r="B716" s="65535"/>
      <c r="C716" s="65535"/>
    </row>
    <row r="717" spans="2:3" s="15" x14ac:dyDescent="0.35">
      <c r="B717" s="65535"/>
      <c r="C717" s="65535"/>
    </row>
    <row r="718" spans="2:3" s="15" x14ac:dyDescent="0.35">
      <c r="B718" s="65535"/>
      <c r="C718" s="65535"/>
    </row>
    <row r="719" spans="2:3" s="15" x14ac:dyDescent="0.35">
      <c r="B719" s="65535"/>
      <c r="C719" s="65535"/>
    </row>
    <row r="720" spans="2:3" s="15" x14ac:dyDescent="0.35">
      <c r="B720" s="65535"/>
      <c r="C720" s="65535"/>
    </row>
    <row r="721" spans="2:3" s="15" x14ac:dyDescent="0.35">
      <c r="B721" s="65535"/>
      <c r="C721" s="65535"/>
    </row>
    <row r="722" spans="2:3" s="15" x14ac:dyDescent="0.35">
      <c r="B722" s="65535"/>
      <c r="C722" s="65535"/>
    </row>
    <row r="723" spans="2:3" s="15" x14ac:dyDescent="0.35">
      <c r="B723" s="65535"/>
      <c r="C723" s="65535"/>
    </row>
    <row r="724" spans="2:3" s="15" x14ac:dyDescent="0.35">
      <c r="B724" s="65535"/>
      <c r="C724" s="65535"/>
    </row>
    <row r="725" spans="2:3" s="15" x14ac:dyDescent="0.35">
      <c r="B725" s="65535"/>
      <c r="C725" s="65535"/>
    </row>
    <row r="726" spans="2:3" s="15" x14ac:dyDescent="0.35">
      <c r="B726" s="65535"/>
      <c r="C726" s="65535"/>
    </row>
    <row r="727" spans="2:3" s="15" x14ac:dyDescent="0.35">
      <c r="B727" s="65535"/>
      <c r="C727" s="65535"/>
    </row>
    <row r="728" spans="2:3" s="15" x14ac:dyDescent="0.35">
      <c r="B728" s="65535"/>
      <c r="C728" s="65535"/>
    </row>
    <row r="729" spans="2:3" s="15" x14ac:dyDescent="0.35">
      <c r="B729" s="65535"/>
      <c r="C729" s="65535"/>
    </row>
    <row r="730" spans="2:3" s="15" x14ac:dyDescent="0.35">
      <c r="B730" s="65535"/>
      <c r="C730" s="65535"/>
    </row>
    <row r="731" spans="2:3" s="15" x14ac:dyDescent="0.35">
      <c r="B731" s="65535"/>
      <c r="C731" s="65535"/>
    </row>
    <row r="732" spans="2:3" s="15" x14ac:dyDescent="0.35">
      <c r="B732" s="65535"/>
      <c r="C732" s="65535"/>
    </row>
    <row r="733" spans="2:3" s="15" x14ac:dyDescent="0.35">
      <c r="B733" s="65535"/>
      <c r="C733" s="65535"/>
    </row>
    <row r="734" spans="2:3" s="15" x14ac:dyDescent="0.35">
      <c r="B734" s="65535"/>
      <c r="C734" s="65535"/>
    </row>
    <row r="735" spans="2:3" s="15" x14ac:dyDescent="0.35">
      <c r="B735" s="65535"/>
      <c r="C735" s="65535"/>
    </row>
    <row r="736" spans="2:3" s="15" x14ac:dyDescent="0.35">
      <c r="B736" s="65535"/>
      <c r="C736" s="65535"/>
    </row>
    <row r="737" spans="2:3" s="15" x14ac:dyDescent="0.35">
      <c r="B737" s="65535"/>
      <c r="C737" s="65535"/>
    </row>
    <row r="738" spans="2:3" s="15" x14ac:dyDescent="0.35">
      <c r="B738" s="65535"/>
      <c r="C738" s="65535"/>
    </row>
    <row r="739" spans="2:3" s="15" x14ac:dyDescent="0.35">
      <c r="B739" s="65535"/>
      <c r="C739" s="65535"/>
    </row>
    <row r="740" spans="2:3" s="15" x14ac:dyDescent="0.35">
      <c r="B740" s="65535"/>
      <c r="C740" s="65535"/>
    </row>
    <row r="741" spans="2:3" s="15" x14ac:dyDescent="0.35">
      <c r="B741" s="65535"/>
      <c r="C741" s="65535"/>
    </row>
    <row r="742" spans="2:3" s="15" x14ac:dyDescent="0.35">
      <c r="B742" s="65535"/>
      <c r="C742" s="65535"/>
    </row>
    <row r="743" spans="2:3" s="15" x14ac:dyDescent="0.35">
      <c r="B743" s="65535"/>
      <c r="C743" s="65535"/>
    </row>
    <row r="744" spans="2:3" s="15" x14ac:dyDescent="0.35">
      <c r="B744" s="65535"/>
      <c r="C744" s="65535"/>
    </row>
    <row r="745" spans="2:3" s="15" x14ac:dyDescent="0.35">
      <c r="B745" s="65535"/>
      <c r="C745" s="65535"/>
    </row>
    <row r="746" spans="2:3" s="15" x14ac:dyDescent="0.35">
      <c r="B746" s="65535"/>
      <c r="C746" s="65535"/>
    </row>
    <row r="747" spans="2:3" s="15" x14ac:dyDescent="0.35">
      <c r="B747" s="65535"/>
      <c r="C747" s="65535"/>
    </row>
    <row r="748" spans="2:3" s="15" x14ac:dyDescent="0.35">
      <c r="B748" s="65535"/>
      <c r="C748" s="65535"/>
    </row>
    <row r="749" spans="2:3" s="15" x14ac:dyDescent="0.35">
      <c r="B749" s="65535"/>
      <c r="C749" s="65535"/>
    </row>
    <row r="750" spans="2:3" s="15" x14ac:dyDescent="0.35">
      <c r="B750" s="65535"/>
      <c r="C750" s="65535"/>
    </row>
    <row r="751" spans="2:3" s="15" x14ac:dyDescent="0.35">
      <c r="B751" s="65535"/>
      <c r="C751" s="65535"/>
    </row>
    <row r="752" spans="2:3" s="15" x14ac:dyDescent="0.35">
      <c r="B752" s="65535"/>
      <c r="C752" s="65535"/>
    </row>
    <row r="753" spans="2:3" s="15" x14ac:dyDescent="0.35">
      <c r="B753" s="65535"/>
      <c r="C753" s="65535"/>
    </row>
    <row r="754" spans="2:3" s="15" x14ac:dyDescent="0.35">
      <c r="B754" s="65535"/>
      <c r="C754" s="65535"/>
    </row>
    <row r="755" spans="2:3" s="15" x14ac:dyDescent="0.35">
      <c r="B755" s="65535"/>
      <c r="C755" s="65535"/>
    </row>
    <row r="756" spans="2:3" s="15" x14ac:dyDescent="0.35">
      <c r="B756" s="65535"/>
      <c r="C756" s="65535"/>
    </row>
    <row r="757" spans="2:3" s="15" x14ac:dyDescent="0.35">
      <c r="B757" s="65535"/>
      <c r="C757" s="65535"/>
    </row>
    <row r="758" spans="2:3" s="15" x14ac:dyDescent="0.35">
      <c r="B758" s="65535"/>
      <c r="C758" s="65535"/>
    </row>
    <row r="759" spans="2:3" s="15" x14ac:dyDescent="0.35">
      <c r="B759" s="65535"/>
      <c r="C759" s="65535"/>
    </row>
    <row r="760" spans="2:3" s="15" x14ac:dyDescent="0.35">
      <c r="B760" s="65535"/>
      <c r="C760" s="65535"/>
    </row>
    <row r="761" spans="2:3" s="15" x14ac:dyDescent="0.35">
      <c r="B761" s="65535"/>
      <c r="C761" s="65535"/>
    </row>
    <row r="762" spans="2:3" s="15" x14ac:dyDescent="0.35">
      <c r="B762" s="65535"/>
      <c r="C762" s="65535"/>
    </row>
    <row r="763" spans="2:3" s="15" x14ac:dyDescent="0.35">
      <c r="B763" s="65535"/>
      <c r="C763" s="65535"/>
    </row>
    <row r="764" spans="2:3" s="15" x14ac:dyDescent="0.35">
      <c r="B764" s="65535"/>
      <c r="C764" s="65535"/>
    </row>
    <row r="765" spans="2:3" s="15" x14ac:dyDescent="0.35">
      <c r="B765" s="65535"/>
      <c r="C765" s="65535"/>
    </row>
    <row r="766" spans="2:3" s="15" x14ac:dyDescent="0.35">
      <c r="B766" s="65535"/>
      <c r="C766" s="65535"/>
    </row>
    <row r="767" spans="2:3" s="15" x14ac:dyDescent="0.35">
      <c r="B767" s="65535"/>
      <c r="C767" s="65535"/>
    </row>
    <row r="768" spans="2:3" s="15" x14ac:dyDescent="0.35">
      <c r="B768" s="65535"/>
      <c r="C768" s="65535"/>
    </row>
    <row r="769" spans="2:3" s="15" x14ac:dyDescent="0.35">
      <c r="B769" s="65535"/>
      <c r="C769" s="65535"/>
    </row>
    <row r="770" spans="2:3" s="15" x14ac:dyDescent="0.35">
      <c r="B770" s="65535"/>
      <c r="C770" s="65535"/>
    </row>
    <row r="771" spans="2:3" s="15" x14ac:dyDescent="0.35">
      <c r="B771" s="65535"/>
      <c r="C771" s="65535"/>
    </row>
    <row r="772" spans="2:3" s="15" x14ac:dyDescent="0.35">
      <c r="B772" s="65535"/>
      <c r="C772" s="65535"/>
    </row>
    <row r="773" spans="2:3" s="15" x14ac:dyDescent="0.35">
      <c r="B773" s="65535"/>
      <c r="C773" s="65535"/>
    </row>
    <row r="774" spans="2:3" s="15" x14ac:dyDescent="0.35">
      <c r="B774" s="65535"/>
      <c r="C774" s="65535"/>
    </row>
    <row r="775" spans="2:3" s="15" x14ac:dyDescent="0.35">
      <c r="B775" s="65535"/>
      <c r="C775" s="65535"/>
    </row>
    <row r="776" spans="2:3" s="15" x14ac:dyDescent="0.35">
      <c r="B776" s="65535"/>
      <c r="C776" s="65535"/>
    </row>
    <row r="777" spans="2:3" s="15" x14ac:dyDescent="0.35">
      <c r="B777" s="65535"/>
      <c r="C777" s="65535"/>
    </row>
    <row r="778" spans="2:3" s="15" x14ac:dyDescent="0.35">
      <c r="B778" s="65535"/>
      <c r="C778" s="65535"/>
    </row>
    <row r="779" spans="2:3" s="15" x14ac:dyDescent="0.35">
      <c r="B779" s="65535"/>
      <c r="C779" s="65535"/>
    </row>
    <row r="780" spans="2:3" s="15" x14ac:dyDescent="0.35">
      <c r="B780" s="65535"/>
      <c r="C780" s="65535"/>
    </row>
    <row r="781" spans="2:3" s="15" x14ac:dyDescent="0.35">
      <c r="B781" s="65535"/>
      <c r="C781" s="65535"/>
    </row>
    <row r="782" spans="2:3" s="15" x14ac:dyDescent="0.35">
      <c r="B782" s="65535"/>
      <c r="C782" s="65535"/>
    </row>
    <row r="783" spans="2:3" s="15" x14ac:dyDescent="0.35">
      <c r="B783" s="65535"/>
      <c r="C783" s="65535"/>
    </row>
    <row r="784" spans="2:3" s="15" x14ac:dyDescent="0.35">
      <c r="B784" s="65535"/>
      <c r="C784" s="65535"/>
    </row>
    <row r="785" spans="2:3" s="15" x14ac:dyDescent="0.35">
      <c r="B785" s="65535"/>
      <c r="C785" s="65535"/>
    </row>
    <row r="786" spans="2:3" s="15" x14ac:dyDescent="0.35">
      <c r="B786" s="65535"/>
      <c r="C786" s="65535"/>
    </row>
    <row r="787" spans="2:3" s="15" x14ac:dyDescent="0.35">
      <c r="B787" s="65535"/>
      <c r="C787" s="65535"/>
    </row>
    <row r="788" spans="2:3" s="15" x14ac:dyDescent="0.35">
      <c r="B788" s="65535"/>
      <c r="C788" s="65535"/>
    </row>
    <row r="789" spans="2:3" s="15" x14ac:dyDescent="0.35">
      <c r="B789" s="65535"/>
      <c r="C789" s="65535"/>
    </row>
    <row r="790" spans="2:3" s="15" x14ac:dyDescent="0.35">
      <c r="B790" s="65535"/>
      <c r="C790" s="65535"/>
    </row>
    <row r="791" spans="2:3" s="15" x14ac:dyDescent="0.35">
      <c r="B791" s="65535"/>
      <c r="C791" s="65535"/>
    </row>
    <row r="792" spans="2:3" s="15" x14ac:dyDescent="0.35">
      <c r="B792" s="65535"/>
      <c r="C792" s="65535"/>
    </row>
    <row r="793" spans="2:3" s="15" x14ac:dyDescent="0.35">
      <c r="B793" s="65535"/>
      <c r="C793" s="65535"/>
    </row>
    <row r="794" spans="2:3" s="15" x14ac:dyDescent="0.35">
      <c r="B794" s="65535"/>
      <c r="C794" s="65535"/>
    </row>
    <row r="795" spans="2:3" s="15" x14ac:dyDescent="0.35">
      <c r="B795" s="65535"/>
      <c r="C795" s="65535"/>
    </row>
    <row r="796" spans="2:3" s="15" x14ac:dyDescent="0.35">
      <c r="B796" s="65535"/>
      <c r="C796" s="65535"/>
    </row>
    <row r="797" spans="2:3" s="15" x14ac:dyDescent="0.35">
      <c r="B797" s="65535"/>
      <c r="C797" s="65535"/>
    </row>
    <row r="798" spans="2:3" s="15" x14ac:dyDescent="0.35">
      <c r="B798" s="65535"/>
      <c r="C798" s="65535"/>
    </row>
    <row r="799" spans="2:3" s="15" x14ac:dyDescent="0.35">
      <c r="B799" s="65535"/>
      <c r="C799" s="65535"/>
    </row>
    <row r="800" spans="2:3" s="15" x14ac:dyDescent="0.35">
      <c r="B800" s="65535"/>
      <c r="C800" s="65535"/>
    </row>
    <row r="801" spans="2:3" s="15" x14ac:dyDescent="0.35">
      <c r="B801" s="65535"/>
      <c r="C801" s="65535"/>
    </row>
    <row r="802" spans="2:3" s="15" x14ac:dyDescent="0.35">
      <c r="B802" s="65535"/>
      <c r="C802" s="65535"/>
    </row>
    <row r="803" spans="2:3" s="15" x14ac:dyDescent="0.35">
      <c r="B803" s="65535"/>
      <c r="C803" s="65535"/>
    </row>
    <row r="804" spans="2:3" s="15" x14ac:dyDescent="0.35">
      <c r="B804" s="65535"/>
      <c r="C804" s="65535"/>
    </row>
    <row r="805" spans="2:3" s="15" x14ac:dyDescent="0.35">
      <c r="B805" s="65535"/>
      <c r="C805" s="65535"/>
    </row>
    <row r="806" spans="2:3" s="15" x14ac:dyDescent="0.35">
      <c r="B806" s="65535"/>
      <c r="C806" s="65535"/>
    </row>
    <row r="807" spans="2:3" s="15" x14ac:dyDescent="0.35">
      <c r="B807" s="65535"/>
      <c r="C807" s="65535"/>
    </row>
    <row r="808" spans="2:3" s="15" x14ac:dyDescent="0.35">
      <c r="B808" s="65535"/>
      <c r="C808" s="65535"/>
    </row>
    <row r="809" spans="2:3" s="15" x14ac:dyDescent="0.35">
      <c r="B809" s="65535"/>
      <c r="C809" s="65535"/>
    </row>
    <row r="810" spans="2:3" s="15" x14ac:dyDescent="0.35">
      <c r="B810" s="65535"/>
      <c r="C810" s="65535"/>
    </row>
    <row r="811" spans="2:3" s="15" x14ac:dyDescent="0.35">
      <c r="B811" s="65535"/>
      <c r="C811" s="65535"/>
    </row>
    <row r="812" spans="2:3" s="15" x14ac:dyDescent="0.35">
      <c r="B812" s="65535"/>
      <c r="C812" s="65535"/>
    </row>
    <row r="813" spans="2:3" s="15" x14ac:dyDescent="0.35">
      <c r="B813" s="65535"/>
      <c r="C813" s="65535"/>
    </row>
    <row r="814" spans="2:3" s="15" x14ac:dyDescent="0.35">
      <c r="B814" s="65535"/>
      <c r="C814" s="65535"/>
    </row>
    <row r="815" spans="2:3" s="15" x14ac:dyDescent="0.35">
      <c r="B815" s="65535"/>
      <c r="C815" s="65535"/>
    </row>
    <row r="816" spans="2:3" s="15" x14ac:dyDescent="0.35">
      <c r="B816" s="65535"/>
      <c r="C816" s="65535"/>
    </row>
    <row r="817" spans="2:3" s="15" x14ac:dyDescent="0.35">
      <c r="B817" s="65535"/>
      <c r="C817" s="65535"/>
    </row>
    <row r="818" spans="2:3" s="15" x14ac:dyDescent="0.35">
      <c r="B818" s="65535"/>
      <c r="C818" s="65535"/>
    </row>
    <row r="819" spans="2:3" s="15" x14ac:dyDescent="0.35">
      <c r="B819" s="65535"/>
      <c r="C819" s="65535"/>
    </row>
    <row r="820" spans="2:3" s="15" x14ac:dyDescent="0.35">
      <c r="B820" s="65535"/>
      <c r="C820" s="65535"/>
    </row>
    <row r="821" spans="2:3" s="15" x14ac:dyDescent="0.35">
      <c r="B821" s="65535"/>
      <c r="C821" s="65535"/>
    </row>
    <row r="822" spans="2:3" s="15" x14ac:dyDescent="0.35">
      <c r="B822" s="65535"/>
      <c r="C822" s="65535"/>
    </row>
    <row r="823" spans="2:3" s="15" x14ac:dyDescent="0.35">
      <c r="B823" s="65535"/>
      <c r="C823" s="65535"/>
    </row>
    <row r="824" spans="2:3" s="15" x14ac:dyDescent="0.35">
      <c r="B824" s="65535"/>
      <c r="C824" s="65535"/>
    </row>
    <row r="825" spans="2:3" s="15" x14ac:dyDescent="0.35">
      <c r="B825" s="65535"/>
      <c r="C825" s="65535"/>
    </row>
    <row r="826" spans="2:3" s="15" x14ac:dyDescent="0.35">
      <c r="B826" s="65535"/>
      <c r="C826" s="65535"/>
    </row>
    <row r="827" spans="2:3" s="15" x14ac:dyDescent="0.35">
      <c r="B827" s="65535"/>
      <c r="C827" s="65535"/>
    </row>
    <row r="828" spans="2:3" s="15" x14ac:dyDescent="0.35">
      <c r="B828" s="65535"/>
      <c r="C828" s="65535"/>
    </row>
    <row r="829" spans="2:3" s="15" x14ac:dyDescent="0.35">
      <c r="B829" s="65535"/>
      <c r="C829" s="65535"/>
    </row>
    <row r="830" spans="2:3" s="15" x14ac:dyDescent="0.35">
      <c r="B830" s="65535"/>
      <c r="C830" s="65535"/>
    </row>
    <row r="831" spans="2:3" s="15" x14ac:dyDescent="0.35">
      <c r="B831" s="65535"/>
      <c r="C831" s="65535"/>
    </row>
    <row r="832" spans="2:3" s="15" x14ac:dyDescent="0.35">
      <c r="B832" s="65535"/>
      <c r="C832" s="65535"/>
    </row>
    <row r="833" spans="2:3" s="15" x14ac:dyDescent="0.35">
      <c r="B833" s="65535"/>
      <c r="C833" s="65535"/>
    </row>
    <row r="834" spans="2:3" s="15" x14ac:dyDescent="0.35">
      <c r="B834" s="65535"/>
      <c r="C834" s="65535"/>
    </row>
    <row r="835" spans="2:3" s="15" x14ac:dyDescent="0.35">
      <c r="B835" s="65535"/>
      <c r="C835" s="65535"/>
    </row>
    <row r="836" spans="2:3" s="15" x14ac:dyDescent="0.35">
      <c r="B836" s="65535"/>
      <c r="C836" s="65535"/>
    </row>
    <row r="837" spans="2:3" s="15" x14ac:dyDescent="0.35">
      <c r="B837" s="65535"/>
      <c r="C837" s="65535"/>
    </row>
    <row r="838" spans="2:3" s="15" x14ac:dyDescent="0.35">
      <c r="B838" s="65535"/>
      <c r="C838" s="65535"/>
    </row>
    <row r="839" spans="2:3" s="15" x14ac:dyDescent="0.35">
      <c r="B839" s="65535"/>
      <c r="C839" s="65535"/>
    </row>
    <row r="840" spans="2:3" s="15" x14ac:dyDescent="0.35">
      <c r="B840" s="65535"/>
      <c r="C840" s="65535"/>
    </row>
    <row r="841" spans="2:3" s="15" x14ac:dyDescent="0.35">
      <c r="B841" s="65535"/>
      <c r="C841" s="65535"/>
    </row>
    <row r="842" spans="2:3" s="15" x14ac:dyDescent="0.35">
      <c r="B842" s="65535"/>
      <c r="C842" s="65535"/>
    </row>
    <row r="843" spans="2:3" s="15" x14ac:dyDescent="0.35">
      <c r="B843" s="65535"/>
      <c r="C843" s="65535"/>
    </row>
    <row r="844" spans="2:3" s="15" x14ac:dyDescent="0.35">
      <c r="B844" s="65535"/>
      <c r="C844" s="65535"/>
    </row>
    <row r="845" spans="2:3" s="15" x14ac:dyDescent="0.35">
      <c r="B845" s="65535"/>
      <c r="C845" s="65535"/>
    </row>
    <row r="846" spans="2:3" s="15" x14ac:dyDescent="0.35">
      <c r="B846" s="65535"/>
      <c r="C846" s="65535"/>
    </row>
    <row r="847" spans="2:3" s="15" x14ac:dyDescent="0.35">
      <c r="B847" s="65535"/>
      <c r="C847" s="65535"/>
    </row>
    <row r="848" spans="2:3" s="15" x14ac:dyDescent="0.35">
      <c r="B848" s="65535"/>
      <c r="C848" s="65535"/>
    </row>
    <row r="849" spans="2:3" s="15" x14ac:dyDescent="0.35">
      <c r="B849" s="65535"/>
      <c r="C849" s="65535"/>
    </row>
    <row r="850" spans="2:3" s="15" x14ac:dyDescent="0.35">
      <c r="B850" s="65535"/>
      <c r="C850" s="65535"/>
    </row>
    <row r="851" spans="2:3" s="15" x14ac:dyDescent="0.35">
      <c r="B851" s="65535"/>
      <c r="C851" s="65535"/>
    </row>
    <row r="852" spans="2:3" s="15" x14ac:dyDescent="0.35">
      <c r="B852" s="65535"/>
      <c r="C852" s="65535"/>
    </row>
    <row r="853" spans="2:3" s="15" x14ac:dyDescent="0.35">
      <c r="B853" s="65535"/>
      <c r="C853" s="65535"/>
    </row>
    <row r="854" spans="2:3" s="15" x14ac:dyDescent="0.35">
      <c r="B854" s="65535"/>
      <c r="C854" s="65535"/>
    </row>
    <row r="855" spans="2:3" s="15" x14ac:dyDescent="0.35">
      <c r="B855" s="65535"/>
      <c r="C855" s="65535"/>
    </row>
    <row r="856" spans="2:3" s="15" x14ac:dyDescent="0.35">
      <c r="B856" s="65535"/>
      <c r="C856" s="65535"/>
    </row>
    <row r="857" spans="2:3" s="15" x14ac:dyDescent="0.35">
      <c r="B857" s="65535"/>
      <c r="C857" s="65535"/>
    </row>
    <row r="858" spans="2:3" s="15" x14ac:dyDescent="0.35">
      <c r="B858" s="65535"/>
      <c r="C858" s="65535"/>
    </row>
    <row r="859" spans="2:3" s="15" x14ac:dyDescent="0.35">
      <c r="B859" s="65535"/>
      <c r="C859" s="65535"/>
    </row>
    <row r="860" spans="2:3" s="15" x14ac:dyDescent="0.35">
      <c r="B860" s="65535"/>
      <c r="C860" s="65535"/>
    </row>
    <row r="861" spans="2:3" s="15" x14ac:dyDescent="0.35">
      <c r="B861" s="65535"/>
      <c r="C861" s="65535"/>
    </row>
    <row r="862" spans="2:3" s="15" x14ac:dyDescent="0.35">
      <c r="B862" s="65535"/>
      <c r="C862" s="65535"/>
    </row>
    <row r="863" spans="2:3" s="15" x14ac:dyDescent="0.35">
      <c r="B863" s="65535"/>
      <c r="C863" s="65535"/>
    </row>
    <row r="864" spans="2:3" s="15" x14ac:dyDescent="0.35">
      <c r="B864" s="65535"/>
      <c r="C864" s="65535"/>
    </row>
    <row r="865" spans="2:3" s="15" x14ac:dyDescent="0.35">
      <c r="B865" s="65535"/>
      <c r="C865" s="65535"/>
    </row>
    <row r="866" spans="2:3" s="15" x14ac:dyDescent="0.35">
      <c r="B866" s="65535"/>
      <c r="C866" s="65535"/>
    </row>
    <row r="867" spans="2:3" s="15" x14ac:dyDescent="0.35">
      <c r="B867" s="65535"/>
      <c r="C867" s="65535"/>
    </row>
    <row r="868" spans="2:3" s="15" x14ac:dyDescent="0.35">
      <c r="B868" s="65535"/>
      <c r="C868" s="65535"/>
    </row>
    <row r="869" spans="2:3" s="15" x14ac:dyDescent="0.35">
      <c r="B869" s="65535"/>
      <c r="C869" s="65535"/>
    </row>
    <row r="870" spans="2:3" s="15" x14ac:dyDescent="0.35">
      <c r="B870" s="65535"/>
      <c r="C870" s="65535"/>
    </row>
    <row r="871" spans="2:3" s="15" x14ac:dyDescent="0.35">
      <c r="B871" s="65535"/>
      <c r="C871" s="65535"/>
    </row>
    <row r="872" spans="2:3" s="15" x14ac:dyDescent="0.35">
      <c r="B872" s="65535"/>
      <c r="C872" s="65535"/>
    </row>
    <row r="873" spans="2:3" s="15" x14ac:dyDescent="0.35">
      <c r="B873" s="65535"/>
      <c r="C873" s="65535"/>
    </row>
    <row r="874" spans="2:3" s="15" x14ac:dyDescent="0.35">
      <c r="B874" s="65535"/>
      <c r="C874" s="65535"/>
    </row>
    <row r="875" spans="2:3" s="15" x14ac:dyDescent="0.35">
      <c r="B875" s="65535"/>
      <c r="C875" s="65535"/>
    </row>
    <row r="876" spans="2:3" s="15" x14ac:dyDescent="0.35">
      <c r="B876" s="65535"/>
      <c r="C876" s="65535"/>
    </row>
    <row r="877" spans="2:3" s="15" x14ac:dyDescent="0.35">
      <c r="B877" s="65535"/>
      <c r="C877" s="65535"/>
    </row>
    <row r="878" spans="2:3" s="15" x14ac:dyDescent="0.35">
      <c r="B878" s="65535"/>
      <c r="C878" s="65535"/>
    </row>
    <row r="879" spans="2:3" s="15" x14ac:dyDescent="0.35">
      <c r="B879" s="65535"/>
      <c r="C879" s="65535"/>
    </row>
    <row r="880" spans="2:3" s="15" x14ac:dyDescent="0.35">
      <c r="B880" s="65535"/>
      <c r="C880" s="65535"/>
    </row>
    <row r="881" spans="2:3" s="15" x14ac:dyDescent="0.35">
      <c r="B881" s="65535"/>
      <c r="C881" s="65535"/>
    </row>
    <row r="882" spans="2:3" s="15" x14ac:dyDescent="0.35">
      <c r="B882" s="65535"/>
      <c r="C882" s="65535"/>
    </row>
    <row r="883" spans="2:3" s="15" x14ac:dyDescent="0.35">
      <c r="B883" s="65535"/>
      <c r="C883" s="65535"/>
    </row>
    <row r="884" spans="2:3" s="15" x14ac:dyDescent="0.35">
      <c r="B884" s="65535"/>
      <c r="C884" s="65535"/>
    </row>
    <row r="885" spans="2:3" s="15" x14ac:dyDescent="0.35">
      <c r="B885" s="65535"/>
      <c r="C885" s="65535"/>
    </row>
    <row r="886" spans="2:3" s="15" x14ac:dyDescent="0.35">
      <c r="B886" s="65535"/>
      <c r="C886" s="65535"/>
    </row>
    <row r="887" spans="2:3" s="15" x14ac:dyDescent="0.35">
      <c r="B887" s="65535"/>
      <c r="C887" s="65535"/>
    </row>
    <row r="888" spans="2:3" s="15" x14ac:dyDescent="0.35">
      <c r="B888" s="65535"/>
      <c r="C888" s="65535"/>
    </row>
    <row r="889" spans="2:3" s="15" x14ac:dyDescent="0.35">
      <c r="B889" s="65535"/>
      <c r="C889" s="65535"/>
    </row>
    <row r="890" spans="2:3" s="15" x14ac:dyDescent="0.35">
      <c r="B890" s="65535"/>
      <c r="C890" s="65535"/>
    </row>
    <row r="891" spans="2:3" s="15" x14ac:dyDescent="0.35">
      <c r="B891" s="65535"/>
      <c r="C891" s="65535"/>
    </row>
    <row r="892" spans="2:3" s="15" x14ac:dyDescent="0.35">
      <c r="B892" s="65535"/>
      <c r="C892" s="65535"/>
    </row>
    <row r="893" spans="2:3" s="15" x14ac:dyDescent="0.35">
      <c r="B893" s="65535"/>
      <c r="C893" s="65535"/>
    </row>
    <row r="894" spans="2:3" s="15" x14ac:dyDescent="0.35">
      <c r="B894" s="65535"/>
      <c r="C894" s="65535"/>
    </row>
    <row r="895" spans="2:3" s="15" x14ac:dyDescent="0.35">
      <c r="B895" s="65535"/>
      <c r="C895" s="65535"/>
    </row>
    <row r="896" spans="2:3" s="15" x14ac:dyDescent="0.35">
      <c r="B896" s="65535"/>
      <c r="C896" s="65535"/>
    </row>
    <row r="897" spans="2:3" s="15" x14ac:dyDescent="0.35">
      <c r="B897" s="65535"/>
      <c r="C897" s="65535"/>
    </row>
    <row r="898" spans="2:3" s="15" x14ac:dyDescent="0.35">
      <c r="B898" s="65535"/>
      <c r="C898" s="65535"/>
    </row>
    <row r="899" spans="2:3" s="15" x14ac:dyDescent="0.35">
      <c r="B899" s="65535"/>
      <c r="C899" s="65535"/>
    </row>
    <row r="900" spans="2:3" s="15" x14ac:dyDescent="0.35">
      <c r="B900" s="65535"/>
      <c r="C900" s="65535"/>
    </row>
    <row r="901" spans="2:3" s="15" x14ac:dyDescent="0.35">
      <c r="B901" s="65535"/>
      <c r="C901" s="65535"/>
    </row>
    <row r="902" spans="2:3" s="15" x14ac:dyDescent="0.35">
      <c r="B902" s="65535"/>
      <c r="C902" s="65535"/>
    </row>
    <row r="903" spans="2:3" s="15" x14ac:dyDescent="0.35">
      <c r="B903" s="65535"/>
      <c r="C903" s="65535"/>
    </row>
    <row r="904" spans="2:3" s="15" x14ac:dyDescent="0.35">
      <c r="B904" s="65535"/>
      <c r="C904" s="65535"/>
    </row>
    <row r="905" spans="2:3" s="15" x14ac:dyDescent="0.35">
      <c r="B905" s="65535"/>
      <c r="C905" s="65535"/>
    </row>
    <row r="906" spans="2:3" s="15" x14ac:dyDescent="0.35">
      <c r="B906" s="65535"/>
      <c r="C906" s="65535"/>
    </row>
    <row r="907" spans="2:3" s="15" x14ac:dyDescent="0.35">
      <c r="B907" s="65535"/>
      <c r="C907" s="65535"/>
    </row>
    <row r="908" spans="2:3" s="15" x14ac:dyDescent="0.35">
      <c r="B908" s="65535"/>
      <c r="C908" s="65535"/>
    </row>
    <row r="909" spans="2:3" s="15" x14ac:dyDescent="0.35">
      <c r="B909" s="65535"/>
      <c r="C909" s="65535"/>
    </row>
    <row r="910" spans="2:3" s="15" x14ac:dyDescent="0.35">
      <c r="B910" s="65535"/>
      <c r="C910" s="65535"/>
    </row>
    <row r="911" spans="2:3" s="15" x14ac:dyDescent="0.35">
      <c r="B911" s="65535"/>
      <c r="C911" s="65535"/>
    </row>
    <row r="912" spans="2:3" s="15" x14ac:dyDescent="0.35">
      <c r="B912" s="65535"/>
      <c r="C912" s="65535"/>
    </row>
    <row r="913" spans="2:3" s="15" x14ac:dyDescent="0.35">
      <c r="B913" s="65535"/>
      <c r="C913" s="65535"/>
    </row>
    <row r="914" spans="2:3" s="15" x14ac:dyDescent="0.35">
      <c r="B914" s="65535"/>
      <c r="C914" s="65535"/>
    </row>
    <row r="915" spans="2:3" s="15" x14ac:dyDescent="0.35">
      <c r="B915" s="65535"/>
      <c r="C915" s="65535"/>
    </row>
    <row r="916" spans="2:3" s="15" x14ac:dyDescent="0.35">
      <c r="B916" s="65535"/>
      <c r="C916" s="65535"/>
    </row>
    <row r="917" spans="2:3" s="15" x14ac:dyDescent="0.35">
      <c r="B917" s="65535"/>
      <c r="C917" s="65535"/>
    </row>
    <row r="918" spans="2:3" s="15" x14ac:dyDescent="0.35">
      <c r="B918" s="65535"/>
      <c r="C918" s="65535"/>
    </row>
    <row r="919" spans="2:3" s="15" x14ac:dyDescent="0.35">
      <c r="B919" s="65535"/>
      <c r="C919" s="65535"/>
    </row>
    <row r="920" spans="2:3" s="15" x14ac:dyDescent="0.35">
      <c r="B920" s="65535"/>
      <c r="C920" s="65535"/>
    </row>
    <row r="921" spans="2:3" s="15" x14ac:dyDescent="0.35">
      <c r="B921" s="65535"/>
      <c r="C921" s="65535"/>
    </row>
    <row r="922" spans="2:3" s="15" x14ac:dyDescent="0.35">
      <c r="B922" s="65535"/>
      <c r="C922" s="65535"/>
    </row>
    <row r="923" spans="2:3" s="15" x14ac:dyDescent="0.35">
      <c r="B923" s="65535"/>
      <c r="C923" s="65535"/>
    </row>
    <row r="924" spans="2:3" s="15" x14ac:dyDescent="0.35">
      <c r="B924" s="65535"/>
      <c r="C924" s="65535"/>
    </row>
    <row r="925" spans="2:3" s="15" x14ac:dyDescent="0.35">
      <c r="B925" s="65535"/>
      <c r="C925" s="65535"/>
    </row>
    <row r="926" spans="2:3" s="15" x14ac:dyDescent="0.35">
      <c r="B926" s="65535"/>
      <c r="C926" s="65535"/>
    </row>
    <row r="927" spans="2:3" s="15" x14ac:dyDescent="0.35">
      <c r="B927" s="65535"/>
      <c r="C927" s="65535"/>
    </row>
    <row r="928" spans="2:3" s="15" x14ac:dyDescent="0.35">
      <c r="B928" s="65535"/>
      <c r="C928" s="65535"/>
    </row>
    <row r="929" spans="2:3" s="15" x14ac:dyDescent="0.35">
      <c r="B929" s="65535"/>
      <c r="C929" s="65535"/>
    </row>
    <row r="930" spans="2:3" s="15" x14ac:dyDescent="0.35">
      <c r="B930" s="65535"/>
      <c r="C930" s="65535"/>
    </row>
    <row r="931" spans="2:3" s="15" x14ac:dyDescent="0.35">
      <c r="B931" s="65535"/>
      <c r="C931" s="65535"/>
    </row>
    <row r="932" spans="2:3" s="15" x14ac:dyDescent="0.35">
      <c r="B932" s="65535"/>
      <c r="C932" s="65535"/>
    </row>
    <row r="933" spans="2:3" s="15" x14ac:dyDescent="0.35">
      <c r="B933" s="65535"/>
      <c r="C933" s="65535"/>
    </row>
    <row r="934" spans="2:3" s="15" x14ac:dyDescent="0.35">
      <c r="B934" s="65535"/>
      <c r="C934" s="65535"/>
    </row>
    <row r="935" spans="2:3" s="15" x14ac:dyDescent="0.35">
      <c r="B935" s="65535"/>
      <c r="C935" s="65535"/>
    </row>
    <row r="936" spans="2:3" s="15" x14ac:dyDescent="0.35">
      <c r="B936" s="65535"/>
      <c r="C936" s="65535"/>
    </row>
    <row r="937" spans="2:3" s="15" x14ac:dyDescent="0.35">
      <c r="B937" s="65535"/>
      <c r="C937" s="65535"/>
    </row>
    <row r="938" spans="2:3" s="15" x14ac:dyDescent="0.35">
      <c r="B938" s="65535"/>
      <c r="C938" s="65535"/>
    </row>
    <row r="939" spans="2:3" s="15" x14ac:dyDescent="0.35">
      <c r="B939" s="65535"/>
      <c r="C939" s="65535"/>
    </row>
    <row r="940" spans="2:3" s="15" x14ac:dyDescent="0.35">
      <c r="B940" s="65535"/>
      <c r="C940" s="65535"/>
    </row>
    <row r="941" spans="2:3" s="15" x14ac:dyDescent="0.35">
      <c r="B941" s="65535"/>
      <c r="C941" s="65535"/>
    </row>
    <row r="942" spans="2:3" s="15" x14ac:dyDescent="0.35">
      <c r="B942" s="65535"/>
      <c r="C942" s="65535"/>
    </row>
    <row r="943" spans="2:3" s="15" x14ac:dyDescent="0.35">
      <c r="B943" s="65535"/>
      <c r="C943" s="65535"/>
    </row>
    <row r="944" spans="2:3" s="15" x14ac:dyDescent="0.35">
      <c r="B944" s="65535"/>
      <c r="C944" s="65535"/>
    </row>
    <row r="945" spans="2:3" s="15" x14ac:dyDescent="0.35">
      <c r="B945" s="65535"/>
      <c r="C945" s="65535"/>
    </row>
    <row r="946" spans="2:3" s="15" x14ac:dyDescent="0.35">
      <c r="B946" s="65535"/>
      <c r="C946" s="65535"/>
    </row>
    <row r="947" spans="2:3" s="15" x14ac:dyDescent="0.35">
      <c r="B947" s="65535"/>
      <c r="C947" s="65535"/>
    </row>
    <row r="948" spans="2:3" s="15" x14ac:dyDescent="0.35">
      <c r="B948" s="65535"/>
      <c r="C948" s="65535"/>
    </row>
    <row r="949" spans="2:3" s="15" x14ac:dyDescent="0.35">
      <c r="B949" s="65535"/>
      <c r="C949" s="65535"/>
    </row>
    <row r="950" spans="2:3" s="15" x14ac:dyDescent="0.35">
      <c r="B950" s="65535"/>
      <c r="C950" s="65535"/>
    </row>
    <row r="951" spans="2:3" s="15" x14ac:dyDescent="0.35">
      <c r="B951" s="65535"/>
      <c r="C951" s="65535"/>
    </row>
    <row r="952" spans="2:3" s="15" x14ac:dyDescent="0.35">
      <c r="B952" s="65535"/>
      <c r="C952" s="65535"/>
    </row>
    <row r="953" spans="2:3" s="15" x14ac:dyDescent="0.35">
      <c r="B953" s="65535"/>
      <c r="C953" s="65535"/>
    </row>
    <row r="954" spans="2:3" s="15" x14ac:dyDescent="0.35">
      <c r="B954" s="65535"/>
      <c r="C954" s="65535"/>
    </row>
    <row r="955" spans="2:3" s="15" x14ac:dyDescent="0.35">
      <c r="B955" s="65535"/>
      <c r="C955" s="65535"/>
    </row>
    <row r="956" spans="2:3" s="15" x14ac:dyDescent="0.35">
      <c r="B956" s="65535"/>
      <c r="C956" s="65535"/>
    </row>
    <row r="957" spans="2:3" s="15" x14ac:dyDescent="0.35">
      <c r="B957" s="65535"/>
      <c r="C957" s="65535"/>
    </row>
    <row r="958" spans="2:3" s="15" x14ac:dyDescent="0.35">
      <c r="B958" s="65535"/>
      <c r="C958" s="65535"/>
    </row>
    <row r="959" spans="2:3" s="15" x14ac:dyDescent="0.35">
      <c r="B959" s="65535"/>
      <c r="C959" s="65535"/>
    </row>
    <row r="960" spans="2:3" s="15" x14ac:dyDescent="0.35">
      <c r="B960" s="65535"/>
      <c r="C960" s="65535"/>
    </row>
    <row r="961" spans="2:3" s="15" x14ac:dyDescent="0.35">
      <c r="B961" s="65535"/>
      <c r="C961" s="65535"/>
    </row>
    <row r="962" spans="2:3" s="15" x14ac:dyDescent="0.35">
      <c r="B962" s="65535"/>
      <c r="C962" s="65535"/>
    </row>
    <row r="963" spans="2:3" s="15" x14ac:dyDescent="0.35">
      <c r="B963" s="65535"/>
      <c r="C963" s="65535"/>
    </row>
    <row r="964" spans="2:3" s="15" x14ac:dyDescent="0.35">
      <c r="B964" s="65535"/>
      <c r="C964" s="65535"/>
    </row>
    <row r="965" spans="2:3" s="15" x14ac:dyDescent="0.35">
      <c r="B965" s="65535"/>
      <c r="C965" s="65535"/>
    </row>
    <row r="966" spans="2:3" s="15" x14ac:dyDescent="0.35">
      <c r="B966" s="65535"/>
      <c r="C966" s="65535"/>
    </row>
    <row r="967" spans="2:3" s="15" x14ac:dyDescent="0.35">
      <c r="B967" s="65535"/>
      <c r="C967" s="65535"/>
    </row>
    <row r="968" spans="2:3" s="15" x14ac:dyDescent="0.35">
      <c r="B968" s="65535"/>
      <c r="C968" s="65535"/>
    </row>
    <row r="969" spans="2:3" s="15" x14ac:dyDescent="0.35">
      <c r="B969" s="65535"/>
      <c r="C969" s="65535"/>
    </row>
    <row r="970" spans="2:3" s="15" x14ac:dyDescent="0.35">
      <c r="B970" s="65535"/>
      <c r="C970" s="65535"/>
    </row>
    <row r="971" spans="2:3" s="15" x14ac:dyDescent="0.35">
      <c r="B971" s="65535"/>
      <c r="C971" s="65535"/>
    </row>
    <row r="972" spans="2:3" s="15" x14ac:dyDescent="0.35">
      <c r="B972" s="65535"/>
      <c r="C972" s="65535"/>
    </row>
    <row r="973" spans="2:3" s="15" x14ac:dyDescent="0.35">
      <c r="B973" s="65535"/>
      <c r="C973" s="65535"/>
    </row>
    <row r="974" spans="2:3" s="15" x14ac:dyDescent="0.35">
      <c r="B974" s="65535"/>
      <c r="C974" s="65535"/>
    </row>
    <row r="975" spans="2:3" s="15" x14ac:dyDescent="0.35">
      <c r="B975" s="65535"/>
      <c r="C975" s="65535"/>
    </row>
    <row r="976" spans="2:3" s="15" x14ac:dyDescent="0.35">
      <c r="B976" s="65535"/>
      <c r="C976" s="65535"/>
    </row>
    <row r="977" spans="2:3" s="15" x14ac:dyDescent="0.35">
      <c r="B977" s="65535"/>
      <c r="C977" s="65535"/>
    </row>
    <row r="978" spans="2:3" s="15" x14ac:dyDescent="0.35">
      <c r="B978" s="65535"/>
      <c r="C978" s="65535"/>
    </row>
    <row r="979" spans="2:3" s="15" x14ac:dyDescent="0.35">
      <c r="B979" s="65535"/>
      <c r="C979" s="65535"/>
    </row>
    <row r="980" spans="2:3" s="15" x14ac:dyDescent="0.35">
      <c r="B980" s="65535"/>
      <c r="C980" s="65535"/>
    </row>
    <row r="981" spans="2:3" s="15" x14ac:dyDescent="0.35">
      <c r="B981" s="65535"/>
      <c r="C981" s="65535"/>
    </row>
    <row r="982" spans="2:3" s="15" x14ac:dyDescent="0.35">
      <c r="B982" s="65535"/>
      <c r="C982" s="65535"/>
    </row>
    <row r="983" spans="2:3" s="15" x14ac:dyDescent="0.35">
      <c r="B983" s="65535"/>
      <c r="C983" s="65535"/>
    </row>
    <row r="984" spans="2:3" s="15" x14ac:dyDescent="0.35">
      <c r="B984" s="65535"/>
      <c r="C984" s="65535"/>
    </row>
    <row r="985" spans="2:3" s="15" x14ac:dyDescent="0.35">
      <c r="B985" s="65535"/>
      <c r="C985" s="65535"/>
    </row>
    <row r="986" spans="2:3" s="15" x14ac:dyDescent="0.35">
      <c r="B986" s="65535"/>
      <c r="C986" s="65535"/>
    </row>
    <row r="987" spans="2:3" s="15" x14ac:dyDescent="0.35">
      <c r="B987" s="65535"/>
      <c r="C987" s="65535"/>
    </row>
    <row r="988" spans="2:3" s="15" x14ac:dyDescent="0.35">
      <c r="B988" s="65535"/>
      <c r="C988" s="65535"/>
    </row>
    <row r="989" spans="2:3" s="15" x14ac:dyDescent="0.35">
      <c r="B989" s="65535"/>
      <c r="C989" s="65535"/>
    </row>
    <row r="990" spans="2:3" s="15" x14ac:dyDescent="0.35">
      <c r="B990" s="65535"/>
      <c r="C990" s="65535"/>
    </row>
    <row r="991" spans="2:3" s="15" x14ac:dyDescent="0.35">
      <c r="B991" s="65535"/>
      <c r="C991" s="65535"/>
    </row>
    <row r="992" spans="2:3" s="15" x14ac:dyDescent="0.35">
      <c r="B992" s="65535"/>
      <c r="C992" s="65535"/>
    </row>
    <row r="993" spans="2:3" s="15" x14ac:dyDescent="0.35">
      <c r="B993" s="65535"/>
      <c r="C993" s="65535"/>
    </row>
    <row r="994" spans="2:3" s="15" x14ac:dyDescent="0.35">
      <c r="B994" s="65535"/>
      <c r="C994" s="65535"/>
    </row>
    <row r="995" spans="2:3" s="15" x14ac:dyDescent="0.35">
      <c r="B995" s="65535"/>
      <c r="C995" s="65535"/>
    </row>
    <row r="996" spans="2:3" s="15" x14ac:dyDescent="0.35">
      <c r="B996" s="65535"/>
      <c r="C996" s="65535"/>
    </row>
    <row r="997" spans="2:3" s="15" x14ac:dyDescent="0.35">
      <c r="B997" s="65535"/>
      <c r="C997" s="65535"/>
    </row>
    <row r="998" spans="2:3" s="15" x14ac:dyDescent="0.35">
      <c r="B998" s="65535"/>
      <c r="C998" s="65535"/>
    </row>
    <row r="999" spans="2:3" s="15" x14ac:dyDescent="0.35">
      <c r="B999" s="65535"/>
      <c r="C999" s="65535"/>
    </row>
    <row r="1000" spans="2:3" s="15" x14ac:dyDescent="0.35">
      <c r="B1000" s="65535"/>
      <c r="C1000" s="65535"/>
    </row>
    <row r="1001" spans="2:3" s="15" x14ac:dyDescent="0.35">
      <c r="B1001" s="65535"/>
      <c r="C1001" s="65535"/>
    </row>
    <row r="1002" spans="2:3" s="15" x14ac:dyDescent="0.35">
      <c r="B1002" s="65535"/>
      <c r="C1002" s="65535"/>
    </row>
    <row r="1003" spans="2:3" s="15" x14ac:dyDescent="0.35">
      <c r="B1003" s="65535"/>
      <c r="C1003" s="65535"/>
    </row>
    <row r="1004" spans="2:3" s="15" x14ac:dyDescent="0.35">
      <c r="B1004" s="65535"/>
      <c r="C1004" s="65535"/>
    </row>
    <row r="1005" spans="2:3" s="15" x14ac:dyDescent="0.35">
      <c r="B1005" s="65535"/>
      <c r="C1005" s="65535"/>
    </row>
    <row r="1006" spans="2:3" s="15" x14ac:dyDescent="0.35">
      <c r="B1006" s="65535"/>
      <c r="C1006" s="65535"/>
    </row>
    <row r="1007" spans="2:3" s="15" x14ac:dyDescent="0.35">
      <c r="B1007" s="65535"/>
      <c r="C1007" s="65535"/>
    </row>
    <row r="1008" spans="2:3" s="15" x14ac:dyDescent="0.35">
      <c r="B1008" s="65535"/>
      <c r="C1008" s="65535"/>
    </row>
    <row r="1009" spans="2:3" s="15" x14ac:dyDescent="0.35">
      <c r="B1009" s="65535"/>
      <c r="C1009" s="65535"/>
    </row>
    <row r="1010" spans="2:3" s="15" x14ac:dyDescent="0.35">
      <c r="B1010" s="65535"/>
      <c r="C1010" s="65535"/>
    </row>
    <row r="1011" spans="2:3" s="15" x14ac:dyDescent="0.35">
      <c r="B1011" s="65535"/>
      <c r="C1011" s="65535"/>
    </row>
    <row r="1012" spans="2:3" s="15" x14ac:dyDescent="0.35">
      <c r="B1012" s="65535"/>
      <c r="C1012" s="65535"/>
    </row>
    <row r="1013" spans="2:3" s="15" x14ac:dyDescent="0.35">
      <c r="B1013" s="65535"/>
      <c r="C1013" s="65535"/>
    </row>
    <row r="1014" spans="2:3" s="15" x14ac:dyDescent="0.35">
      <c r="B1014" s="65535"/>
      <c r="C1014" s="65535"/>
    </row>
    <row r="1015" spans="2:3" s="15" x14ac:dyDescent="0.35">
      <c r="B1015" s="65535"/>
      <c r="C1015" s="65535"/>
    </row>
    <row r="1016" spans="2:3" s="15" x14ac:dyDescent="0.35">
      <c r="B1016" s="65535"/>
      <c r="C1016" s="65535"/>
    </row>
    <row r="1017" spans="2:3" s="15" x14ac:dyDescent="0.35">
      <c r="B1017" s="65535"/>
      <c r="C1017" s="65535"/>
    </row>
    <row r="1018" spans="2:3" s="15" x14ac:dyDescent="0.35">
      <c r="B1018" s="65535"/>
      <c r="C1018" s="65535"/>
    </row>
    <row r="1019" spans="2:3" s="15" x14ac:dyDescent="0.35">
      <c r="B1019" s="65535"/>
      <c r="C1019" s="65535"/>
    </row>
    <row r="1020" spans="2:3" s="15" x14ac:dyDescent="0.35">
      <c r="B1020" s="65535"/>
      <c r="C1020" s="65535"/>
    </row>
    <row r="1021" spans="2:3" s="15" x14ac:dyDescent="0.35">
      <c r="B1021" s="65535"/>
      <c r="C1021" s="65535"/>
    </row>
    <row r="1022" spans="2:3" s="15" x14ac:dyDescent="0.35">
      <c r="B1022" s="65535"/>
      <c r="C1022" s="65535"/>
    </row>
    <row r="1023" spans="2:3" s="15" x14ac:dyDescent="0.35">
      <c r="B1023" s="65535"/>
      <c r="C1023" s="65535"/>
    </row>
    <row r="1024" spans="2:3" s="15" x14ac:dyDescent="0.35">
      <c r="B1024" s="65535"/>
      <c r="C1024" s="65535"/>
    </row>
    <row r="1025" spans="2:3" s="15" x14ac:dyDescent="0.35">
      <c r="B1025" s="65535"/>
      <c r="C1025" s="65535"/>
    </row>
    <row r="1026" spans="2:3" s="15" x14ac:dyDescent="0.35">
      <c r="B1026" s="65535"/>
      <c r="C1026" s="65535"/>
    </row>
    <row r="1027" spans="2:3" s="15" x14ac:dyDescent="0.35">
      <c r="B1027" s="65535"/>
      <c r="C1027" s="65535"/>
    </row>
    <row r="1028" spans="2:3" s="15" x14ac:dyDescent="0.35">
      <c r="B1028" s="65535"/>
      <c r="C1028" s="65535"/>
    </row>
    <row r="1029" spans="2:3" s="15" x14ac:dyDescent="0.35">
      <c r="B1029" s="65535"/>
      <c r="C1029" s="65535"/>
    </row>
    <row r="1030" spans="2:3" s="15" x14ac:dyDescent="0.35">
      <c r="B1030" s="65535"/>
      <c r="C1030" s="65535"/>
    </row>
    <row r="1031" spans="2:3" s="15" x14ac:dyDescent="0.35">
      <c r="B1031" s="65535"/>
      <c r="C1031" s="65535"/>
    </row>
    <row r="1032" spans="2:3" s="15" x14ac:dyDescent="0.35">
      <c r="B1032" s="65535"/>
      <c r="C1032" s="65535"/>
    </row>
    <row r="1033" spans="2:3" s="15" x14ac:dyDescent="0.35">
      <c r="B1033" s="65535"/>
      <c r="C1033" s="65535"/>
    </row>
    <row r="1034" spans="2:3" s="15" x14ac:dyDescent="0.35">
      <c r="B1034" s="65535"/>
      <c r="C1034" s="65535"/>
    </row>
    <row r="1035" spans="2:3" s="15" x14ac:dyDescent="0.35">
      <c r="B1035" s="65535"/>
      <c r="C1035" s="65535"/>
    </row>
    <row r="1036" spans="2:3" s="15" x14ac:dyDescent="0.35">
      <c r="B1036" s="65535"/>
      <c r="C1036" s="65535"/>
    </row>
    <row r="1037" spans="2:3" s="15" x14ac:dyDescent="0.35">
      <c r="B1037" s="65535"/>
      <c r="C1037" s="65535"/>
    </row>
    <row r="1038" spans="2:3" s="15" x14ac:dyDescent="0.35">
      <c r="B1038" s="65535"/>
      <c r="C1038" s="65535"/>
    </row>
    <row r="1039" spans="2:3" s="15" x14ac:dyDescent="0.35">
      <c r="B1039" s="65535"/>
      <c r="C1039" s="65535"/>
    </row>
    <row r="1040" spans="2:3" s="15" x14ac:dyDescent="0.35">
      <c r="B1040" s="65535"/>
      <c r="C1040" s="65535"/>
    </row>
    <row r="1041" spans="2:3" s="15" x14ac:dyDescent="0.35">
      <c r="B1041" s="65535"/>
      <c r="C1041" s="65535"/>
    </row>
    <row r="1042" spans="2:3" s="15" x14ac:dyDescent="0.35">
      <c r="B1042" s="65535"/>
      <c r="C1042" s="65535"/>
    </row>
    <row r="1043" spans="2:3" s="15" x14ac:dyDescent="0.35">
      <c r="B1043" s="65535"/>
      <c r="C1043" s="65535"/>
    </row>
    <row r="1044" spans="2:3" s="15" x14ac:dyDescent="0.35">
      <c r="B1044" s="65535"/>
      <c r="C1044" s="65535"/>
    </row>
    <row r="1045" spans="2:3" s="15" x14ac:dyDescent="0.35">
      <c r="B1045" s="65535"/>
      <c r="C1045" s="65535"/>
    </row>
    <row r="1046" spans="2:3" s="15" x14ac:dyDescent="0.35">
      <c r="B1046" s="65535"/>
      <c r="C1046" s="65535"/>
    </row>
    <row r="1047" spans="2:3" s="15" x14ac:dyDescent="0.35">
      <c r="B1047" s="65535"/>
      <c r="C1047" s="65535"/>
    </row>
    <row r="1048" spans="2:3" s="15" x14ac:dyDescent="0.35">
      <c r="B1048" s="65535"/>
      <c r="C1048" s="65535"/>
    </row>
    <row r="1049" spans="2:3" s="15" x14ac:dyDescent="0.35">
      <c r="B1049" s="65535"/>
      <c r="C1049" s="65535"/>
    </row>
    <row r="1050" spans="2:3" s="15" x14ac:dyDescent="0.35">
      <c r="B1050" s="65535"/>
      <c r="C1050" s="65535"/>
    </row>
    <row r="1051" spans="2:3" s="15" x14ac:dyDescent="0.35">
      <c r="B1051" s="65535"/>
      <c r="C1051" s="65535"/>
    </row>
    <row r="1052" spans="2:3" s="15" x14ac:dyDescent="0.35">
      <c r="B1052" s="65535"/>
      <c r="C1052" s="65535"/>
    </row>
    <row r="1053" spans="2:3" s="15" x14ac:dyDescent="0.35">
      <c r="B1053" s="65535"/>
      <c r="C1053" s="65535"/>
    </row>
    <row r="1054" spans="2:3" s="15" x14ac:dyDescent="0.35">
      <c r="B1054" s="65535"/>
      <c r="C1054" s="65535"/>
    </row>
    <row r="1055" spans="2:3" s="15" x14ac:dyDescent="0.35">
      <c r="B1055" s="65535"/>
      <c r="C1055" s="65535"/>
    </row>
    <row r="1056" spans="2:3" s="15" x14ac:dyDescent="0.35">
      <c r="B1056" s="65535"/>
      <c r="C1056" s="65535"/>
    </row>
    <row r="1057" spans="2:3" s="15" x14ac:dyDescent="0.35">
      <c r="B1057" s="65535"/>
      <c r="C1057" s="65535"/>
    </row>
    <row r="1058" spans="2:3" s="15" x14ac:dyDescent="0.35">
      <c r="B1058" s="65535"/>
      <c r="C1058" s="65535"/>
    </row>
    <row r="1059" spans="2:3" s="15" x14ac:dyDescent="0.35">
      <c r="B1059" s="65535"/>
      <c r="C1059" s="65535"/>
    </row>
    <row r="1060" spans="2:3" s="15" x14ac:dyDescent="0.35">
      <c r="B1060" s="65535"/>
      <c r="C1060" s="65535"/>
    </row>
    <row r="1061" spans="2:3" s="15" x14ac:dyDescent="0.35">
      <c r="B1061" s="65535"/>
      <c r="C1061" s="65535"/>
    </row>
    <row r="1062" spans="2:3" s="15" x14ac:dyDescent="0.35">
      <c r="B1062" s="65535"/>
      <c r="C1062" s="65535"/>
    </row>
    <row r="1063" spans="2:3" s="15" x14ac:dyDescent="0.35">
      <c r="B1063" s="65535"/>
      <c r="C1063" s="65535"/>
    </row>
    <row r="1064" spans="2:3" s="15" x14ac:dyDescent="0.35">
      <c r="B1064" s="65535"/>
      <c r="C1064" s="65535"/>
    </row>
    <row r="1065" spans="2:3" s="15" x14ac:dyDescent="0.35">
      <c r="B1065" s="65535"/>
      <c r="C1065" s="65535"/>
    </row>
    <row r="1066" spans="2:3" s="15" x14ac:dyDescent="0.35">
      <c r="B1066" s="65535"/>
      <c r="C1066" s="65535"/>
    </row>
    <row r="1067" spans="2:3" s="15" x14ac:dyDescent="0.35">
      <c r="B1067" s="65535"/>
      <c r="C1067" s="65535"/>
    </row>
    <row r="1068" spans="2:3" s="15" x14ac:dyDescent="0.35">
      <c r="B1068" s="65535"/>
      <c r="C1068" s="65535"/>
    </row>
    <row r="1069" spans="2:3" s="15" x14ac:dyDescent="0.35">
      <c r="B1069" s="65535"/>
      <c r="C1069" s="65535"/>
    </row>
    <row r="1070" spans="2:3" s="15" x14ac:dyDescent="0.35">
      <c r="B1070" s="65535"/>
      <c r="C1070" s="65535"/>
    </row>
    <row r="1071" spans="2:3" s="15" x14ac:dyDescent="0.35">
      <c r="B1071" s="65535"/>
      <c r="C1071" s="65535"/>
    </row>
    <row r="1072" spans="2:3" s="15" x14ac:dyDescent="0.35">
      <c r="B1072" s="65535"/>
      <c r="C1072" s="65535"/>
    </row>
    <row r="1073" spans="2:3" s="15" x14ac:dyDescent="0.35">
      <c r="B1073" s="65535"/>
      <c r="C1073" s="65535"/>
    </row>
    <row r="1074" spans="2:3" s="15" x14ac:dyDescent="0.35">
      <c r="B1074" s="65535"/>
      <c r="C1074" s="65535"/>
    </row>
    <row r="1075" spans="2:3" s="15" x14ac:dyDescent="0.35">
      <c r="B1075" s="65535"/>
      <c r="C1075" s="65535"/>
    </row>
    <row r="1076" spans="2:3" s="15" x14ac:dyDescent="0.35">
      <c r="B1076" s="65535"/>
      <c r="C1076" s="65535"/>
    </row>
    <row r="1077" spans="2:3" s="15" x14ac:dyDescent="0.35">
      <c r="B1077" s="65535"/>
      <c r="C1077" s="65535"/>
    </row>
    <row r="1078" spans="2:3" s="15" x14ac:dyDescent="0.35">
      <c r="B1078" s="65535"/>
      <c r="C1078" s="65535"/>
    </row>
    <row r="1079" spans="2:3" s="15" x14ac:dyDescent="0.35">
      <c r="B1079" s="65535"/>
      <c r="C1079" s="65535"/>
    </row>
    <row r="1080" spans="2:3" s="15" x14ac:dyDescent="0.35">
      <c r="B1080" s="65535"/>
      <c r="C1080" s="65535"/>
    </row>
    <row r="1081" spans="2:3" s="15" x14ac:dyDescent="0.35">
      <c r="B1081" s="65535"/>
      <c r="C1081" s="65535"/>
    </row>
    <row r="1082" spans="2:3" s="15" x14ac:dyDescent="0.35">
      <c r="B1082" s="65535"/>
      <c r="C1082" s="65535"/>
    </row>
    <row r="1083" spans="2:3" s="15" x14ac:dyDescent="0.35">
      <c r="B1083" s="65535"/>
      <c r="C1083" s="65535"/>
    </row>
    <row r="1084" spans="2:3" s="15" x14ac:dyDescent="0.35">
      <c r="B1084" s="65535"/>
      <c r="C1084" s="65535"/>
    </row>
    <row r="1085" spans="2:3" s="15" x14ac:dyDescent="0.35">
      <c r="B1085" s="65535"/>
      <c r="C1085" s="65535"/>
    </row>
    <row r="1086" spans="2:3" s="15" x14ac:dyDescent="0.35">
      <c r="B1086" s="65535"/>
      <c r="C1086" s="65535"/>
    </row>
    <row r="1087" spans="2:3" s="15" x14ac:dyDescent="0.35">
      <c r="B1087" s="65535"/>
      <c r="C1087" s="65535"/>
    </row>
    <row r="1088" spans="2:3" s="15" x14ac:dyDescent="0.35">
      <c r="B1088" s="65535"/>
      <c r="C1088" s="65535"/>
    </row>
    <row r="1089" spans="2:3" s="15" x14ac:dyDescent="0.35">
      <c r="B1089" s="65535"/>
      <c r="C1089" s="65535"/>
    </row>
    <row r="1090" spans="2:3" s="15" x14ac:dyDescent="0.35">
      <c r="B1090" s="65535"/>
      <c r="C1090" s="65535"/>
    </row>
    <row r="1091" spans="2:3" s="15" x14ac:dyDescent="0.35">
      <c r="B1091" s="65535"/>
      <c r="C1091" s="65535"/>
    </row>
    <row r="1092" spans="2:3" s="15" x14ac:dyDescent="0.35">
      <c r="B1092" s="65535"/>
      <c r="C1092" s="65535"/>
    </row>
    <row r="1093" spans="2:3" s="15" x14ac:dyDescent="0.35">
      <c r="B1093" s="65535"/>
      <c r="C1093" s="65535"/>
    </row>
    <row r="1094" spans="2:3" s="15" x14ac:dyDescent="0.35">
      <c r="B1094" s="65535"/>
      <c r="C1094" s="65535"/>
    </row>
    <row r="1095" spans="2:3" s="15" x14ac:dyDescent="0.35">
      <c r="B1095" s="65535"/>
      <c r="C1095" s="65535"/>
    </row>
    <row r="1096" spans="2:3" s="15" x14ac:dyDescent="0.35">
      <c r="B1096" s="65535"/>
      <c r="C1096" s="65535"/>
    </row>
    <row r="1097" spans="2:3" s="15" x14ac:dyDescent="0.35">
      <c r="B1097" s="65535"/>
      <c r="C1097" s="65535"/>
    </row>
    <row r="1098" spans="2:3" s="15" x14ac:dyDescent="0.35">
      <c r="B1098" s="65535"/>
      <c r="C1098" s="65535"/>
    </row>
    <row r="1099" spans="2:3" s="15" x14ac:dyDescent="0.35">
      <c r="B1099" s="65535"/>
      <c r="C1099" s="65535"/>
    </row>
    <row r="1100" spans="2:3" s="15" x14ac:dyDescent="0.35">
      <c r="B1100" s="65535"/>
      <c r="C1100" s="65535"/>
    </row>
    <row r="1101" spans="2:3" s="15" x14ac:dyDescent="0.35">
      <c r="B1101" s="65535"/>
      <c r="C1101" s="65535"/>
    </row>
    <row r="1102" spans="2:3" s="15" x14ac:dyDescent="0.35">
      <c r="B1102" s="65535"/>
      <c r="C1102" s="65535"/>
    </row>
    <row r="1103" spans="2:3" s="15" x14ac:dyDescent="0.35">
      <c r="B1103" s="65535"/>
      <c r="C1103" s="65535"/>
    </row>
    <row r="1104" spans="2:3" s="15" x14ac:dyDescent="0.35">
      <c r="B1104" s="65535"/>
      <c r="C1104" s="65535"/>
    </row>
    <row r="1105" spans="2:3" s="15" x14ac:dyDescent="0.35">
      <c r="B1105" s="65535"/>
      <c r="C1105" s="65535"/>
    </row>
    <row r="1106" spans="2:3" s="15" x14ac:dyDescent="0.35">
      <c r="B1106" s="65535"/>
      <c r="C1106" s="65535"/>
    </row>
    <row r="1107" spans="2:3" s="15" x14ac:dyDescent="0.35">
      <c r="B1107" s="65535"/>
      <c r="C1107" s="65535"/>
    </row>
    <row r="1108" spans="2:3" s="15" x14ac:dyDescent="0.35">
      <c r="B1108" s="65535"/>
      <c r="C1108" s="65535"/>
    </row>
    <row r="1109" spans="2:3" s="15" x14ac:dyDescent="0.35">
      <c r="B1109" s="65535"/>
      <c r="C1109" s="65535"/>
    </row>
    <row r="1110" spans="2:3" s="15" x14ac:dyDescent="0.35">
      <c r="B1110" s="65535"/>
      <c r="C1110" s="65535"/>
    </row>
    <row r="1111" spans="2:3" s="15" x14ac:dyDescent="0.35">
      <c r="B1111" s="65535"/>
      <c r="C1111" s="65535"/>
    </row>
    <row r="1112" spans="2:3" s="15" x14ac:dyDescent="0.35">
      <c r="B1112" s="65535"/>
      <c r="C1112" s="65535"/>
    </row>
    <row r="1113" spans="2:3" s="15" x14ac:dyDescent="0.35">
      <c r="B1113" s="65535"/>
      <c r="C1113" s="65535"/>
    </row>
    <row r="1114" spans="2:3" s="15" x14ac:dyDescent="0.35">
      <c r="B1114" s="65535"/>
      <c r="C1114" s="65535"/>
    </row>
    <row r="1115" spans="2:3" s="15" x14ac:dyDescent="0.35">
      <c r="B1115" s="65535"/>
      <c r="C1115" s="65535"/>
    </row>
    <row r="1116" spans="2:3" s="15" x14ac:dyDescent="0.35">
      <c r="B1116" s="65535"/>
      <c r="C1116" s="65535"/>
    </row>
    <row r="1117" spans="2:3" s="15" x14ac:dyDescent="0.35">
      <c r="B1117" s="65535"/>
      <c r="C1117" s="65535"/>
    </row>
    <row r="1118" spans="2:3" s="15" x14ac:dyDescent="0.35">
      <c r="B1118" s="65535"/>
      <c r="C1118" s="65535"/>
    </row>
    <row r="1119" spans="2:3" s="15" x14ac:dyDescent="0.35">
      <c r="B1119" s="65535"/>
      <c r="C1119" s="65535"/>
    </row>
    <row r="1120" spans="2:3" s="15" x14ac:dyDescent="0.35">
      <c r="B1120" s="65535"/>
      <c r="C1120" s="65535"/>
    </row>
    <row r="1121" spans="2:3" s="15" x14ac:dyDescent="0.35">
      <c r="B1121" s="65535"/>
      <c r="C1121" s="65535"/>
    </row>
    <row r="1122" spans="2:3" s="15" x14ac:dyDescent="0.35">
      <c r="B1122" s="65535"/>
      <c r="C1122" s="65535"/>
    </row>
    <row r="1123" spans="2:3" s="15" x14ac:dyDescent="0.35">
      <c r="B1123" s="65535"/>
      <c r="C1123" s="65535"/>
    </row>
    <row r="1124" spans="2:3" s="15" x14ac:dyDescent="0.35">
      <c r="B1124" s="65535"/>
      <c r="C1124" s="65535"/>
    </row>
    <row r="1125" spans="2:3" s="15" x14ac:dyDescent="0.35">
      <c r="B1125" s="65535"/>
      <c r="C1125" s="65535"/>
    </row>
    <row r="1126" spans="2:3" s="15" x14ac:dyDescent="0.35">
      <c r="B1126" s="65535"/>
      <c r="C1126" s="65535"/>
    </row>
    <row r="1127" spans="2:3" s="15" x14ac:dyDescent="0.35">
      <c r="B1127" s="65535"/>
      <c r="C1127" s="65535"/>
    </row>
    <row r="1128" spans="2:3" s="15" x14ac:dyDescent="0.35">
      <c r="B1128" s="65535"/>
      <c r="C1128" s="65535"/>
    </row>
    <row r="1129" spans="2:3" s="15" x14ac:dyDescent="0.35">
      <c r="B1129" s="65535"/>
      <c r="C1129" s="65535"/>
    </row>
    <row r="1130" spans="2:3" s="15" x14ac:dyDescent="0.35">
      <c r="B1130" s="65535"/>
      <c r="C1130" s="65535"/>
    </row>
    <row r="1131" spans="2:3" s="15" x14ac:dyDescent="0.35">
      <c r="B1131" s="65535"/>
      <c r="C1131" s="65535"/>
    </row>
    <row r="1132" spans="2:3" s="15" x14ac:dyDescent="0.35">
      <c r="B1132" s="65535"/>
      <c r="C1132" s="65535"/>
    </row>
    <row r="1133" spans="2:3" s="15" x14ac:dyDescent="0.35">
      <c r="B1133" s="65535"/>
      <c r="C1133" s="65535"/>
    </row>
    <row r="1134" spans="2:3" s="15" x14ac:dyDescent="0.35">
      <c r="B1134" s="65535"/>
      <c r="C1134" s="65535"/>
    </row>
    <row r="1135" spans="2:3" s="15" x14ac:dyDescent="0.35">
      <c r="B1135" s="65535"/>
      <c r="C1135" s="65535"/>
    </row>
    <row r="1136" spans="2:3" s="15" x14ac:dyDescent="0.35">
      <c r="B1136" s="65535"/>
      <c r="C1136" s="65535"/>
    </row>
    <row r="1137" spans="2:3" s="15" x14ac:dyDescent="0.35">
      <c r="B1137" s="65535"/>
      <c r="C1137" s="65535"/>
    </row>
    <row r="1138" spans="2:3" s="15" x14ac:dyDescent="0.35">
      <c r="B1138" s="65535"/>
      <c r="C1138" s="65535"/>
    </row>
    <row r="1139" spans="2:3" s="15" x14ac:dyDescent="0.35">
      <c r="B1139" s="65535"/>
      <c r="C1139" s="65535"/>
    </row>
    <row r="1140" spans="2:3" s="15" x14ac:dyDescent="0.35">
      <c r="B1140" s="65535"/>
      <c r="C1140" s="65535"/>
    </row>
    <row r="1141" spans="2:3" s="15" x14ac:dyDescent="0.35">
      <c r="B1141" s="65535"/>
      <c r="C1141" s="65535"/>
    </row>
    <row r="1142" spans="2:3" s="15" x14ac:dyDescent="0.35">
      <c r="B1142" s="65535"/>
      <c r="C1142" s="65535"/>
    </row>
    <row r="1143" spans="2:3" s="15" x14ac:dyDescent="0.35">
      <c r="B1143" s="65535"/>
      <c r="C1143" s="65535"/>
    </row>
    <row r="1144" spans="2:3" s="15" x14ac:dyDescent="0.35">
      <c r="B1144" s="65535"/>
      <c r="C1144" s="65535"/>
    </row>
    <row r="1145" spans="2:3" s="15" x14ac:dyDescent="0.35">
      <c r="B1145" s="65535"/>
      <c r="C1145" s="65535"/>
    </row>
    <row r="1146" spans="2:3" s="15" x14ac:dyDescent="0.35">
      <c r="B1146" s="65535"/>
      <c r="C1146" s="65535"/>
    </row>
    <row r="1147" spans="2:3" s="15" x14ac:dyDescent="0.35">
      <c r="B1147" s="65535"/>
      <c r="C1147" s="65535"/>
    </row>
    <row r="1148" spans="2:3" s="15" x14ac:dyDescent="0.35">
      <c r="B1148" s="65535"/>
      <c r="C1148" s="65535"/>
    </row>
    <row r="1149" spans="2:3" s="15" x14ac:dyDescent="0.35">
      <c r="B1149" s="65535"/>
      <c r="C1149" s="65535"/>
    </row>
    <row r="1150" spans="2:3" s="15" x14ac:dyDescent="0.35">
      <c r="B1150" s="65535"/>
      <c r="C1150" s="65535"/>
    </row>
    <row r="1151" spans="2:3" s="15" x14ac:dyDescent="0.35">
      <c r="B1151" s="65535"/>
      <c r="C1151" s="65535"/>
    </row>
    <row r="1152" spans="2:3" s="15" x14ac:dyDescent="0.35">
      <c r="B1152" s="65535"/>
      <c r="C1152" s="65535"/>
    </row>
    <row r="1153" spans="2:3" s="15" x14ac:dyDescent="0.35">
      <c r="B1153" s="65535"/>
      <c r="C1153" s="65535"/>
    </row>
    <row r="1154" spans="2:3" s="15" x14ac:dyDescent="0.35">
      <c r="B1154" s="65535"/>
      <c r="C1154" s="65535"/>
    </row>
    <row r="1155" spans="2:3" s="15" x14ac:dyDescent="0.35">
      <c r="B1155" s="65535"/>
      <c r="C1155" s="65535"/>
    </row>
    <row r="1156" spans="2:3" s="15" x14ac:dyDescent="0.35">
      <c r="B1156" s="65535"/>
      <c r="C1156" s="65535"/>
    </row>
    <row r="1157" spans="2:3" s="15" x14ac:dyDescent="0.35">
      <c r="B1157" s="65535"/>
      <c r="C1157" s="65535"/>
    </row>
    <row r="1158" spans="2:3" s="15" x14ac:dyDescent="0.35">
      <c r="B1158" s="65535"/>
      <c r="C1158" s="65535"/>
    </row>
    <row r="1159" spans="2:3" s="15" x14ac:dyDescent="0.35">
      <c r="B1159" s="65535"/>
      <c r="C1159" s="65535"/>
    </row>
    <row r="1160" spans="2:3" s="15" x14ac:dyDescent="0.35">
      <c r="B1160" s="65535"/>
      <c r="C1160" s="65535"/>
    </row>
    <row r="1161" spans="2:3" s="15" x14ac:dyDescent="0.35">
      <c r="B1161" s="65535"/>
      <c r="C1161" s="65535"/>
    </row>
    <row r="1162" spans="2:3" s="15" x14ac:dyDescent="0.35">
      <c r="B1162" s="65535"/>
      <c r="C1162" s="65535"/>
    </row>
    <row r="1163" spans="2:3" s="15" x14ac:dyDescent="0.35">
      <c r="B1163" s="65535"/>
      <c r="C1163" s="65535"/>
    </row>
    <row r="1164" spans="2:3" s="15" x14ac:dyDescent="0.35">
      <c r="B1164" s="65535"/>
      <c r="C1164" s="65535"/>
    </row>
    <row r="1165" spans="2:3" s="15" x14ac:dyDescent="0.35">
      <c r="B1165" s="65535"/>
      <c r="C1165" s="65535"/>
    </row>
    <row r="1166" spans="2:3" s="15" x14ac:dyDescent="0.35">
      <c r="B1166" s="65535"/>
      <c r="C1166" s="65535"/>
    </row>
    <row r="1167" spans="2:3" s="15" x14ac:dyDescent="0.35">
      <c r="B1167" s="65535"/>
      <c r="C1167" s="65535"/>
    </row>
    <row r="1168" spans="2:3" s="15" x14ac:dyDescent="0.35">
      <c r="B1168" s="65535"/>
      <c r="C1168" s="65535"/>
    </row>
    <row r="1169" spans="2:3" s="15" x14ac:dyDescent="0.35">
      <c r="B1169" s="65535"/>
      <c r="C1169" s="65535"/>
    </row>
    <row r="1170" spans="2:3" s="15" x14ac:dyDescent="0.35">
      <c r="B1170" s="65535"/>
      <c r="C1170" s="65535"/>
    </row>
    <row r="1171" spans="2:3" s="15" x14ac:dyDescent="0.35">
      <c r="B1171" s="65535"/>
      <c r="C1171" s="65535"/>
    </row>
    <row r="1172" spans="2:3" s="15" x14ac:dyDescent="0.35">
      <c r="B1172" s="65535"/>
      <c r="C1172" s="65535"/>
    </row>
    <row r="1173" spans="2:3" s="15" x14ac:dyDescent="0.35">
      <c r="B1173" s="65535"/>
      <c r="C1173" s="65535"/>
    </row>
    <row r="1174" spans="2:3" s="15" x14ac:dyDescent="0.35">
      <c r="B1174" s="65535"/>
      <c r="C1174" s="65535"/>
    </row>
    <row r="1175" spans="2:3" s="15" x14ac:dyDescent="0.35">
      <c r="B1175" s="65535"/>
      <c r="C1175" s="65535"/>
    </row>
    <row r="1176" spans="2:3" s="15" x14ac:dyDescent="0.35">
      <c r="B1176" s="65535"/>
      <c r="C1176" s="65535"/>
    </row>
    <row r="1177" spans="2:3" s="15" x14ac:dyDescent="0.35">
      <c r="B1177" s="65535"/>
      <c r="C1177" s="65535"/>
    </row>
    <row r="1178" spans="2:3" s="15" x14ac:dyDescent="0.35">
      <c r="B1178" s="65535"/>
      <c r="C1178" s="65535"/>
    </row>
    <row r="1179" spans="2:3" s="15" x14ac:dyDescent="0.35">
      <c r="B1179" s="65535"/>
      <c r="C1179" s="65535"/>
    </row>
    <row r="1180" spans="2:3" s="15" x14ac:dyDescent="0.35">
      <c r="B1180" s="65535"/>
      <c r="C1180" s="65535"/>
    </row>
    <row r="1181" spans="2:3" s="15" x14ac:dyDescent="0.35">
      <c r="B1181" s="65535"/>
      <c r="C1181" s="65535"/>
    </row>
    <row r="1182" spans="2:3" s="15" x14ac:dyDescent="0.35">
      <c r="B1182" s="65535"/>
      <c r="C1182" s="65535"/>
    </row>
    <row r="1183" spans="2:3" s="15" x14ac:dyDescent="0.35">
      <c r="B1183" s="65535"/>
      <c r="C1183" s="65535"/>
    </row>
    <row r="1184" spans="2:3" s="15" x14ac:dyDescent="0.35">
      <c r="B1184" s="65535"/>
      <c r="C1184" s="65535"/>
    </row>
    <row r="1185" spans="2:3" s="15" x14ac:dyDescent="0.35">
      <c r="B1185" s="65535"/>
      <c r="C1185" s="65535"/>
    </row>
    <row r="1186" spans="2:3" s="15" x14ac:dyDescent="0.35">
      <c r="B1186" s="65535"/>
      <c r="C1186" s="65535"/>
    </row>
    <row r="1187" spans="2:3" s="15" x14ac:dyDescent="0.35">
      <c r="B1187" s="65535"/>
      <c r="C1187" s="65535"/>
    </row>
    <row r="1188" spans="2:3" s="15" x14ac:dyDescent="0.35">
      <c r="B1188" s="65535"/>
      <c r="C1188" s="65535"/>
    </row>
    <row r="1189" spans="2:3" s="15" x14ac:dyDescent="0.35">
      <c r="B1189" s="65535"/>
      <c r="C1189" s="65535"/>
    </row>
    <row r="1190" spans="2:3" s="15" x14ac:dyDescent="0.35">
      <c r="B1190" s="65535"/>
      <c r="C1190" s="65535"/>
    </row>
    <row r="1191" spans="2:3" s="15" x14ac:dyDescent="0.35">
      <c r="B1191" s="65535"/>
      <c r="C1191" s="65535"/>
    </row>
    <row r="1192" spans="2:3" s="15" x14ac:dyDescent="0.35">
      <c r="B1192" s="65535"/>
      <c r="C1192" s="65535"/>
    </row>
    <row r="1193" spans="2:3" s="15" x14ac:dyDescent="0.35">
      <c r="B1193" s="65535"/>
      <c r="C1193" s="65535"/>
    </row>
    <row r="1194" spans="2:3" s="15" x14ac:dyDescent="0.35">
      <c r="B1194" s="65535"/>
      <c r="C1194" s="65535"/>
    </row>
    <row r="1195" spans="2:3" s="15" x14ac:dyDescent="0.35">
      <c r="B1195" s="65535"/>
      <c r="C1195" s="65535"/>
    </row>
    <row r="1196" spans="2:3" s="15" x14ac:dyDescent="0.35">
      <c r="B1196" s="65535"/>
      <c r="C1196" s="65535"/>
    </row>
    <row r="1197" spans="2:3" s="15" x14ac:dyDescent="0.35">
      <c r="B1197" s="65535"/>
      <c r="C1197" s="65535"/>
    </row>
    <row r="1198" spans="2:3" s="15" x14ac:dyDescent="0.35">
      <c r="B1198" s="65535"/>
      <c r="C1198" s="65535"/>
    </row>
    <row r="1199" spans="2:3" s="15" x14ac:dyDescent="0.35">
      <c r="B1199" s="65535"/>
      <c r="C1199" s="65535"/>
    </row>
    <row r="1200" spans="2:3" s="15" x14ac:dyDescent="0.35">
      <c r="B1200" s="65535"/>
      <c r="C1200" s="65535"/>
    </row>
    <row r="1201" spans="2:3" s="15" x14ac:dyDescent="0.35">
      <c r="B1201" s="65535"/>
      <c r="C1201" s="65535"/>
    </row>
    <row r="1202" spans="2:3" s="15" x14ac:dyDescent="0.35">
      <c r="B1202" s="65535"/>
      <c r="C1202" s="65535"/>
    </row>
    <row r="1203" spans="2:3" s="15" x14ac:dyDescent="0.35">
      <c r="B1203" s="65535"/>
      <c r="C1203" s="65535"/>
    </row>
    <row r="1204" spans="2:3" s="15" x14ac:dyDescent="0.35">
      <c r="B1204" s="65535"/>
      <c r="C1204" s="65535"/>
    </row>
    <row r="1205" spans="2:3" s="15" x14ac:dyDescent="0.35">
      <c r="B1205" s="65535"/>
      <c r="C1205" s="65535"/>
    </row>
    <row r="1206" spans="2:3" s="15" x14ac:dyDescent="0.35">
      <c r="B1206" s="65535"/>
      <c r="C1206" s="65535"/>
    </row>
    <row r="1207" spans="2:3" s="15" x14ac:dyDescent="0.35">
      <c r="B1207" s="65535"/>
      <c r="C1207" s="65535"/>
    </row>
    <row r="1208" spans="2:3" s="15" x14ac:dyDescent="0.35">
      <c r="B1208" s="65535"/>
      <c r="C1208" s="65535"/>
    </row>
    <row r="1209" spans="2:3" s="15" x14ac:dyDescent="0.35">
      <c r="B1209" s="65535"/>
      <c r="C1209" s="65535"/>
    </row>
    <row r="1210" spans="2:3" s="15" x14ac:dyDescent="0.35">
      <c r="B1210" s="65535"/>
      <c r="C1210" s="65535"/>
    </row>
    <row r="1211" spans="2:3" s="15" x14ac:dyDescent="0.35">
      <c r="B1211" s="65535"/>
      <c r="C1211" s="65535"/>
    </row>
    <row r="1212" spans="2:3" s="15" x14ac:dyDescent="0.35">
      <c r="B1212" s="65535"/>
      <c r="C1212" s="65535"/>
    </row>
    <row r="1213" spans="2:3" s="15" x14ac:dyDescent="0.35">
      <c r="B1213" s="65535"/>
      <c r="C1213" s="65535"/>
    </row>
    <row r="1214" spans="2:3" s="15" x14ac:dyDescent="0.35">
      <c r="B1214" s="65535"/>
      <c r="C1214" s="65535"/>
    </row>
    <row r="1215" spans="2:3" s="15" x14ac:dyDescent="0.35">
      <c r="B1215" s="65535"/>
      <c r="C1215" s="65535"/>
    </row>
    <row r="1216" spans="2:3" s="15" x14ac:dyDescent="0.35">
      <c r="B1216" s="65535"/>
      <c r="C1216" s="65535"/>
    </row>
    <row r="1217" spans="2:3" s="15" x14ac:dyDescent="0.35">
      <c r="B1217" s="65535"/>
      <c r="C1217" s="65535"/>
    </row>
    <row r="1218" spans="2:3" s="15" x14ac:dyDescent="0.35">
      <c r="B1218" s="65535"/>
      <c r="C1218" s="65535"/>
    </row>
    <row r="1219" spans="2:3" s="15" x14ac:dyDescent="0.35">
      <c r="B1219" s="65535"/>
      <c r="C1219" s="65535"/>
    </row>
    <row r="1220" spans="2:3" s="15" x14ac:dyDescent="0.35">
      <c r="B1220" s="65535"/>
      <c r="C1220" s="65535"/>
    </row>
    <row r="1221" spans="2:3" s="15" x14ac:dyDescent="0.35">
      <c r="B1221" s="65535"/>
      <c r="C1221" s="65535"/>
    </row>
    <row r="1222" spans="2:3" s="15" x14ac:dyDescent="0.35">
      <c r="B1222" s="65535"/>
      <c r="C1222" s="65535"/>
    </row>
    <row r="1223" spans="2:3" s="15" x14ac:dyDescent="0.35">
      <c r="B1223" s="65535"/>
      <c r="C1223" s="65535"/>
    </row>
    <row r="1224" spans="2:3" s="15" x14ac:dyDescent="0.35">
      <c r="B1224" s="65535"/>
      <c r="C1224" s="65535"/>
    </row>
    <row r="1225" spans="2:3" s="15" x14ac:dyDescent="0.35">
      <c r="B1225" s="65535"/>
      <c r="C1225" s="65535"/>
    </row>
    <row r="1226" spans="2:3" s="15" x14ac:dyDescent="0.35">
      <c r="B1226" s="65535"/>
      <c r="C1226" s="65535"/>
    </row>
    <row r="1227" spans="2:3" s="15" x14ac:dyDescent="0.35">
      <c r="B1227" s="65535"/>
      <c r="C1227" s="65535"/>
    </row>
    <row r="1228" spans="2:3" s="15" x14ac:dyDescent="0.35">
      <c r="B1228" s="65535"/>
      <c r="C1228" s="65535"/>
    </row>
    <row r="1229" spans="2:3" s="15" x14ac:dyDescent="0.35">
      <c r="B1229" s="65535"/>
      <c r="C1229" s="65535"/>
    </row>
    <row r="1230" spans="2:3" s="15" x14ac:dyDescent="0.35">
      <c r="B1230" s="65535"/>
      <c r="C1230" s="65535"/>
    </row>
    <row r="1231" spans="2:3" s="15" x14ac:dyDescent="0.35">
      <c r="B1231" s="65535"/>
      <c r="C1231" s="65535"/>
    </row>
    <row r="1232" spans="2:3" s="15" x14ac:dyDescent="0.35">
      <c r="B1232" s="65535"/>
      <c r="C1232" s="65535"/>
    </row>
    <row r="1233" spans="2:3" s="15" x14ac:dyDescent="0.35">
      <c r="B1233" s="65535"/>
      <c r="C1233" s="65535"/>
    </row>
    <row r="1234" spans="2:3" s="15" x14ac:dyDescent="0.35">
      <c r="B1234" s="65535"/>
      <c r="C1234" s="65535"/>
    </row>
    <row r="1235" spans="2:3" s="15" x14ac:dyDescent="0.35">
      <c r="B1235" s="65535"/>
      <c r="C1235" s="65535"/>
    </row>
    <row r="1236" spans="2:3" s="15" x14ac:dyDescent="0.35">
      <c r="B1236" s="65535"/>
      <c r="C1236" s="65535"/>
    </row>
    <row r="1237" spans="2:3" s="15" x14ac:dyDescent="0.35">
      <c r="B1237" s="65535"/>
      <c r="C1237" s="65535"/>
    </row>
    <row r="1238" spans="2:3" s="15" x14ac:dyDescent="0.35">
      <c r="B1238" s="65535"/>
      <c r="C1238" s="65535"/>
    </row>
    <row r="1239" spans="2:3" s="15" x14ac:dyDescent="0.35">
      <c r="B1239" s="65535"/>
      <c r="C1239" s="65535"/>
    </row>
    <row r="1240" spans="2:3" s="15" x14ac:dyDescent="0.35">
      <c r="B1240" s="65535"/>
      <c r="C1240" s="65535"/>
    </row>
    <row r="1241" spans="2:3" s="15" x14ac:dyDescent="0.35">
      <c r="B1241" s="65535"/>
      <c r="C1241" s="65535"/>
    </row>
    <row r="1242" spans="2:3" s="15" x14ac:dyDescent="0.35">
      <c r="B1242" s="65535"/>
      <c r="C1242" s="65535"/>
    </row>
    <row r="1243" spans="2:3" s="15" x14ac:dyDescent="0.35">
      <c r="B1243" s="65535"/>
      <c r="C1243" s="65535"/>
    </row>
    <row r="1244" spans="2:3" s="15" x14ac:dyDescent="0.35">
      <c r="B1244" s="65535"/>
      <c r="C1244" s="65535"/>
    </row>
    <row r="1245" spans="2:3" s="15" x14ac:dyDescent="0.35">
      <c r="B1245" s="65535"/>
      <c r="C1245" s="65535"/>
    </row>
    <row r="1246" spans="2:3" s="15" x14ac:dyDescent="0.35">
      <c r="B1246" s="65535"/>
      <c r="C1246" s="65535"/>
    </row>
    <row r="1247" spans="2:3" s="15" x14ac:dyDescent="0.35">
      <c r="B1247" s="65535"/>
      <c r="C1247" s="65535"/>
    </row>
    <row r="1248" spans="2:3" s="15" x14ac:dyDescent="0.35">
      <c r="B1248" s="65535"/>
      <c r="C1248" s="65535"/>
    </row>
    <row r="1249" spans="2:3" s="15" x14ac:dyDescent="0.35">
      <c r="B1249" s="65535"/>
      <c r="C1249" s="65535"/>
    </row>
    <row r="1250" spans="2:3" s="15" x14ac:dyDescent="0.35">
      <c r="B1250" s="65535"/>
      <c r="C1250" s="65535"/>
    </row>
    <row r="1251" spans="2:3" s="15" x14ac:dyDescent="0.35">
      <c r="B1251" s="65535"/>
      <c r="C1251" s="65535"/>
    </row>
    <row r="1252" spans="2:3" s="15" x14ac:dyDescent="0.35">
      <c r="B1252" s="65535"/>
      <c r="C1252" s="65535"/>
    </row>
    <row r="1253" spans="2:3" s="15" x14ac:dyDescent="0.35">
      <c r="B1253" s="65535"/>
      <c r="C1253" s="65535"/>
    </row>
    <row r="1254" spans="2:3" s="15" x14ac:dyDescent="0.35">
      <c r="B1254" s="65535"/>
      <c r="C1254" s="65535"/>
    </row>
    <row r="1255" spans="2:3" s="15" x14ac:dyDescent="0.35">
      <c r="B1255" s="65535"/>
      <c r="C1255" s="65535"/>
    </row>
    <row r="1256" spans="2:3" s="15" x14ac:dyDescent="0.35">
      <c r="B1256" s="65535"/>
      <c r="C1256" s="65535"/>
    </row>
    <row r="1257" spans="2:3" s="15" x14ac:dyDescent="0.35">
      <c r="B1257" s="65535"/>
      <c r="C1257" s="65535"/>
    </row>
    <row r="1258" spans="2:3" s="15" x14ac:dyDescent="0.35">
      <c r="B1258" s="65535"/>
      <c r="C1258" s="65535"/>
    </row>
    <row r="1259" spans="2:3" s="15" x14ac:dyDescent="0.35">
      <c r="B1259" s="65535"/>
      <c r="C1259" s="65535"/>
    </row>
    <row r="1260" spans="2:3" s="15" x14ac:dyDescent="0.35">
      <c r="B1260" s="65535"/>
      <c r="C1260" s="65535"/>
    </row>
    <row r="1261" spans="2:3" s="15" x14ac:dyDescent="0.35">
      <c r="B1261" s="65535"/>
      <c r="C1261" s="65535"/>
    </row>
    <row r="1262" spans="2:3" s="15" x14ac:dyDescent="0.35">
      <c r="B1262" s="65535"/>
      <c r="C1262" s="65535"/>
    </row>
    <row r="1263" spans="2:3" s="15" x14ac:dyDescent="0.35">
      <c r="B1263" s="65535"/>
      <c r="C1263" s="65535"/>
    </row>
    <row r="1264" spans="2:3" s="15" x14ac:dyDescent="0.35">
      <c r="B1264" s="65535"/>
      <c r="C1264" s="65535"/>
    </row>
    <row r="1265" spans="2:3" s="15" x14ac:dyDescent="0.35">
      <c r="B1265" s="65535"/>
      <c r="C1265" s="65535"/>
    </row>
    <row r="1266" spans="2:3" s="15" x14ac:dyDescent="0.35">
      <c r="B1266" s="65535"/>
      <c r="C1266" s="65535"/>
    </row>
    <row r="1267" spans="2:3" s="15" x14ac:dyDescent="0.35">
      <c r="B1267" s="65535"/>
      <c r="C1267" s="65535"/>
    </row>
    <row r="1268" spans="2:3" s="15" x14ac:dyDescent="0.35">
      <c r="B1268" s="65535"/>
      <c r="C1268" s="65535"/>
    </row>
    <row r="1269" spans="2:3" s="15" x14ac:dyDescent="0.35">
      <c r="B1269" s="65535"/>
      <c r="C1269" s="65535"/>
    </row>
    <row r="1270" spans="2:3" s="15" x14ac:dyDescent="0.35">
      <c r="B1270" s="65535"/>
      <c r="C1270" s="65535"/>
    </row>
    <row r="1271" spans="2:3" s="15" x14ac:dyDescent="0.35">
      <c r="B1271" s="65535"/>
      <c r="C1271" s="65535"/>
    </row>
    <row r="1272" spans="2:3" s="15" x14ac:dyDescent="0.35">
      <c r="B1272" s="65535"/>
      <c r="C1272" s="65535"/>
    </row>
    <row r="1273" spans="2:3" s="15" x14ac:dyDescent="0.35">
      <c r="B1273" s="65535"/>
      <c r="C1273" s="65535"/>
    </row>
    <row r="1274" spans="2:3" s="15" x14ac:dyDescent="0.35">
      <c r="B1274" s="65535"/>
      <c r="C1274" s="65535"/>
    </row>
    <row r="1275" spans="2:3" s="15" x14ac:dyDescent="0.35">
      <c r="B1275" s="65535"/>
      <c r="C1275" s="65535"/>
    </row>
    <row r="1276" spans="2:3" s="15" x14ac:dyDescent="0.35">
      <c r="B1276" s="65535"/>
      <c r="C1276" s="65535"/>
    </row>
    <row r="1277" spans="2:3" s="15" x14ac:dyDescent="0.35">
      <c r="B1277" s="65535"/>
      <c r="C1277" s="65535"/>
    </row>
    <row r="1278" spans="2:3" s="15" x14ac:dyDescent="0.35">
      <c r="B1278" s="65535"/>
      <c r="C1278" s="65535"/>
    </row>
    <row r="1279" spans="2:3" s="15" x14ac:dyDescent="0.35">
      <c r="B1279" s="65535"/>
      <c r="C1279" s="65535"/>
    </row>
    <row r="1280" spans="2:3" s="15" x14ac:dyDescent="0.35">
      <c r="B1280" s="65535"/>
      <c r="C1280" s="65535"/>
    </row>
    <row r="1281" spans="2:3" s="15" x14ac:dyDescent="0.35">
      <c r="B1281" s="65535"/>
      <c r="C1281" s="65535"/>
    </row>
    <row r="1282" spans="2:3" s="15" x14ac:dyDescent="0.35">
      <c r="B1282" s="65535"/>
      <c r="C1282" s="65535"/>
    </row>
    <row r="1283" spans="2:3" s="15" x14ac:dyDescent="0.35">
      <c r="B1283" s="65535"/>
      <c r="C1283" s="65535"/>
    </row>
    <row r="1284" spans="2:3" s="15" x14ac:dyDescent="0.35">
      <c r="B1284" s="65535"/>
      <c r="C1284" s="65535"/>
    </row>
    <row r="1285" spans="2:3" s="15" x14ac:dyDescent="0.35">
      <c r="B1285" s="65535"/>
      <c r="C1285" s="65535"/>
    </row>
    <row r="1286" spans="2:3" s="15" x14ac:dyDescent="0.35">
      <c r="B1286" s="65535"/>
      <c r="C1286" s="65535"/>
    </row>
    <row r="1287" spans="2:3" s="15" x14ac:dyDescent="0.35">
      <c r="B1287" s="65535"/>
      <c r="C1287" s="65535"/>
    </row>
    <row r="1288" spans="2:3" s="15" x14ac:dyDescent="0.35">
      <c r="B1288" s="65535"/>
      <c r="C1288" s="65535"/>
    </row>
    <row r="1289" spans="2:3" s="15" x14ac:dyDescent="0.35">
      <c r="B1289" s="65535"/>
      <c r="C1289" s="65535"/>
    </row>
    <row r="1290" spans="2:3" s="15" x14ac:dyDescent="0.35">
      <c r="B1290" s="65535"/>
      <c r="C1290" s="65535"/>
    </row>
    <row r="1291" spans="2:3" s="15" x14ac:dyDescent="0.35">
      <c r="B1291" s="65535"/>
      <c r="C1291" s="65535"/>
    </row>
    <row r="1292" spans="2:3" s="15" x14ac:dyDescent="0.35">
      <c r="B1292" s="65535"/>
      <c r="C1292" s="65535"/>
    </row>
    <row r="1293" spans="2:3" s="15" x14ac:dyDescent="0.35">
      <c r="B1293" s="65535"/>
      <c r="C1293" s="65535"/>
    </row>
    <row r="1294" spans="2:3" s="15" x14ac:dyDescent="0.35">
      <c r="B1294" s="65535"/>
      <c r="C1294" s="65535"/>
    </row>
    <row r="1295" spans="2:3" s="15" x14ac:dyDescent="0.35">
      <c r="B1295" s="65535"/>
      <c r="C1295" s="65535"/>
    </row>
    <row r="1296" spans="2:3" s="15" x14ac:dyDescent="0.35">
      <c r="B1296" s="65535"/>
      <c r="C1296" s="65535"/>
    </row>
    <row r="1297" spans="2:3" s="15" x14ac:dyDescent="0.35">
      <c r="B1297" s="65535"/>
      <c r="C1297" s="65535"/>
    </row>
    <row r="1298" spans="2:3" s="15" x14ac:dyDescent="0.35">
      <c r="B1298" s="65535"/>
      <c r="C1298" s="65535"/>
    </row>
    <row r="1299" spans="2:3" s="15" x14ac:dyDescent="0.35">
      <c r="B1299" s="65535"/>
      <c r="C1299" s="65535"/>
    </row>
    <row r="1300" spans="2:3" s="15" x14ac:dyDescent="0.35">
      <c r="B1300" s="65535"/>
      <c r="C1300" s="65535"/>
    </row>
    <row r="1301" spans="2:3" s="15" x14ac:dyDescent="0.35">
      <c r="B1301" s="65535"/>
      <c r="C1301" s="65535"/>
    </row>
    <row r="1302" spans="2:3" s="15" x14ac:dyDescent="0.35">
      <c r="B1302" s="65535"/>
      <c r="C1302" s="65535"/>
    </row>
    <row r="1303" spans="2:3" s="15" x14ac:dyDescent="0.35">
      <c r="B1303" s="65535"/>
      <c r="C1303" s="65535"/>
    </row>
    <row r="1304" spans="2:3" s="15" x14ac:dyDescent="0.35">
      <c r="B1304" s="65535"/>
      <c r="C1304" s="65535"/>
    </row>
    <row r="1305" spans="2:3" s="15" x14ac:dyDescent="0.35">
      <c r="B1305" s="65535"/>
      <c r="C1305" s="65535"/>
    </row>
    <row r="1306" spans="2:3" s="15" x14ac:dyDescent="0.35">
      <c r="B1306" s="65535"/>
      <c r="C1306" s="65535"/>
    </row>
    <row r="1307" spans="2:3" s="15" x14ac:dyDescent="0.35">
      <c r="B1307" s="65535"/>
      <c r="C1307" s="65535"/>
    </row>
    <row r="1308" spans="2:3" s="15" x14ac:dyDescent="0.35">
      <c r="B1308" s="65535"/>
      <c r="C1308" s="65535"/>
    </row>
    <row r="1309" spans="2:3" s="15" x14ac:dyDescent="0.35">
      <c r="B1309" s="65535"/>
      <c r="C1309" s="65535"/>
    </row>
    <row r="1310" spans="2:3" s="15" x14ac:dyDescent="0.35">
      <c r="B1310" s="65535"/>
      <c r="C1310" s="65535"/>
    </row>
    <row r="1311" spans="2:3" s="15" x14ac:dyDescent="0.35">
      <c r="B1311" s="65535"/>
      <c r="C1311" s="65535"/>
    </row>
    <row r="1312" spans="2:3" s="15" x14ac:dyDescent="0.35">
      <c r="B1312" s="65535"/>
      <c r="C1312" s="65535"/>
    </row>
    <row r="1313" spans="2:3" s="15" x14ac:dyDescent="0.35">
      <c r="B1313" s="65535"/>
      <c r="C1313" s="65535"/>
    </row>
    <row r="1314" spans="2:3" s="15" x14ac:dyDescent="0.35">
      <c r="B1314" s="65535"/>
      <c r="C1314" s="65535"/>
    </row>
    <row r="1315" spans="2:3" s="15" x14ac:dyDescent="0.35">
      <c r="B1315" s="65535"/>
      <c r="C1315" s="65535"/>
    </row>
    <row r="1316" spans="2:3" s="15" x14ac:dyDescent="0.35">
      <c r="B1316" s="65535"/>
      <c r="C1316" s="65535"/>
    </row>
    <row r="1317" spans="2:3" s="15" x14ac:dyDescent="0.35">
      <c r="B1317" s="65535"/>
      <c r="C1317" s="65535"/>
    </row>
    <row r="1318" spans="2:3" s="15" x14ac:dyDescent="0.35">
      <c r="B1318" s="65535"/>
      <c r="C1318" s="65535"/>
    </row>
    <row r="1319" spans="2:3" s="15" x14ac:dyDescent="0.35">
      <c r="B1319" s="65535"/>
      <c r="C1319" s="65535"/>
    </row>
    <row r="1320" spans="2:3" s="15" x14ac:dyDescent="0.35">
      <c r="B1320" s="65535"/>
      <c r="C1320" s="65535"/>
    </row>
    <row r="1321" spans="2:3" s="15" x14ac:dyDescent="0.35">
      <c r="B1321" s="65535"/>
      <c r="C1321" s="65535"/>
    </row>
    <row r="1322" spans="2:3" s="15" x14ac:dyDescent="0.35">
      <c r="B1322" s="65535"/>
      <c r="C1322" s="65535"/>
    </row>
    <row r="1323" spans="2:3" s="15" x14ac:dyDescent="0.35">
      <c r="B1323" s="65535"/>
      <c r="C1323" s="65535"/>
    </row>
    <row r="1324" spans="2:3" s="15" x14ac:dyDescent="0.35">
      <c r="B1324" s="65535"/>
      <c r="C1324" s="65535"/>
    </row>
    <row r="1325" spans="2:3" s="15" x14ac:dyDescent="0.35">
      <c r="B1325" s="65535"/>
      <c r="C1325" s="65535"/>
    </row>
    <row r="1326" spans="2:3" s="15" x14ac:dyDescent="0.35">
      <c r="B1326" s="65535"/>
      <c r="C1326" s="65535"/>
    </row>
    <row r="1327" spans="2:3" s="15" x14ac:dyDescent="0.35">
      <c r="B1327" s="65535"/>
      <c r="C1327" s="65535"/>
    </row>
    <row r="1328" spans="2:3" s="15" x14ac:dyDescent="0.35">
      <c r="B1328" s="65535"/>
      <c r="C1328" s="65535"/>
    </row>
    <row r="1329" spans="2:3" s="15" x14ac:dyDescent="0.35">
      <c r="B1329" s="65535"/>
      <c r="C1329" s="65535"/>
    </row>
    <row r="1330" spans="2:3" s="15" x14ac:dyDescent="0.35">
      <c r="B1330" s="65535"/>
      <c r="C1330" s="65535"/>
    </row>
    <row r="1331" spans="2:3" s="15" x14ac:dyDescent="0.35">
      <c r="B1331" s="65535"/>
      <c r="C1331" s="65535"/>
    </row>
    <row r="1332" spans="2:3" s="15" x14ac:dyDescent="0.35">
      <c r="B1332" s="65535"/>
      <c r="C1332" s="65535"/>
    </row>
    <row r="1333" spans="2:3" s="15" x14ac:dyDescent="0.35">
      <c r="B1333" s="65535"/>
      <c r="C1333" s="65535"/>
    </row>
    <row r="1334" spans="2:3" s="15" x14ac:dyDescent="0.35">
      <c r="B1334" s="65535"/>
      <c r="C1334" s="65535"/>
    </row>
    <row r="1335" spans="2:3" s="15" x14ac:dyDescent="0.35">
      <c r="B1335" s="65535"/>
      <c r="C1335" s="65535"/>
    </row>
    <row r="1336" spans="2:3" s="15" x14ac:dyDescent="0.35">
      <c r="B1336" s="65535"/>
      <c r="C1336" s="65535"/>
    </row>
    <row r="1337" spans="2:3" s="15" x14ac:dyDescent="0.35">
      <c r="B1337" s="65535"/>
      <c r="C1337" s="65535"/>
    </row>
    <row r="1338" spans="2:3" s="15" x14ac:dyDescent="0.35">
      <c r="B1338" s="65535"/>
      <c r="C1338" s="65535"/>
    </row>
    <row r="1339" spans="2:3" s="15" x14ac:dyDescent="0.35">
      <c r="B1339" s="65535"/>
      <c r="C1339" s="65535"/>
    </row>
    <row r="1340" spans="2:3" s="15" x14ac:dyDescent="0.35">
      <c r="B1340" s="65535"/>
      <c r="C1340" s="65535"/>
    </row>
    <row r="1341" spans="2:3" s="15" x14ac:dyDescent="0.35">
      <c r="B1341" s="65535"/>
      <c r="C1341" s="65535"/>
    </row>
    <row r="1342" spans="2:3" s="15" x14ac:dyDescent="0.35">
      <c r="B1342" s="65535"/>
      <c r="C1342" s="65535"/>
    </row>
    <row r="1343" spans="2:3" s="15" x14ac:dyDescent="0.35">
      <c r="B1343" s="65535"/>
      <c r="C1343" s="65535"/>
    </row>
    <row r="1344" spans="2:3" s="15" x14ac:dyDescent="0.35">
      <c r="B1344" s="65535"/>
      <c r="C1344" s="65535"/>
    </row>
    <row r="1345" spans="2:3" s="15" x14ac:dyDescent="0.35">
      <c r="B1345" s="65535"/>
      <c r="C1345" s="65535"/>
    </row>
    <row r="1346" spans="2:3" s="15" x14ac:dyDescent="0.35">
      <c r="B1346" s="65535"/>
      <c r="C1346" s="65535"/>
    </row>
    <row r="1347" spans="2:3" s="15" x14ac:dyDescent="0.35">
      <c r="B1347" s="65535"/>
      <c r="C1347" s="65535"/>
    </row>
    <row r="1348" spans="2:3" s="15" x14ac:dyDescent="0.35">
      <c r="B1348" s="65535"/>
      <c r="C1348" s="65535"/>
    </row>
    <row r="1349" spans="2:3" s="15" x14ac:dyDescent="0.35">
      <c r="B1349" s="65535"/>
      <c r="C1349" s="65535"/>
    </row>
    <row r="1350" spans="2:3" s="15" x14ac:dyDescent="0.35">
      <c r="B1350" s="65535"/>
      <c r="C1350" s="65535"/>
    </row>
    <row r="1351" spans="2:3" s="15" x14ac:dyDescent="0.35">
      <c r="B1351" s="65535"/>
      <c r="C1351" s="65535"/>
    </row>
    <row r="1352" spans="2:3" s="15" x14ac:dyDescent="0.35">
      <c r="B1352" s="65535"/>
      <c r="C1352" s="65535"/>
    </row>
    <row r="1353" spans="2:3" s="15" x14ac:dyDescent="0.35">
      <c r="B1353" s="65535"/>
      <c r="C1353" s="65535"/>
    </row>
    <row r="1354" spans="2:3" s="15" x14ac:dyDescent="0.35">
      <c r="B1354" s="65535"/>
      <c r="C1354" s="65535"/>
    </row>
    <row r="1355" spans="2:3" s="15" x14ac:dyDescent="0.35">
      <c r="B1355" s="65535"/>
      <c r="C1355" s="65535"/>
    </row>
    <row r="1356" spans="2:3" s="15" x14ac:dyDescent="0.35">
      <c r="B1356" s="65535"/>
      <c r="C1356" s="65535"/>
    </row>
    <row r="1357" spans="2:3" s="15" x14ac:dyDescent="0.35">
      <c r="B1357" s="65535"/>
      <c r="C1357" s="65535"/>
    </row>
    <row r="1358" spans="2:3" s="15" x14ac:dyDescent="0.35">
      <c r="B1358" s="65535"/>
      <c r="C1358" s="65535"/>
    </row>
    <row r="1359" spans="2:3" s="15" x14ac:dyDescent="0.35">
      <c r="B1359" s="65535"/>
      <c r="C1359" s="65535"/>
    </row>
    <row r="1360" spans="2:3" s="15" x14ac:dyDescent="0.35">
      <c r="B1360" s="65535"/>
      <c r="C1360" s="65535"/>
    </row>
    <row r="1361" spans="2:3" s="15" x14ac:dyDescent="0.35">
      <c r="B1361" s="65535"/>
      <c r="C1361" s="65535"/>
    </row>
    <row r="1362" spans="2:3" s="15" x14ac:dyDescent="0.35">
      <c r="B1362" s="65535"/>
      <c r="C1362" s="65535"/>
    </row>
    <row r="1363" spans="2:3" s="15" x14ac:dyDescent="0.35">
      <c r="B1363" s="65535"/>
      <c r="C1363" s="65535"/>
    </row>
    <row r="1364" spans="2:3" s="15" x14ac:dyDescent="0.35">
      <c r="B1364" s="65535"/>
      <c r="C1364" s="65535"/>
    </row>
    <row r="1365" spans="2:3" s="15" x14ac:dyDescent="0.35">
      <c r="B1365" s="65535"/>
      <c r="C1365" s="65535"/>
    </row>
    <row r="1366" spans="2:3" s="15" x14ac:dyDescent="0.35">
      <c r="B1366" s="65535"/>
      <c r="C1366" s="65535"/>
    </row>
    <row r="1367" spans="2:3" s="15" x14ac:dyDescent="0.35">
      <c r="B1367" s="65535"/>
      <c r="C1367" s="65535"/>
    </row>
    <row r="1368" spans="2:3" s="15" x14ac:dyDescent="0.35">
      <c r="B1368" s="65535"/>
      <c r="C1368" s="65535"/>
    </row>
    <row r="1369" spans="2:3" s="15" x14ac:dyDescent="0.35">
      <c r="B1369" s="65535"/>
      <c r="C1369" s="65535"/>
    </row>
    <row r="1370" spans="2:3" s="15" x14ac:dyDescent="0.35">
      <c r="B1370" s="65535"/>
      <c r="C1370" s="65535"/>
    </row>
    <row r="1371" spans="2:3" s="15" x14ac:dyDescent="0.35">
      <c r="B1371" s="65535"/>
      <c r="C1371" s="65535"/>
    </row>
    <row r="1372" spans="2:3" s="15" x14ac:dyDescent="0.35">
      <c r="B1372" s="65535"/>
      <c r="C1372" s="65535"/>
    </row>
    <row r="1373" spans="2:3" s="15" x14ac:dyDescent="0.35">
      <c r="B1373" s="65535"/>
      <c r="C1373" s="65535"/>
    </row>
    <row r="1374" spans="2:3" s="15" x14ac:dyDescent="0.35">
      <c r="B1374" s="65535"/>
      <c r="C1374" s="65535"/>
    </row>
    <row r="1375" spans="2:3" s="15" x14ac:dyDescent="0.35">
      <c r="B1375" s="65535"/>
      <c r="C1375" s="65535"/>
    </row>
    <row r="1376" spans="2:3" s="15" x14ac:dyDescent="0.35">
      <c r="B1376" s="65535"/>
      <c r="C1376" s="65535"/>
    </row>
    <row r="1377" spans="2:3" s="15" x14ac:dyDescent="0.35">
      <c r="B1377" s="65535"/>
      <c r="C1377" s="65535"/>
    </row>
    <row r="1378" spans="2:3" s="15" x14ac:dyDescent="0.35">
      <c r="B1378" s="65535"/>
      <c r="C1378" s="65535"/>
    </row>
    <row r="1379" spans="2:3" s="15" x14ac:dyDescent="0.35">
      <c r="B1379" s="65535"/>
      <c r="C1379" s="65535"/>
    </row>
    <row r="1380" spans="2:3" s="15" x14ac:dyDescent="0.35">
      <c r="B1380" s="65535"/>
      <c r="C1380" s="65535"/>
    </row>
    <row r="1381" spans="2:3" s="15" x14ac:dyDescent="0.35">
      <c r="B1381" s="65535"/>
      <c r="C1381" s="65535"/>
    </row>
    <row r="1382" spans="2:3" s="15" x14ac:dyDescent="0.35">
      <c r="B1382" s="65535"/>
      <c r="C1382" s="65535"/>
    </row>
    <row r="1383" spans="2:3" s="15" x14ac:dyDescent="0.35">
      <c r="B1383" s="65535"/>
      <c r="C1383" s="65535"/>
    </row>
    <row r="1384" spans="2:3" s="15" x14ac:dyDescent="0.35">
      <c r="B1384" s="65535"/>
      <c r="C1384" s="65535"/>
    </row>
    <row r="1385" spans="2:3" s="15" x14ac:dyDescent="0.35">
      <c r="B1385" s="65535"/>
      <c r="C1385" s="65535"/>
    </row>
    <row r="1386" spans="2:3" s="15" x14ac:dyDescent="0.35">
      <c r="B1386" s="65535"/>
      <c r="C1386" s="65535"/>
    </row>
    <row r="1387" spans="2:3" s="15" x14ac:dyDescent="0.35">
      <c r="B1387" s="65535"/>
      <c r="C1387" s="65535"/>
    </row>
    <row r="1388" spans="2:3" s="15" x14ac:dyDescent="0.35">
      <c r="B1388" s="65535"/>
      <c r="C1388" s="65535"/>
    </row>
    <row r="1389" spans="2:3" s="15" x14ac:dyDescent="0.35">
      <c r="B1389" s="65535"/>
      <c r="C1389" s="65535"/>
    </row>
    <row r="1390" spans="2:3" s="15" x14ac:dyDescent="0.35">
      <c r="B1390" s="65535"/>
      <c r="C1390" s="65535"/>
    </row>
    <row r="1391" spans="2:3" s="15" x14ac:dyDescent="0.35">
      <c r="B1391" s="65535"/>
      <c r="C1391" s="65535"/>
    </row>
    <row r="1392" spans="2:3" s="15" x14ac:dyDescent="0.35">
      <c r="B1392" s="65535"/>
      <c r="C1392" s="65535"/>
    </row>
    <row r="1393" spans="2:3" s="15" x14ac:dyDescent="0.35">
      <c r="B1393" s="65535"/>
      <c r="C1393" s="65535"/>
    </row>
    <row r="1394" spans="2:3" s="15" x14ac:dyDescent="0.35">
      <c r="B1394" s="65535"/>
      <c r="C1394" s="65535"/>
    </row>
    <row r="1395" spans="2:3" s="15" x14ac:dyDescent="0.35">
      <c r="B1395" s="65535"/>
      <c r="C1395" s="65535"/>
    </row>
    <row r="1396" spans="2:3" s="15" x14ac:dyDescent="0.35">
      <c r="B1396" s="65535"/>
      <c r="C1396" s="65535"/>
    </row>
    <row r="1397" spans="2:3" s="15" x14ac:dyDescent="0.35">
      <c r="B1397" s="65535"/>
      <c r="C1397" s="65535"/>
    </row>
    <row r="1398" spans="2:3" s="15" x14ac:dyDescent="0.35">
      <c r="B1398" s="65535"/>
      <c r="C1398" s="65535"/>
    </row>
    <row r="1399" spans="2:3" s="15" x14ac:dyDescent="0.35">
      <c r="B1399" s="65535"/>
      <c r="C1399" s="65535"/>
    </row>
    <row r="1400" spans="2:3" s="15" x14ac:dyDescent="0.35">
      <c r="B1400" s="65535"/>
      <c r="C1400" s="65535"/>
    </row>
    <row r="1401" spans="2:3" s="15" x14ac:dyDescent="0.35">
      <c r="B1401" s="65535"/>
      <c r="C1401" s="65535"/>
    </row>
    <row r="1402" spans="2:3" s="15" x14ac:dyDescent="0.35">
      <c r="B1402" s="65535"/>
      <c r="C1402" s="65535"/>
    </row>
    <row r="1403" spans="2:3" s="15" x14ac:dyDescent="0.35">
      <c r="B1403" s="65535"/>
      <c r="C1403" s="65535"/>
    </row>
    <row r="1404" spans="2:3" s="15" x14ac:dyDescent="0.35">
      <c r="B1404" s="65535"/>
      <c r="C1404" s="65535"/>
    </row>
    <row r="1405" spans="2:3" s="15" x14ac:dyDescent="0.35">
      <c r="B1405" s="65535"/>
      <c r="C1405" s="65535"/>
    </row>
    <row r="1406" spans="2:3" s="15" x14ac:dyDescent="0.35">
      <c r="B1406" s="65535"/>
      <c r="C1406" s="65535"/>
    </row>
    <row r="1407" spans="2:3" s="15" x14ac:dyDescent="0.35">
      <c r="B1407" s="65535"/>
      <c r="C1407" s="65535"/>
    </row>
    <row r="1408" spans="2:3" s="15" x14ac:dyDescent="0.35">
      <c r="B1408" s="65535"/>
      <c r="C1408" s="65535"/>
    </row>
    <row r="1409" spans="2:3" s="15" x14ac:dyDescent="0.35">
      <c r="B1409" s="65535"/>
      <c r="C1409" s="65535"/>
    </row>
    <row r="1410" spans="2:3" s="15" x14ac:dyDescent="0.35">
      <c r="B1410" s="65535"/>
      <c r="C1410" s="65535"/>
    </row>
    <row r="1411" spans="2:3" s="15" x14ac:dyDescent="0.35">
      <c r="B1411" s="65535"/>
      <c r="C1411" s="65535"/>
    </row>
    <row r="1412" spans="2:3" s="15" x14ac:dyDescent="0.35">
      <c r="B1412" s="65535"/>
      <c r="C1412" s="65535"/>
    </row>
    <row r="1413" spans="2:3" s="15" x14ac:dyDescent="0.35">
      <c r="B1413" s="65535"/>
      <c r="C1413" s="65535"/>
    </row>
    <row r="1414" spans="2:3" s="15" x14ac:dyDescent="0.35">
      <c r="B1414" s="65535"/>
      <c r="C1414" s="65535"/>
    </row>
    <row r="1415" spans="2:3" s="15" x14ac:dyDescent="0.35">
      <c r="B1415" s="65535"/>
      <c r="C1415" s="65535"/>
    </row>
    <row r="1416" spans="2:3" s="15" x14ac:dyDescent="0.35">
      <c r="B1416" s="65535"/>
      <c r="C1416" s="65535"/>
    </row>
    <row r="1417" spans="2:3" s="15" x14ac:dyDescent="0.35">
      <c r="B1417" s="65535"/>
      <c r="C1417" s="65535"/>
    </row>
    <row r="1418" spans="2:3" s="15" x14ac:dyDescent="0.35">
      <c r="B1418" s="65535"/>
      <c r="C1418" s="65535"/>
    </row>
    <row r="1419" spans="2:3" s="15" x14ac:dyDescent="0.35">
      <c r="B1419" s="65535"/>
      <c r="C1419" s="65535"/>
    </row>
    <row r="1420" spans="2:3" s="15" x14ac:dyDescent="0.35">
      <c r="B1420" s="65535"/>
      <c r="C1420" s="65535"/>
    </row>
    <row r="1421" spans="2:3" s="15" x14ac:dyDescent="0.35">
      <c r="B1421" s="65535"/>
      <c r="C1421" s="65535"/>
    </row>
    <row r="1422" spans="2:3" s="15" x14ac:dyDescent="0.35">
      <c r="B1422" s="65535"/>
      <c r="C1422" s="65535"/>
    </row>
    <row r="1423" spans="2:3" s="15" x14ac:dyDescent="0.35">
      <c r="B1423" s="65535"/>
      <c r="C1423" s="65535"/>
    </row>
    <row r="1424" spans="2:3" s="15" x14ac:dyDescent="0.35">
      <c r="B1424" s="65535"/>
      <c r="C1424" s="65535"/>
    </row>
    <row r="1425" spans="2:3" s="15" x14ac:dyDescent="0.35">
      <c r="B1425" s="65535"/>
      <c r="C1425" s="65535"/>
    </row>
    <row r="1426" spans="2:3" s="15" x14ac:dyDescent="0.35">
      <c r="B1426" s="65535"/>
      <c r="C1426" s="65535"/>
    </row>
    <row r="1427" spans="2:3" s="15" x14ac:dyDescent="0.35">
      <c r="B1427" s="65535"/>
      <c r="C1427" s="65535"/>
    </row>
    <row r="1428" spans="2:3" s="15" x14ac:dyDescent="0.35">
      <c r="B1428" s="65535"/>
      <c r="C1428" s="65535"/>
    </row>
    <row r="1429" spans="2:3" s="15" x14ac:dyDescent="0.35">
      <c r="B1429" s="65535"/>
      <c r="C1429" s="65535"/>
    </row>
    <row r="1430" spans="2:3" s="15" x14ac:dyDescent="0.35">
      <c r="B1430" s="65535"/>
      <c r="C1430" s="65535"/>
    </row>
    <row r="1431" spans="2:3" s="15" x14ac:dyDescent="0.35">
      <c r="B1431" s="65535"/>
      <c r="C1431" s="65535"/>
    </row>
    <row r="1432" spans="2:3" s="15" x14ac:dyDescent="0.35">
      <c r="B1432" s="65535"/>
      <c r="C1432" s="65535"/>
    </row>
    <row r="1433" spans="2:3" s="15" x14ac:dyDescent="0.35">
      <c r="B1433" s="65535"/>
      <c r="C1433" s="65535"/>
    </row>
    <row r="1434" spans="2:3" s="15" x14ac:dyDescent="0.35">
      <c r="B1434" s="65535"/>
      <c r="C1434" s="65535"/>
    </row>
    <row r="1435" spans="2:3" s="15" x14ac:dyDescent="0.35">
      <c r="B1435" s="65535"/>
      <c r="C1435" s="65535"/>
    </row>
    <row r="1436" spans="2:3" s="15" x14ac:dyDescent="0.35">
      <c r="B1436" s="65535"/>
      <c r="C1436" s="65535"/>
    </row>
    <row r="1437" spans="2:3" s="15" x14ac:dyDescent="0.35">
      <c r="B1437" s="65535"/>
      <c r="C1437" s="65535"/>
    </row>
    <row r="1438" spans="2:3" s="15" x14ac:dyDescent="0.35">
      <c r="B1438" s="65535"/>
      <c r="C1438" s="65535"/>
    </row>
    <row r="1439" spans="2:3" s="15" x14ac:dyDescent="0.35">
      <c r="B1439" s="65535"/>
      <c r="C1439" s="65535"/>
    </row>
    <row r="1440" spans="2:3" s="15" x14ac:dyDescent="0.35">
      <c r="B1440" s="65535"/>
      <c r="C1440" s="65535"/>
    </row>
    <row r="1441" spans="2:3" s="15" x14ac:dyDescent="0.35">
      <c r="B1441" s="65535"/>
      <c r="C1441" s="65535"/>
    </row>
    <row r="1442" spans="2:3" s="15" x14ac:dyDescent="0.35">
      <c r="B1442" s="65535"/>
      <c r="C1442" s="65535"/>
    </row>
    <row r="1443" spans="2:3" s="15" x14ac:dyDescent="0.35">
      <c r="B1443" s="65535"/>
      <c r="C1443" s="65535"/>
    </row>
    <row r="1444" spans="2:3" s="15" x14ac:dyDescent="0.35">
      <c r="B1444" s="65535"/>
      <c r="C1444" s="65535"/>
    </row>
    <row r="1445" spans="2:3" s="15" x14ac:dyDescent="0.35">
      <c r="B1445" s="65535"/>
      <c r="C1445" s="65535"/>
    </row>
    <row r="1446" spans="2:3" s="15" x14ac:dyDescent="0.35">
      <c r="B1446" s="65535"/>
      <c r="C1446" s="65535"/>
    </row>
    <row r="1447" spans="2:3" s="15" x14ac:dyDescent="0.35">
      <c r="B1447" s="65535"/>
      <c r="C1447" s="65535"/>
    </row>
    <row r="1448" spans="2:3" s="15" x14ac:dyDescent="0.35">
      <c r="B1448" s="65535"/>
      <c r="C1448" s="65535"/>
    </row>
    <row r="1449" spans="2:3" s="15" x14ac:dyDescent="0.35">
      <c r="B1449" s="65535"/>
      <c r="C1449" s="65535"/>
    </row>
    <row r="1450" spans="2:3" s="15" x14ac:dyDescent="0.35">
      <c r="B1450" s="65535"/>
      <c r="C1450" s="65535"/>
    </row>
    <row r="1451" spans="2:3" s="15" x14ac:dyDescent="0.35">
      <c r="B1451" s="65535"/>
      <c r="C1451" s="65535"/>
    </row>
    <row r="1452" spans="2:3" s="15" x14ac:dyDescent="0.35">
      <c r="B1452" s="65535"/>
      <c r="C1452" s="65535"/>
    </row>
    <row r="1453" spans="2:3" s="15" x14ac:dyDescent="0.35">
      <c r="B1453" s="65535"/>
      <c r="C1453" s="65535"/>
    </row>
    <row r="1454" spans="2:3" s="15" x14ac:dyDescent="0.35">
      <c r="B1454" s="65535"/>
      <c r="C1454" s="65535"/>
    </row>
    <row r="1455" spans="2:3" s="15" x14ac:dyDescent="0.35">
      <c r="B1455" s="65535"/>
      <c r="C1455" s="65535"/>
    </row>
    <row r="1456" spans="2:3" s="15" x14ac:dyDescent="0.35">
      <c r="B1456" s="65535"/>
      <c r="C1456" s="65535"/>
    </row>
    <row r="1457" spans="2:3" s="15" x14ac:dyDescent="0.35">
      <c r="B1457" s="65535"/>
      <c r="C1457" s="65535"/>
    </row>
    <row r="1458" spans="2:3" s="15" x14ac:dyDescent="0.35">
      <c r="B1458" s="65535"/>
      <c r="C1458" s="65535"/>
    </row>
    <row r="1459" spans="2:3" s="15" x14ac:dyDescent="0.35">
      <c r="B1459" s="65535"/>
      <c r="C1459" s="65535"/>
    </row>
    <row r="1460" spans="2:3" s="15" x14ac:dyDescent="0.35">
      <c r="B1460" s="65535"/>
      <c r="C1460" s="65535"/>
    </row>
    <row r="1461" spans="2:3" s="15" x14ac:dyDescent="0.35">
      <c r="B1461" s="65535"/>
      <c r="C1461" s="65535"/>
    </row>
    <row r="1462" spans="2:3" s="15" x14ac:dyDescent="0.35">
      <c r="B1462" s="65535"/>
      <c r="C1462" s="65535"/>
    </row>
    <row r="1463" spans="2:3" s="15" x14ac:dyDescent="0.35">
      <c r="B1463" s="65535"/>
      <c r="C1463" s="65535"/>
    </row>
    <row r="1464" spans="2:3" s="15" x14ac:dyDescent="0.35">
      <c r="B1464" s="65535"/>
      <c r="C1464" s="65535"/>
    </row>
    <row r="1465" spans="2:3" s="15" x14ac:dyDescent="0.35">
      <c r="B1465" s="65535"/>
      <c r="C1465" s="65535"/>
    </row>
    <row r="1466" spans="2:3" s="15" x14ac:dyDescent="0.35">
      <c r="B1466" s="65535"/>
      <c r="C1466" s="65535"/>
    </row>
    <row r="1467" spans="2:3" s="15" x14ac:dyDescent="0.35">
      <c r="B1467" s="65535"/>
      <c r="C1467" s="65535"/>
    </row>
    <row r="1468" spans="2:3" s="15" x14ac:dyDescent="0.35">
      <c r="B1468" s="65535"/>
      <c r="C1468" s="65535"/>
    </row>
    <row r="1469" spans="2:3" s="15" x14ac:dyDescent="0.35">
      <c r="B1469" s="65535"/>
      <c r="C1469" s="65535"/>
    </row>
    <row r="1470" spans="2:3" s="15" x14ac:dyDescent="0.35">
      <c r="B1470" s="65535"/>
      <c r="C1470" s="65535"/>
    </row>
    <row r="1471" spans="2:3" s="15" x14ac:dyDescent="0.35">
      <c r="B1471" s="65535"/>
      <c r="C1471" s="65535"/>
    </row>
    <row r="1472" spans="2:3" s="15" x14ac:dyDescent="0.35">
      <c r="B1472" s="65535"/>
      <c r="C1472" s="65535"/>
    </row>
    <row r="1473" spans="2:3" s="15" x14ac:dyDescent="0.35">
      <c r="B1473" s="65535"/>
      <c r="C1473" s="65535"/>
    </row>
    <row r="1474" spans="2:3" s="15" x14ac:dyDescent="0.35">
      <c r="B1474" s="65535"/>
      <c r="C1474" s="65535"/>
    </row>
    <row r="1475" spans="2:3" s="15" x14ac:dyDescent="0.35">
      <c r="B1475" s="65535"/>
      <c r="C1475" s="65535"/>
    </row>
    <row r="1476" spans="2:3" s="15" x14ac:dyDescent="0.35">
      <c r="B1476" s="65535"/>
      <c r="C1476" s="65535"/>
    </row>
    <row r="1477" spans="2:3" s="15" x14ac:dyDescent="0.35">
      <c r="B1477" s="65535"/>
      <c r="C1477" s="65535"/>
    </row>
    <row r="1478" spans="2:3" s="15" x14ac:dyDescent="0.35">
      <c r="B1478" s="65535"/>
      <c r="C1478" s="65535"/>
    </row>
    <row r="1479" spans="2:3" s="15" x14ac:dyDescent="0.35">
      <c r="B1479" s="65535"/>
      <c r="C1479" s="65535"/>
    </row>
    <row r="1480" spans="2:3" s="15" x14ac:dyDescent="0.35">
      <c r="B1480" s="65535"/>
      <c r="C1480" s="65535"/>
    </row>
    <row r="1481" spans="2:3" s="15" x14ac:dyDescent="0.35">
      <c r="B1481" s="65535"/>
      <c r="C1481" s="65535"/>
    </row>
    <row r="1482" spans="2:3" s="15" x14ac:dyDescent="0.35">
      <c r="B1482" s="65535"/>
      <c r="C1482" s="65535"/>
    </row>
    <row r="1483" spans="2:3" s="15" x14ac:dyDescent="0.35">
      <c r="B1483" s="65535"/>
      <c r="C1483" s="65535"/>
    </row>
    <row r="1484" spans="2:3" s="15" x14ac:dyDescent="0.35">
      <c r="B1484" s="65535"/>
      <c r="C1484" s="65535"/>
    </row>
    <row r="1485" spans="2:3" s="15" x14ac:dyDescent="0.35">
      <c r="B1485" s="65535"/>
      <c r="C1485" s="65535"/>
    </row>
    <row r="1486" spans="2:3" s="15" x14ac:dyDescent="0.35">
      <c r="B1486" s="65535"/>
      <c r="C1486" s="65535"/>
    </row>
    <row r="1487" spans="2:3" s="15" x14ac:dyDescent="0.35">
      <c r="B1487" s="65535"/>
      <c r="C1487" s="65535"/>
    </row>
    <row r="1488" spans="2:3" s="15" x14ac:dyDescent="0.35">
      <c r="B1488" s="65535"/>
      <c r="C1488" s="65535"/>
    </row>
    <row r="1489" spans="2:3" s="15" x14ac:dyDescent="0.35">
      <c r="B1489" s="65535"/>
      <c r="C1489" s="65535"/>
    </row>
    <row r="1490" spans="2:3" s="15" x14ac:dyDescent="0.35">
      <c r="B1490" s="65535"/>
      <c r="C1490" s="65535"/>
    </row>
    <row r="1491" spans="2:3" s="15" x14ac:dyDescent="0.35">
      <c r="B1491" s="65535"/>
      <c r="C1491" s="65535"/>
    </row>
    <row r="1492" spans="2:3" s="15" x14ac:dyDescent="0.35">
      <c r="B1492" s="65535"/>
      <c r="C1492" s="65535"/>
    </row>
    <row r="1493" spans="2:3" s="15" x14ac:dyDescent="0.35">
      <c r="B1493" s="65535"/>
      <c r="C1493" s="65535"/>
    </row>
    <row r="1494" spans="2:3" s="15" x14ac:dyDescent="0.35">
      <c r="B1494" s="65535"/>
      <c r="C1494" s="65535"/>
    </row>
    <row r="1495" spans="2:3" s="15" x14ac:dyDescent="0.35">
      <c r="B1495" s="65535"/>
      <c r="C1495" s="65535"/>
    </row>
    <row r="1496" spans="2:3" s="15" x14ac:dyDescent="0.35">
      <c r="B1496" s="65535"/>
      <c r="C1496" s="65535"/>
    </row>
    <row r="1497" spans="2:3" s="15" x14ac:dyDescent="0.35">
      <c r="B1497" s="65535"/>
      <c r="C1497" s="65535"/>
    </row>
    <row r="1498" spans="2:3" s="15" x14ac:dyDescent="0.35">
      <c r="B1498" s="65535"/>
      <c r="C1498" s="65535"/>
    </row>
    <row r="1499" spans="2:3" s="15" x14ac:dyDescent="0.35">
      <c r="B1499" s="65535"/>
      <c r="C1499" s="65535"/>
    </row>
    <row r="1500" spans="2:3" s="15" x14ac:dyDescent="0.35">
      <c r="B1500" s="65535"/>
      <c r="C1500" s="65535"/>
    </row>
    <row r="1501" spans="2:3" s="15" x14ac:dyDescent="0.35">
      <c r="B1501" s="65535"/>
      <c r="C1501" s="65535"/>
    </row>
    <row r="1502" spans="2:3" s="15" x14ac:dyDescent="0.35">
      <c r="B1502" s="65535"/>
      <c r="C1502" s="65535"/>
    </row>
    <row r="1503" spans="2:3" s="15" x14ac:dyDescent="0.35">
      <c r="B1503" s="65535"/>
      <c r="C1503" s="65535"/>
    </row>
    <row r="1504" spans="2:3" s="15" x14ac:dyDescent="0.35">
      <c r="B1504" s="65535"/>
      <c r="C1504" s="65535"/>
    </row>
    <row r="1505" spans="2:3" s="15" x14ac:dyDescent="0.35">
      <c r="B1505" s="65535"/>
      <c r="C1505" s="65535"/>
    </row>
    <row r="1506" spans="2:3" s="15" x14ac:dyDescent="0.35">
      <c r="B1506" s="65535"/>
      <c r="C1506" s="65535"/>
    </row>
    <row r="1507" spans="2:3" s="15" x14ac:dyDescent="0.35">
      <c r="B1507" s="65535"/>
      <c r="C1507" s="65535"/>
    </row>
    <row r="1508" spans="2:3" s="15" x14ac:dyDescent="0.35">
      <c r="B1508" s="65535"/>
      <c r="C1508" s="65535"/>
    </row>
    <row r="1509" spans="2:3" s="15" x14ac:dyDescent="0.35">
      <c r="B1509" s="65535"/>
      <c r="C1509" s="65535"/>
    </row>
    <row r="1510" spans="2:3" s="15" x14ac:dyDescent="0.35">
      <c r="B1510" s="65535"/>
      <c r="C1510" s="65535"/>
    </row>
    <row r="1511" spans="2:3" s="15" x14ac:dyDescent="0.35">
      <c r="B1511" s="65535"/>
      <c r="C1511" s="65535"/>
    </row>
    <row r="1512" spans="2:3" s="15" x14ac:dyDescent="0.35">
      <c r="B1512" s="65535"/>
      <c r="C1512" s="65535"/>
    </row>
    <row r="1513" spans="2:3" s="15" x14ac:dyDescent="0.35">
      <c r="B1513" s="65535"/>
      <c r="C1513" s="65535"/>
    </row>
    <row r="1514" spans="2:3" s="15" x14ac:dyDescent="0.35">
      <c r="B1514" s="65535"/>
      <c r="C1514" s="65535"/>
    </row>
    <row r="1515" spans="2:3" s="15" x14ac:dyDescent="0.35">
      <c r="B1515" s="65535"/>
      <c r="C1515" s="65535"/>
    </row>
    <row r="1516" spans="2:3" s="15" x14ac:dyDescent="0.35">
      <c r="B1516" s="65535"/>
      <c r="C1516" s="65535"/>
    </row>
    <row r="1517" spans="2:3" s="15" x14ac:dyDescent="0.35">
      <c r="B1517" s="65535"/>
      <c r="C1517" s="65535"/>
    </row>
    <row r="1518" spans="2:3" s="15" x14ac:dyDescent="0.35">
      <c r="B1518" s="65535"/>
      <c r="C1518" s="65535"/>
    </row>
    <row r="1519" spans="2:3" s="15" x14ac:dyDescent="0.35">
      <c r="B1519" s="65535"/>
      <c r="C1519" s="65535"/>
    </row>
    <row r="1520" spans="2:3" s="15" x14ac:dyDescent="0.35">
      <c r="B1520" s="65535"/>
      <c r="C1520" s="65535"/>
    </row>
    <row r="1521" spans="2:3" s="15" x14ac:dyDescent="0.35">
      <c r="B1521" s="65535"/>
      <c r="C1521" s="65535"/>
    </row>
    <row r="1522" spans="2:3" s="15" x14ac:dyDescent="0.35">
      <c r="B1522" s="65535"/>
      <c r="C1522" s="65535"/>
    </row>
    <row r="1523" spans="2:3" s="15" x14ac:dyDescent="0.35">
      <c r="B1523" s="65535"/>
      <c r="C1523" s="65535"/>
    </row>
    <row r="1524" spans="2:3" s="15" x14ac:dyDescent="0.35">
      <c r="B1524" s="65535"/>
      <c r="C1524" s="65535"/>
    </row>
    <row r="1525" spans="2:3" s="15" x14ac:dyDescent="0.35">
      <c r="B1525" s="65535"/>
      <c r="C1525" s="65535"/>
    </row>
    <row r="1526" spans="2:3" s="15" x14ac:dyDescent="0.35">
      <c r="B1526" s="65535"/>
      <c r="C1526" s="65535"/>
    </row>
    <row r="1527" spans="2:3" s="15" x14ac:dyDescent="0.35">
      <c r="B1527" s="65535"/>
      <c r="C1527" s="65535"/>
    </row>
    <row r="1528" spans="2:3" s="15" x14ac:dyDescent="0.35">
      <c r="B1528" s="65535"/>
      <c r="C1528" s="65535"/>
    </row>
    <row r="1529" spans="2:3" s="15" x14ac:dyDescent="0.35">
      <c r="B1529" s="65535"/>
      <c r="C1529" s="65535"/>
    </row>
    <row r="1530" spans="2:3" s="15" x14ac:dyDescent="0.35">
      <c r="B1530" s="65535"/>
      <c r="C1530" s="65535"/>
    </row>
    <row r="1531" spans="2:3" s="15" x14ac:dyDescent="0.35">
      <c r="B1531" s="65535"/>
      <c r="C1531" s="65535"/>
    </row>
    <row r="1532" spans="2:3" s="15" x14ac:dyDescent="0.35">
      <c r="B1532" s="65535"/>
      <c r="C1532" s="65535"/>
    </row>
    <row r="1533" spans="2:3" s="15" x14ac:dyDescent="0.35">
      <c r="B1533" s="65535"/>
      <c r="C1533" s="65535"/>
    </row>
    <row r="1534" spans="2:3" s="15" x14ac:dyDescent="0.35">
      <c r="B1534" s="65535"/>
      <c r="C1534" s="65535"/>
    </row>
    <row r="1535" spans="2:3" s="15" x14ac:dyDescent="0.35">
      <c r="B1535" s="65535"/>
      <c r="C1535" s="65535"/>
    </row>
    <row r="1536" spans="2:3" s="15" x14ac:dyDescent="0.35">
      <c r="B1536" s="65535"/>
      <c r="C1536" s="65535"/>
    </row>
    <row r="1537" spans="2:3" s="15" x14ac:dyDescent="0.35">
      <c r="B1537" s="65535"/>
      <c r="C1537" s="65535"/>
    </row>
    <row r="1538" spans="2:3" s="15" x14ac:dyDescent="0.35">
      <c r="B1538" s="65535"/>
      <c r="C1538" s="65535"/>
    </row>
    <row r="1539" spans="2:3" s="15" x14ac:dyDescent="0.35">
      <c r="B1539" s="65535"/>
      <c r="C1539" s="65535"/>
    </row>
    <row r="1540" spans="2:3" s="15" x14ac:dyDescent="0.35">
      <c r="B1540" s="65535"/>
      <c r="C1540" s="65535"/>
    </row>
    <row r="1541" spans="2:3" s="15" x14ac:dyDescent="0.35">
      <c r="B1541" s="65535"/>
      <c r="C1541" s="65535"/>
    </row>
    <row r="1542" spans="2:3" s="15" x14ac:dyDescent="0.35">
      <c r="B1542" s="65535"/>
      <c r="C1542" s="65535"/>
    </row>
    <row r="1543" spans="2:3" s="15" x14ac:dyDescent="0.35">
      <c r="B1543" s="65535"/>
      <c r="C1543" s="65535"/>
    </row>
    <row r="1544" spans="2:3" s="15" x14ac:dyDescent="0.35">
      <c r="B1544" s="65535"/>
      <c r="C1544" s="65535"/>
    </row>
    <row r="1545" spans="2:3" s="15" x14ac:dyDescent="0.35">
      <c r="B1545" s="65535"/>
      <c r="C1545" s="65535"/>
    </row>
    <row r="1546" spans="2:3" s="15" x14ac:dyDescent="0.35">
      <c r="B1546" s="65535"/>
      <c r="C1546" s="65535"/>
    </row>
    <row r="1547" spans="2:3" s="15" x14ac:dyDescent="0.35">
      <c r="B1547" s="65535"/>
      <c r="C1547" s="65535"/>
    </row>
    <row r="1548" spans="2:3" s="15" x14ac:dyDescent="0.35">
      <c r="B1548" s="65535"/>
      <c r="C1548" s="65535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style="15" customWidth="1"/>
    <col min="3" max="3" width="48.453125" style="15" customWidth="1"/>
    <col min="4" max="6" width="0" style="15" hidden="1" customWidth="1"/>
    <col min="7" max="7" width="16.1796875" style="15" hidden="1" customWidth="1"/>
    <col min="8" max="8" width="13.81640625" style="15" hidden="1" customWidth="1"/>
    <col min="9" max="9" width="24.26953125" style="15" hidden="1" customWidth="1"/>
    <col min="10" max="10" width="13.7265625" style="15" bestFit="1" customWidth="1"/>
    <col min="11" max="11" width="13" style="15" customWidth="1"/>
    <col min="12" max="12" width="11.1796875" style="15" bestFit="1" customWidth="1"/>
  </cols>
  <sheetData>
    <row r="1" spans="1:14" s="15" ht="35.25" customHeight="1" x14ac:dyDescent="0.35">
      <c r="A1" s="65535" t="s">
        <v>572</v>
      </c>
      <c r="B1" s="65535" t="s">
        <v>1</v>
      </c>
      <c r="C1" s="65535" t="s">
        <v>573</v>
      </c>
      <c r="D1" s="65535" t="s">
        <v>3</v>
      </c>
      <c r="E1" s="65535" t="s">
        <v>4</v>
      </c>
      <c r="F1" s="65535" t="s">
        <v>5</v>
      </c>
      <c r="G1" s="65535" t="s">
        <v>6</v>
      </c>
      <c r="H1" s="65535" t="s">
        <v>7</v>
      </c>
      <c r="I1" s="65535" t="s">
        <v>8</v>
      </c>
      <c r="J1" s="65535" t="s">
        <v>574</v>
      </c>
      <c r="K1" s="65535" t="s">
        <v>575</v>
      </c>
      <c r="L1" s="65535" t="s">
        <v>576</v>
      </c>
      <c r="M1" s="65535" t="s">
        <v>577</v>
      </c>
    </row>
    <row r="2" spans="1:14" s="15" x14ac:dyDescent="0.35">
      <c r="A2" s="503">
        <v>100023426</v>
      </c>
      <c r="B2" s="504">
        <v>75079956</v>
      </c>
      <c r="C2" s="503" t="s">
        <v>444</v>
      </c>
      <c r="D2" s="503" t="s">
        <v>44</v>
      </c>
      <c r="E2" s="503" t="s">
        <v>33</v>
      </c>
      <c r="F2" s="503" t="s">
        <v>41</v>
      </c>
      <c r="G2" s="503" t="s">
        <v>35</v>
      </c>
      <c r="H2" s="502" t="s">
        <v>36</v>
      </c>
      <c r="I2" s="502" t="s">
        <v>109</v>
      </c>
      <c r="J2" s="65535">
        <f>VLOOKUP(A2,Catálogo!A:B,2,0)</f>
        <v>67215.28</v>
      </c>
      <c r="K2" s="65535">
        <f>VLOOKUP(A2,Catálogo!A:C,3,0)</f>
        <v>1066</v>
      </c>
      <c r="L2" s="65535">
        <f>VLOOKUP(A2,Catálogo!A:D,4,0)</f>
        <v>49.448200000000014</v>
      </c>
      <c r="M2" s="506">
        <f t="shared" ref="M2:M7" si="0">J2/L2</f>
        <v>1359.3069110705744</v>
      </c>
      <c r="N2" s="15" t="str">
        <f>VLOOKUP(A2,[2]Hoja1!$B:$D,3,0)</f>
        <v>Devolución 2024 PMI</v>
      </c>
    </row>
    <row r="3" spans="1:14" s="15" x14ac:dyDescent="0.35">
      <c r="A3" s="502">
        <v>100024134</v>
      </c>
      <c r="B3" s="505">
        <v>75006587</v>
      </c>
      <c r="C3" s="502" t="s">
        <v>170</v>
      </c>
      <c r="D3" s="503" t="s">
        <v>11</v>
      </c>
      <c r="E3" s="503" t="s">
        <v>33</v>
      </c>
      <c r="F3" s="503" t="s">
        <v>39</v>
      </c>
      <c r="G3" s="503" t="s">
        <v>75</v>
      </c>
      <c r="H3" s="502" t="s">
        <v>70</v>
      </c>
      <c r="I3" s="502" t="s">
        <v>109</v>
      </c>
      <c r="J3" s="65535">
        <f>VLOOKUP(A3,Catálogo!A:B,2,0)</f>
        <v>48812.000000000022</v>
      </c>
      <c r="K3" s="65535">
        <f>VLOOKUP(A3,Catálogo!A:C,3,0)</f>
        <v>677</v>
      </c>
      <c r="L3" s="65535">
        <f>VLOOKUP(A3,Catálogo!A:D,4,0)</f>
        <v>33.552300000000002</v>
      </c>
      <c r="M3" s="506">
        <f t="shared" si="0"/>
        <v>1454.8033964884678</v>
      </c>
      <c r="N3" s="15" t="str">
        <f>VLOOKUP(A3,[2]Hoja1!$B:$D,3,0)</f>
        <v>Descontinuado PMI</v>
      </c>
    </row>
    <row r="4" spans="1:14" s="15" x14ac:dyDescent="0.35">
      <c r="A4" s="503">
        <v>100023684</v>
      </c>
      <c r="B4" s="505">
        <v>75006952</v>
      </c>
      <c r="C4" s="503" t="s">
        <v>319</v>
      </c>
      <c r="D4" s="503" t="s">
        <v>11</v>
      </c>
      <c r="E4" s="503" t="s">
        <v>33</v>
      </c>
      <c r="F4" s="503" t="s">
        <v>39</v>
      </c>
      <c r="G4" s="503" t="s">
        <v>75</v>
      </c>
      <c r="H4" s="502" t="s">
        <v>70</v>
      </c>
      <c r="I4" s="502" t="s">
        <v>109</v>
      </c>
      <c r="J4" s="65535">
        <f>VLOOKUP(A4,Catálogo!A:B,2,0)</f>
        <v>45466.620000000017</v>
      </c>
      <c r="K4" s="65535">
        <f>VLOOKUP(A4,Catálogo!A:C,3,0)</f>
        <v>664</v>
      </c>
      <c r="L4" s="65535">
        <f>VLOOKUP(A4,Catálogo!A:D,4,0)</f>
        <v>73.097999999999999</v>
      </c>
      <c r="M4" s="506">
        <f t="shared" si="0"/>
        <v>621.99540343101069</v>
      </c>
      <c r="N4" s="15" t="str">
        <f>VLOOKUP(A4,[2]Hoja1!$B:$D,3,0)</f>
        <v>Devoluciones Terea</v>
      </c>
    </row>
    <row r="5" spans="1:14" s="15" x14ac:dyDescent="0.35">
      <c r="A5" s="503">
        <v>100023680</v>
      </c>
      <c r="B5" s="505">
        <v>75032777</v>
      </c>
      <c r="C5" s="503" t="s">
        <v>321</v>
      </c>
      <c r="D5" s="503" t="s">
        <v>11</v>
      </c>
      <c r="E5" s="503" t="s">
        <v>33</v>
      </c>
      <c r="F5" s="503" t="s">
        <v>39</v>
      </c>
      <c r="G5" s="503" t="s">
        <v>75</v>
      </c>
      <c r="H5" s="502" t="s">
        <v>70</v>
      </c>
      <c r="I5" s="502" t="s">
        <v>109</v>
      </c>
      <c r="J5" s="65535">
        <f>VLOOKUP(A5,Catálogo!A:B,2,0)</f>
        <v>35041.860000000015</v>
      </c>
      <c r="K5" s="65535">
        <f>VLOOKUP(A5,Catálogo!A:C,3,0)</f>
        <v>504</v>
      </c>
      <c r="L5" s="65535">
        <f>VLOOKUP(A5,Catálogo!A:D,4,0)</f>
        <v>84.323799999999991</v>
      </c>
      <c r="M5" s="506">
        <f t="shared" si="0"/>
        <v>415.5631031808341</v>
      </c>
      <c r="N5" s="15" t="str">
        <f>VLOOKUP(A5,[2]Hoja1!$B:$D,3,0)</f>
        <v>Devoluciones Terea</v>
      </c>
    </row>
    <row r="6" spans="1:14" s="15" x14ac:dyDescent="0.35">
      <c r="A6" s="503">
        <v>100023683</v>
      </c>
      <c r="B6" s="505">
        <v>75006341</v>
      </c>
      <c r="C6" s="503" t="s">
        <v>320</v>
      </c>
      <c r="D6" s="503" t="s">
        <v>11</v>
      </c>
      <c r="E6" s="503" t="s">
        <v>33</v>
      </c>
      <c r="F6" s="503" t="s">
        <v>39</v>
      </c>
      <c r="G6" s="503" t="s">
        <v>75</v>
      </c>
      <c r="H6" s="502" t="s">
        <v>70</v>
      </c>
      <c r="I6" s="502" t="s">
        <v>109</v>
      </c>
      <c r="J6" s="65535">
        <f>VLOOKUP(A6,Catálogo!A:B,2,0)</f>
        <v>21145.559999999987</v>
      </c>
      <c r="K6" s="65535">
        <f>VLOOKUP(A6,Catálogo!A:C,3,0)</f>
        <v>302</v>
      </c>
      <c r="L6" s="65535">
        <f>VLOOKUP(A6,Catálogo!A:D,4,0)</f>
        <v>24.137800000000002</v>
      </c>
      <c r="M6" s="506">
        <f t="shared" si="0"/>
        <v>876.03509847624821</v>
      </c>
      <c r="N6" s="15" t="str">
        <f>VLOOKUP(A6,[2]Hoja1!$B:$D,3,0)</f>
        <v>Devoluciones Terea</v>
      </c>
    </row>
    <row r="7" spans="1:14" s="15" x14ac:dyDescent="0.35">
      <c r="A7" s="503">
        <v>100023422</v>
      </c>
      <c r="B7" s="504">
        <v>75079901</v>
      </c>
      <c r="C7" s="503" t="s">
        <v>442</v>
      </c>
      <c r="D7" s="503" t="s">
        <v>44</v>
      </c>
      <c r="E7" s="503" t="s">
        <v>33</v>
      </c>
      <c r="F7" s="503" t="s">
        <v>39</v>
      </c>
      <c r="G7" s="503" t="s">
        <v>35</v>
      </c>
      <c r="H7" s="502" t="s">
        <v>36</v>
      </c>
      <c r="I7" s="502" t="s">
        <v>109</v>
      </c>
      <c r="J7" s="65535">
        <f>VLOOKUP(A7,Catálogo!A:B,2,0)</f>
        <v>-222469.03000000003</v>
      </c>
      <c r="K7" s="65535">
        <f>VLOOKUP(A7,Catálogo!A:C,3,0)</f>
        <v>-2823</v>
      </c>
      <c r="L7" s="65535">
        <f>VLOOKUP(A7,Catálogo!A:D,4,0)</f>
        <v>14.2971</v>
      </c>
      <c r="M7" s="506">
        <f t="shared" si="0"/>
        <v>-15560.430436941759</v>
      </c>
      <c r="N7" s="15" t="str">
        <f>VLOOKUP(A7,[2]Hoja1!$B:$D,3,0)</f>
        <v>Artículos In&amp;Out</v>
      </c>
    </row>
    <row r="8" spans="1:14" s="15" x14ac:dyDescent="0.35">
      <c r="A8" s="502">
        <v>100015174</v>
      </c>
      <c r="B8" s="502">
        <v>75067878</v>
      </c>
      <c r="C8" s="502" t="s">
        <v>458</v>
      </c>
      <c r="D8" s="503" t="s">
        <v>44</v>
      </c>
      <c r="E8" s="503" t="s">
        <v>33</v>
      </c>
      <c r="F8" s="65535" t="s">
        <v>39</v>
      </c>
      <c r="G8" s="65535" t="s">
        <v>54</v>
      </c>
      <c r="H8" s="502" t="s">
        <v>36</v>
      </c>
      <c r="I8" s="502" t="s">
        <v>109</v>
      </c>
      <c r="J8" s="65535">
        <f>VLOOKUP(A8,Catálogo!A:B,2,0)</f>
        <v>16123.659999999998</v>
      </c>
      <c r="K8" s="65535">
        <f>VLOOKUP(A8,Catálogo!A:C,3,0)</f>
        <v>215</v>
      </c>
      <c r="L8" s="65535">
        <f>VLOOKUP(A8,Catálogo!A:D,4,0)</f>
        <v>0</v>
      </c>
      <c r="M8" s="506"/>
      <c r="N8" s="15" t="str">
        <f>VLOOKUP(A8,[2]Hoja1!$B:$D,3,0)</f>
        <v>Descontinuado BAT</v>
      </c>
    </row>
    <row r="9" spans="1:14" s="15" x14ac:dyDescent="0.35">
      <c r="A9" s="502">
        <v>100021272</v>
      </c>
      <c r="B9" s="505">
        <v>7622100711049</v>
      </c>
      <c r="C9" s="502" t="s">
        <v>466</v>
      </c>
      <c r="D9" s="503" t="s">
        <v>11</v>
      </c>
      <c r="E9" s="503" t="s">
        <v>33</v>
      </c>
      <c r="F9" s="502" t="s">
        <v>239</v>
      </c>
      <c r="G9" s="503" t="s">
        <v>239</v>
      </c>
      <c r="H9" s="502" t="s">
        <v>70</v>
      </c>
      <c r="I9" s="502" t="s">
        <v>109</v>
      </c>
      <c r="J9" s="65535">
        <f>VLOOKUP(A9,Catálogo!A:B,2,0)</f>
        <v>9305.7100000000009</v>
      </c>
      <c r="K9" s="65535">
        <f>VLOOKUP(A9,Catálogo!A:C,3,0)</f>
        <v>298</v>
      </c>
      <c r="L9" s="65535">
        <f>VLOOKUP(A9,Catálogo!A:D,4,0)</f>
        <v>0</v>
      </c>
      <c r="M9" s="506" t="e">
        <f>J9/L9</f>
        <v>#DIV/0!</v>
      </c>
      <c r="N9" s="15" t="str">
        <f>VLOOKUP(A9,[2]Hoja1!$B:$D,3,0)</f>
        <v>Por devolver Iqos</v>
      </c>
    </row>
    <row r="10" spans="1:14" s="15" x14ac:dyDescent="0.35">
      <c r="A10" s="502">
        <v>100023423</v>
      </c>
      <c r="B10" s="502">
        <v>75079888</v>
      </c>
      <c r="C10" s="502" t="s">
        <v>441</v>
      </c>
      <c r="D10" s="502" t="s">
        <v>44</v>
      </c>
      <c r="E10" s="503" t="s">
        <v>33</v>
      </c>
      <c r="F10" s="502" t="s">
        <v>39</v>
      </c>
      <c r="G10" s="502" t="s">
        <v>58</v>
      </c>
      <c r="H10" s="502" t="s">
        <v>36</v>
      </c>
      <c r="I10" s="502" t="s">
        <v>109</v>
      </c>
      <c r="J10" s="65535">
        <f>VLOOKUP(A10,Catálogo!A:B,2,0)</f>
        <v>13128.560000000003</v>
      </c>
      <c r="K10" s="65535">
        <f>VLOOKUP(A10,Catálogo!A:C,3,0)</f>
        <v>170</v>
      </c>
      <c r="L10" s="65535">
        <f>VLOOKUP(A10,Catálogo!A:D,4,0)</f>
        <v>14.277899999999999</v>
      </c>
      <c r="M10" s="506">
        <f>J10/L10</f>
        <v>919.50216768572443</v>
      </c>
      <c r="N10" s="15" t="str">
        <f>VLOOKUP(A10,[2]Hoja1!$B:$D,3,0)</f>
        <v>Próxima devolución BAT (Ago 2025)</v>
      </c>
    </row>
    <row r="11" spans="1:14" s="15" x14ac:dyDescent="0.35">
      <c r="A11" s="502">
        <v>100015648</v>
      </c>
      <c r="B11" s="502">
        <v>75070588</v>
      </c>
      <c r="C11" s="502" t="s">
        <v>459</v>
      </c>
      <c r="D11" s="503" t="s">
        <v>44</v>
      </c>
      <c r="E11" s="503" t="s">
        <v>33</v>
      </c>
      <c r="F11" s="65535" t="s">
        <v>46</v>
      </c>
      <c r="G11" s="65535" t="s">
        <v>35</v>
      </c>
      <c r="H11" s="502" t="s">
        <v>36</v>
      </c>
      <c r="I11" s="502" t="s">
        <v>247</v>
      </c>
      <c r="J11" s="65535">
        <f>VLOOKUP(A11,Catálogo!A:B,2,0)</f>
        <v>11470.859999999995</v>
      </c>
      <c r="K11" s="65535">
        <f>VLOOKUP(A11,Catálogo!A:C,3,0)</f>
        <v>170</v>
      </c>
      <c r="L11" s="65535">
        <f>VLOOKUP(A11,Catálogo!A:D,4,0)</f>
        <v>16.810400000000001</v>
      </c>
      <c r="M11" s="506">
        <f>J11/L11</f>
        <v>682.36686812925302</v>
      </c>
      <c r="N11" s="15" t="str">
        <f>VLOOKUP(A11,[2]Hoja1!$B:$D,3,0)</f>
        <v>Próxima devolución BAT (Ago 2025)</v>
      </c>
    </row>
    <row r="12" spans="1:14" s="15" x14ac:dyDescent="0.35">
      <c r="A12" s="503">
        <v>100023424</v>
      </c>
      <c r="B12" s="504">
        <v>75079895</v>
      </c>
      <c r="C12" s="503" t="s">
        <v>443</v>
      </c>
      <c r="D12" s="503" t="s">
        <v>44</v>
      </c>
      <c r="E12" s="503" t="s">
        <v>33</v>
      </c>
      <c r="F12" s="503" t="s">
        <v>39</v>
      </c>
      <c r="G12" s="503" t="s">
        <v>35</v>
      </c>
      <c r="H12" s="502" t="s">
        <v>36</v>
      </c>
      <c r="I12" s="502" t="s">
        <v>109</v>
      </c>
      <c r="J12" s="65535">
        <f>VLOOKUP(A12,Catálogo!A:B,2,0)</f>
        <v>10811.630000000003</v>
      </c>
      <c r="K12" s="65535">
        <f>VLOOKUP(A12,Catálogo!A:C,3,0)</f>
        <v>141</v>
      </c>
      <c r="L12" s="65535">
        <f>VLOOKUP(A12,Catálogo!A:D,4,0)</f>
        <v>5.6879</v>
      </c>
      <c r="M12" s="506">
        <f>J12/L12</f>
        <v>1900.8122505669935</v>
      </c>
      <c r="N12" s="15" t="str">
        <f>VLOOKUP(A12,[2]Hoja1!$B:$D,3,0)</f>
        <v>Devolución 2025 BAT Ola 2 (Nacional excepto Tamps)</v>
      </c>
    </row>
    <row r="13" spans="1:14" s="15" x14ac:dyDescent="0.35">
      <c r="A13" s="503">
        <v>100019548</v>
      </c>
      <c r="B13" s="504">
        <v>75073978</v>
      </c>
      <c r="C13" s="503" t="s">
        <v>445</v>
      </c>
      <c r="D13" s="503" t="s">
        <v>44</v>
      </c>
      <c r="E13" s="503" t="s">
        <v>33</v>
      </c>
      <c r="F13" s="503" t="s">
        <v>41</v>
      </c>
      <c r="G13" s="503" t="s">
        <v>14</v>
      </c>
      <c r="H13" s="502" t="s">
        <v>36</v>
      </c>
      <c r="I13" s="502" t="s">
        <v>109</v>
      </c>
      <c r="J13" s="65535">
        <f>VLOOKUP(A13,Catálogo!A:B,2,0)</f>
        <v>9707.67</v>
      </c>
      <c r="K13" s="65535">
        <f>VLOOKUP(A13,Catálogo!A:C,3,0)</f>
        <v>140</v>
      </c>
      <c r="L13" s="65535">
        <f>VLOOKUP(A13,Catálogo!A:D,4,0)</f>
        <v>0</v>
      </c>
      <c r="M13" s="506"/>
      <c r="N13" s="15" t="str">
        <f>VLOOKUP(A13,[2]Hoja1!$B:$D,3,0)</f>
        <v>Próxima devolución BAT (Ago 2025)</v>
      </c>
    </row>
    <row r="14" spans="1:14" s="15" x14ac:dyDescent="0.35">
      <c r="A14" s="503">
        <v>101000089</v>
      </c>
      <c r="B14" s="504">
        <v>7702303023221</v>
      </c>
      <c r="C14" s="503" t="s">
        <v>276</v>
      </c>
      <c r="D14" s="503" t="s">
        <v>44</v>
      </c>
      <c r="E14" s="503" t="s">
        <v>33</v>
      </c>
      <c r="F14" s="503" t="s">
        <v>39</v>
      </c>
      <c r="G14" s="503" t="s">
        <v>139</v>
      </c>
      <c r="H14" s="502" t="s">
        <v>252</v>
      </c>
      <c r="I14" s="502" t="s">
        <v>247</v>
      </c>
      <c r="J14" s="65535">
        <f>VLOOKUP(A14,Catálogo!A:B,2,0)</f>
        <v>13869.730000000001</v>
      </c>
      <c r="K14" s="65535">
        <f>VLOOKUP(A14,Catálogo!A:C,3,0)</f>
        <v>50</v>
      </c>
      <c r="L14" s="65535">
        <f>VLOOKUP(A14,Catálogo!A:D,4,0)</f>
        <v>0</v>
      </c>
      <c r="M14" s="506"/>
      <c r="N14" s="15" t="str">
        <f>VLOOKUP(A14,[2]Hoja1!$B:$D,3,0)</f>
        <v>Devoluciones Vuse (feb 2025)</v>
      </c>
    </row>
    <row r="15" spans="1:14" s="15" x14ac:dyDescent="0.35">
      <c r="A15" s="502">
        <v>101000090</v>
      </c>
      <c r="B15" s="504">
        <v>7702303936590</v>
      </c>
      <c r="C15" s="502" t="s">
        <v>279</v>
      </c>
      <c r="D15" s="503" t="s">
        <v>44</v>
      </c>
      <c r="E15" s="503" t="s">
        <v>33</v>
      </c>
      <c r="F15" s="503" t="s">
        <v>39</v>
      </c>
      <c r="G15" s="502" t="s">
        <v>139</v>
      </c>
      <c r="H15" s="502" t="s">
        <v>252</v>
      </c>
      <c r="I15" s="502" t="s">
        <v>247</v>
      </c>
      <c r="J15" s="65535">
        <f>VLOOKUP(A15,Catálogo!A:B,2,0)</f>
        <v>12500.009999999998</v>
      </c>
      <c r="K15" s="65535">
        <f>VLOOKUP(A15,Catálogo!A:C,3,0)</f>
        <v>45</v>
      </c>
      <c r="L15" s="65535">
        <f>VLOOKUP(A15,Catálogo!A:D,4,0)</f>
        <v>0</v>
      </c>
      <c r="M15" s="506"/>
      <c r="N15" s="15" t="str">
        <f>VLOOKUP(A15,[2]Hoja1!$B:$D,3,0)</f>
        <v>Devoluciones Vuse (feb 2025)</v>
      </c>
    </row>
    <row r="16" spans="1:14" s="15" x14ac:dyDescent="0.35">
      <c r="A16" s="503">
        <v>101000084</v>
      </c>
      <c r="B16" s="504">
        <v>7707200941241</v>
      </c>
      <c r="C16" s="503" t="s">
        <v>317</v>
      </c>
      <c r="D16" s="503" t="s">
        <v>44</v>
      </c>
      <c r="E16" s="503" t="s">
        <v>33</v>
      </c>
      <c r="F16" s="503" t="s">
        <v>39</v>
      </c>
      <c r="G16" s="503" t="s">
        <v>139</v>
      </c>
      <c r="H16" s="502" t="s">
        <v>252</v>
      </c>
      <c r="I16" s="502" t="s">
        <v>247</v>
      </c>
      <c r="J16" s="65535">
        <f>VLOOKUP(A16,Catálogo!A:B,2,0)</f>
        <v>11388.890000000001</v>
      </c>
      <c r="K16" s="65535">
        <f>VLOOKUP(A16,Catálogo!A:C,3,0)</f>
        <v>82</v>
      </c>
      <c r="L16" s="65535">
        <f>VLOOKUP(A16,Catálogo!A:D,4,0)</f>
        <v>0</v>
      </c>
      <c r="M16" s="506"/>
      <c r="N16" s="15" t="str">
        <f>VLOOKUP(A16,[2]Hoja1!$B:$D,3,0)</f>
        <v>Devoluciones Vuse (feb 2025)</v>
      </c>
    </row>
    <row r="17" spans="1:14" s="15" x14ac:dyDescent="0.35">
      <c r="A17" s="15">
        <v>100024722</v>
      </c>
      <c r="B17" s="506">
        <v>7707200945072</v>
      </c>
      <c r="C17" s="15" t="s">
        <v>268</v>
      </c>
      <c r="D17" s="503" t="s">
        <v>44</v>
      </c>
      <c r="E17" s="503" t="s">
        <v>33</v>
      </c>
      <c r="F17" s="503" t="s">
        <v>39</v>
      </c>
      <c r="G17" s="502" t="s">
        <v>139</v>
      </c>
      <c r="H17" s="502" t="s">
        <v>252</v>
      </c>
      <c r="I17" s="502" t="s">
        <v>247</v>
      </c>
      <c r="J17" s="65535">
        <f>VLOOKUP(A17,Catálogo!A:B,2,0)</f>
        <v>11259.26</v>
      </c>
      <c r="K17" s="65535">
        <f>VLOOKUP(A17,Catálogo!A:C,3,0)</f>
        <v>38</v>
      </c>
      <c r="L17" s="65535">
        <f>VLOOKUP(A17,Catálogo!A:D,4,0)</f>
        <v>0</v>
      </c>
      <c r="M17" s="506"/>
      <c r="N17" s="15" t="str">
        <f>VLOOKUP(A17,[2]Hoja1!$B:$D,3,0)</f>
        <v>Devoluciones Vuse (feb 2025)</v>
      </c>
    </row>
    <row r="18" spans="1:14" s="15" x14ac:dyDescent="0.35">
      <c r="A18" s="502">
        <v>100015416</v>
      </c>
      <c r="B18" s="505">
        <v>7501045356259</v>
      </c>
      <c r="C18" s="502" t="s">
        <v>485</v>
      </c>
      <c r="D18" s="503" t="s">
        <v>11</v>
      </c>
      <c r="E18" s="503" t="s">
        <v>33</v>
      </c>
      <c r="F18" s="503" t="s">
        <v>46</v>
      </c>
      <c r="G18" s="503" t="s">
        <v>75</v>
      </c>
      <c r="H18" s="502" t="s">
        <v>70</v>
      </c>
      <c r="I18" s="502" t="s">
        <v>109</v>
      </c>
      <c r="J18" s="65535">
        <f>VLOOKUP(A18,Catálogo!A:B,2,0)</f>
        <v>12857.049999999996</v>
      </c>
      <c r="K18" s="65535">
        <f>VLOOKUP(A18,Catálogo!A:C,3,0)</f>
        <v>187</v>
      </c>
      <c r="L18" s="65535">
        <f>VLOOKUP(A18,Catálogo!A:D,4,0)</f>
        <v>0</v>
      </c>
      <c r="M18" s="506" t="e">
        <f>J18/L18</f>
        <v>#DIV/0!</v>
      </c>
      <c r="N18" s="15" t="str">
        <f>VLOOKUP(A18,[2]Hoja1!$B:$D,3,0)</f>
        <v>Devoluciones Heets</v>
      </c>
    </row>
    <row r="19" spans="1:14" s="15" x14ac:dyDescent="0.35">
      <c r="A19" s="502">
        <v>100015215</v>
      </c>
      <c r="B19" s="502">
        <v>75069490</v>
      </c>
      <c r="C19" s="502" t="s">
        <v>358</v>
      </c>
      <c r="D19" s="503" t="s">
        <v>44</v>
      </c>
      <c r="E19" s="503" t="s">
        <v>33</v>
      </c>
      <c r="F19" s="65535" t="s">
        <v>46</v>
      </c>
      <c r="G19" s="65535" t="s">
        <v>54</v>
      </c>
      <c r="H19" s="502" t="s">
        <v>36</v>
      </c>
      <c r="I19" s="502" t="s">
        <v>247</v>
      </c>
      <c r="J19" s="65535">
        <f>VLOOKUP(A19,Catálogo!A:B,2,0)</f>
        <v>8150.73</v>
      </c>
      <c r="K19" s="65535">
        <f>VLOOKUP(A19,Catálogo!A:C,3,0)</f>
        <v>123</v>
      </c>
      <c r="L19" s="65535">
        <f>VLOOKUP(A19,Catálogo!A:D,4,0)</f>
        <v>0</v>
      </c>
      <c r="M19" s="506" t="e">
        <f>J19/L19</f>
        <v>#DIV/0!</v>
      </c>
      <c r="N19" s="15" t="str">
        <f>VLOOKUP(A19,[2]Hoja1!$B:$D,3,0)</f>
        <v>Descontinuado BAT</v>
      </c>
    </row>
    <row r="20" spans="1:14" s="15" x14ac:dyDescent="0.35">
      <c r="A20" s="503">
        <v>101000093</v>
      </c>
      <c r="B20" s="504">
        <v>7702303182898</v>
      </c>
      <c r="C20" s="503" t="s">
        <v>281</v>
      </c>
      <c r="D20" s="503" t="s">
        <v>44</v>
      </c>
      <c r="E20" s="503" t="s">
        <v>33</v>
      </c>
      <c r="F20" s="503" t="s">
        <v>39</v>
      </c>
      <c r="G20" s="503" t="s">
        <v>139</v>
      </c>
      <c r="H20" s="502" t="s">
        <v>252</v>
      </c>
      <c r="I20" s="502" t="s">
        <v>247</v>
      </c>
      <c r="J20" s="65535">
        <f>VLOOKUP(A20,Catálogo!A:B,2,0)</f>
        <v>11091.95</v>
      </c>
      <c r="K20" s="65535">
        <f>VLOOKUP(A20,Catálogo!A:C,3,0)</f>
        <v>40</v>
      </c>
      <c r="L20" s="65535">
        <f>VLOOKUP(A20,Catálogo!A:D,4,0)</f>
        <v>0</v>
      </c>
      <c r="M20" s="506"/>
      <c r="N20" s="15" t="str">
        <f>VLOOKUP(A20,[2]Hoja1!$B:$D,3,0)</f>
        <v>Devoluciones Vuse (feb 2025)</v>
      </c>
    </row>
    <row r="21" spans="1:14" s="15" x14ac:dyDescent="0.35">
      <c r="A21" s="503">
        <v>100019052</v>
      </c>
      <c r="B21" s="504">
        <v>75074784</v>
      </c>
      <c r="C21" s="503" t="s">
        <v>370</v>
      </c>
      <c r="D21" s="503" t="s">
        <v>44</v>
      </c>
      <c r="E21" s="503" t="s">
        <v>33</v>
      </c>
      <c r="F21" s="503" t="s">
        <v>41</v>
      </c>
      <c r="G21" s="503" t="s">
        <v>35</v>
      </c>
      <c r="H21" s="502" t="s">
        <v>36</v>
      </c>
      <c r="I21" s="502" t="s">
        <v>109</v>
      </c>
      <c r="J21" s="65535">
        <f>VLOOKUP(A21,Catálogo!A:B,2,0)</f>
        <v>6411.619999999999</v>
      </c>
      <c r="K21" s="65535">
        <f>VLOOKUP(A21,Catálogo!A:C,3,0)</f>
        <v>100</v>
      </c>
      <c r="L21" s="65535">
        <f>VLOOKUP(A21,Catálogo!A:D,4,0)</f>
        <v>0</v>
      </c>
      <c r="M21" s="506" t="e">
        <f>J21/L21</f>
        <v>#DIV/0!</v>
      </c>
      <c r="N21" s="15" t="str">
        <f>VLOOKUP(A21,[2]Hoja1!$B:$D,3,0)</f>
        <v>Artículos In&amp;Out</v>
      </c>
    </row>
    <row r="22" spans="1:14" s="15" x14ac:dyDescent="0.35">
      <c r="A22" s="503">
        <v>101000087</v>
      </c>
      <c r="B22" s="504">
        <v>7702303419598</v>
      </c>
      <c r="C22" s="503" t="s">
        <v>263</v>
      </c>
      <c r="D22" s="503" t="s">
        <v>44</v>
      </c>
      <c r="E22" s="503" t="s">
        <v>33</v>
      </c>
      <c r="F22" s="503" t="s">
        <v>39</v>
      </c>
      <c r="G22" s="503" t="s">
        <v>139</v>
      </c>
      <c r="H22" s="502" t="s">
        <v>252</v>
      </c>
      <c r="I22" s="502" t="s">
        <v>247</v>
      </c>
      <c r="J22" s="65535">
        <f>VLOOKUP(A22,Catálogo!A:B,2,0)</f>
        <v>10555.560000000001</v>
      </c>
      <c r="K22" s="65535">
        <f>VLOOKUP(A22,Catálogo!A:C,3,0)</f>
        <v>76</v>
      </c>
      <c r="L22" s="65535">
        <f>VLOOKUP(A22,Catálogo!A:D,4,0)</f>
        <v>0</v>
      </c>
      <c r="M22" s="506"/>
      <c r="N22" s="15" t="str">
        <f>VLOOKUP(A22,[2]Hoja1!$B:$D,3,0)</f>
        <v>Devoluciones Vuse (feb 2025)</v>
      </c>
    </row>
    <row r="23" spans="1:14" s="15" x14ac:dyDescent="0.35">
      <c r="A23" s="502">
        <v>100017980</v>
      </c>
      <c r="B23" s="505">
        <v>7501045357881</v>
      </c>
      <c r="C23" s="502" t="s">
        <v>482</v>
      </c>
      <c r="D23" s="503" t="s">
        <v>11</v>
      </c>
      <c r="E23" s="503" t="s">
        <v>33</v>
      </c>
      <c r="F23" s="503" t="s">
        <v>46</v>
      </c>
      <c r="G23" s="503" t="s">
        <v>75</v>
      </c>
      <c r="H23" s="502" t="s">
        <v>70</v>
      </c>
      <c r="I23" s="502" t="s">
        <v>109</v>
      </c>
      <c r="J23" s="65535">
        <f>VLOOKUP(A23,Catálogo!A:B,2,0)</f>
        <v>14366.799999999994</v>
      </c>
      <c r="K23" s="65535">
        <f>VLOOKUP(A23,Catálogo!A:C,3,0)</f>
        <v>211</v>
      </c>
      <c r="L23" s="65535">
        <f>VLOOKUP(A23,Catálogo!A:D,4,0)</f>
        <v>0</v>
      </c>
      <c r="M23" s="506" t="e">
        <f>J23/L23</f>
        <v>#DIV/0!</v>
      </c>
      <c r="N23" s="15" t="str">
        <f>VLOOKUP(A23,[2]Hoja1!$B:$D,3,0)</f>
        <v>Devoluciones Heets</v>
      </c>
    </row>
    <row r="24" spans="1:14" s="15" x14ac:dyDescent="0.35">
      <c r="A24" s="502">
        <v>100020728</v>
      </c>
      <c r="B24" s="505">
        <v>75018825</v>
      </c>
      <c r="C24" s="502" t="s">
        <v>542</v>
      </c>
      <c r="D24" s="503" t="s">
        <v>11</v>
      </c>
      <c r="E24" s="503" t="s">
        <v>33</v>
      </c>
      <c r="F24" s="503" t="s">
        <v>46</v>
      </c>
      <c r="G24" s="503" t="s">
        <v>14</v>
      </c>
      <c r="H24" s="502" t="s">
        <v>36</v>
      </c>
      <c r="I24" s="502" t="s">
        <v>109</v>
      </c>
      <c r="J24" s="65535">
        <f>VLOOKUP(A24,Catálogo!A:B,2,0)</f>
        <v>4351.1899999999987</v>
      </c>
      <c r="K24" s="65535">
        <f>VLOOKUP(A24,Catálogo!A:C,3,0)</f>
        <v>63</v>
      </c>
      <c r="L24" s="65535">
        <f>VLOOKUP(A24,Catálogo!A:D,4,0)</f>
        <v>0</v>
      </c>
      <c r="M24" s="506" t="e">
        <f>J24/L24</f>
        <v>#DIV/0!</v>
      </c>
      <c r="N24" s="15" t="str">
        <f>VLOOKUP(A24,[2]Hoja1!$B:$D,3,0)</f>
        <v>Devolución 2024 PMI</v>
      </c>
    </row>
    <row r="25" spans="1:14" s="15" x14ac:dyDescent="0.35">
      <c r="A25" s="502">
        <v>101000088</v>
      </c>
      <c r="B25" s="504">
        <v>7702303342513</v>
      </c>
      <c r="C25" s="502" t="s">
        <v>262</v>
      </c>
      <c r="D25" s="503" t="s">
        <v>44</v>
      </c>
      <c r="E25" s="503" t="s">
        <v>33</v>
      </c>
      <c r="F25" s="503" t="s">
        <v>39</v>
      </c>
      <c r="G25" s="502" t="s">
        <v>139</v>
      </c>
      <c r="H25" s="502" t="s">
        <v>252</v>
      </c>
      <c r="I25" s="502" t="s">
        <v>247</v>
      </c>
      <c r="J25" s="65535">
        <f>VLOOKUP(A25,Catálogo!A:B,2,0)</f>
        <v>9722.23</v>
      </c>
      <c r="K25" s="65535">
        <f>VLOOKUP(A25,Catálogo!A:C,3,0)</f>
        <v>70</v>
      </c>
      <c r="L25" s="65535">
        <f>VLOOKUP(A25,Catálogo!A:D,4,0)</f>
        <v>0</v>
      </c>
      <c r="M25" s="506"/>
      <c r="N25" s="15" t="str">
        <f>VLOOKUP(A25,[2]Hoja1!$B:$D,3,0)</f>
        <v>Devoluciones Vuse (feb 2025)</v>
      </c>
    </row>
    <row r="26" spans="1:14" s="15" x14ac:dyDescent="0.35">
      <c r="A26" s="502">
        <v>100016411</v>
      </c>
      <c r="B26" s="505">
        <v>7503023959162</v>
      </c>
      <c r="C26" s="502" t="s">
        <v>246</v>
      </c>
      <c r="D26" s="503" t="s">
        <v>32</v>
      </c>
      <c r="E26" s="503" t="s">
        <v>33</v>
      </c>
      <c r="F26" s="503" t="s">
        <v>34</v>
      </c>
      <c r="G26" s="503" t="s">
        <v>14</v>
      </c>
      <c r="H26" s="502" t="s">
        <v>36</v>
      </c>
      <c r="I26" s="502" t="s">
        <v>247</v>
      </c>
      <c r="J26" s="65535">
        <f>VLOOKUP(A26,Catálogo!A:B,2,0)</f>
        <v>2730</v>
      </c>
      <c r="K26" s="65535">
        <f>VLOOKUP(A26,Catálogo!A:C,3,0)</f>
        <v>55</v>
      </c>
      <c r="L26" s="65535">
        <f>VLOOKUP(A26,Catálogo!A:D,4,0)</f>
        <v>0</v>
      </c>
      <c r="M26" s="506" t="e">
        <f>J26/L26</f>
        <v>#DIV/0!</v>
      </c>
      <c r="N26" s="15" t="str">
        <f>VLOOKUP(A26,[2]Hoja1!$B:$D,3,0)</f>
        <v>Próxima devolución BAT (Ago 2025)</v>
      </c>
    </row>
    <row r="27" spans="1:14" s="15" x14ac:dyDescent="0.35">
      <c r="A27" s="503">
        <v>100020528</v>
      </c>
      <c r="B27" s="504">
        <v>75074937</v>
      </c>
      <c r="C27" s="503" t="s">
        <v>329</v>
      </c>
      <c r="D27" s="503" t="s">
        <v>44</v>
      </c>
      <c r="E27" s="503" t="s">
        <v>33</v>
      </c>
      <c r="F27" s="503" t="s">
        <v>46</v>
      </c>
      <c r="G27" s="503" t="s">
        <v>14</v>
      </c>
      <c r="H27" s="502" t="s">
        <v>36</v>
      </c>
      <c r="I27" s="502" t="s">
        <v>109</v>
      </c>
      <c r="J27" s="65535">
        <f>VLOOKUP(A27,Catálogo!A:B,2,0)</f>
        <v>6689.73</v>
      </c>
      <c r="K27" s="65535">
        <f>VLOOKUP(A27,Catálogo!A:C,3,0)</f>
        <v>95</v>
      </c>
      <c r="L27" s="65535">
        <f>VLOOKUP(A27,Catálogo!A:D,4,0)</f>
        <v>2.6124999999999998</v>
      </c>
      <c r="M27" s="506">
        <f>J27/L27</f>
        <v>2560.6622009569378</v>
      </c>
      <c r="N27" s="15" t="str">
        <f>VLOOKUP(A27,[2]Hoja1!$B:$D,3,0)</f>
        <v>Devolución 2024 PMI</v>
      </c>
    </row>
    <row r="28" spans="1:14" s="15" x14ac:dyDescent="0.35">
      <c r="A28" s="502">
        <v>101000091</v>
      </c>
      <c r="B28" s="504">
        <v>7702303890434</v>
      </c>
      <c r="C28" s="502" t="s">
        <v>280</v>
      </c>
      <c r="D28" s="503" t="s">
        <v>44</v>
      </c>
      <c r="E28" s="503" t="s">
        <v>33</v>
      </c>
      <c r="F28" s="503" t="s">
        <v>39</v>
      </c>
      <c r="G28" s="502" t="s">
        <v>139</v>
      </c>
      <c r="H28" s="502" t="s">
        <v>252</v>
      </c>
      <c r="I28" s="502" t="s">
        <v>247</v>
      </c>
      <c r="J28" s="65535">
        <f>VLOOKUP(A28,Catálogo!A:B,2,0)</f>
        <v>8611.1099999999988</v>
      </c>
      <c r="K28" s="65535">
        <f>VLOOKUP(A28,Catálogo!A:C,3,0)</f>
        <v>31</v>
      </c>
      <c r="L28" s="65535">
        <f>VLOOKUP(A28,Catálogo!A:D,4,0)</f>
        <v>0</v>
      </c>
      <c r="M28" s="506"/>
      <c r="N28" s="15" t="str">
        <f>VLOOKUP(A28,[2]Hoja1!$B:$D,3,0)</f>
        <v>Devoluciones Vuse (feb 2025)</v>
      </c>
    </row>
    <row r="29" spans="1:14" s="15" x14ac:dyDescent="0.35">
      <c r="A29" s="502">
        <v>101000085</v>
      </c>
      <c r="B29" s="504">
        <v>7707200941753</v>
      </c>
      <c r="C29" s="502" t="s">
        <v>264</v>
      </c>
      <c r="D29" s="503" t="s">
        <v>44</v>
      </c>
      <c r="E29" s="503" t="s">
        <v>33</v>
      </c>
      <c r="F29" s="503" t="s">
        <v>39</v>
      </c>
      <c r="G29" s="502" t="s">
        <v>139</v>
      </c>
      <c r="H29" s="502" t="s">
        <v>252</v>
      </c>
      <c r="I29" s="502" t="s">
        <v>247</v>
      </c>
      <c r="J29" s="65535">
        <f>VLOOKUP(A29,Catálogo!A:B,2,0)</f>
        <v>7777.7799999999988</v>
      </c>
      <c r="K29" s="65535">
        <f>VLOOKUP(A29,Catálogo!A:C,3,0)</f>
        <v>56</v>
      </c>
      <c r="L29" s="65535">
        <f>VLOOKUP(A29,Catálogo!A:D,4,0)</f>
        <v>0</v>
      </c>
      <c r="M29" s="506"/>
      <c r="N29" s="15" t="str">
        <f>VLOOKUP(A29,[2]Hoja1!$B:$D,3,0)</f>
        <v>Devoluciones Vuse (feb 2025)</v>
      </c>
    </row>
    <row r="30" spans="1:14" s="15" x14ac:dyDescent="0.35">
      <c r="A30" s="503">
        <v>101000080</v>
      </c>
      <c r="B30" s="504">
        <v>7702303820974</v>
      </c>
      <c r="C30" s="503" t="s">
        <v>254</v>
      </c>
      <c r="D30" s="503" t="s">
        <v>44</v>
      </c>
      <c r="E30" s="503" t="s">
        <v>33</v>
      </c>
      <c r="F30" s="503" t="s">
        <v>39</v>
      </c>
      <c r="G30" s="503" t="s">
        <v>139</v>
      </c>
      <c r="H30" s="502" t="s">
        <v>252</v>
      </c>
      <c r="I30" s="502" t="s">
        <v>247</v>
      </c>
      <c r="J30" s="65535">
        <f>VLOOKUP(A30,Catálogo!A:B,2,0)</f>
        <v>8472.2199999999993</v>
      </c>
      <c r="K30" s="65535">
        <f>VLOOKUP(A30,Catálogo!A:C,3,0)</f>
        <v>61</v>
      </c>
      <c r="L30" s="65535">
        <f>VLOOKUP(A30,Catálogo!A:D,4,0)</f>
        <v>0</v>
      </c>
      <c r="M30" s="506"/>
      <c r="N30" s="15" t="str">
        <f>VLOOKUP(A30,[2]Hoja1!$B:$D,3,0)</f>
        <v>Devoluciones Vuse (feb 2025)</v>
      </c>
    </row>
    <row r="31" spans="1:14" s="15" x14ac:dyDescent="0.35">
      <c r="A31" s="502">
        <v>100015417</v>
      </c>
      <c r="B31" s="505">
        <v>7501045357447</v>
      </c>
      <c r="C31" s="502" t="s">
        <v>483</v>
      </c>
      <c r="D31" s="503" t="s">
        <v>11</v>
      </c>
      <c r="E31" s="503" t="s">
        <v>33</v>
      </c>
      <c r="F31" s="503" t="s">
        <v>46</v>
      </c>
      <c r="G31" s="503" t="s">
        <v>75</v>
      </c>
      <c r="H31" s="502" t="s">
        <v>70</v>
      </c>
      <c r="I31" s="502" t="s">
        <v>109</v>
      </c>
      <c r="J31" s="65535">
        <f>VLOOKUP(A31,Catálogo!A:B,2,0)</f>
        <v>8465.6799999999967</v>
      </c>
      <c r="K31" s="65535">
        <f>VLOOKUP(A31,Catálogo!A:C,3,0)</f>
        <v>124</v>
      </c>
      <c r="L31" s="65535">
        <f>VLOOKUP(A31,Catálogo!A:D,4,0)</f>
        <v>0</v>
      </c>
      <c r="M31" s="506" t="e">
        <f>J31/L31</f>
        <v>#DIV/0!</v>
      </c>
      <c r="N31" s="15" t="str">
        <f>VLOOKUP(A31,[2]Hoja1!$B:$D,3,0)</f>
        <v>Devoluciones Heets</v>
      </c>
    </row>
    <row r="32" spans="1:14" s="15" x14ac:dyDescent="0.35">
      <c r="A32" s="503">
        <v>100006296</v>
      </c>
      <c r="B32" s="505">
        <v>75053758</v>
      </c>
      <c r="C32" s="503" t="s">
        <v>384</v>
      </c>
      <c r="D32" s="503" t="s">
        <v>11</v>
      </c>
      <c r="E32" s="503" t="s">
        <v>33</v>
      </c>
      <c r="F32" s="503" t="s">
        <v>41</v>
      </c>
      <c r="G32" s="503" t="s">
        <v>35</v>
      </c>
      <c r="H32" s="502" t="s">
        <v>36</v>
      </c>
      <c r="I32" s="502" t="s">
        <v>109</v>
      </c>
      <c r="J32" s="65535">
        <f>VLOOKUP(A32,Catálogo!A:B,2,0)</f>
        <v>4660.04</v>
      </c>
      <c r="K32" s="65535">
        <f>VLOOKUP(A32,Catálogo!A:C,3,0)</f>
        <v>77</v>
      </c>
      <c r="L32" s="65535">
        <f>VLOOKUP(A32,Catálogo!A:D,4,0)</f>
        <v>0</v>
      </c>
      <c r="M32" s="506" t="e">
        <f>J32/L32</f>
        <v>#DIV/0!</v>
      </c>
      <c r="N32" s="15" t="str">
        <f>VLOOKUP(A32,[2]Hoja1!$B:$D,3,0)</f>
        <v>Descontinuado PMI</v>
      </c>
    </row>
    <row r="33" spans="1:14" s="15" x14ac:dyDescent="0.35">
      <c r="A33" s="503">
        <v>101000092</v>
      </c>
      <c r="B33" s="504">
        <v>7702303007979</v>
      </c>
      <c r="C33" s="503" t="s">
        <v>278</v>
      </c>
      <c r="D33" s="503" t="s">
        <v>44</v>
      </c>
      <c r="E33" s="503" t="s">
        <v>33</v>
      </c>
      <c r="F33" s="503" t="s">
        <v>39</v>
      </c>
      <c r="G33" s="503" t="s">
        <v>139</v>
      </c>
      <c r="H33" s="502" t="s">
        <v>252</v>
      </c>
      <c r="I33" s="502" t="s">
        <v>247</v>
      </c>
      <c r="J33" s="65535">
        <f>VLOOKUP(A33,Catálogo!A:B,2,0)</f>
        <v>7758.619999999999</v>
      </c>
      <c r="K33" s="65535">
        <f>VLOOKUP(A33,Catálogo!A:C,3,0)</f>
        <v>28</v>
      </c>
      <c r="L33" s="65535">
        <f>VLOOKUP(A33,Catálogo!A:D,4,0)</f>
        <v>0</v>
      </c>
      <c r="M33" s="506"/>
      <c r="N33" s="15" t="str">
        <f>VLOOKUP(A33,[2]Hoja1!$B:$D,3,0)</f>
        <v>Devoluciones Vuse (feb 2025)</v>
      </c>
    </row>
    <row r="34" spans="1:14" s="15" x14ac:dyDescent="0.35">
      <c r="A34" s="502">
        <v>100019549</v>
      </c>
      <c r="B34" s="502">
        <v>75073985</v>
      </c>
      <c r="C34" s="502" t="s">
        <v>446</v>
      </c>
      <c r="D34" s="503" t="s">
        <v>44</v>
      </c>
      <c r="E34" s="503" t="s">
        <v>33</v>
      </c>
      <c r="F34" s="65535" t="s">
        <v>46</v>
      </c>
      <c r="G34" s="65535" t="s">
        <v>54</v>
      </c>
      <c r="H34" s="502" t="s">
        <v>36</v>
      </c>
      <c r="I34" s="502" t="s">
        <v>247</v>
      </c>
      <c r="J34" s="65535">
        <f>VLOOKUP(A34,Catálogo!A:B,2,0)</f>
        <v>3562.22</v>
      </c>
      <c r="K34" s="65535">
        <f>VLOOKUP(A34,Catálogo!A:C,3,0)</f>
        <v>51</v>
      </c>
      <c r="L34" s="65535">
        <f>VLOOKUP(A34,Catálogo!A:D,4,0)</f>
        <v>5.1725000000000003</v>
      </c>
      <c r="M34" s="506">
        <f>J34/L34</f>
        <v>688.68438859352341</v>
      </c>
      <c r="N34" s="15" t="str">
        <f>VLOOKUP(A34,[2]Hoja1!$B:$D,3,0)</f>
        <v>Próxima devolución BAT (Ago 2025)</v>
      </c>
    </row>
    <row r="35" spans="1:14" s="15" x14ac:dyDescent="0.35">
      <c r="A35" s="503">
        <v>100020727</v>
      </c>
      <c r="B35" s="505">
        <v>75015725</v>
      </c>
      <c r="C35" s="503" t="s">
        <v>540</v>
      </c>
      <c r="D35" s="503" t="s">
        <v>11</v>
      </c>
      <c r="E35" s="503" t="s">
        <v>33</v>
      </c>
      <c r="F35" s="503" t="s">
        <v>46</v>
      </c>
      <c r="G35" s="503" t="s">
        <v>54</v>
      </c>
      <c r="H35" s="502" t="s">
        <v>36</v>
      </c>
      <c r="I35" s="502" t="s">
        <v>109</v>
      </c>
      <c r="J35" s="65535">
        <f>VLOOKUP(A35,Catálogo!A:B,2,0)</f>
        <v>2238.1799999999998</v>
      </c>
      <c r="K35" s="65535">
        <f>VLOOKUP(A35,Catálogo!A:C,3,0)</f>
        <v>32</v>
      </c>
      <c r="L35" s="65535">
        <f>VLOOKUP(A35,Catálogo!A:D,4,0)</f>
        <v>0</v>
      </c>
      <c r="M35" s="506" t="e">
        <f>J35/L35</f>
        <v>#DIV/0!</v>
      </c>
      <c r="N35" s="15" t="str">
        <f>VLOOKUP(A35,[2]Hoja1!$B:$D,3,0)</f>
        <v>Devolución 2024 PMI</v>
      </c>
    </row>
    <row r="36" spans="1:14" s="15" x14ac:dyDescent="0.35">
      <c r="A36" s="15">
        <v>100024721</v>
      </c>
      <c r="B36" s="506">
        <v>7707200949551</v>
      </c>
      <c r="C36" s="15" t="s">
        <v>272</v>
      </c>
      <c r="D36" s="503" t="s">
        <v>44</v>
      </c>
      <c r="E36" s="503" t="s">
        <v>33</v>
      </c>
      <c r="F36" s="503" t="s">
        <v>39</v>
      </c>
      <c r="G36" s="502" t="s">
        <v>139</v>
      </c>
      <c r="H36" s="502" t="s">
        <v>252</v>
      </c>
      <c r="I36" s="502" t="s">
        <v>247</v>
      </c>
      <c r="J36" s="65535">
        <f>VLOOKUP(A36,Catálogo!A:B,2,0)</f>
        <v>7407.41</v>
      </c>
      <c r="K36" s="65535">
        <f>VLOOKUP(A36,Catálogo!A:C,3,0)</f>
        <v>25</v>
      </c>
      <c r="L36" s="65535">
        <f>VLOOKUP(A36,Catálogo!A:D,4,0)</f>
        <v>0</v>
      </c>
      <c r="M36" s="506"/>
      <c r="N36" s="15" t="str">
        <f>VLOOKUP(A36,[2]Hoja1!$B:$D,3,0)</f>
        <v>Devoluciones Vuse (feb 2025)</v>
      </c>
    </row>
    <row r="37" spans="1:14" s="15" x14ac:dyDescent="0.35">
      <c r="A37" s="502">
        <v>100018931</v>
      </c>
      <c r="B37" s="505">
        <v>7503023959346</v>
      </c>
      <c r="C37" s="502" t="s">
        <v>530</v>
      </c>
      <c r="D37" s="503" t="s">
        <v>32</v>
      </c>
      <c r="E37" s="503" t="s">
        <v>33</v>
      </c>
      <c r="F37" s="502" t="s">
        <v>39</v>
      </c>
      <c r="G37" s="502" t="s">
        <v>35</v>
      </c>
      <c r="H37" s="502" t="s">
        <v>36</v>
      </c>
      <c r="I37" s="502" t="s">
        <v>247</v>
      </c>
      <c r="J37" s="65535">
        <f>VLOOKUP(A37,Catálogo!A:B,2,0)</f>
        <v>7216.31</v>
      </c>
      <c r="K37" s="65535">
        <f>VLOOKUP(A37,Catálogo!A:C,3,0)</f>
        <v>93</v>
      </c>
      <c r="L37" s="65535">
        <f>VLOOKUP(A37,Catálogo!A:D,4,0)</f>
        <v>0</v>
      </c>
      <c r="M37" s="506"/>
      <c r="N37" s="15" t="str">
        <f>VLOOKUP(A37,[2]Hoja1!$B:$D,3,0)</f>
        <v>Descontinuado JTI</v>
      </c>
    </row>
    <row r="38" spans="1:14" s="15" x14ac:dyDescent="0.35">
      <c r="A38" s="503">
        <v>100015645</v>
      </c>
      <c r="B38" s="504">
        <v>75070373</v>
      </c>
      <c r="C38" s="503" t="s">
        <v>457</v>
      </c>
      <c r="D38" s="503" t="s">
        <v>44</v>
      </c>
      <c r="E38" s="503" t="s">
        <v>33</v>
      </c>
      <c r="F38" s="503" t="s">
        <v>39</v>
      </c>
      <c r="G38" s="503" t="s">
        <v>54</v>
      </c>
      <c r="H38" s="502" t="s">
        <v>36</v>
      </c>
      <c r="I38" s="502" t="s">
        <v>109</v>
      </c>
      <c r="J38" s="65535">
        <f>VLOOKUP(A38,Catálogo!A:B,2,0)</f>
        <v>4122.45</v>
      </c>
      <c r="K38" s="65535">
        <f>VLOOKUP(A38,Catálogo!A:C,3,0)</f>
        <v>55</v>
      </c>
      <c r="L38" s="65535">
        <f>VLOOKUP(A38,Catálogo!A:D,4,0)</f>
        <v>2.6171000000000002</v>
      </c>
      <c r="M38" s="506"/>
      <c r="N38" s="15" t="str">
        <f>VLOOKUP(A38,[2]Hoja1!$B:$D,3,0)</f>
        <v>Descontinuado BAT</v>
      </c>
    </row>
    <row r="39" spans="1:14" s="15" x14ac:dyDescent="0.35">
      <c r="A39" s="502">
        <v>100022968</v>
      </c>
      <c r="B39" s="505">
        <v>75025359</v>
      </c>
      <c r="C39" s="502" t="s">
        <v>388</v>
      </c>
      <c r="D39" s="502" t="s">
        <v>11</v>
      </c>
      <c r="E39" s="503" t="s">
        <v>33</v>
      </c>
      <c r="F39" s="502" t="s">
        <v>46</v>
      </c>
      <c r="G39" s="502" t="s">
        <v>14</v>
      </c>
      <c r="H39" s="502" t="s">
        <v>36</v>
      </c>
      <c r="I39" s="502" t="s">
        <v>109</v>
      </c>
      <c r="J39" s="65535">
        <f>VLOOKUP(A39,Catálogo!A:B,2,0)</f>
        <v>3851.7299999999991</v>
      </c>
      <c r="K39" s="65535">
        <f>VLOOKUP(A39,Catálogo!A:C,3,0)</f>
        <v>55</v>
      </c>
      <c r="L39" s="65535">
        <f>VLOOKUP(A39,Catálogo!A:D,4,0)</f>
        <v>0</v>
      </c>
      <c r="M39" s="506" t="e">
        <f>J39/L39</f>
        <v>#DIV/0!</v>
      </c>
      <c r="N39" s="15" t="str">
        <f>VLOOKUP(A39,[2]Hoja1!$B:$D,3,0)</f>
        <v>Artículos In&amp;Out</v>
      </c>
    </row>
    <row r="40" spans="1:14" s="15" x14ac:dyDescent="0.35">
      <c r="A40" s="502">
        <v>101000081</v>
      </c>
      <c r="B40" s="504">
        <v>7702303239264</v>
      </c>
      <c r="C40" s="502" t="s">
        <v>253</v>
      </c>
      <c r="D40" s="503" t="s">
        <v>44</v>
      </c>
      <c r="E40" s="503" t="s">
        <v>33</v>
      </c>
      <c r="F40" s="503" t="s">
        <v>39</v>
      </c>
      <c r="G40" s="502" t="s">
        <v>139</v>
      </c>
      <c r="H40" s="502" t="s">
        <v>252</v>
      </c>
      <c r="I40" s="502" t="s">
        <v>247</v>
      </c>
      <c r="J40" s="65535">
        <f>VLOOKUP(A40,Catálogo!A:B,2,0)</f>
        <v>7064.17</v>
      </c>
      <c r="K40" s="65535">
        <f>VLOOKUP(A40,Catálogo!A:C,3,0)</f>
        <v>51</v>
      </c>
      <c r="L40" s="65535">
        <f>VLOOKUP(A40,Catálogo!A:D,4,0)</f>
        <v>0</v>
      </c>
      <c r="M40" s="506"/>
      <c r="N40" s="15" t="str">
        <f>VLOOKUP(A40,[2]Hoja1!$B:$D,3,0)</f>
        <v>Devoluciones Vuse (feb 2025)</v>
      </c>
    </row>
    <row r="41" spans="1:14" s="15" x14ac:dyDescent="0.35">
      <c r="A41" s="503">
        <v>101000086</v>
      </c>
      <c r="B41" s="504">
        <v>7702303173667</v>
      </c>
      <c r="C41" s="503" t="s">
        <v>265</v>
      </c>
      <c r="D41" s="503" t="s">
        <v>44</v>
      </c>
      <c r="E41" s="503" t="s">
        <v>33</v>
      </c>
      <c r="F41" s="503" t="s">
        <v>39</v>
      </c>
      <c r="G41" s="503" t="s">
        <v>139</v>
      </c>
      <c r="H41" s="502" t="s">
        <v>252</v>
      </c>
      <c r="I41" s="502" t="s">
        <v>247</v>
      </c>
      <c r="J41" s="65535">
        <f>VLOOKUP(A41,Catálogo!A:B,2,0)</f>
        <v>7083.32</v>
      </c>
      <c r="K41" s="65535">
        <f>VLOOKUP(A41,Catálogo!A:C,3,0)</f>
        <v>51</v>
      </c>
      <c r="L41" s="65535">
        <f>VLOOKUP(A41,Catálogo!A:D,4,0)</f>
        <v>0</v>
      </c>
      <c r="M41" s="506"/>
      <c r="N41" s="15" t="str">
        <f>VLOOKUP(A41,[2]Hoja1!$B:$D,3,0)</f>
        <v>Devoluciones Vuse (feb 2025)</v>
      </c>
    </row>
    <row r="42" spans="1:14" s="15" x14ac:dyDescent="0.35">
      <c r="A42" s="502">
        <v>101000082</v>
      </c>
      <c r="B42" s="504">
        <v>7702303464376</v>
      </c>
      <c r="C42" s="502" t="s">
        <v>251</v>
      </c>
      <c r="D42" s="503" t="s">
        <v>44</v>
      </c>
      <c r="E42" s="503" t="s">
        <v>33</v>
      </c>
      <c r="F42" s="503" t="s">
        <v>39</v>
      </c>
      <c r="G42" s="502" t="s">
        <v>139</v>
      </c>
      <c r="H42" s="502" t="s">
        <v>252</v>
      </c>
      <c r="I42" s="502" t="s">
        <v>247</v>
      </c>
      <c r="J42" s="65535">
        <f>VLOOKUP(A42,Catálogo!A:B,2,0)</f>
        <v>6944.45</v>
      </c>
      <c r="K42" s="65535">
        <f>VLOOKUP(A42,Catálogo!A:C,3,0)</f>
        <v>50</v>
      </c>
      <c r="L42" s="65535">
        <f>VLOOKUP(A42,Catálogo!A:D,4,0)</f>
        <v>0</v>
      </c>
      <c r="M42" s="506"/>
      <c r="N42" s="15" t="str">
        <f>VLOOKUP(A42,[2]Hoja1!$B:$D,3,0)</f>
        <v>Devoluciones Vuse (feb 2025)</v>
      </c>
    </row>
    <row r="43" spans="1:14" s="15" x14ac:dyDescent="0.35">
      <c r="A43" s="503">
        <v>100022054</v>
      </c>
      <c r="B43" s="504">
        <v>7503023959438</v>
      </c>
      <c r="C43" s="503" t="s">
        <v>552</v>
      </c>
      <c r="D43" s="503" t="s">
        <v>32</v>
      </c>
      <c r="E43" s="503" t="s">
        <v>33</v>
      </c>
      <c r="F43" s="503" t="s">
        <v>34</v>
      </c>
      <c r="G43" s="503" t="s">
        <v>14</v>
      </c>
      <c r="H43" s="502" t="s">
        <v>36</v>
      </c>
      <c r="I43" s="502" t="s">
        <v>247</v>
      </c>
      <c r="J43" s="65535">
        <f>VLOOKUP(A43,Catálogo!A:B,2,0)</f>
        <v>2434.4799999999996</v>
      </c>
      <c r="K43" s="65535">
        <f>VLOOKUP(A43,Catálogo!A:C,3,0)</f>
        <v>49</v>
      </c>
      <c r="L43" s="65535">
        <f>VLOOKUP(A43,Catálogo!A:D,4,0)</f>
        <v>4.0639000000000003</v>
      </c>
      <c r="M43" s="506">
        <f>J43/L43</f>
        <v>599.05017347867795</v>
      </c>
      <c r="N43" s="15" t="str">
        <f>VLOOKUP(A43,[2]Hoja1!$B:$D,3,0)</f>
        <v>Descontinuado JTI</v>
      </c>
    </row>
    <row r="44" spans="1:14" s="15" x14ac:dyDescent="0.35">
      <c r="A44" s="502">
        <v>100011677</v>
      </c>
      <c r="B44" s="505">
        <v>75063740</v>
      </c>
      <c r="C44" s="502" t="s">
        <v>529</v>
      </c>
      <c r="D44" s="503" t="s">
        <v>11</v>
      </c>
      <c r="E44" s="503" t="s">
        <v>33</v>
      </c>
      <c r="F44" s="502" t="s">
        <v>41</v>
      </c>
      <c r="G44" s="503" t="s">
        <v>71</v>
      </c>
      <c r="H44" s="502" t="s">
        <v>36</v>
      </c>
      <c r="I44" s="502" t="s">
        <v>109</v>
      </c>
      <c r="J44" s="65535">
        <f>VLOOKUP(A44,Catálogo!A:B,2,0)</f>
        <v>3593.69</v>
      </c>
      <c r="K44" s="65535">
        <f>VLOOKUP(A44,Catálogo!A:C,3,0)</f>
        <v>112</v>
      </c>
      <c r="L44" s="65535">
        <f>VLOOKUP(A44,Catálogo!A:D,4,0)</f>
        <v>0</v>
      </c>
      <c r="M44" s="506" t="e">
        <f>J44/L44</f>
        <v>#DIV/0!</v>
      </c>
      <c r="N44" s="15" t="str">
        <f>VLOOKUP(A44,[2]Hoja1!$B:$D,3,0)</f>
        <v>Devolución 2024 PMI</v>
      </c>
    </row>
    <row r="45" spans="1:14" s="15" x14ac:dyDescent="0.35">
      <c r="A45" s="15">
        <v>100024720</v>
      </c>
      <c r="B45" s="506">
        <v>7707200949285</v>
      </c>
      <c r="C45" s="15" t="s">
        <v>270</v>
      </c>
      <c r="D45" s="503" t="s">
        <v>44</v>
      </c>
      <c r="E45" s="503" t="s">
        <v>33</v>
      </c>
      <c r="F45" s="503" t="s">
        <v>39</v>
      </c>
      <c r="G45" s="502" t="s">
        <v>139</v>
      </c>
      <c r="H45" s="502" t="s">
        <v>252</v>
      </c>
      <c r="I45" s="502" t="s">
        <v>247</v>
      </c>
      <c r="J45" s="65535">
        <f>VLOOKUP(A45,Catálogo!A:B,2,0)</f>
        <v>6518.5200000000013</v>
      </c>
      <c r="K45" s="65535">
        <f>VLOOKUP(A45,Catálogo!A:C,3,0)</f>
        <v>22</v>
      </c>
      <c r="L45" s="65535">
        <f>VLOOKUP(A45,Catálogo!A:D,4,0)</f>
        <v>0</v>
      </c>
      <c r="M45" s="506"/>
      <c r="N45" s="15" t="str">
        <f>VLOOKUP(A45,[2]Hoja1!$B:$D,3,0)</f>
        <v>Devoluciones Vuse (feb 2025)</v>
      </c>
    </row>
    <row r="46" spans="1:14" s="15" x14ac:dyDescent="0.35">
      <c r="A46" s="502">
        <v>100015418</v>
      </c>
      <c r="B46" s="505">
        <v>7501045357454</v>
      </c>
      <c r="C46" s="502" t="s">
        <v>480</v>
      </c>
      <c r="D46" s="503" t="s">
        <v>11</v>
      </c>
      <c r="E46" s="503" t="s">
        <v>33</v>
      </c>
      <c r="F46" s="503" t="s">
        <v>46</v>
      </c>
      <c r="G46" s="503" t="s">
        <v>75</v>
      </c>
      <c r="H46" s="502" t="s">
        <v>70</v>
      </c>
      <c r="I46" s="502" t="s">
        <v>109</v>
      </c>
      <c r="J46" s="65535">
        <f>VLOOKUP(A46,Catálogo!A:B,2,0)</f>
        <v>9633.7299999999941</v>
      </c>
      <c r="K46" s="65535">
        <f>VLOOKUP(A46,Catálogo!A:C,3,0)</f>
        <v>139</v>
      </c>
      <c r="L46" s="65535">
        <f>VLOOKUP(A46,Catálogo!A:D,4,0)</f>
        <v>0</v>
      </c>
      <c r="M46" s="506" t="e">
        <f>J46/L46</f>
        <v>#DIV/0!</v>
      </c>
      <c r="N46" s="15" t="str">
        <f>VLOOKUP(A46,[2]Hoja1!$B:$D,3,0)</f>
        <v>Devoluciones Heets</v>
      </c>
    </row>
    <row r="47" spans="1:14" s="15" x14ac:dyDescent="0.35">
      <c r="A47" s="503">
        <v>100023714</v>
      </c>
      <c r="B47" s="504">
        <v>75080105</v>
      </c>
      <c r="C47" s="503" t="s">
        <v>448</v>
      </c>
      <c r="D47" s="503" t="s">
        <v>44</v>
      </c>
      <c r="E47" s="503" t="s">
        <v>33</v>
      </c>
      <c r="F47" s="503" t="s">
        <v>41</v>
      </c>
      <c r="G47" s="503" t="s">
        <v>35</v>
      </c>
      <c r="H47" s="502" t="s">
        <v>36</v>
      </c>
      <c r="I47" s="502" t="s">
        <v>109</v>
      </c>
      <c r="J47" s="65535">
        <f>VLOOKUP(A47,Catálogo!A:B,2,0)</f>
        <v>1285.3600000000001</v>
      </c>
      <c r="K47" s="65535">
        <f>VLOOKUP(A47,Catálogo!A:C,3,0)</f>
        <v>21</v>
      </c>
      <c r="L47" s="65535">
        <f>VLOOKUP(A47,Catálogo!A:D,4,0)</f>
        <v>0</v>
      </c>
      <c r="M47" s="506"/>
      <c r="N47" s="15" t="str">
        <f>VLOOKUP(A47,[2]Hoja1!$B:$D,3,0)</f>
        <v>Próxima devolución BAT (Ago 2025)</v>
      </c>
    </row>
    <row r="48" spans="1:14" s="15" x14ac:dyDescent="0.35">
      <c r="A48" s="502">
        <v>100022848</v>
      </c>
      <c r="B48" s="505">
        <v>7503031950496</v>
      </c>
      <c r="C48" s="502" t="s">
        <v>429</v>
      </c>
      <c r="D48" s="503" t="s">
        <v>11</v>
      </c>
      <c r="E48" s="503" t="s">
        <v>33</v>
      </c>
      <c r="F48" s="503" t="s">
        <v>46</v>
      </c>
      <c r="G48" s="503" t="s">
        <v>14</v>
      </c>
      <c r="H48" s="502" t="s">
        <v>36</v>
      </c>
      <c r="I48" s="502" t="s">
        <v>109</v>
      </c>
      <c r="J48" s="65535">
        <f>VLOOKUP(A48,Catálogo!A:B,2,0)</f>
        <v>2701.7</v>
      </c>
      <c r="K48" s="65535">
        <f>VLOOKUP(A48,Catálogo!A:C,3,0)</f>
        <v>37</v>
      </c>
      <c r="L48" s="65535">
        <f>VLOOKUP(A48,Catálogo!A:D,4,0)</f>
        <v>2.4632000000000001</v>
      </c>
      <c r="M48" s="506"/>
      <c r="N48" s="15" t="str">
        <f>VLOOKUP(A48,[2]Hoja1!$B:$D,3,0)</f>
        <v>Descontinuado PMI</v>
      </c>
    </row>
    <row r="49" spans="1:14" s="15" x14ac:dyDescent="0.35">
      <c r="A49" s="502">
        <v>100024306</v>
      </c>
      <c r="B49" s="505">
        <v>7503031949094</v>
      </c>
      <c r="C49" s="502" t="s">
        <v>376</v>
      </c>
      <c r="D49" s="503" t="s">
        <v>11</v>
      </c>
      <c r="E49" s="503" t="s">
        <v>33</v>
      </c>
      <c r="F49" s="503" t="s">
        <v>46</v>
      </c>
      <c r="G49" s="503" t="s">
        <v>14</v>
      </c>
      <c r="H49" s="502" t="s">
        <v>36</v>
      </c>
      <c r="I49" s="502" t="s">
        <v>109</v>
      </c>
      <c r="J49" s="65535">
        <f>VLOOKUP(A49,Catálogo!A:B,2,0)</f>
        <v>2081.2800000000002</v>
      </c>
      <c r="K49" s="65535">
        <f>VLOOKUP(A49,Catálogo!A:C,3,0)</f>
        <v>29</v>
      </c>
      <c r="L49" s="65535">
        <f>VLOOKUP(A49,Catálogo!A:D,4,0)</f>
        <v>2.4632000000000001</v>
      </c>
      <c r="M49" s="506">
        <f>J49/L49</f>
        <v>844.94965898018847</v>
      </c>
      <c r="N49" s="15" t="str">
        <f>VLOOKUP(A49,[2]Hoja1!$B:$D,3,0)</f>
        <v>Descontinuado PMI</v>
      </c>
    </row>
    <row r="50" spans="1:14" s="15" x14ac:dyDescent="0.35">
      <c r="A50" s="503">
        <v>101000083</v>
      </c>
      <c r="B50" s="504">
        <v>7702303238434</v>
      </c>
      <c r="C50" s="503" t="s">
        <v>255</v>
      </c>
      <c r="D50" s="503" t="s">
        <v>44</v>
      </c>
      <c r="E50" s="503" t="s">
        <v>33</v>
      </c>
      <c r="F50" s="503" t="s">
        <v>39</v>
      </c>
      <c r="G50" s="503" t="s">
        <v>139</v>
      </c>
      <c r="H50" s="502" t="s">
        <v>252</v>
      </c>
      <c r="I50" s="502" t="s">
        <v>247</v>
      </c>
      <c r="J50" s="65535">
        <f>VLOOKUP(A50,Catálogo!A:B,2,0)</f>
        <v>5675.28</v>
      </c>
      <c r="K50" s="65535">
        <f>VLOOKUP(A50,Catálogo!A:C,3,0)</f>
        <v>41</v>
      </c>
      <c r="L50" s="65535">
        <f>VLOOKUP(A50,Catálogo!A:D,4,0)</f>
        <v>0</v>
      </c>
      <c r="M50" s="506"/>
      <c r="N50" s="15" t="str">
        <f>VLOOKUP(A50,[2]Hoja1!$B:$D,3,0)</f>
        <v>Devoluciones Vuse (feb 2025)</v>
      </c>
    </row>
    <row r="51" spans="1:14" s="15" x14ac:dyDescent="0.35">
      <c r="A51" s="502">
        <v>100022137</v>
      </c>
      <c r="B51" s="505">
        <v>7503031950311</v>
      </c>
      <c r="C51" s="502" t="s">
        <v>431</v>
      </c>
      <c r="D51" s="503" t="s">
        <v>11</v>
      </c>
      <c r="E51" s="503" t="s">
        <v>33</v>
      </c>
      <c r="F51" s="503" t="s">
        <v>46</v>
      </c>
      <c r="G51" s="503" t="s">
        <v>14</v>
      </c>
      <c r="H51" s="502" t="s">
        <v>36</v>
      </c>
      <c r="I51" s="502" t="s">
        <v>109</v>
      </c>
      <c r="J51" s="65535">
        <f>VLOOKUP(A51,Catálogo!A:B,2,0)</f>
        <v>4100.7699999999995</v>
      </c>
      <c r="K51" s="65535">
        <f>VLOOKUP(A51,Catálogo!A:C,3,0)</f>
        <v>56</v>
      </c>
      <c r="L51" s="65535">
        <f>VLOOKUP(A51,Catálogo!A:D,4,0)</f>
        <v>2.4632000000000001</v>
      </c>
      <c r="M51" s="506"/>
      <c r="N51" s="15" t="str">
        <f>VLOOKUP(A51,[2]Hoja1!$B:$D,3,0)</f>
        <v>Descontinuado PMI</v>
      </c>
    </row>
    <row r="52" spans="1:14" s="15" x14ac:dyDescent="0.35">
      <c r="A52" s="502">
        <v>100023892</v>
      </c>
      <c r="B52" s="505">
        <v>7503031950946</v>
      </c>
      <c r="C52" s="502" t="s">
        <v>432</v>
      </c>
      <c r="D52" s="503" t="s">
        <v>11</v>
      </c>
      <c r="E52" s="503" t="s">
        <v>33</v>
      </c>
      <c r="F52" s="503" t="s">
        <v>46</v>
      </c>
      <c r="G52" s="503" t="s">
        <v>14</v>
      </c>
      <c r="H52" s="502" t="s">
        <v>36</v>
      </c>
      <c r="I52" s="502" t="s">
        <v>109</v>
      </c>
      <c r="J52" s="65535">
        <f>VLOOKUP(A52,Catálogo!A:B,2,0)</f>
        <v>4942.5499999999993</v>
      </c>
      <c r="K52" s="65535">
        <f>VLOOKUP(A52,Catálogo!A:C,3,0)</f>
        <v>71</v>
      </c>
      <c r="L52" s="65535">
        <f>VLOOKUP(A52,Catálogo!A:D,4,0)</f>
        <v>10.3996</v>
      </c>
      <c r="M52" s="506"/>
      <c r="N52" s="15" t="str">
        <f>VLOOKUP(A52,[2]Hoja1!$B:$D,3,0)</f>
        <v>Descontinuado PMI</v>
      </c>
    </row>
    <row r="53" spans="1:14" s="15" x14ac:dyDescent="0.35">
      <c r="A53" s="502">
        <v>100080899</v>
      </c>
      <c r="B53" s="502">
        <v>40331379</v>
      </c>
      <c r="C53" s="502" t="s">
        <v>250</v>
      </c>
      <c r="D53" s="503" t="s">
        <v>32</v>
      </c>
      <c r="E53" s="503" t="s">
        <v>33</v>
      </c>
      <c r="F53" s="503" t="s">
        <v>41</v>
      </c>
      <c r="G53" s="503" t="s">
        <v>35</v>
      </c>
      <c r="H53" s="502" t="s">
        <v>36</v>
      </c>
      <c r="I53" s="502" t="s">
        <v>247</v>
      </c>
      <c r="J53" s="65535">
        <f>VLOOKUP(A53,Catálogo!A:B,2,0)</f>
        <v>1047.6100000000001</v>
      </c>
      <c r="K53" s="65535">
        <f>VLOOKUP(A53,Catálogo!A:C,3,0)</f>
        <v>27</v>
      </c>
      <c r="L53" s="65535">
        <f>VLOOKUP(A53,Catálogo!A:D,4,0)</f>
        <v>0</v>
      </c>
      <c r="M53" s="506"/>
      <c r="N53" s="15" t="str">
        <f>VLOOKUP(A53,[2]Hoja1!$B:$D,3,0)</f>
        <v>Descontinuado JTI</v>
      </c>
    </row>
    <row r="54" spans="1:14" s="15" x14ac:dyDescent="0.35">
      <c r="A54" s="502">
        <v>101000061</v>
      </c>
      <c r="B54" s="505">
        <v>75006204</v>
      </c>
      <c r="C54" s="502" t="s">
        <v>430</v>
      </c>
      <c r="D54" s="502" t="s">
        <v>11</v>
      </c>
      <c r="E54" s="503" t="s">
        <v>33</v>
      </c>
      <c r="F54" s="502" t="s">
        <v>46</v>
      </c>
      <c r="G54" s="502" t="s">
        <v>14</v>
      </c>
      <c r="H54" s="502" t="s">
        <v>36</v>
      </c>
      <c r="I54" s="502" t="s">
        <v>109</v>
      </c>
      <c r="J54" s="65535">
        <f>VLOOKUP(A54,Catálogo!A:B,2,0)</f>
        <v>3759.4700000000003</v>
      </c>
      <c r="K54" s="65535">
        <f>VLOOKUP(A54,Catálogo!A:C,3,0)</f>
        <v>73</v>
      </c>
      <c r="L54" s="65535">
        <f>VLOOKUP(A54,Catálogo!A:D,4,0)</f>
        <v>0</v>
      </c>
      <c r="M54" s="506" t="e">
        <f>J54/L54</f>
        <v>#DIV/0!</v>
      </c>
      <c r="N54" s="15" t="str">
        <f>VLOOKUP(A54,[2]Hoja1!$B:$D,3,0)</f>
        <v>Artículos In&amp;Out</v>
      </c>
    </row>
    <row r="55" spans="1:14" s="15" x14ac:dyDescent="0.35">
      <c r="A55" s="502">
        <v>100022210</v>
      </c>
      <c r="B55" s="505">
        <v>75012694</v>
      </c>
      <c r="C55" s="502" t="s">
        <v>541</v>
      </c>
      <c r="D55" s="503" t="s">
        <v>11</v>
      </c>
      <c r="E55" s="503" t="s">
        <v>33</v>
      </c>
      <c r="F55" s="503" t="s">
        <v>46</v>
      </c>
      <c r="G55" s="503" t="s">
        <v>14</v>
      </c>
      <c r="H55" s="502" t="s">
        <v>36</v>
      </c>
      <c r="I55" s="502" t="s">
        <v>109</v>
      </c>
      <c r="J55" s="65535">
        <f>VLOOKUP(A55,Catálogo!A:B,2,0)</f>
        <v>1395.2</v>
      </c>
      <c r="K55" s="65535">
        <f>VLOOKUP(A55,Catálogo!A:C,3,0)</f>
        <v>20</v>
      </c>
      <c r="L55" s="65535">
        <f>VLOOKUP(A55,Catálogo!A:D,4,0)</f>
        <v>0</v>
      </c>
      <c r="M55" s="506"/>
      <c r="N55" s="15" t="str">
        <f>VLOOKUP(A55,[2]Hoja1!$B:$D,3,0)</f>
        <v>Devolución 2024 PMI</v>
      </c>
    </row>
    <row r="56" spans="1:14" s="15" x14ac:dyDescent="0.35">
      <c r="A56" s="502">
        <v>100022847</v>
      </c>
      <c r="B56" s="505">
        <v>7503031950472</v>
      </c>
      <c r="C56" s="502" t="s">
        <v>435</v>
      </c>
      <c r="D56" s="503" t="s">
        <v>11</v>
      </c>
      <c r="E56" s="503" t="s">
        <v>33</v>
      </c>
      <c r="F56" s="503" t="s">
        <v>46</v>
      </c>
      <c r="G56" s="502" t="s">
        <v>54</v>
      </c>
      <c r="H56" s="502" t="s">
        <v>36</v>
      </c>
      <c r="I56" s="502" t="s">
        <v>109</v>
      </c>
      <c r="J56" s="65535">
        <f>VLOOKUP(A56,Catálogo!A:B,2,0)</f>
        <v>1953.54</v>
      </c>
      <c r="K56" s="65535">
        <f>VLOOKUP(A56,Catálogo!A:C,3,0)</f>
        <v>27</v>
      </c>
      <c r="L56" s="65535">
        <f>VLOOKUP(A56,Catálogo!A:D,4,0)</f>
        <v>0</v>
      </c>
      <c r="M56" s="506" t="e">
        <f>J56/L56</f>
        <v>#DIV/0!</v>
      </c>
      <c r="N56" s="15" t="str">
        <f>VLOOKUP(A56,[2]Hoja1!$B:$D,3,0)</f>
        <v>Descontinuado PMI</v>
      </c>
    </row>
    <row r="57" spans="1:14" s="15" x14ac:dyDescent="0.35">
      <c r="A57" s="502">
        <v>100018748</v>
      </c>
      <c r="B57" s="502">
        <v>75074203</v>
      </c>
      <c r="C57" s="502" t="s">
        <v>453</v>
      </c>
      <c r="D57" s="503" t="s">
        <v>44</v>
      </c>
      <c r="E57" s="503" t="s">
        <v>33</v>
      </c>
      <c r="F57" s="65535" t="s">
        <v>46</v>
      </c>
      <c r="G57" s="65535" t="s">
        <v>35</v>
      </c>
      <c r="H57" s="502" t="s">
        <v>36</v>
      </c>
      <c r="I57" s="502" t="s">
        <v>247</v>
      </c>
      <c r="J57" s="65535">
        <f>VLOOKUP(A57,Catálogo!A:B,2,0)</f>
        <v>437.03999999999996</v>
      </c>
      <c r="K57" s="65535">
        <f>VLOOKUP(A57,Catálogo!A:C,3,0)</f>
        <v>8</v>
      </c>
      <c r="L57" s="65535">
        <f>VLOOKUP(A57,Catálogo!A:D,4,0)</f>
        <v>0</v>
      </c>
      <c r="M57" s="506"/>
      <c r="N57" s="15" t="str">
        <f>VLOOKUP(A57,[2]Hoja1!$B:$D,3,0)</f>
        <v>Próxima devolución BAT (Ago 2025)</v>
      </c>
    </row>
    <row r="58" spans="1:14" s="15" x14ac:dyDescent="0.35">
      <c r="A58" s="502">
        <v>100024303</v>
      </c>
      <c r="B58" s="505">
        <v>7503031950977</v>
      </c>
      <c r="C58" s="502" t="s">
        <v>375</v>
      </c>
      <c r="D58" s="503" t="s">
        <v>11</v>
      </c>
      <c r="E58" s="503" t="s">
        <v>33</v>
      </c>
      <c r="F58" s="503" t="s">
        <v>46</v>
      </c>
      <c r="G58" s="503" t="s">
        <v>14</v>
      </c>
      <c r="H58" s="502" t="s">
        <v>36</v>
      </c>
      <c r="I58" s="502" t="s">
        <v>109</v>
      </c>
      <c r="J58" s="65535">
        <f>VLOOKUP(A58,Catálogo!A:B,2,0)</f>
        <v>638.79999999999995</v>
      </c>
      <c r="K58" s="65535">
        <f>VLOOKUP(A58,Catálogo!A:C,3,0)</f>
        <v>9</v>
      </c>
      <c r="L58" s="65535">
        <f>VLOOKUP(A58,Catálogo!A:D,4,0)</f>
        <v>2.6785999999999999</v>
      </c>
      <c r="M58" s="506">
        <f>J58/L58</f>
        <v>238.48278951691182</v>
      </c>
      <c r="N58" s="15" t="str">
        <f>VLOOKUP(A58,[2]Hoja1!$B:$D,3,0)</f>
        <v>Devolución PMI 2025</v>
      </c>
    </row>
    <row r="59" spans="1:14" s="15" x14ac:dyDescent="0.35">
      <c r="A59" s="502">
        <v>100022845</v>
      </c>
      <c r="B59" s="505">
        <v>7503031950458</v>
      </c>
      <c r="C59" s="502" t="s">
        <v>386</v>
      </c>
      <c r="D59" s="503" t="s">
        <v>11</v>
      </c>
      <c r="E59" s="503" t="s">
        <v>33</v>
      </c>
      <c r="F59" s="503" t="s">
        <v>46</v>
      </c>
      <c r="G59" s="503" t="s">
        <v>14</v>
      </c>
      <c r="H59" s="502" t="s">
        <v>36</v>
      </c>
      <c r="I59" s="502" t="s">
        <v>109</v>
      </c>
      <c r="J59" s="65535">
        <f>VLOOKUP(A59,Catálogo!A:B,2,0)</f>
        <v>2120.06</v>
      </c>
      <c r="K59" s="65535">
        <f>VLOOKUP(A59,Catálogo!A:C,3,0)</f>
        <v>30</v>
      </c>
      <c r="L59" s="65535">
        <f>VLOOKUP(A59,Catálogo!A:D,4,0)</f>
        <v>0</v>
      </c>
      <c r="M59" s="506" t="e">
        <f>J59/L59</f>
        <v>#DIV/0!</v>
      </c>
      <c r="N59" s="15" t="str">
        <f>VLOOKUP(A59,[2]Hoja1!$B:$D,3,0)</f>
        <v>Descontinuado PMI</v>
      </c>
    </row>
    <row r="60" spans="1:14" s="15" x14ac:dyDescent="0.35">
      <c r="A60" s="502">
        <v>100022849</v>
      </c>
      <c r="B60" s="505">
        <v>7503031950465</v>
      </c>
      <c r="C60" s="502" t="s">
        <v>416</v>
      </c>
      <c r="D60" s="503" t="s">
        <v>11</v>
      </c>
      <c r="E60" s="503" t="s">
        <v>33</v>
      </c>
      <c r="F60" s="503" t="s">
        <v>46</v>
      </c>
      <c r="G60" s="503" t="s">
        <v>14</v>
      </c>
      <c r="H60" s="502" t="s">
        <v>36</v>
      </c>
      <c r="I60" s="502" t="s">
        <v>109</v>
      </c>
      <c r="J60" s="65535">
        <f>VLOOKUP(A60,Catálogo!A:B,2,0)</f>
        <v>1628.67</v>
      </c>
      <c r="K60" s="65535">
        <f>VLOOKUP(A60,Catálogo!A:C,3,0)</f>
        <v>22</v>
      </c>
      <c r="L60" s="65535">
        <f>VLOOKUP(A60,Catálogo!A:D,4,0)</f>
        <v>0</v>
      </c>
      <c r="M60" s="506" t="e">
        <f>J60/L60</f>
        <v>#DIV/0!</v>
      </c>
      <c r="N60" s="15" t="str">
        <f>VLOOKUP(A60,[2]Hoja1!$B:$D,3,0)</f>
        <v>Descontinuado PMI</v>
      </c>
    </row>
    <row r="61" spans="1:14" s="15" x14ac:dyDescent="0.35">
      <c r="A61" s="503">
        <v>100022785</v>
      </c>
      <c r="B61" s="504">
        <v>7501031701698</v>
      </c>
      <c r="C61" s="503" t="s">
        <v>292</v>
      </c>
      <c r="D61" s="503" t="s">
        <v>44</v>
      </c>
      <c r="E61" s="503" t="s">
        <v>33</v>
      </c>
      <c r="F61" s="503" t="s">
        <v>39</v>
      </c>
      <c r="G61" s="503" t="s">
        <v>139</v>
      </c>
      <c r="H61" s="502" t="s">
        <v>252</v>
      </c>
      <c r="I61" s="502" t="s">
        <v>247</v>
      </c>
      <c r="J61" s="65535">
        <f>VLOOKUP(A61,Catálogo!A:B,2,0)</f>
        <v>648.15</v>
      </c>
      <c r="K61" s="65535">
        <f>VLOOKUP(A61,Catálogo!A:C,3,0)</f>
        <v>5</v>
      </c>
      <c r="L61" s="65535">
        <f>VLOOKUP(A61,Catálogo!A:D,4,0)</f>
        <v>0</v>
      </c>
      <c r="M61" s="506"/>
      <c r="N61" s="15" t="str">
        <f>VLOOKUP(A61,[2]Hoja1!$B:$D,3,0)</f>
        <v>Devoluciones Vuse (feb 2025)</v>
      </c>
    </row>
    <row r="62" spans="1:14" s="15" x14ac:dyDescent="0.35">
      <c r="A62" s="15">
        <v>100024725</v>
      </c>
      <c r="B62" s="506">
        <v>7707200944563</v>
      </c>
      <c r="C62" s="15" t="s">
        <v>261</v>
      </c>
      <c r="D62" s="503" t="s">
        <v>44</v>
      </c>
      <c r="E62" s="503" t="s">
        <v>33</v>
      </c>
      <c r="F62" s="503" t="s">
        <v>39</v>
      </c>
      <c r="G62" s="502" t="s">
        <v>139</v>
      </c>
      <c r="H62" s="502" t="s">
        <v>252</v>
      </c>
      <c r="I62" s="502" t="s">
        <v>247</v>
      </c>
      <c r="J62" s="65535">
        <f>VLOOKUP(A62,Catálogo!A:B,2,0)</f>
        <v>3812.2599999999998</v>
      </c>
      <c r="K62" s="65535">
        <f>VLOOKUP(A62,Catálogo!A:C,3,0)</f>
        <v>28</v>
      </c>
      <c r="L62" s="65535">
        <f>VLOOKUP(A62,Catálogo!A:D,4,0)</f>
        <v>0</v>
      </c>
      <c r="M62" s="506"/>
      <c r="N62" s="15" t="str">
        <f>VLOOKUP(A62,[2]Hoja1!$B:$D,3,0)</f>
        <v>Devoluciones Vuse (feb 2025)</v>
      </c>
    </row>
    <row r="63" spans="1:14" s="15" x14ac:dyDescent="0.35">
      <c r="A63" s="502">
        <v>100011672</v>
      </c>
      <c r="B63" s="505">
        <v>75063801</v>
      </c>
      <c r="C63" s="502" t="s">
        <v>568</v>
      </c>
      <c r="D63" s="503" t="s">
        <v>11</v>
      </c>
      <c r="E63" s="503" t="s">
        <v>33</v>
      </c>
      <c r="F63" s="503" t="s">
        <v>41</v>
      </c>
      <c r="G63" s="503" t="s">
        <v>54</v>
      </c>
      <c r="H63" s="502" t="s">
        <v>36</v>
      </c>
      <c r="I63" s="502" t="s">
        <v>109</v>
      </c>
      <c r="J63" s="65535">
        <f>VLOOKUP(A63,Catálogo!A:B,2,0)</f>
        <v>28959.699999999997</v>
      </c>
      <c r="K63" s="65535">
        <f>VLOOKUP(A63,Catálogo!A:C,3,0)</f>
        <v>568</v>
      </c>
      <c r="L63" s="65535">
        <f>VLOOKUP(A63,Catálogo!A:D,4,0)</f>
        <v>0</v>
      </c>
      <c r="M63" s="506" t="e">
        <f>J63/L63</f>
        <v>#DIV/0!</v>
      </c>
      <c r="N63" s="15" t="str">
        <f>VLOOKUP(A63,[2]Hoja1!$B:$D,3,0)</f>
        <v>Devolución PMI 2025</v>
      </c>
    </row>
    <row r="64" spans="1:14" s="15" x14ac:dyDescent="0.35">
      <c r="A64" s="502">
        <v>100020729</v>
      </c>
      <c r="B64" s="505">
        <v>75012564</v>
      </c>
      <c r="C64" s="502" t="s">
        <v>543</v>
      </c>
      <c r="D64" s="503" t="s">
        <v>11</v>
      </c>
      <c r="E64" s="503" t="s">
        <v>33</v>
      </c>
      <c r="F64" s="503" t="s">
        <v>46</v>
      </c>
      <c r="G64" s="503" t="s">
        <v>14</v>
      </c>
      <c r="H64" s="502" t="s">
        <v>36</v>
      </c>
      <c r="I64" s="502" t="s">
        <v>109</v>
      </c>
      <c r="J64" s="65535">
        <f>VLOOKUP(A64,Catálogo!A:B,2,0)</f>
        <v>1648.65</v>
      </c>
      <c r="K64" s="65535">
        <f>VLOOKUP(A64,Catálogo!A:C,3,0)</f>
        <v>24</v>
      </c>
      <c r="L64" s="65535">
        <f>VLOOKUP(A64,Catálogo!A:D,4,0)</f>
        <v>0</v>
      </c>
      <c r="M64" s="506"/>
      <c r="N64" s="15" t="str">
        <f>VLOOKUP(A64,[2]Hoja1!$B:$D,3,0)</f>
        <v>Devolución 2024 PMI</v>
      </c>
    </row>
    <row r="65" spans="1:14" s="15" x14ac:dyDescent="0.35">
      <c r="A65" s="502">
        <v>100019959</v>
      </c>
      <c r="B65" s="502">
        <v>75074913</v>
      </c>
      <c r="C65" s="502" t="s">
        <v>332</v>
      </c>
      <c r="D65" s="502" t="s">
        <v>44</v>
      </c>
      <c r="E65" s="503" t="s">
        <v>33</v>
      </c>
      <c r="F65" s="502" t="s">
        <v>46</v>
      </c>
      <c r="G65" s="502" t="s">
        <v>52</v>
      </c>
      <c r="H65" s="502" t="s">
        <v>36</v>
      </c>
      <c r="I65" s="502" t="s">
        <v>109</v>
      </c>
      <c r="J65" s="65535">
        <f>VLOOKUP(A65,Catálogo!A:B,2,0)</f>
        <v>634.70000000000005</v>
      </c>
      <c r="K65" s="65535">
        <f>VLOOKUP(A65,Catálogo!A:C,3,0)</f>
        <v>9</v>
      </c>
      <c r="L65" s="65535">
        <f>VLOOKUP(A65,Catálogo!A:D,4,0)</f>
        <v>0</v>
      </c>
      <c r="M65" s="506" t="e">
        <f>J65/L65</f>
        <v>#DIV/0!</v>
      </c>
      <c r="N65" s="15" t="str">
        <f>VLOOKUP(A65,[2]Hoja1!$B:$D,3,0)</f>
        <v>Devolución 2025 BAT Ola 1 (Nacional excepto Tamps)</v>
      </c>
    </row>
    <row r="66" spans="1:14" s="15" x14ac:dyDescent="0.35">
      <c r="A66" s="503">
        <v>100023126</v>
      </c>
      <c r="B66" s="504">
        <v>7501031701520</v>
      </c>
      <c r="C66" s="503" t="s">
        <v>260</v>
      </c>
      <c r="D66" s="503" t="s">
        <v>44</v>
      </c>
      <c r="E66" s="503" t="s">
        <v>33</v>
      </c>
      <c r="F66" s="503" t="s">
        <v>39</v>
      </c>
      <c r="G66" s="503" t="s">
        <v>578</v>
      </c>
      <c r="H66" s="502" t="s">
        <v>252</v>
      </c>
      <c r="I66" s="502" t="s">
        <v>247</v>
      </c>
      <c r="J66" s="65535">
        <f>VLOOKUP(A66,Catálogo!A:B,2,0)</f>
        <v>3483.33</v>
      </c>
      <c r="K66" s="65535">
        <f>VLOOKUP(A66,Catálogo!A:C,3,0)</f>
        <v>38</v>
      </c>
      <c r="L66" s="65535">
        <f>VLOOKUP(A66,Catálogo!A:D,4,0)</f>
        <v>0</v>
      </c>
      <c r="M66" s="506"/>
      <c r="N66" s="15" t="str">
        <f>VLOOKUP(A66,[2]Hoja1!$B:$D,3,0)</f>
        <v>Devoluciones Vuse (feb 2025)</v>
      </c>
    </row>
    <row r="67" spans="1:14" s="15" x14ac:dyDescent="0.35">
      <c r="A67" s="502">
        <v>100015222</v>
      </c>
      <c r="B67" s="505">
        <v>75068790</v>
      </c>
      <c r="C67" s="502" t="s">
        <v>438</v>
      </c>
      <c r="D67" s="503" t="s">
        <v>11</v>
      </c>
      <c r="E67" s="503" t="s">
        <v>33</v>
      </c>
      <c r="F67" s="503" t="s">
        <v>39</v>
      </c>
      <c r="G67" s="503" t="s">
        <v>14</v>
      </c>
      <c r="H67" s="502" t="s">
        <v>36</v>
      </c>
      <c r="I67" s="502" t="s">
        <v>109</v>
      </c>
      <c r="J67" s="65535">
        <f>VLOOKUP(A67,Catálogo!A:B,2,0)</f>
        <v>301.72000000000003</v>
      </c>
      <c r="K67" s="65535">
        <f>VLOOKUP(A67,Catálogo!A:C,3,0)</f>
        <v>5</v>
      </c>
      <c r="L67" s="65535">
        <f>VLOOKUP(A67,Catálogo!A:D,4,0)</f>
        <v>0</v>
      </c>
      <c r="M67" s="506" t="e">
        <f>J67/L67</f>
        <v>#DIV/0!</v>
      </c>
      <c r="N67" s="15" t="str">
        <f>VLOOKUP(A67,[2]Hoja1!$B:$D,3,0)</f>
        <v>Descontinuado PMI</v>
      </c>
    </row>
    <row r="68" spans="1:14" s="15" x14ac:dyDescent="0.35">
      <c r="A68" s="502">
        <v>100080862</v>
      </c>
      <c r="B68" s="505">
        <v>75038007</v>
      </c>
      <c r="C68" s="502" t="s">
        <v>547</v>
      </c>
      <c r="D68" s="502" t="s">
        <v>11</v>
      </c>
      <c r="E68" s="503" t="s">
        <v>33</v>
      </c>
      <c r="F68" s="502" t="s">
        <v>39</v>
      </c>
      <c r="G68" s="502" t="s">
        <v>54</v>
      </c>
      <c r="H68" s="502" t="s">
        <v>36</v>
      </c>
      <c r="I68" s="502" t="s">
        <v>109</v>
      </c>
      <c r="J68" s="65535">
        <f>VLOOKUP(A68,Catálogo!A:B,2,0)</f>
        <v>1939.12</v>
      </c>
      <c r="K68" s="65535">
        <f>VLOOKUP(A68,Catálogo!A:C,3,0)</f>
        <v>40</v>
      </c>
      <c r="L68" s="65535">
        <f>VLOOKUP(A68,Catálogo!A:D,4,0)</f>
        <v>0</v>
      </c>
      <c r="M68" s="506" t="e">
        <f>J68/L68</f>
        <v>#DIV/0!</v>
      </c>
      <c r="N68" s="15" t="str">
        <f>VLOOKUP(A68,[2]Hoja1!$B:$D,3,0)</f>
        <v>Devolución 2024 PMI</v>
      </c>
    </row>
    <row r="69" spans="1:14" s="15" x14ac:dyDescent="0.35">
      <c r="A69" s="502">
        <v>100014718</v>
      </c>
      <c r="B69" s="505">
        <v>75068806</v>
      </c>
      <c r="C69" s="502" t="s">
        <v>545</v>
      </c>
      <c r="D69" s="502" t="s">
        <v>11</v>
      </c>
      <c r="E69" s="503" t="s">
        <v>33</v>
      </c>
      <c r="F69" s="503" t="s">
        <v>39</v>
      </c>
      <c r="G69" s="502" t="s">
        <v>71</v>
      </c>
      <c r="H69" s="502" t="s">
        <v>36</v>
      </c>
      <c r="I69" s="502" t="s">
        <v>109</v>
      </c>
      <c r="J69" s="65535">
        <f>VLOOKUP(A69,Catálogo!A:B,2,0)</f>
        <v>1569.8500000000001</v>
      </c>
      <c r="K69" s="65535">
        <f>VLOOKUP(A69,Catálogo!A:C,3,0)</f>
        <v>32</v>
      </c>
      <c r="L69" s="65535">
        <f>VLOOKUP(A69,Catálogo!A:D,4,0)</f>
        <v>0</v>
      </c>
      <c r="M69" s="506" t="e">
        <f>J69/L69</f>
        <v>#DIV/0!</v>
      </c>
      <c r="N69" s="15" t="str">
        <f>VLOOKUP(A69,[2]Hoja1!$B:$D,3,0)</f>
        <v>Devolución 2024 PMI</v>
      </c>
    </row>
    <row r="70" spans="1:14" s="15" x14ac:dyDescent="0.35">
      <c r="A70" s="502">
        <v>100080829</v>
      </c>
      <c r="B70" s="505">
        <v>75034375</v>
      </c>
      <c r="C70" s="502" t="s">
        <v>422</v>
      </c>
      <c r="D70" s="502" t="s">
        <v>11</v>
      </c>
      <c r="E70" s="503" t="s">
        <v>33</v>
      </c>
      <c r="F70" s="502" t="s">
        <v>39</v>
      </c>
      <c r="G70" s="502" t="s">
        <v>35</v>
      </c>
      <c r="H70" s="502" t="s">
        <v>36</v>
      </c>
      <c r="I70" s="502" t="s">
        <v>109</v>
      </c>
      <c r="J70" s="65535">
        <f>VLOOKUP(A70,Catálogo!A:B,2,0)</f>
        <v>1064.81</v>
      </c>
      <c r="K70" s="65535">
        <f>VLOOKUP(A70,Catálogo!A:C,3,0)</f>
        <v>23</v>
      </c>
      <c r="L70" s="65535">
        <f>VLOOKUP(A70,Catálogo!A:D,4,0)</f>
        <v>0</v>
      </c>
      <c r="M70" s="506"/>
      <c r="N70" s="15" t="str">
        <f>VLOOKUP(A70,[2]Hoja1!$B:$D,3,0)</f>
        <v>Descontinuado PMI</v>
      </c>
    </row>
    <row r="71" spans="1:14" s="15" x14ac:dyDescent="0.35">
      <c r="A71" s="502">
        <v>100015420</v>
      </c>
      <c r="B71" s="505">
        <v>7501045357416</v>
      </c>
      <c r="C71" s="502" t="s">
        <v>477</v>
      </c>
      <c r="D71" s="503" t="s">
        <v>11</v>
      </c>
      <c r="E71" s="503" t="s">
        <v>33</v>
      </c>
      <c r="F71" s="503" t="s">
        <v>46</v>
      </c>
      <c r="G71" s="503" t="s">
        <v>75</v>
      </c>
      <c r="H71" s="502" t="s">
        <v>70</v>
      </c>
      <c r="I71" s="502" t="s">
        <v>109</v>
      </c>
      <c r="J71" s="65535">
        <f>VLOOKUP(A71,Catálogo!A:B,2,0)</f>
        <v>1832.1799999999998</v>
      </c>
      <c r="K71" s="65535">
        <f>VLOOKUP(A71,Catálogo!A:C,3,0)</f>
        <v>27</v>
      </c>
      <c r="L71" s="65535">
        <f>VLOOKUP(A71,Catálogo!A:D,4,0)</f>
        <v>0</v>
      </c>
      <c r="M71" s="506"/>
      <c r="N71" s="15" t="str">
        <f>VLOOKUP(A71,[2]Hoja1!$B:$D,3,0)</f>
        <v>Devoluciones Heets</v>
      </c>
    </row>
    <row r="72" spans="1:14" s="15" x14ac:dyDescent="0.35">
      <c r="A72" s="502">
        <v>100006294</v>
      </c>
      <c r="B72" s="505">
        <v>75053765</v>
      </c>
      <c r="C72" s="502" t="s">
        <v>390</v>
      </c>
      <c r="D72" s="503" t="s">
        <v>11</v>
      </c>
      <c r="E72" s="503" t="s">
        <v>33</v>
      </c>
      <c r="F72" s="503" t="s">
        <v>41</v>
      </c>
      <c r="G72" s="503" t="s">
        <v>35</v>
      </c>
      <c r="H72" s="502" t="s">
        <v>36</v>
      </c>
      <c r="I72" s="502" t="s">
        <v>109</v>
      </c>
      <c r="J72" s="65535">
        <f>VLOOKUP(A72,Catálogo!A:B,2,0)</f>
        <v>1028.3599999999999</v>
      </c>
      <c r="K72" s="65535">
        <f>VLOOKUP(A72,Catálogo!A:C,3,0)</f>
        <v>18</v>
      </c>
      <c r="L72" s="65535">
        <f>VLOOKUP(A72,Catálogo!A:D,4,0)</f>
        <v>4.0641999999999996</v>
      </c>
      <c r="M72" s="506">
        <f>J72/L72</f>
        <v>253.02888637370208</v>
      </c>
      <c r="N72" s="15" t="str">
        <f>VLOOKUP(A72,[2]Hoja1!$B:$D,3,0)</f>
        <v>Descontinuado PMI</v>
      </c>
    </row>
    <row r="73" spans="1:14" s="15" x14ac:dyDescent="0.35">
      <c r="A73" s="503">
        <v>100017624</v>
      </c>
      <c r="B73" s="504">
        <v>75072674</v>
      </c>
      <c r="C73" s="503" t="s">
        <v>460</v>
      </c>
      <c r="D73" s="503" t="s">
        <v>44</v>
      </c>
      <c r="E73" s="503" t="s">
        <v>33</v>
      </c>
      <c r="F73" s="503" t="s">
        <v>46</v>
      </c>
      <c r="G73" s="503" t="s">
        <v>54</v>
      </c>
      <c r="H73" s="502" t="s">
        <v>36</v>
      </c>
      <c r="I73" s="502" t="s">
        <v>109</v>
      </c>
      <c r="J73" s="65535">
        <f>VLOOKUP(A73,Catálogo!A:B,2,0)</f>
        <v>730.53</v>
      </c>
      <c r="K73" s="65535">
        <f>VLOOKUP(A73,Catálogo!A:C,3,0)</f>
        <v>10</v>
      </c>
      <c r="L73" s="65535">
        <f>VLOOKUP(A73,Catálogo!A:D,4,0)</f>
        <v>0</v>
      </c>
      <c r="M73" s="506" t="e">
        <f>J73/L73</f>
        <v>#DIV/0!</v>
      </c>
      <c r="N73" s="15" t="str">
        <f>VLOOKUP(A73,[2]Hoja1!$B:$D,3,0)</f>
        <v>Próxima devolución BAT (Ago 2025)</v>
      </c>
    </row>
    <row r="74" spans="1:14" s="15" x14ac:dyDescent="0.35">
      <c r="A74" s="502">
        <v>100021091</v>
      </c>
      <c r="B74" s="505">
        <v>7503031950212</v>
      </c>
      <c r="C74" s="502" t="s">
        <v>414</v>
      </c>
      <c r="D74" s="502" t="s">
        <v>11</v>
      </c>
      <c r="E74" s="503" t="s">
        <v>33</v>
      </c>
      <c r="F74" s="502" t="s">
        <v>46</v>
      </c>
      <c r="G74" s="502" t="s">
        <v>14</v>
      </c>
      <c r="H74" s="502" t="s">
        <v>36</v>
      </c>
      <c r="I74" s="502" t="s">
        <v>109</v>
      </c>
      <c r="J74" s="65535">
        <f>VLOOKUP(A74,Catálogo!A:B,2,0)</f>
        <v>965.52</v>
      </c>
      <c r="K74" s="65535">
        <f>VLOOKUP(A74,Catálogo!A:C,3,0)</f>
        <v>14</v>
      </c>
      <c r="L74" s="65535">
        <f>VLOOKUP(A74,Catálogo!A:D,4,0)</f>
        <v>4.9260999999999999</v>
      </c>
      <c r="M74" s="506"/>
      <c r="N74" s="15" t="str">
        <f>VLOOKUP(A74,[2]Hoja1!$B:$D,3,0)</f>
        <v>Descontinuado PMI</v>
      </c>
    </row>
    <row r="75" spans="1:14" s="15" x14ac:dyDescent="0.35">
      <c r="A75" s="15">
        <v>100024712</v>
      </c>
      <c r="B75" s="506">
        <v>7707200946239</v>
      </c>
      <c r="C75" s="15" t="s">
        <v>285</v>
      </c>
      <c r="D75" s="503" t="s">
        <v>44</v>
      </c>
      <c r="E75" s="503" t="s">
        <v>33</v>
      </c>
      <c r="F75" s="503" t="s">
        <v>39</v>
      </c>
      <c r="G75" s="502" t="s">
        <v>139</v>
      </c>
      <c r="H75" s="502" t="s">
        <v>252</v>
      </c>
      <c r="I75" s="502" t="s">
        <v>247</v>
      </c>
      <c r="J75" s="65535">
        <f>VLOOKUP(A75,Catálogo!A:B,2,0)</f>
        <v>2361.12</v>
      </c>
      <c r="K75" s="65535">
        <f>VLOOKUP(A75,Catálogo!A:C,3,0)</f>
        <v>17</v>
      </c>
      <c r="L75" s="65535">
        <f>VLOOKUP(A75,Catálogo!A:D,4,0)</f>
        <v>0</v>
      </c>
      <c r="M75" s="506"/>
      <c r="N75" s="15" t="str">
        <f>VLOOKUP(A75,[2]Hoja1!$B:$D,3,0)</f>
        <v>Devoluciones Vuse (feb 2025)</v>
      </c>
    </row>
    <row r="76" spans="1:14" s="15" x14ac:dyDescent="0.35">
      <c r="A76" s="502">
        <v>100018586</v>
      </c>
      <c r="B76" s="505">
        <v>75001414</v>
      </c>
      <c r="C76" s="502" t="s">
        <v>391</v>
      </c>
      <c r="D76" s="503" t="s">
        <v>11</v>
      </c>
      <c r="E76" s="503" t="s">
        <v>33</v>
      </c>
      <c r="F76" s="503" t="s">
        <v>41</v>
      </c>
      <c r="G76" s="503" t="s">
        <v>35</v>
      </c>
      <c r="H76" s="502" t="s">
        <v>36</v>
      </c>
      <c r="I76" s="502" t="s">
        <v>109</v>
      </c>
      <c r="J76" s="65535">
        <f>VLOOKUP(A76,Catálogo!A:B,2,0)</f>
        <v>1617.81</v>
      </c>
      <c r="K76" s="65535">
        <f>VLOOKUP(A76,Catálogo!A:C,3,0)</f>
        <v>40</v>
      </c>
      <c r="L76" s="65535">
        <f>VLOOKUP(A76,Catálogo!A:D,4,0)</f>
        <v>0</v>
      </c>
      <c r="M76" s="506" t="e">
        <f>J76/L76</f>
        <v>#DIV/0!</v>
      </c>
      <c r="N76" s="15" t="str">
        <f>VLOOKUP(A76,[2]Hoja1!$B:$D,3,0)</f>
        <v>Descontinuado PMI</v>
      </c>
    </row>
    <row r="77" spans="1:14" s="15" x14ac:dyDescent="0.35">
      <c r="A77" s="503">
        <v>100022331</v>
      </c>
      <c r="B77" s="505">
        <v>75004408</v>
      </c>
      <c r="C77" s="503" t="s">
        <v>382</v>
      </c>
      <c r="D77" s="503" t="s">
        <v>11</v>
      </c>
      <c r="E77" s="503" t="s">
        <v>33</v>
      </c>
      <c r="F77" s="503" t="s">
        <v>46</v>
      </c>
      <c r="G77" s="503" t="s">
        <v>54</v>
      </c>
      <c r="H77" s="502" t="s">
        <v>36</v>
      </c>
      <c r="I77" s="502" t="s">
        <v>109</v>
      </c>
      <c r="J77" s="65535">
        <f>VLOOKUP(A77,Catálogo!A:B,2,0)</f>
        <v>898.56000000000006</v>
      </c>
      <c r="K77" s="65535">
        <f>VLOOKUP(A77,Catálogo!A:C,3,0)</f>
        <v>17</v>
      </c>
      <c r="L77" s="65535">
        <f>VLOOKUP(A77,Catálogo!A:D,4,0)</f>
        <v>0</v>
      </c>
      <c r="M77" s="506" t="e">
        <f>J77/L77</f>
        <v>#DIV/0!</v>
      </c>
      <c r="N77" s="15" t="str">
        <f>VLOOKUP(A77,[2]Hoja1!$B:$D,3,0)</f>
        <v>Descontinuado PMI</v>
      </c>
    </row>
    <row r="78" spans="1:14" s="15" x14ac:dyDescent="0.35">
      <c r="A78" s="502">
        <v>100080797</v>
      </c>
      <c r="B78" s="505">
        <v>75029388</v>
      </c>
      <c r="C78" s="502" t="s">
        <v>428</v>
      </c>
      <c r="D78" s="502" t="s">
        <v>11</v>
      </c>
      <c r="E78" s="503" t="s">
        <v>33</v>
      </c>
      <c r="F78" s="502" t="s">
        <v>39</v>
      </c>
      <c r="G78" s="502" t="s">
        <v>54</v>
      </c>
      <c r="H78" s="502" t="s">
        <v>36</v>
      </c>
      <c r="I78" s="502" t="s">
        <v>109</v>
      </c>
      <c r="J78" s="65535">
        <f>VLOOKUP(A78,Catálogo!A:B,2,0)</f>
        <v>422.41</v>
      </c>
      <c r="K78" s="65535">
        <f>VLOOKUP(A78,Catálogo!A:C,3,0)</f>
        <v>10</v>
      </c>
      <c r="L78" s="65535">
        <f>VLOOKUP(A78,Catálogo!A:D,4,0)</f>
        <v>0</v>
      </c>
      <c r="M78" s="506"/>
      <c r="N78" s="15" t="str">
        <f>VLOOKUP(A78,[2]Hoja1!$B:$D,3,0)</f>
        <v>Descontinuado PMI</v>
      </c>
    </row>
    <row r="79" spans="1:14" s="15" x14ac:dyDescent="0.35">
      <c r="A79" s="502">
        <v>100024305</v>
      </c>
      <c r="B79" s="505">
        <v>7503031949001</v>
      </c>
      <c r="C79" s="502" t="s">
        <v>378</v>
      </c>
      <c r="D79" s="503" t="s">
        <v>11</v>
      </c>
      <c r="E79" s="503" t="s">
        <v>33</v>
      </c>
      <c r="F79" s="503" t="s">
        <v>46</v>
      </c>
      <c r="G79" s="503" t="s">
        <v>14</v>
      </c>
      <c r="H79" s="502" t="s">
        <v>36</v>
      </c>
      <c r="I79" s="502" t="s">
        <v>109</v>
      </c>
      <c r="J79" s="65535">
        <f>VLOOKUP(A79,Catálogo!A:B,2,0)</f>
        <v>689.66</v>
      </c>
      <c r="K79" s="65535">
        <f>VLOOKUP(A79,Catálogo!A:C,3,0)</f>
        <v>10</v>
      </c>
      <c r="L79" s="65535">
        <f>VLOOKUP(A79,Catálogo!A:D,4,0)</f>
        <v>0</v>
      </c>
      <c r="M79" s="506" t="e">
        <f>J79/L79</f>
        <v>#DIV/0!</v>
      </c>
      <c r="N79" s="15" t="str">
        <f>VLOOKUP(A79,[2]Hoja1!$B:$D,3,0)</f>
        <v>Devolución PMI 2025</v>
      </c>
    </row>
    <row r="80" spans="1:14" s="15" x14ac:dyDescent="0.35">
      <c r="A80" s="502">
        <v>100022139</v>
      </c>
      <c r="B80" s="505">
        <v>7503031950274</v>
      </c>
      <c r="C80" s="502" t="s">
        <v>385</v>
      </c>
      <c r="D80" s="502" t="s">
        <v>11</v>
      </c>
      <c r="E80" s="503" t="s">
        <v>33</v>
      </c>
      <c r="F80" s="502" t="s">
        <v>46</v>
      </c>
      <c r="G80" s="502" t="s">
        <v>14</v>
      </c>
      <c r="H80" s="502" t="s">
        <v>36</v>
      </c>
      <c r="I80" s="502" t="s">
        <v>109</v>
      </c>
      <c r="J80" s="65535">
        <f>VLOOKUP(A80,Catálogo!A:B,2,0)</f>
        <v>1135.03</v>
      </c>
      <c r="K80" s="65535">
        <f>VLOOKUP(A80,Catálogo!A:C,3,0)</f>
        <v>16</v>
      </c>
      <c r="L80" s="65535">
        <f>VLOOKUP(A80,Catálogo!A:D,4,0)</f>
        <v>0</v>
      </c>
      <c r="M80" s="506" t="e">
        <f>J80/L80</f>
        <v>#DIV/0!</v>
      </c>
      <c r="N80" s="15" t="str">
        <f>VLOOKUP(A80,[2]Hoja1!$B:$D,3,0)</f>
        <v>Descontinuado PMI</v>
      </c>
    </row>
    <row r="81" spans="1:14" s="15" x14ac:dyDescent="0.35">
      <c r="A81" s="502">
        <v>100014571</v>
      </c>
      <c r="B81" s="505">
        <v>75069506</v>
      </c>
      <c r="C81" s="502" t="s">
        <v>514</v>
      </c>
      <c r="D81" s="502" t="s">
        <v>11</v>
      </c>
      <c r="E81" s="503" t="s">
        <v>33</v>
      </c>
      <c r="F81" s="502" t="s">
        <v>41</v>
      </c>
      <c r="G81" s="502" t="s">
        <v>54</v>
      </c>
      <c r="H81" s="502" t="s">
        <v>36</v>
      </c>
      <c r="I81" s="502" t="s">
        <v>109</v>
      </c>
      <c r="J81" s="65535">
        <f>VLOOKUP(A81,Catálogo!A:B,2,0)</f>
        <v>923.94</v>
      </c>
      <c r="K81" s="65535">
        <f>VLOOKUP(A81,Catálogo!A:C,3,0)</f>
        <v>13</v>
      </c>
      <c r="L81" s="65535">
        <f>VLOOKUP(A81,Catálogo!A:D,4,0)</f>
        <v>0</v>
      </c>
      <c r="M81" s="506" t="e">
        <f>J81/L81</f>
        <v>#DIV/0!</v>
      </c>
      <c r="N81" s="15" t="str">
        <f>VLOOKUP(A81,[2]Hoja1!$B:$D,3,0)</f>
        <v>Devolución 2024 PMI</v>
      </c>
    </row>
    <row r="82" spans="1:14" s="15" x14ac:dyDescent="0.35">
      <c r="A82" s="502">
        <v>100080029</v>
      </c>
      <c r="B82" s="505">
        <v>75001292</v>
      </c>
      <c r="C82" s="502" t="s">
        <v>424</v>
      </c>
      <c r="D82" s="502" t="s">
        <v>11</v>
      </c>
      <c r="E82" s="503" t="s">
        <v>33</v>
      </c>
      <c r="F82" s="502" t="s">
        <v>39</v>
      </c>
      <c r="G82" s="502" t="s">
        <v>71</v>
      </c>
      <c r="H82" s="502" t="s">
        <v>36</v>
      </c>
      <c r="I82" s="502" t="s">
        <v>109</v>
      </c>
      <c r="J82" s="65535">
        <f>VLOOKUP(A82,Catálogo!A:B,2,0)</f>
        <v>1166.9899999999998</v>
      </c>
      <c r="K82" s="65535">
        <f>VLOOKUP(A82,Catálogo!A:C,3,0)</f>
        <v>60</v>
      </c>
      <c r="L82" s="65535">
        <f>VLOOKUP(A82,Catálogo!A:D,4,0)</f>
        <v>0</v>
      </c>
      <c r="M82" s="506"/>
      <c r="N82" s="15" t="str">
        <f>VLOOKUP(A82,[2]Hoja1!$B:$D,3,0)</f>
        <v>Descontinuado PMI</v>
      </c>
    </row>
    <row r="83" spans="1:14" s="15" x14ac:dyDescent="0.35">
      <c r="A83" s="502">
        <v>100018639</v>
      </c>
      <c r="B83" s="505">
        <v>7501045357966</v>
      </c>
      <c r="C83" s="502" t="s">
        <v>481</v>
      </c>
      <c r="D83" s="503" t="s">
        <v>11</v>
      </c>
      <c r="E83" s="503" t="s">
        <v>33</v>
      </c>
      <c r="F83" s="503" t="s">
        <v>46</v>
      </c>
      <c r="G83" s="503" t="s">
        <v>75</v>
      </c>
      <c r="H83" s="502" t="s">
        <v>70</v>
      </c>
      <c r="I83" s="502" t="s">
        <v>109</v>
      </c>
      <c r="J83" s="65535">
        <f>VLOOKUP(A83,Catálogo!A:B,2,0)</f>
        <v>2547.69</v>
      </c>
      <c r="K83" s="65535">
        <f>VLOOKUP(A83,Catálogo!A:C,3,0)</f>
        <v>37</v>
      </c>
      <c r="L83" s="65535">
        <f>VLOOKUP(A83,Catálogo!A:D,4,0)</f>
        <v>0</v>
      </c>
      <c r="M83" s="506" t="e">
        <f>J83/L83</f>
        <v>#DIV/0!</v>
      </c>
      <c r="N83" s="15" t="str">
        <f>VLOOKUP(A83,[2]Hoja1!$B:$D,3,0)</f>
        <v>Devoluciones Heets</v>
      </c>
    </row>
    <row r="84" spans="1:14" s="15" x14ac:dyDescent="0.35">
      <c r="A84" s="502">
        <v>100022136</v>
      </c>
      <c r="B84" s="505">
        <v>7503031950304</v>
      </c>
      <c r="C84" s="502" t="s">
        <v>434</v>
      </c>
      <c r="D84" s="503" t="s">
        <v>11</v>
      </c>
      <c r="E84" s="503" t="s">
        <v>33</v>
      </c>
      <c r="F84" s="503" t="s">
        <v>46</v>
      </c>
      <c r="G84" s="503" t="s">
        <v>14</v>
      </c>
      <c r="H84" s="502" t="s">
        <v>36</v>
      </c>
      <c r="I84" s="502" t="s">
        <v>109</v>
      </c>
      <c r="J84" s="65535">
        <f>VLOOKUP(A84,Catálogo!A:B,2,0)</f>
        <v>789.27</v>
      </c>
      <c r="K84" s="65535">
        <f>VLOOKUP(A84,Catálogo!A:C,3,0)</f>
        <v>11</v>
      </c>
      <c r="L84" s="65535">
        <f>VLOOKUP(A84,Catálogo!A:D,4,0)</f>
        <v>0</v>
      </c>
      <c r="M84" s="506"/>
      <c r="N84" s="15" t="str">
        <f>VLOOKUP(A84,[2]Hoja1!$B:$D,3,0)</f>
        <v>Descontinuado PMI</v>
      </c>
    </row>
    <row r="85" spans="1:14" s="15" x14ac:dyDescent="0.35">
      <c r="A85" s="502">
        <v>100014242</v>
      </c>
      <c r="B85" s="505">
        <v>7503023959117</v>
      </c>
      <c r="C85" s="502" t="s">
        <v>538</v>
      </c>
      <c r="D85" s="503" t="s">
        <v>32</v>
      </c>
      <c r="E85" s="503" t="s">
        <v>33</v>
      </c>
      <c r="F85" s="502" t="s">
        <v>46</v>
      </c>
      <c r="G85" s="502" t="s">
        <v>14</v>
      </c>
      <c r="H85" s="502" t="s">
        <v>36</v>
      </c>
      <c r="I85" s="502" t="s">
        <v>247</v>
      </c>
      <c r="J85" s="65535">
        <f>VLOOKUP(A85,Catálogo!A:B,2,0)</f>
        <v>697.31999999999994</v>
      </c>
      <c r="K85" s="65535">
        <f>VLOOKUP(A85,Catálogo!A:C,3,0)</f>
        <v>10</v>
      </c>
      <c r="L85" s="65535">
        <f>VLOOKUP(A85,Catálogo!A:D,4,0)</f>
        <v>0</v>
      </c>
      <c r="M85" s="506" t="e">
        <f>J85/L85</f>
        <v>#DIV/0!</v>
      </c>
      <c r="N85" s="15" t="str">
        <f>VLOOKUP(A85,[2]Hoja1!$B:$D,3,0)</f>
        <v>Descontinuado JTI</v>
      </c>
    </row>
    <row r="86" spans="1:14" s="15" x14ac:dyDescent="0.35">
      <c r="A86" s="502">
        <v>100010332</v>
      </c>
      <c r="B86" s="505">
        <v>75062736</v>
      </c>
      <c r="C86" s="502" t="s">
        <v>389</v>
      </c>
      <c r="D86" s="502" t="s">
        <v>11</v>
      </c>
      <c r="E86" s="503" t="s">
        <v>33</v>
      </c>
      <c r="F86" s="502" t="s">
        <v>46</v>
      </c>
      <c r="G86" s="502" t="s">
        <v>14</v>
      </c>
      <c r="H86" s="502" t="s">
        <v>36</v>
      </c>
      <c r="I86" s="502" t="s">
        <v>109</v>
      </c>
      <c r="J86" s="65535">
        <f>VLOOKUP(A86,Catálogo!A:B,2,0)</f>
        <v>749.6099999999999</v>
      </c>
      <c r="K86" s="65535">
        <f>VLOOKUP(A86,Catálogo!A:C,3,0)</f>
        <v>11</v>
      </c>
      <c r="L86" s="65535">
        <f>VLOOKUP(A86,Catálogo!A:D,4,0)</f>
        <v>0</v>
      </c>
      <c r="M86" s="506"/>
      <c r="N86" s="15" t="str">
        <f>VLOOKUP(A86,[2]Hoja1!$B:$D,3,0)</f>
        <v>Descontinuado PMI</v>
      </c>
    </row>
    <row r="87" spans="1:14" s="15" x14ac:dyDescent="0.35">
      <c r="A87" s="502">
        <v>100020770</v>
      </c>
      <c r="B87" s="505">
        <v>75074753</v>
      </c>
      <c r="C87" s="502" t="s">
        <v>372</v>
      </c>
      <c r="D87" s="503" t="s">
        <v>11</v>
      </c>
      <c r="E87" s="503" t="s">
        <v>33</v>
      </c>
      <c r="F87" s="503" t="s">
        <v>46</v>
      </c>
      <c r="G87" s="503" t="s">
        <v>14</v>
      </c>
      <c r="H87" s="502" t="s">
        <v>36</v>
      </c>
      <c r="I87" s="502" t="s">
        <v>109</v>
      </c>
      <c r="J87" s="65535">
        <f>VLOOKUP(A87,Catálogo!A:B,2,0)</f>
        <v>1175.8700000000001</v>
      </c>
      <c r="K87" s="65535">
        <f>VLOOKUP(A87,Catálogo!A:C,3,0)</f>
        <v>16</v>
      </c>
      <c r="L87" s="65535">
        <f>VLOOKUP(A87,Catálogo!A:D,4,0)</f>
        <v>0</v>
      </c>
      <c r="M87" s="506" t="e">
        <f>J87/L87</f>
        <v>#DIV/0!</v>
      </c>
      <c r="N87" s="15" t="str">
        <f>VLOOKUP(A87,[2]Hoja1!$B:$D,3,0)</f>
        <v>Devolución PMI 2025</v>
      </c>
    </row>
    <row r="88" spans="1:14" s="15" x14ac:dyDescent="0.35">
      <c r="A88" s="502">
        <v>100023361</v>
      </c>
      <c r="B88" s="505">
        <v>7503031950540</v>
      </c>
      <c r="C88" s="502" t="s">
        <v>439</v>
      </c>
      <c r="D88" s="503" t="s">
        <v>11</v>
      </c>
      <c r="E88" s="503" t="s">
        <v>33</v>
      </c>
      <c r="F88" s="503" t="s">
        <v>41</v>
      </c>
      <c r="G88" s="503" t="s">
        <v>71</v>
      </c>
      <c r="H88" s="502" t="s">
        <v>36</v>
      </c>
      <c r="I88" s="502" t="s">
        <v>109</v>
      </c>
      <c r="J88" s="65535">
        <f>VLOOKUP(A88,Catálogo!A:B,2,0)</f>
        <v>916.67000000000007</v>
      </c>
      <c r="K88" s="65535">
        <f>VLOOKUP(A88,Catálogo!A:C,3,0)</f>
        <v>15</v>
      </c>
      <c r="L88" s="65535">
        <f>VLOOKUP(A88,Catálogo!A:D,4,0)</f>
        <v>0</v>
      </c>
      <c r="M88" s="506"/>
      <c r="N88" s="15" t="str">
        <f>VLOOKUP(A88,[2]Hoja1!$B:$D,3,0)</f>
        <v>Descontinuado PMI</v>
      </c>
    </row>
    <row r="89" spans="1:14" s="15" x14ac:dyDescent="0.35">
      <c r="A89" s="503">
        <v>100019958</v>
      </c>
      <c r="B89" s="504">
        <v>75074920</v>
      </c>
      <c r="C89" s="503" t="s">
        <v>328</v>
      </c>
      <c r="D89" s="503" t="s">
        <v>44</v>
      </c>
      <c r="E89" s="503" t="s">
        <v>33</v>
      </c>
      <c r="F89" s="503" t="s">
        <v>46</v>
      </c>
      <c r="G89" s="503" t="s">
        <v>54</v>
      </c>
      <c r="H89" s="502" t="s">
        <v>36</v>
      </c>
      <c r="I89" s="502" t="s">
        <v>109</v>
      </c>
      <c r="J89" s="65535" t="e">
        <f>VLOOKUP(A89,Catálogo!A:B,2,0)</f>
        <v>#N/A</v>
      </c>
      <c r="K89" s="65535" t="e">
        <f>VLOOKUP(A89,Catálogo!A:C,3,0)</f>
        <v>#N/A</v>
      </c>
      <c r="L89" s="65535" t="e">
        <f>VLOOKUP(A89,Catálogo!A:D,4,0)</f>
        <v>#N/A</v>
      </c>
      <c r="M89" s="506" t="e">
        <f>J89/L89</f>
        <v>#N/A</v>
      </c>
      <c r="N89" s="15" t="str">
        <f>VLOOKUP(A89,[2]Hoja1!$B:$D,3,0)</f>
        <v>Descontinuado BAT</v>
      </c>
    </row>
    <row r="90" spans="1:14" s="15" x14ac:dyDescent="0.35">
      <c r="A90" s="15">
        <v>100024728</v>
      </c>
      <c r="B90" s="506">
        <v>7702303657044</v>
      </c>
      <c r="C90" s="15" t="s">
        <v>259</v>
      </c>
      <c r="D90" s="503" t="s">
        <v>44</v>
      </c>
      <c r="E90" s="503" t="s">
        <v>33</v>
      </c>
      <c r="F90" s="503" t="s">
        <v>39</v>
      </c>
      <c r="G90" s="502" t="s">
        <v>139</v>
      </c>
      <c r="H90" s="502" t="s">
        <v>252</v>
      </c>
      <c r="I90" s="502" t="s">
        <v>247</v>
      </c>
      <c r="J90" s="65535">
        <f>VLOOKUP(A90,Catálogo!A:B,2,0)</f>
        <v>878.67000000000007</v>
      </c>
      <c r="K90" s="65535">
        <f>VLOOKUP(A90,Catálogo!A:C,3,0)</f>
        <v>6</v>
      </c>
      <c r="L90" s="65535">
        <f>VLOOKUP(A90,Catálogo!A:D,4,0)</f>
        <v>0</v>
      </c>
      <c r="M90" s="506"/>
      <c r="N90" s="15" t="str">
        <f>VLOOKUP(A90,[2]Hoja1!$B:$D,3,0)</f>
        <v>Devoluciones Vuse (feb 2025)</v>
      </c>
    </row>
    <row r="91" spans="1:14" s="15" x14ac:dyDescent="0.35">
      <c r="A91" s="502">
        <v>100015419</v>
      </c>
      <c r="B91" s="505">
        <v>7501045357430</v>
      </c>
      <c r="C91" s="502" t="s">
        <v>478</v>
      </c>
      <c r="D91" s="503" t="s">
        <v>11</v>
      </c>
      <c r="E91" s="503" t="s">
        <v>33</v>
      </c>
      <c r="F91" s="503" t="s">
        <v>46</v>
      </c>
      <c r="G91" s="503" t="s">
        <v>75</v>
      </c>
      <c r="H91" s="502" t="s">
        <v>70</v>
      </c>
      <c r="I91" s="502" t="s">
        <v>109</v>
      </c>
      <c r="J91" s="65535">
        <f>VLOOKUP(A91,Catálogo!A:B,2,0)</f>
        <v>3160.35</v>
      </c>
      <c r="K91" s="65535">
        <f>VLOOKUP(A91,Catálogo!A:C,3,0)</f>
        <v>47</v>
      </c>
      <c r="L91" s="65535">
        <v>0</v>
      </c>
      <c r="M91" s="506" t="e">
        <f>J91/L91</f>
        <v>#DIV/0!</v>
      </c>
      <c r="N91" s="15" t="str">
        <f>VLOOKUP(A91,[2]Hoja1!$B:$D,3,0)</f>
        <v>Devoluciones Heets</v>
      </c>
    </row>
    <row r="92" spans="1:14" s="15" x14ac:dyDescent="0.35">
      <c r="A92" s="503">
        <v>100022332</v>
      </c>
      <c r="B92" s="505">
        <v>75018832</v>
      </c>
      <c r="C92" s="503" t="s">
        <v>380</v>
      </c>
      <c r="D92" s="503" t="s">
        <v>11</v>
      </c>
      <c r="E92" s="503" t="s">
        <v>33</v>
      </c>
      <c r="F92" s="503" t="s">
        <v>46</v>
      </c>
      <c r="G92" s="503" t="s">
        <v>14</v>
      </c>
      <c r="H92" s="502" t="s">
        <v>36</v>
      </c>
      <c r="I92" s="502" t="s">
        <v>109</v>
      </c>
      <c r="J92" s="65535">
        <f>VLOOKUP(A92,Catálogo!A:B,2,0)</f>
        <v>2024.91</v>
      </c>
      <c r="K92" s="65535">
        <f>VLOOKUP(A92,Catálogo!A:C,3,0)</f>
        <v>38</v>
      </c>
      <c r="L92" s="65535">
        <f>VLOOKUP(A92,Catálogo!A:D,4,0)</f>
        <v>0</v>
      </c>
      <c r="M92" s="506" t="e">
        <f>J92/L92</f>
        <v>#DIV/0!</v>
      </c>
      <c r="N92" s="15" t="str">
        <f>VLOOKUP(A92,[2]Hoja1!$B:$D,3,0)</f>
        <v>Devolución PMI 2025</v>
      </c>
    </row>
    <row r="93" spans="1:14" s="15" x14ac:dyDescent="0.35">
      <c r="A93" s="502">
        <v>100080031</v>
      </c>
      <c r="B93" s="505">
        <v>75001254</v>
      </c>
      <c r="C93" s="502" t="s">
        <v>550</v>
      </c>
      <c r="D93" s="503" t="s">
        <v>11</v>
      </c>
      <c r="E93" s="503" t="s">
        <v>33</v>
      </c>
      <c r="F93" s="503" t="s">
        <v>39</v>
      </c>
      <c r="G93" s="503" t="s">
        <v>71</v>
      </c>
      <c r="H93" s="502" t="s">
        <v>36</v>
      </c>
      <c r="I93" s="502" t="s">
        <v>109</v>
      </c>
      <c r="J93" s="65535">
        <f>VLOOKUP(A93,Catálogo!A:B,2,0)</f>
        <v>108.62</v>
      </c>
      <c r="K93" s="65535">
        <f>VLOOKUP(A93,Catálogo!A:C,3,0)</f>
        <v>2</v>
      </c>
      <c r="L93" s="65535">
        <f>VLOOKUP(A93,Catálogo!A:D,4,0)</f>
        <v>0</v>
      </c>
      <c r="M93" s="506"/>
      <c r="N93" s="15" t="str">
        <f>VLOOKUP(A93,[2]Hoja1!$B:$D,3,0)</f>
        <v>Devolución 2024 PMI</v>
      </c>
    </row>
    <row r="94" spans="1:14" s="15" x14ac:dyDescent="0.35">
      <c r="A94" s="502">
        <v>100024304</v>
      </c>
      <c r="B94" s="505">
        <v>7503031950991</v>
      </c>
      <c r="C94" s="502" t="s">
        <v>381</v>
      </c>
      <c r="D94" s="503" t="s">
        <v>11</v>
      </c>
      <c r="E94" s="503" t="s">
        <v>33</v>
      </c>
      <c r="F94" s="503" t="s">
        <v>46</v>
      </c>
      <c r="G94" s="503" t="s">
        <v>14</v>
      </c>
      <c r="H94" s="502" t="s">
        <v>36</v>
      </c>
      <c r="I94" s="502" t="s">
        <v>109</v>
      </c>
      <c r="J94" s="65535">
        <f>VLOOKUP(A94,Catálogo!A:B,2,0)</f>
        <v>444.44</v>
      </c>
      <c r="K94" s="65535">
        <f>VLOOKUP(A94,Catálogo!A:C,3,0)</f>
        <v>6</v>
      </c>
      <c r="L94" s="65535">
        <f>VLOOKUP(A94,Catálogo!A:D,4,0)</f>
        <v>5.2907999999999999</v>
      </c>
      <c r="M94" s="506">
        <f>J94/L94</f>
        <v>84.002419293868599</v>
      </c>
      <c r="N94" s="15" t="str">
        <f>VLOOKUP(A94,[2]Hoja1!$B:$D,3,0)</f>
        <v>Artículos In&amp;Out</v>
      </c>
    </row>
    <row r="95" spans="1:14" s="15" x14ac:dyDescent="0.35">
      <c r="A95" s="15">
        <v>100024727</v>
      </c>
      <c r="B95" s="506">
        <v>7702303265324</v>
      </c>
      <c r="C95" s="15" t="s">
        <v>257</v>
      </c>
      <c r="D95" s="503" t="s">
        <v>44</v>
      </c>
      <c r="E95" s="503" t="s">
        <v>33</v>
      </c>
      <c r="F95" s="503" t="s">
        <v>39</v>
      </c>
      <c r="G95" s="502" t="s">
        <v>139</v>
      </c>
      <c r="H95" s="502" t="s">
        <v>252</v>
      </c>
      <c r="I95" s="502" t="s">
        <v>247</v>
      </c>
      <c r="J95" s="65535">
        <f>VLOOKUP(A95,Catálogo!A:B,2,0)</f>
        <v>1185.18</v>
      </c>
      <c r="K95" s="65535">
        <f>VLOOKUP(A95,Catálogo!A:C,3,0)</f>
        <v>8</v>
      </c>
      <c r="L95" s="65535">
        <f>VLOOKUP(A95,Catálogo!A:D,4,0)</f>
        <v>0</v>
      </c>
      <c r="M95" s="506"/>
      <c r="N95" s="15" t="str">
        <f>VLOOKUP(A95,[2]Hoja1!$B:$D,3,0)</f>
        <v>Devoluciones Vuse (feb 2025)</v>
      </c>
    </row>
    <row r="96" spans="1:14" s="15" x14ac:dyDescent="0.35">
      <c r="A96" s="502">
        <v>100022970</v>
      </c>
      <c r="B96" s="505">
        <v>7503031950571</v>
      </c>
      <c r="C96" s="502" t="s">
        <v>484</v>
      </c>
      <c r="D96" s="503" t="s">
        <v>11</v>
      </c>
      <c r="E96" s="503" t="s">
        <v>33</v>
      </c>
      <c r="F96" s="503" t="s">
        <v>46</v>
      </c>
      <c r="G96" s="503" t="s">
        <v>75</v>
      </c>
      <c r="H96" s="502" t="s">
        <v>70</v>
      </c>
      <c r="I96" s="502" t="s">
        <v>109</v>
      </c>
      <c r="J96" s="65535">
        <f>VLOOKUP(A96,Catálogo!A:B,2,0)</f>
        <v>341.37</v>
      </c>
      <c r="K96" s="65535">
        <f>VLOOKUP(A96,Catálogo!A:C,3,0)</f>
        <v>5</v>
      </c>
      <c r="L96" s="65535">
        <f>VLOOKUP(A96,Catálogo!A:D,4,0)</f>
        <v>0</v>
      </c>
      <c r="M96" s="506" t="e">
        <f>J96/L96</f>
        <v>#DIV/0!</v>
      </c>
      <c r="N96" s="15" t="str">
        <f>VLOOKUP(A96,[2]Hoja1!$B:$D,3,0)</f>
        <v>Devoluciones Heets</v>
      </c>
    </row>
    <row r="97" spans="1:14" s="15" x14ac:dyDescent="0.35">
      <c r="A97" s="502">
        <v>100022138</v>
      </c>
      <c r="B97" s="505">
        <v>7503031950281</v>
      </c>
      <c r="C97" s="502" t="s">
        <v>415</v>
      </c>
      <c r="D97" s="502" t="s">
        <v>11</v>
      </c>
      <c r="E97" s="503" t="s">
        <v>33</v>
      </c>
      <c r="F97" s="502" t="s">
        <v>46</v>
      </c>
      <c r="G97" s="502" t="s">
        <v>14</v>
      </c>
      <c r="H97" s="502" t="s">
        <v>36</v>
      </c>
      <c r="I97" s="502" t="s">
        <v>109</v>
      </c>
      <c r="J97" s="65535">
        <f>VLOOKUP(A97,Catálogo!A:B,2,0)</f>
        <v>727.27</v>
      </c>
      <c r="K97" s="65535">
        <f>VLOOKUP(A97,Catálogo!A:C,3,0)</f>
        <v>10</v>
      </c>
      <c r="L97" s="65535">
        <f>VLOOKUP(A97,Catálogo!A:D,4,0)</f>
        <v>0</v>
      </c>
      <c r="M97" s="506"/>
      <c r="N97" s="15" t="str">
        <f>VLOOKUP(A97,[2]Hoja1!$B:$D,3,0)</f>
        <v>Descontinuado PMI</v>
      </c>
    </row>
    <row r="98" spans="1:14" s="15" x14ac:dyDescent="0.35">
      <c r="A98" s="15">
        <v>100024726</v>
      </c>
      <c r="B98" s="506">
        <v>7702303108812</v>
      </c>
      <c r="C98" s="15" t="s">
        <v>258</v>
      </c>
      <c r="D98" s="503" t="s">
        <v>44</v>
      </c>
      <c r="E98" s="503" t="s">
        <v>33</v>
      </c>
      <c r="F98" s="503" t="s">
        <v>39</v>
      </c>
      <c r="G98" s="502" t="s">
        <v>139</v>
      </c>
      <c r="H98" s="502" t="s">
        <v>252</v>
      </c>
      <c r="I98" s="502" t="s">
        <v>247</v>
      </c>
      <c r="J98" s="65535">
        <f>VLOOKUP(A98,Catálogo!A:B,2,0)</f>
        <v>1037.04</v>
      </c>
      <c r="K98" s="65535">
        <f>VLOOKUP(A98,Catálogo!A:C,3,0)</f>
        <v>7</v>
      </c>
      <c r="L98" s="65535">
        <f>VLOOKUP(A98,Catálogo!A:D,4,0)</f>
        <v>0</v>
      </c>
      <c r="M98" s="506"/>
      <c r="N98" s="15" t="str">
        <f>VLOOKUP(A98,[2]Hoja1!$B:$D,3,0)</f>
        <v>Devoluciones Vuse (feb 2025)</v>
      </c>
    </row>
    <row r="99" spans="1:14" s="15" x14ac:dyDescent="0.35">
      <c r="A99" s="502">
        <v>100010934</v>
      </c>
      <c r="B99" s="502">
        <v>75062675</v>
      </c>
      <c r="C99" s="502" t="s">
        <v>462</v>
      </c>
      <c r="D99" s="502" t="s">
        <v>44</v>
      </c>
      <c r="E99" s="503" t="s">
        <v>33</v>
      </c>
      <c r="F99" s="502" t="s">
        <v>39</v>
      </c>
      <c r="G99" s="502" t="s">
        <v>58</v>
      </c>
      <c r="H99" s="502" t="s">
        <v>36</v>
      </c>
      <c r="I99" s="502" t="s">
        <v>247</v>
      </c>
      <c r="J99" s="65535">
        <f>VLOOKUP(A99,Catálogo!A:B,2,0)</f>
        <v>732.76</v>
      </c>
      <c r="K99" s="65535">
        <f>VLOOKUP(A99,Catálogo!A:C,3,0)</f>
        <v>10</v>
      </c>
      <c r="L99" s="65535">
        <f>VLOOKUP(A99,Catálogo!A:D,4,0)</f>
        <v>0</v>
      </c>
      <c r="M99" s="506"/>
      <c r="N99" s="15" t="str">
        <f>VLOOKUP(A99,[2]Hoja1!$B:$D,3,0)</f>
        <v>Descontinuado BAT</v>
      </c>
    </row>
    <row r="100" spans="1:14" s="15" x14ac:dyDescent="0.35">
      <c r="A100" s="502">
        <v>100023891</v>
      </c>
      <c r="B100" s="505">
        <v>7503031950939</v>
      </c>
      <c r="C100" s="502" t="s">
        <v>387</v>
      </c>
      <c r="D100" s="503" t="s">
        <v>11</v>
      </c>
      <c r="E100" s="503" t="s">
        <v>33</v>
      </c>
      <c r="F100" s="503" t="s">
        <v>46</v>
      </c>
      <c r="G100" s="503" t="s">
        <v>14</v>
      </c>
      <c r="H100" s="502" t="s">
        <v>36</v>
      </c>
      <c r="I100" s="502" t="s">
        <v>109</v>
      </c>
      <c r="J100" s="65535">
        <f>VLOOKUP(A100,Catálogo!A:B,2,0)</f>
        <v>488.79999999999995</v>
      </c>
      <c r="K100" s="65535">
        <f>VLOOKUP(A100,Catálogo!A:C,3,0)</f>
        <v>7</v>
      </c>
      <c r="L100" s="65535">
        <f>VLOOKUP(A100,Catálogo!A:D,4,0)</f>
        <v>4.9260999999999999</v>
      </c>
      <c r="M100" s="506">
        <f>J100/L100</f>
        <v>99.226568685166754</v>
      </c>
      <c r="N100" s="15" t="str">
        <f>VLOOKUP(A100,[2]Hoja1!$B:$D,3,0)</f>
        <v>Descontinuado PMI</v>
      </c>
    </row>
    <row r="101" spans="1:14" s="15" x14ac:dyDescent="0.35">
      <c r="A101" s="502">
        <v>100022134</v>
      </c>
      <c r="B101" s="505">
        <v>7503031950298</v>
      </c>
      <c r="C101" s="502" t="s">
        <v>436</v>
      </c>
      <c r="D101" s="503" t="s">
        <v>11</v>
      </c>
      <c r="E101" s="503" t="s">
        <v>33</v>
      </c>
      <c r="F101" s="503" t="s">
        <v>46</v>
      </c>
      <c r="G101" s="502" t="s">
        <v>54</v>
      </c>
      <c r="H101" s="502" t="s">
        <v>36</v>
      </c>
      <c r="I101" s="502" t="s">
        <v>109</v>
      </c>
      <c r="J101" s="65535">
        <f>VLOOKUP(A101,Catálogo!A:B,2,0)</f>
        <v>670.37</v>
      </c>
      <c r="K101" s="65535">
        <f>VLOOKUP(A101,Catálogo!A:C,3,0)</f>
        <v>9</v>
      </c>
      <c r="L101" s="65535">
        <f>VLOOKUP(A101,Catálogo!A:D,4,0)</f>
        <v>0</v>
      </c>
      <c r="M101" s="506"/>
      <c r="N101" s="15" t="str">
        <f>VLOOKUP(A101,[2]Hoja1!$B:$D,3,0)</f>
        <v>Descontinuado PMI</v>
      </c>
    </row>
    <row r="102" spans="1:14" s="15" x14ac:dyDescent="0.35">
      <c r="A102" s="502">
        <v>100018203</v>
      </c>
      <c r="B102" s="505">
        <v>7501045300122</v>
      </c>
      <c r="C102" s="502" t="s">
        <v>507</v>
      </c>
      <c r="D102" s="503" t="s">
        <v>11</v>
      </c>
      <c r="E102" s="503" t="s">
        <v>33</v>
      </c>
      <c r="F102" s="502" t="s">
        <v>41</v>
      </c>
      <c r="G102" s="502" t="s">
        <v>54</v>
      </c>
      <c r="H102" s="502" t="s">
        <v>36</v>
      </c>
      <c r="I102" s="502" t="s">
        <v>109</v>
      </c>
      <c r="J102" s="65535" t="e">
        <f>VLOOKUP(A102,Catálogo!A:B,2,0)</f>
        <v>#N/A</v>
      </c>
      <c r="K102" s="65535" t="e">
        <f>VLOOKUP(A102,Catálogo!A:C,3,0)</f>
        <v>#N/A</v>
      </c>
      <c r="L102" s="65535" t="e">
        <f>VLOOKUP(A102,Catálogo!A:D,4,0)</f>
        <v>#N/A</v>
      </c>
      <c r="M102" s="506"/>
      <c r="N102" s="15" t="str">
        <f>VLOOKUP(A102,[2]Hoja1!$B:$D,3,0)</f>
        <v>Devolución 2024 PMI</v>
      </c>
    </row>
    <row r="103" spans="1:14" s="15" x14ac:dyDescent="0.35">
      <c r="A103" s="502">
        <v>100080184</v>
      </c>
      <c r="B103" s="505">
        <v>8308315</v>
      </c>
      <c r="C103" s="502" t="s">
        <v>533</v>
      </c>
      <c r="D103" s="503" t="s">
        <v>32</v>
      </c>
      <c r="E103" s="503" t="s">
        <v>33</v>
      </c>
      <c r="F103" s="502" t="s">
        <v>46</v>
      </c>
      <c r="G103" s="502" t="s">
        <v>35</v>
      </c>
      <c r="H103" s="502" t="s">
        <v>36</v>
      </c>
      <c r="I103" s="502" t="s">
        <v>247</v>
      </c>
      <c r="J103" s="65535">
        <f>VLOOKUP(A103,Catálogo!A:B,2,0)</f>
        <v>689.65000000000009</v>
      </c>
      <c r="K103" s="65535">
        <f>VLOOKUP(A103,Catálogo!A:C,3,0)</f>
        <v>16</v>
      </c>
      <c r="L103" s="65535">
        <f>VLOOKUP(A103,Catálogo!A:D,4,0)</f>
        <v>0</v>
      </c>
      <c r="M103" s="506"/>
      <c r="N103" s="15" t="str">
        <f>VLOOKUP(A103,[2]Hoja1!$B:$D,3,0)</f>
        <v>Descontinuado JTI</v>
      </c>
    </row>
    <row r="104" spans="1:14" s="15" x14ac:dyDescent="0.35">
      <c r="A104" s="502">
        <v>100017662</v>
      </c>
      <c r="B104" s="502">
        <v>75072506</v>
      </c>
      <c r="C104" s="502" t="s">
        <v>449</v>
      </c>
      <c r="D104" s="503" t="s">
        <v>44</v>
      </c>
      <c r="E104" s="503" t="s">
        <v>33</v>
      </c>
      <c r="F104" s="65535" t="s">
        <v>46</v>
      </c>
      <c r="G104" s="65535" t="s">
        <v>35</v>
      </c>
      <c r="H104" s="502" t="s">
        <v>36</v>
      </c>
      <c r="I104" s="502" t="s">
        <v>247</v>
      </c>
      <c r="J104" s="65535">
        <f>VLOOKUP(A104,Catálogo!A:B,2,0)</f>
        <v>733.33</v>
      </c>
      <c r="K104" s="65535">
        <f>VLOOKUP(A104,Catálogo!A:C,3,0)</f>
        <v>12</v>
      </c>
      <c r="L104" s="65535">
        <f>VLOOKUP(A104,Catálogo!A:D,4,0)</f>
        <v>0</v>
      </c>
      <c r="M104" s="506"/>
      <c r="N104" s="15" t="str">
        <f>VLOOKUP(A104,[2]Hoja1!$B:$D,3,0)</f>
        <v>Descontinuado BAT</v>
      </c>
    </row>
    <row r="105" spans="1:14" s="15" x14ac:dyDescent="0.35">
      <c r="A105" s="502">
        <v>100022276</v>
      </c>
      <c r="B105" s="505">
        <v>75004415</v>
      </c>
      <c r="C105" s="502" t="s">
        <v>418</v>
      </c>
      <c r="D105" s="502" t="s">
        <v>11</v>
      </c>
      <c r="E105" s="503" t="s">
        <v>33</v>
      </c>
      <c r="F105" s="503" t="s">
        <v>46</v>
      </c>
      <c r="G105" s="503" t="s">
        <v>14</v>
      </c>
      <c r="H105" s="502" t="s">
        <v>36</v>
      </c>
      <c r="I105" s="502" t="s">
        <v>109</v>
      </c>
      <c r="J105" s="65535">
        <f>VLOOKUP(A105,Catálogo!A:B,2,0)</f>
        <v>1228.6200000000001</v>
      </c>
      <c r="K105" s="65535">
        <f>VLOOKUP(A105,Catálogo!A:C,3,0)</f>
        <v>17</v>
      </c>
      <c r="L105" s="65535">
        <f>VLOOKUP(A105,Catálogo!A:D,4,0)</f>
        <v>0</v>
      </c>
      <c r="M105" s="506" t="e">
        <f>J105/L105</f>
        <v>#DIV/0!</v>
      </c>
      <c r="N105" s="15" t="str">
        <f>VLOOKUP(A105,[2]Hoja1!$B:$D,3,0)</f>
        <v>Devolución PMI 2025</v>
      </c>
    </row>
    <row r="106" spans="1:14" s="15" x14ac:dyDescent="0.35">
      <c r="A106" s="502">
        <v>100023889</v>
      </c>
      <c r="B106" s="505">
        <v>7503031950953</v>
      </c>
      <c r="C106" s="502" t="s">
        <v>417</v>
      </c>
      <c r="D106" s="503" t="s">
        <v>11</v>
      </c>
      <c r="E106" s="503" t="s">
        <v>33</v>
      </c>
      <c r="F106" s="503" t="s">
        <v>46</v>
      </c>
      <c r="G106" s="503" t="s">
        <v>14</v>
      </c>
      <c r="H106" s="502" t="s">
        <v>36</v>
      </c>
      <c r="I106" s="502" t="s">
        <v>109</v>
      </c>
      <c r="J106" s="65535">
        <f>VLOOKUP(A106,Catálogo!A:B,2,0)</f>
        <v>413.79999999999995</v>
      </c>
      <c r="K106" s="65535">
        <f>VLOOKUP(A106,Catálogo!A:C,3,0)</f>
        <v>6</v>
      </c>
      <c r="L106" s="65535">
        <f>VLOOKUP(A106,Catálogo!A:D,4,0)</f>
        <v>4.9260999999999999</v>
      </c>
      <c r="M106" s="506"/>
      <c r="N106" s="15" t="str">
        <f>VLOOKUP(A106,[2]Hoja1!$B:$D,3,0)</f>
        <v>Descontinuado PMI</v>
      </c>
    </row>
    <row r="107" spans="1:14" s="15" x14ac:dyDescent="0.35">
      <c r="A107" s="502">
        <v>100018638</v>
      </c>
      <c r="B107" s="505">
        <v>7501045357898</v>
      </c>
      <c r="C107" s="502" t="s">
        <v>479</v>
      </c>
      <c r="D107" s="503" t="s">
        <v>11</v>
      </c>
      <c r="E107" s="503" t="s">
        <v>33</v>
      </c>
      <c r="F107" s="503" t="s">
        <v>46</v>
      </c>
      <c r="G107" s="503" t="s">
        <v>75</v>
      </c>
      <c r="H107" s="502" t="s">
        <v>70</v>
      </c>
      <c r="I107" s="502" t="s">
        <v>109</v>
      </c>
      <c r="J107" s="65535">
        <f>VLOOKUP(A107,Catálogo!A:B,2,0)</f>
        <v>3853.5899999999983</v>
      </c>
      <c r="K107" s="65535">
        <f>VLOOKUP(A107,Catálogo!A:C,3,0)</f>
        <v>57</v>
      </c>
      <c r="L107" s="65535">
        <f>VLOOKUP(A107,Catálogo!A:D,4,0)</f>
        <v>0</v>
      </c>
      <c r="M107" s="506" t="e">
        <f>J107/L107</f>
        <v>#DIV/0!</v>
      </c>
      <c r="N107" s="15" t="str">
        <f>VLOOKUP(A107,[2]Hoja1!$B:$D,3,0)</f>
        <v>Devoluciones Heets</v>
      </c>
    </row>
    <row r="108" spans="1:14" s="15" x14ac:dyDescent="0.35">
      <c r="A108" s="15">
        <v>100024729</v>
      </c>
      <c r="B108" s="506">
        <v>7707200942736</v>
      </c>
      <c r="C108" s="15" t="s">
        <v>256</v>
      </c>
      <c r="D108" s="503" t="s">
        <v>44</v>
      </c>
      <c r="E108" s="503" t="s">
        <v>33</v>
      </c>
      <c r="F108" s="503" t="s">
        <v>39</v>
      </c>
      <c r="G108" s="502" t="s">
        <v>139</v>
      </c>
      <c r="H108" s="502" t="s">
        <v>252</v>
      </c>
      <c r="I108" s="502" t="s">
        <v>247</v>
      </c>
      <c r="J108" s="65535">
        <f>VLOOKUP(A108,Catálogo!A:B,2,0)</f>
        <v>434.23</v>
      </c>
      <c r="K108" s="65535">
        <f>VLOOKUP(A108,Catálogo!A:C,3,0)</f>
        <v>3</v>
      </c>
      <c r="L108" s="65535">
        <f>VLOOKUP(A108,Catálogo!A:D,4,0)</f>
        <v>0</v>
      </c>
      <c r="M108" s="506"/>
      <c r="N108" s="15" t="str">
        <f>VLOOKUP(A108,[2]Hoja1!$B:$D,3,0)</f>
        <v>Devoluciones Vuse (feb 2025)</v>
      </c>
    </row>
    <row r="109" spans="1:14" s="15" x14ac:dyDescent="0.35">
      <c r="A109" s="502">
        <v>100022846</v>
      </c>
      <c r="B109" s="505">
        <v>7503031950489</v>
      </c>
      <c r="C109" s="502" t="s">
        <v>433</v>
      </c>
      <c r="D109" s="503" t="s">
        <v>11</v>
      </c>
      <c r="E109" s="503" t="s">
        <v>33</v>
      </c>
      <c r="F109" s="503" t="s">
        <v>46</v>
      </c>
      <c r="G109" s="503" t="s">
        <v>14</v>
      </c>
      <c r="H109" s="502" t="s">
        <v>36</v>
      </c>
      <c r="I109" s="502" t="s">
        <v>109</v>
      </c>
      <c r="J109" s="65535">
        <f>VLOOKUP(A109,Catálogo!A:B,2,0)</f>
        <v>689.66</v>
      </c>
      <c r="K109" s="65535">
        <f>VLOOKUP(A109,Catálogo!A:C,3,0)</f>
        <v>10</v>
      </c>
      <c r="L109" s="65535">
        <f>VLOOKUP(A109,Catálogo!A:D,4,0)</f>
        <v>0</v>
      </c>
      <c r="M109" s="506" t="e">
        <f>J109/L109</f>
        <v>#DIV/0!</v>
      </c>
      <c r="N109" s="15" t="str">
        <f>VLOOKUP(A109,[2]Hoja1!$B:$D,3,0)</f>
        <v>Devolución PMI 2025</v>
      </c>
    </row>
    <row r="110" spans="1:14" s="15" x14ac:dyDescent="0.35">
      <c r="A110" s="502">
        <v>100021797</v>
      </c>
      <c r="B110" s="505">
        <v>7503031950267</v>
      </c>
      <c r="C110" s="502" t="s">
        <v>520</v>
      </c>
      <c r="D110" s="503" t="s">
        <v>11</v>
      </c>
      <c r="E110" s="503" t="s">
        <v>33</v>
      </c>
      <c r="F110" s="502" t="s">
        <v>41</v>
      </c>
      <c r="G110" s="503" t="s">
        <v>35</v>
      </c>
      <c r="H110" s="502" t="s">
        <v>36</v>
      </c>
      <c r="I110" s="502" t="s">
        <v>109</v>
      </c>
      <c r="J110" s="65535">
        <f>VLOOKUP(A110,Catálogo!A:B,2,0)</f>
        <v>287.04000000000002</v>
      </c>
      <c r="K110" s="65535">
        <f>VLOOKUP(A110,Catálogo!A:C,3,0)</f>
        <v>5</v>
      </c>
      <c r="L110" s="65535">
        <f>VLOOKUP(A110,Catálogo!A:D,4,0)</f>
        <v>0</v>
      </c>
      <c r="M110" s="506"/>
      <c r="N110" s="15" t="str">
        <f>VLOOKUP(A110,[2]Hoja1!$B:$D,3,0)</f>
        <v>Devolución 2024 PMI</v>
      </c>
    </row>
    <row r="111" spans="1:14" s="15" x14ac:dyDescent="0.35">
      <c r="A111" s="15">
        <v>100024724</v>
      </c>
      <c r="B111" s="506">
        <v>7707200944037</v>
      </c>
      <c r="C111" s="15" t="s">
        <v>274</v>
      </c>
      <c r="D111" s="503" t="s">
        <v>44</v>
      </c>
      <c r="E111" s="503" t="s">
        <v>33</v>
      </c>
      <c r="F111" s="503" t="s">
        <v>39</v>
      </c>
      <c r="G111" s="502" t="s">
        <v>139</v>
      </c>
      <c r="H111" s="502" t="s">
        <v>252</v>
      </c>
      <c r="I111" s="502" t="s">
        <v>247</v>
      </c>
      <c r="J111" s="65535">
        <f>VLOOKUP(A111,Catálogo!A:B,2,0)</f>
        <v>296.3</v>
      </c>
      <c r="K111" s="65535">
        <f>VLOOKUP(A111,Catálogo!A:C,3,0)</f>
        <v>1</v>
      </c>
      <c r="L111" s="65535">
        <f>VLOOKUP(A111,Catálogo!A:D,4,0)</f>
        <v>0</v>
      </c>
      <c r="M111" s="506"/>
      <c r="N111" s="15" t="str">
        <f>VLOOKUP(A111,[2]Hoja1!$B:$D,3,0)</f>
        <v>Devoluciones Vuse (feb 2025)</v>
      </c>
    </row>
    <row r="112" spans="1:14" s="15" x14ac:dyDescent="0.35">
      <c r="A112" s="502">
        <v>100012202</v>
      </c>
      <c r="B112" s="505">
        <v>75064112</v>
      </c>
      <c r="C112" s="502" t="s">
        <v>510</v>
      </c>
      <c r="D112" s="502" t="s">
        <v>11</v>
      </c>
      <c r="E112" s="503" t="s">
        <v>33</v>
      </c>
      <c r="F112" s="502" t="s">
        <v>41</v>
      </c>
      <c r="G112" s="502" t="s">
        <v>35</v>
      </c>
      <c r="H112" s="502" t="s">
        <v>36</v>
      </c>
      <c r="I112" s="502" t="s">
        <v>109</v>
      </c>
      <c r="J112" s="65535">
        <f>VLOOKUP(A112,Catálogo!A:B,2,0)</f>
        <v>562.74</v>
      </c>
      <c r="K112" s="65535">
        <f>VLOOKUP(A112,Catálogo!A:C,3,0)</f>
        <v>13</v>
      </c>
      <c r="L112" s="65535">
        <f>VLOOKUP(A112,Catálogo!A:D,4,0)</f>
        <v>0</v>
      </c>
      <c r="M112" s="506"/>
      <c r="N112" s="15" t="str">
        <f>VLOOKUP(A112,[2]Hoja1!$B:$D,3,0)</f>
        <v>Devolución 2024 PMI</v>
      </c>
    </row>
    <row r="113" spans="1:14" s="15" x14ac:dyDescent="0.35">
      <c r="A113" s="502">
        <v>100008441</v>
      </c>
      <c r="B113" s="502">
        <v>75058470</v>
      </c>
      <c r="C113" s="502" t="s">
        <v>461</v>
      </c>
      <c r="D113" s="502" t="s">
        <v>44</v>
      </c>
      <c r="E113" s="503" t="s">
        <v>33</v>
      </c>
      <c r="F113" s="502" t="s">
        <v>46</v>
      </c>
      <c r="G113" s="502" t="s">
        <v>58</v>
      </c>
      <c r="H113" s="502" t="s">
        <v>36</v>
      </c>
      <c r="I113" s="502" t="s">
        <v>247</v>
      </c>
      <c r="J113" s="65535">
        <f>VLOOKUP(A113,Catálogo!A:B,2,0)</f>
        <v>50.86</v>
      </c>
      <c r="K113" s="65535">
        <f>VLOOKUP(A113,Catálogo!A:C,3,0)</f>
        <v>1</v>
      </c>
      <c r="L113" s="65535">
        <f>VLOOKUP(A113,Catálogo!A:D,4,0)</f>
        <v>0</v>
      </c>
      <c r="M113" s="506"/>
      <c r="N113" s="15" t="str">
        <f>VLOOKUP(A113,[2]Hoja1!$B:$D,3,0)</f>
        <v>Descontinuado BAT</v>
      </c>
    </row>
    <row r="114" spans="1:14" s="15" x14ac:dyDescent="0.35">
      <c r="A114" s="15">
        <v>100024716</v>
      </c>
      <c r="B114" s="506">
        <v>7707200940220</v>
      </c>
      <c r="C114" s="15" t="s">
        <v>288</v>
      </c>
      <c r="D114" s="503" t="s">
        <v>44</v>
      </c>
      <c r="E114" s="503" t="s">
        <v>33</v>
      </c>
      <c r="F114" s="503" t="s">
        <v>39</v>
      </c>
      <c r="G114" s="502" t="s">
        <v>139</v>
      </c>
      <c r="H114" s="502" t="s">
        <v>252</v>
      </c>
      <c r="I114" s="502" t="s">
        <v>247</v>
      </c>
      <c r="J114" s="65535">
        <f>VLOOKUP(A114,Catálogo!A:B,2,0)</f>
        <v>555.55999999999995</v>
      </c>
      <c r="K114" s="65535">
        <f>VLOOKUP(A114,Catálogo!A:C,3,0)</f>
        <v>4</v>
      </c>
      <c r="L114" s="65535">
        <f>VLOOKUP(A114,Catálogo!A:D,4,0)</f>
        <v>0</v>
      </c>
      <c r="M114" s="506"/>
      <c r="N114" s="15" t="str">
        <f>VLOOKUP(A114,[2]Hoja1!$B:$D,3,0)</f>
        <v>Devoluciones Vuse (feb 2025)</v>
      </c>
    </row>
    <row r="115" spans="1:14" s="15" x14ac:dyDescent="0.35">
      <c r="A115" s="502">
        <v>100023362</v>
      </c>
      <c r="B115" s="505">
        <v>7503031950533</v>
      </c>
      <c r="C115" s="502" t="s">
        <v>419</v>
      </c>
      <c r="D115" s="503" t="s">
        <v>11</v>
      </c>
      <c r="E115" s="503" t="s">
        <v>33</v>
      </c>
      <c r="F115" s="503" t="s">
        <v>41</v>
      </c>
      <c r="G115" s="502" t="s">
        <v>35</v>
      </c>
      <c r="H115" s="502" t="s">
        <v>36</v>
      </c>
      <c r="I115" s="502" t="s">
        <v>109</v>
      </c>
      <c r="J115" s="65535">
        <f>VLOOKUP(A115,Catálogo!A:B,2,0)</f>
        <v>524.71</v>
      </c>
      <c r="K115" s="65535">
        <f>VLOOKUP(A115,Catálogo!A:C,3,0)</f>
        <v>9</v>
      </c>
      <c r="L115" s="65535">
        <f>VLOOKUP(A115,Catálogo!A:D,4,0)</f>
        <v>0</v>
      </c>
      <c r="M115" s="506"/>
      <c r="N115" s="15" t="str">
        <f>VLOOKUP(A115,[2]Hoja1!$B:$D,3,0)</f>
        <v>Devolución PMI 2024</v>
      </c>
    </row>
    <row r="116" spans="1:14" s="15" x14ac:dyDescent="0.35">
      <c r="A116" s="502">
        <v>100020137</v>
      </c>
      <c r="B116" s="505">
        <v>7503031950168</v>
      </c>
      <c r="C116" s="502" t="s">
        <v>420</v>
      </c>
      <c r="D116" s="502" t="s">
        <v>11</v>
      </c>
      <c r="E116" s="503" t="s">
        <v>33</v>
      </c>
      <c r="F116" s="502" t="s">
        <v>41</v>
      </c>
      <c r="G116" s="502" t="s">
        <v>35</v>
      </c>
      <c r="H116" s="502" t="s">
        <v>36</v>
      </c>
      <c r="I116" s="502" t="s">
        <v>109</v>
      </c>
      <c r="J116" s="65535">
        <f>VLOOKUP(A116,Catálogo!A:B,2,0)</f>
        <v>40.520000000000003</v>
      </c>
      <c r="K116" s="65535">
        <f>VLOOKUP(A116,Catálogo!A:C,3,0)</f>
        <v>1</v>
      </c>
      <c r="L116" s="65535">
        <f>VLOOKUP(A116,Catálogo!A:D,4,0)</f>
        <v>0</v>
      </c>
      <c r="M116" s="506"/>
      <c r="N116" s="15" t="str">
        <f>VLOOKUP(A116,[2]Hoja1!$B:$D,3,0)</f>
        <v>Descontinuado PMI</v>
      </c>
    </row>
    <row r="117" spans="1:14" s="15" x14ac:dyDescent="0.35">
      <c r="A117" s="503">
        <v>100020888</v>
      </c>
      <c r="B117" s="504">
        <v>7501031701582</v>
      </c>
      <c r="C117" s="503" t="s">
        <v>302</v>
      </c>
      <c r="D117" s="503" t="s">
        <v>44</v>
      </c>
      <c r="E117" s="503" t="s">
        <v>33</v>
      </c>
      <c r="F117" s="503" t="s">
        <v>39</v>
      </c>
      <c r="G117" s="503" t="s">
        <v>139</v>
      </c>
      <c r="H117" s="502" t="s">
        <v>252</v>
      </c>
      <c r="I117" s="502" t="s">
        <v>247</v>
      </c>
      <c r="J117" s="65535">
        <f>VLOOKUP(A117,Catálogo!A:B,2,0)</f>
        <v>518.52</v>
      </c>
      <c r="K117" s="65535">
        <f>VLOOKUP(A117,Catálogo!A:C,3,0)</f>
        <v>4</v>
      </c>
      <c r="L117" s="65535">
        <f>VLOOKUP(A117,Catálogo!A:D,4,0)</f>
        <v>0</v>
      </c>
      <c r="M117" s="506"/>
      <c r="N117" s="15" t="str">
        <f>VLOOKUP(A117,[2]Hoja1!$B:$D,3,0)</f>
        <v>Devoluciones Vuse (feb 2025)</v>
      </c>
    </row>
    <row r="118" spans="1:14" s="15" x14ac:dyDescent="0.35">
      <c r="A118" s="503">
        <v>100020877</v>
      </c>
      <c r="B118" s="504">
        <v>7501031701612</v>
      </c>
      <c r="C118" s="503" t="s">
        <v>309</v>
      </c>
      <c r="D118" s="503" t="s">
        <v>44</v>
      </c>
      <c r="E118" s="503" t="s">
        <v>33</v>
      </c>
      <c r="F118" s="503" t="s">
        <v>39</v>
      </c>
      <c r="G118" s="503" t="s">
        <v>139</v>
      </c>
      <c r="H118" s="502" t="s">
        <v>252</v>
      </c>
      <c r="I118" s="502" t="s">
        <v>247</v>
      </c>
      <c r="J118" s="65535">
        <f>VLOOKUP(A118,Catálogo!A:B,2,0)</f>
        <v>259.26</v>
      </c>
      <c r="K118" s="65535">
        <f>VLOOKUP(A118,Catálogo!A:C,3,0)</f>
        <v>2</v>
      </c>
      <c r="L118" s="65535">
        <f>VLOOKUP(A118,Catálogo!A:D,4,0)</f>
        <v>0</v>
      </c>
      <c r="M118" s="506"/>
      <c r="N118" s="15" t="str">
        <f>VLOOKUP(A118,[2]Hoja1!$B:$D,3,0)</f>
        <v>Devoluciones Vuse (feb 2025)</v>
      </c>
    </row>
    <row r="119" spans="1:14" s="15" x14ac:dyDescent="0.35">
      <c r="A119" s="502">
        <v>100080865</v>
      </c>
      <c r="B119" s="502">
        <v>75039370</v>
      </c>
      <c r="C119" s="502" t="s">
        <v>534</v>
      </c>
      <c r="D119" s="502" t="s">
        <v>32</v>
      </c>
      <c r="E119" s="503" t="s">
        <v>33</v>
      </c>
      <c r="F119" s="502" t="s">
        <v>46</v>
      </c>
      <c r="G119" s="502" t="s">
        <v>14</v>
      </c>
      <c r="H119" s="502" t="s">
        <v>36</v>
      </c>
      <c r="I119" s="502" t="s">
        <v>247</v>
      </c>
      <c r="J119" s="65535">
        <f>VLOOKUP(A119,Catálogo!A:B,2,0)</f>
        <v>431.03</v>
      </c>
      <c r="K119" s="65535">
        <f>VLOOKUP(A119,Catálogo!A:C,3,0)</f>
        <v>10</v>
      </c>
      <c r="L119" s="65535">
        <f>VLOOKUP(A119,Catálogo!A:D,4,0)</f>
        <v>0</v>
      </c>
      <c r="M119" s="506"/>
      <c r="N119" s="15" t="str">
        <f>VLOOKUP(A119,[2]Hoja1!$B:$D,3,0)</f>
        <v>Descontinuado JTI</v>
      </c>
    </row>
    <row r="120" spans="1:14" s="15" x14ac:dyDescent="0.35">
      <c r="A120" s="502">
        <v>100008185</v>
      </c>
      <c r="B120" s="505">
        <v>75057824</v>
      </c>
      <c r="C120" s="502" t="s">
        <v>518</v>
      </c>
      <c r="D120" s="502" t="s">
        <v>11</v>
      </c>
      <c r="E120" s="503" t="s">
        <v>33</v>
      </c>
      <c r="F120" s="502" t="s">
        <v>41</v>
      </c>
      <c r="G120" s="502" t="s">
        <v>54</v>
      </c>
      <c r="H120" s="502" t="s">
        <v>36</v>
      </c>
      <c r="I120" s="502" t="s">
        <v>109</v>
      </c>
      <c r="J120" s="65535">
        <f>VLOOKUP(A120,Catálogo!A:B,2,0)</f>
        <v>444.44</v>
      </c>
      <c r="K120" s="65535">
        <f>VLOOKUP(A120,Catálogo!A:C,3,0)</f>
        <v>16</v>
      </c>
      <c r="L120" s="65535">
        <f>VLOOKUP(A120,Catálogo!A:D,4,0)</f>
        <v>0</v>
      </c>
      <c r="M120" s="506"/>
      <c r="N120" s="15" t="str">
        <f>VLOOKUP(A120,[2]Hoja1!$B:$D,3,0)</f>
        <v>Devolución 2024 PMI</v>
      </c>
    </row>
    <row r="121" spans="1:14" s="15" x14ac:dyDescent="0.35">
      <c r="A121" s="502">
        <v>100013983</v>
      </c>
      <c r="B121" s="505">
        <v>75067854</v>
      </c>
      <c r="C121" s="502" t="s">
        <v>515</v>
      </c>
      <c r="D121" s="502" t="s">
        <v>11</v>
      </c>
      <c r="E121" s="503" t="s">
        <v>33</v>
      </c>
      <c r="F121" s="502" t="s">
        <v>41</v>
      </c>
      <c r="G121" s="502" t="s">
        <v>35</v>
      </c>
      <c r="H121" s="502" t="s">
        <v>36</v>
      </c>
      <c r="I121" s="502" t="s">
        <v>109</v>
      </c>
      <c r="J121" s="65535">
        <f>VLOOKUP(A121,Catálogo!A:B,2,0)</f>
        <v>593.48</v>
      </c>
      <c r="K121" s="65535">
        <f>VLOOKUP(A121,Catálogo!A:C,3,0)</f>
        <v>9</v>
      </c>
      <c r="L121" s="65535">
        <f>VLOOKUP(A121,Catálogo!A:D,4,0)</f>
        <v>0</v>
      </c>
      <c r="M121" s="506"/>
      <c r="N121" s="15" t="str">
        <f>VLOOKUP(A121,[2]Hoja1!$B:$D,3,0)</f>
        <v>Devolución 2024 PMI</v>
      </c>
    </row>
    <row r="122" spans="1:14" s="15" x14ac:dyDescent="0.35">
      <c r="A122" s="503">
        <v>100022784</v>
      </c>
      <c r="B122" s="504">
        <v>7501031701544</v>
      </c>
      <c r="C122" s="503" t="s">
        <v>316</v>
      </c>
      <c r="D122" s="503" t="s">
        <v>44</v>
      </c>
      <c r="E122" s="503" t="s">
        <v>33</v>
      </c>
      <c r="F122" s="503" t="s">
        <v>39</v>
      </c>
      <c r="G122" s="503" t="s">
        <v>578</v>
      </c>
      <c r="H122" s="502" t="s">
        <v>252</v>
      </c>
      <c r="I122" s="502" t="s">
        <v>247</v>
      </c>
      <c r="J122" s="65535">
        <f>VLOOKUP(A122,Catálogo!A:B,2,0)</f>
        <v>458.33</v>
      </c>
      <c r="K122" s="65535">
        <f>VLOOKUP(A122,Catálogo!A:C,3,0)</f>
        <v>5</v>
      </c>
      <c r="L122" s="65535">
        <f>VLOOKUP(A122,Catálogo!A:D,4,0)</f>
        <v>0</v>
      </c>
      <c r="M122" s="506"/>
      <c r="N122" s="15" t="str">
        <f>VLOOKUP(A122,[2]Hoja1!$B:$D,3,0)</f>
        <v>Devoluciones Vuse (feb 2025)</v>
      </c>
    </row>
    <row r="123" spans="1:14" s="15" x14ac:dyDescent="0.35">
      <c r="A123" s="502">
        <v>100080937</v>
      </c>
      <c r="B123" s="505">
        <v>75046781</v>
      </c>
      <c r="C123" s="502" t="s">
        <v>421</v>
      </c>
      <c r="D123" s="502" t="s">
        <v>11</v>
      </c>
      <c r="E123" s="503" t="s">
        <v>33</v>
      </c>
      <c r="F123" s="502" t="s">
        <v>39</v>
      </c>
      <c r="G123" s="502" t="s">
        <v>35</v>
      </c>
      <c r="H123" s="502" t="s">
        <v>36</v>
      </c>
      <c r="I123" s="502" t="s">
        <v>109</v>
      </c>
      <c r="J123" s="65535">
        <f>VLOOKUP(A123,Catálogo!A:B,2,0)</f>
        <v>453.7</v>
      </c>
      <c r="K123" s="65535">
        <f>VLOOKUP(A123,Catálogo!A:C,3,0)</f>
        <v>10</v>
      </c>
      <c r="L123" s="65535">
        <f>VLOOKUP(A123,Catálogo!A:D,4,0)</f>
        <v>0</v>
      </c>
      <c r="M123" s="506"/>
      <c r="N123" s="15" t="str">
        <f>VLOOKUP(A123,[2]Hoja1!$B:$D,3,0)</f>
        <v>Descontinuado PMI</v>
      </c>
    </row>
    <row r="124" spans="1:14" s="15" x14ac:dyDescent="0.35">
      <c r="A124" s="502">
        <v>100021415</v>
      </c>
      <c r="B124" s="505">
        <v>75022259</v>
      </c>
      <c r="C124" s="502" t="s">
        <v>399</v>
      </c>
      <c r="D124" s="502" t="s">
        <v>11</v>
      </c>
      <c r="E124" s="503" t="s">
        <v>33</v>
      </c>
      <c r="F124" s="502" t="s">
        <v>39</v>
      </c>
      <c r="G124" s="502" t="s">
        <v>54</v>
      </c>
      <c r="H124" s="502" t="s">
        <v>36</v>
      </c>
      <c r="I124" s="502" t="s">
        <v>109</v>
      </c>
      <c r="J124" s="65535">
        <f>VLOOKUP(A124,Catálogo!A:B,2,0)</f>
        <v>225</v>
      </c>
      <c r="K124" s="65535">
        <f>VLOOKUP(A124,Catálogo!A:C,3,0)</f>
        <v>3</v>
      </c>
      <c r="L124" s="65535">
        <f>VLOOKUP(A124,Catálogo!A:D,4,0)</f>
        <v>0</v>
      </c>
      <c r="M124" s="506"/>
      <c r="N124" s="15" t="str">
        <f>VLOOKUP(A124,[2]Hoja1!$B:$D,3,0)</f>
        <v>Devolución PMI 2024</v>
      </c>
    </row>
    <row r="125" spans="1:14" s="15" x14ac:dyDescent="0.35">
      <c r="A125" s="502">
        <v>100024301</v>
      </c>
      <c r="B125" s="505">
        <v>7503031950960</v>
      </c>
      <c r="C125" s="502" t="s">
        <v>373</v>
      </c>
      <c r="D125" s="503" t="s">
        <v>11</v>
      </c>
      <c r="E125" s="503" t="s">
        <v>33</v>
      </c>
      <c r="F125" s="503" t="s">
        <v>46</v>
      </c>
      <c r="G125" s="503" t="s">
        <v>14</v>
      </c>
      <c r="H125" s="502" t="s">
        <v>36</v>
      </c>
      <c r="I125" s="502" t="s">
        <v>109</v>
      </c>
      <c r="J125" s="65535" t="e">
        <f>VLOOKUP(A125,Catálogo!A:B,2,0)</f>
        <v>#N/A</v>
      </c>
      <c r="K125" s="65535" t="e">
        <f>VLOOKUP(A125,Catálogo!A:C,3,0)</f>
        <v>#N/A</v>
      </c>
      <c r="L125" s="65535" t="e">
        <f>VLOOKUP(A125,Catálogo!A:D,4,0)</f>
        <v>#N/A</v>
      </c>
      <c r="M125" s="506" t="e">
        <f>J125/L125</f>
        <v>#N/A</v>
      </c>
      <c r="N125" s="15" t="str">
        <f>VLOOKUP(A125,[2]Hoja1!$B:$D,3,0)</f>
        <v>Devolución PMI 2024</v>
      </c>
    </row>
    <row r="126" spans="1:14" s="15" x14ac:dyDescent="0.35">
      <c r="A126" s="502">
        <v>100080991</v>
      </c>
      <c r="B126" s="502">
        <v>75050047</v>
      </c>
      <c r="C126" s="502" t="s">
        <v>331</v>
      </c>
      <c r="D126" s="502" t="s">
        <v>44</v>
      </c>
      <c r="E126" s="503" t="s">
        <v>33</v>
      </c>
      <c r="F126" s="502" t="s">
        <v>46</v>
      </c>
      <c r="G126" s="502" t="s">
        <v>52</v>
      </c>
      <c r="H126" s="502" t="s">
        <v>36</v>
      </c>
      <c r="I126" s="502" t="s">
        <v>247</v>
      </c>
      <c r="J126" s="65535" t="e">
        <f>VLOOKUP(A126,Catálogo!A:B,2,0)</f>
        <v>#N/A</v>
      </c>
      <c r="K126" s="65535" t="e">
        <f>VLOOKUP(A126,Catálogo!A:C,3,0)</f>
        <v>#N/A</v>
      </c>
      <c r="L126" s="65535" t="e">
        <f>VLOOKUP(A126,Catálogo!A:D,4,0)</f>
        <v>#N/A</v>
      </c>
      <c r="M126" s="506"/>
      <c r="N126" s="15" t="str">
        <f>VLOOKUP(A126,[2]Hoja1!$B:$D,3,0)</f>
        <v>Descontinuado BAT</v>
      </c>
    </row>
    <row r="127" spans="1:14" s="15" x14ac:dyDescent="0.35">
      <c r="A127" s="502">
        <v>100080695</v>
      </c>
      <c r="B127" s="505">
        <v>8338918</v>
      </c>
      <c r="C127" s="502" t="s">
        <v>536</v>
      </c>
      <c r="D127" s="503" t="s">
        <v>32</v>
      </c>
      <c r="E127" s="503" t="s">
        <v>33</v>
      </c>
      <c r="F127" s="502" t="s">
        <v>46</v>
      </c>
      <c r="G127" s="502" t="s">
        <v>35</v>
      </c>
      <c r="H127" s="502" t="s">
        <v>36</v>
      </c>
      <c r="I127" s="502" t="s">
        <v>247</v>
      </c>
      <c r="J127" s="65535">
        <f>VLOOKUP(A127,Catálogo!A:B,2,0)</f>
        <v>127.59</v>
      </c>
      <c r="K127" s="65535">
        <f>VLOOKUP(A127,Catálogo!A:C,3,0)</f>
        <v>4</v>
      </c>
      <c r="L127" s="65535">
        <f>VLOOKUP(A127,Catálogo!A:D,4,0)</f>
        <v>0</v>
      </c>
      <c r="M127" s="506"/>
      <c r="N127" s="15" t="str">
        <f>VLOOKUP(A127,[2]Hoja1!$B:$D,3,0)</f>
        <v>Descontinuado JTI</v>
      </c>
    </row>
    <row r="128" spans="1:14" s="15" x14ac:dyDescent="0.35">
      <c r="A128" s="502">
        <v>100008777</v>
      </c>
      <c r="B128" s="502">
        <v>75061135</v>
      </c>
      <c r="C128" s="502" t="s">
        <v>454</v>
      </c>
      <c r="D128" s="502" t="s">
        <v>44</v>
      </c>
      <c r="E128" s="503" t="s">
        <v>33</v>
      </c>
      <c r="F128" s="502" t="s">
        <v>46</v>
      </c>
      <c r="G128" s="502" t="s">
        <v>58</v>
      </c>
      <c r="H128" s="502" t="s">
        <v>36</v>
      </c>
      <c r="I128" s="502" t="s">
        <v>247</v>
      </c>
      <c r="J128" s="65535">
        <f>VLOOKUP(A128,Catálogo!A:B,2,0)</f>
        <v>254.31</v>
      </c>
      <c r="K128" s="65535">
        <f>VLOOKUP(A128,Catálogo!A:C,3,0)</f>
        <v>5</v>
      </c>
      <c r="L128" s="65535">
        <f>VLOOKUP(A128,Catálogo!A:D,4,0)</f>
        <v>0</v>
      </c>
      <c r="M128" s="506"/>
      <c r="N128" s="15" t="str">
        <f>VLOOKUP(A128,[2]Hoja1!$B:$D,3,0)</f>
        <v>Descontinuado BAT</v>
      </c>
    </row>
    <row r="129" spans="1:14" s="15" x14ac:dyDescent="0.35">
      <c r="A129" s="502">
        <v>100020724</v>
      </c>
      <c r="B129" s="505">
        <v>7503031950182</v>
      </c>
      <c r="C129" s="502" t="s">
        <v>409</v>
      </c>
      <c r="D129" s="502" t="s">
        <v>11</v>
      </c>
      <c r="E129" s="503" t="s">
        <v>33</v>
      </c>
      <c r="F129" s="502" t="s">
        <v>46</v>
      </c>
      <c r="G129" s="502" t="s">
        <v>14</v>
      </c>
      <c r="H129" s="502" t="s">
        <v>36</v>
      </c>
      <c r="I129" s="502" t="s">
        <v>109</v>
      </c>
      <c r="J129" s="65535" t="e">
        <f>VLOOKUP(A129,Catálogo!A:B,2,0)</f>
        <v>#N/A</v>
      </c>
      <c r="K129" s="65535" t="e">
        <f>VLOOKUP(A129,Catálogo!A:C,3,0)</f>
        <v>#N/A</v>
      </c>
      <c r="L129" s="65535" t="e">
        <f>VLOOKUP(A129,Catálogo!A:D,4,0)</f>
        <v>#N/A</v>
      </c>
      <c r="M129" s="506"/>
      <c r="N129" s="15" t="str">
        <f>VLOOKUP(A129,[2]Hoja1!$B:$D,3,0)</f>
        <v>Devolución PMI 2024</v>
      </c>
    </row>
    <row r="130" spans="1:14" s="15" x14ac:dyDescent="0.35">
      <c r="A130" s="502">
        <v>100020725</v>
      </c>
      <c r="B130" s="505">
        <v>7503031950199</v>
      </c>
      <c r="C130" s="502" t="s">
        <v>410</v>
      </c>
      <c r="D130" s="503" t="s">
        <v>11</v>
      </c>
      <c r="E130" s="503" t="s">
        <v>33</v>
      </c>
      <c r="F130" s="503" t="s">
        <v>46</v>
      </c>
      <c r="G130" s="503" t="s">
        <v>14</v>
      </c>
      <c r="H130" s="502" t="s">
        <v>36</v>
      </c>
      <c r="I130" s="502" t="s">
        <v>109</v>
      </c>
      <c r="J130" s="65535" t="e">
        <f>VLOOKUP(A130,Catálogo!A:B,2,0)</f>
        <v>#N/A</v>
      </c>
      <c r="K130" s="65535" t="e">
        <f>VLOOKUP(A130,Catálogo!A:C,3,0)</f>
        <v>#N/A</v>
      </c>
      <c r="L130" s="65535" t="e">
        <f>VLOOKUP(A130,Catálogo!A:D,4,0)</f>
        <v>#N/A</v>
      </c>
      <c r="M130" s="506"/>
      <c r="N130" s="15" t="str">
        <f>VLOOKUP(A130,[2]Hoja1!$B:$D,3,0)</f>
        <v>Devolución PMI 2024</v>
      </c>
    </row>
    <row r="131" spans="1:14" s="15" x14ac:dyDescent="0.35">
      <c r="A131" s="502">
        <v>100080891</v>
      </c>
      <c r="B131" s="502">
        <v>75042936</v>
      </c>
      <c r="C131" s="502" t="s">
        <v>354</v>
      </c>
      <c r="D131" s="502" t="s">
        <v>44</v>
      </c>
      <c r="E131" s="503" t="s">
        <v>33</v>
      </c>
      <c r="F131" s="502" t="s">
        <v>46</v>
      </c>
      <c r="G131" s="502" t="s">
        <v>52</v>
      </c>
      <c r="H131" s="502" t="s">
        <v>36</v>
      </c>
      <c r="I131" s="502" t="s">
        <v>247</v>
      </c>
      <c r="J131" s="65535">
        <f>VLOOKUP(A131,Catálogo!A:B,2,0)</f>
        <v>36.21</v>
      </c>
      <c r="K131" s="65535">
        <f>VLOOKUP(A131,Catálogo!A:C,3,0)</f>
        <v>1</v>
      </c>
      <c r="L131" s="65535">
        <f>VLOOKUP(A131,Catálogo!A:D,4,0)</f>
        <v>0</v>
      </c>
      <c r="M131" s="506"/>
      <c r="N131" s="15" t="str">
        <f>VLOOKUP(A131,[2]Hoja1!$B:$D,3,0)</f>
        <v>Descontinuado BAT</v>
      </c>
    </row>
    <row r="132" spans="1:14" s="15" x14ac:dyDescent="0.35">
      <c r="A132" s="502">
        <v>100011671</v>
      </c>
      <c r="B132" s="505">
        <v>75063771</v>
      </c>
      <c r="C132" s="502" t="s">
        <v>505</v>
      </c>
      <c r="D132" s="503" t="s">
        <v>11</v>
      </c>
      <c r="E132" s="503" t="s">
        <v>33</v>
      </c>
      <c r="F132" s="502" t="s">
        <v>41</v>
      </c>
      <c r="G132" s="502" t="s">
        <v>14</v>
      </c>
      <c r="H132" s="502" t="s">
        <v>36</v>
      </c>
      <c r="I132" s="502" t="s">
        <v>109</v>
      </c>
      <c r="J132" s="65535">
        <f>VLOOKUP(A132,Catálogo!A:B,2,0)</f>
        <v>550.86</v>
      </c>
      <c r="K132" s="65535">
        <f>VLOOKUP(A132,Catálogo!A:C,3,0)</f>
        <v>9</v>
      </c>
      <c r="L132" s="65535">
        <f>VLOOKUP(A132,Catálogo!A:D,4,0)</f>
        <v>0</v>
      </c>
      <c r="M132" s="506" t="e">
        <f>J132/L132</f>
        <v>#DIV/0!</v>
      </c>
      <c r="N132" s="15" t="str">
        <f>VLOOKUP(A132,[2]Hoja1!$B:$D,3,0)</f>
        <v>Devolución 2024 PMI</v>
      </c>
    </row>
    <row r="133" spans="1:14" s="15" x14ac:dyDescent="0.35">
      <c r="A133" s="502">
        <v>100015219</v>
      </c>
      <c r="B133" s="505">
        <v>75069933</v>
      </c>
      <c r="C133" s="502" t="s">
        <v>395</v>
      </c>
      <c r="D133" s="502" t="s">
        <v>11</v>
      </c>
      <c r="E133" s="503" t="s">
        <v>33</v>
      </c>
      <c r="F133" s="502" t="s">
        <v>39</v>
      </c>
      <c r="G133" s="502" t="s">
        <v>35</v>
      </c>
      <c r="H133" s="502" t="s">
        <v>36</v>
      </c>
      <c r="I133" s="502" t="s">
        <v>109</v>
      </c>
      <c r="J133" s="65535">
        <f>VLOOKUP(A133,Catálogo!A:B,2,0)</f>
        <v>300</v>
      </c>
      <c r="K133" s="65535">
        <f>VLOOKUP(A133,Catálogo!A:C,3,0)</f>
        <v>4</v>
      </c>
      <c r="L133" s="65535">
        <f>VLOOKUP(A133,Catálogo!A:D,4,0)</f>
        <v>0</v>
      </c>
      <c r="M133" s="506"/>
      <c r="N133" s="15" t="str">
        <f>VLOOKUP(A133,[2]Hoja1!$B:$D,3,0)</f>
        <v>Devolución PMI 2024</v>
      </c>
    </row>
    <row r="134" spans="1:14" s="15" x14ac:dyDescent="0.35">
      <c r="A134" s="502">
        <v>100008184</v>
      </c>
      <c r="B134" s="505">
        <v>75057800</v>
      </c>
      <c r="C134" s="502" t="s">
        <v>528</v>
      </c>
      <c r="D134" s="502" t="s">
        <v>11</v>
      </c>
      <c r="E134" s="503" t="s">
        <v>33</v>
      </c>
      <c r="F134" s="502" t="s">
        <v>41</v>
      </c>
      <c r="G134" s="502" t="s">
        <v>71</v>
      </c>
      <c r="H134" s="502" t="s">
        <v>36</v>
      </c>
      <c r="I134" s="502" t="s">
        <v>109</v>
      </c>
      <c r="J134" s="65535" t="e">
        <f>VLOOKUP(A134,Catálogo!A:B,2,0)</f>
        <v>#N/A</v>
      </c>
      <c r="K134" s="65535" t="e">
        <f>VLOOKUP(A134,Catálogo!A:C,3,0)</f>
        <v>#N/A</v>
      </c>
      <c r="L134" s="65535" t="e">
        <f>VLOOKUP(A134,Catálogo!A:D,4,0)</f>
        <v>#N/A</v>
      </c>
      <c r="M134" s="506"/>
      <c r="N134" s="15" t="str">
        <f>VLOOKUP(A134,[2]Hoja1!$B:$D,3,0)</f>
        <v>Devolución 2024 PMI</v>
      </c>
    </row>
    <row r="135" spans="1:14" s="15" x14ac:dyDescent="0.35">
      <c r="A135" s="502">
        <v>100010267</v>
      </c>
      <c r="B135" s="505">
        <v>75061463</v>
      </c>
      <c r="C135" s="502" t="s">
        <v>489</v>
      </c>
      <c r="D135" s="502" t="s">
        <v>11</v>
      </c>
      <c r="E135" s="503" t="s">
        <v>33</v>
      </c>
      <c r="F135" s="502" t="s">
        <v>41</v>
      </c>
      <c r="G135" s="502" t="s">
        <v>54</v>
      </c>
      <c r="H135" s="502" t="s">
        <v>36</v>
      </c>
      <c r="I135" s="502" t="s">
        <v>109</v>
      </c>
      <c r="J135" s="65535" t="e">
        <f>VLOOKUP(A135,Catálogo!A:B,2,0)</f>
        <v>#N/A</v>
      </c>
      <c r="K135" s="65535" t="e">
        <f>VLOOKUP(A135,Catálogo!A:C,3,0)</f>
        <v>#N/A</v>
      </c>
      <c r="L135" s="65535" t="e">
        <f>VLOOKUP(A135,Catálogo!A:D,4,0)</f>
        <v>#N/A</v>
      </c>
      <c r="M135" s="506"/>
      <c r="N135" s="15" t="str">
        <f>VLOOKUP(A135,[2]Hoja1!$B:$D,3,0)</f>
        <v>Descontinuados JTI</v>
      </c>
    </row>
    <row r="136" spans="1:14" s="15" x14ac:dyDescent="0.35">
      <c r="A136" s="502">
        <v>100020135</v>
      </c>
      <c r="B136" s="505">
        <v>7503031950137</v>
      </c>
      <c r="C136" s="502" t="s">
        <v>405</v>
      </c>
      <c r="D136" s="502" t="s">
        <v>11</v>
      </c>
      <c r="E136" s="503" t="s">
        <v>33</v>
      </c>
      <c r="F136" s="502" t="s">
        <v>46</v>
      </c>
      <c r="G136" s="502" t="s">
        <v>14</v>
      </c>
      <c r="H136" s="502" t="s">
        <v>36</v>
      </c>
      <c r="I136" s="502" t="s">
        <v>109</v>
      </c>
      <c r="J136" s="65535" t="e">
        <f>VLOOKUP(A136,Catálogo!A:B,2,0)</f>
        <v>#N/A</v>
      </c>
      <c r="K136" s="65535" t="e">
        <f>VLOOKUP(A136,Catálogo!A:C,3,0)</f>
        <v>#N/A</v>
      </c>
      <c r="L136" s="65535" t="e">
        <f>VLOOKUP(A136,Catálogo!A:D,4,0)</f>
        <v>#N/A</v>
      </c>
      <c r="M136" s="506"/>
      <c r="N136" s="15" t="str">
        <f>VLOOKUP(A136,[2]Hoja1!$B:$D,3,0)</f>
        <v>Descontinuado PMI</v>
      </c>
    </row>
    <row r="137" spans="1:14" s="15" x14ac:dyDescent="0.35">
      <c r="A137" s="502">
        <v>100080895</v>
      </c>
      <c r="B137" s="502">
        <v>75043230</v>
      </c>
      <c r="C137" s="502" t="s">
        <v>535</v>
      </c>
      <c r="D137" s="502" t="s">
        <v>32</v>
      </c>
      <c r="E137" s="503" t="s">
        <v>33</v>
      </c>
      <c r="F137" s="502" t="s">
        <v>46</v>
      </c>
      <c r="G137" s="502" t="s">
        <v>14</v>
      </c>
      <c r="H137" s="502" t="s">
        <v>36</v>
      </c>
      <c r="I137" s="502" t="s">
        <v>247</v>
      </c>
      <c r="J137" s="65535">
        <f>VLOOKUP(A137,Catálogo!A:B,2,0)</f>
        <v>265</v>
      </c>
      <c r="K137" s="65535">
        <f>VLOOKUP(A137,Catálogo!A:C,3,0)</f>
        <v>6</v>
      </c>
      <c r="L137" s="65535">
        <f>VLOOKUP(A137,Catálogo!A:D,4,0)</f>
        <v>0</v>
      </c>
      <c r="M137" s="506"/>
      <c r="N137" s="15" t="str">
        <f>VLOOKUP(A137,[2]Hoja1!$B:$D,3,0)</f>
        <v>Descontinuado JTI</v>
      </c>
    </row>
    <row r="138" spans="1:14" s="15" x14ac:dyDescent="0.35">
      <c r="A138" s="503">
        <v>100020873</v>
      </c>
      <c r="B138" s="504">
        <v>7501031701605</v>
      </c>
      <c r="C138" s="503" t="s">
        <v>312</v>
      </c>
      <c r="D138" s="503" t="s">
        <v>44</v>
      </c>
      <c r="E138" s="503" t="s">
        <v>33</v>
      </c>
      <c r="F138" s="503" t="s">
        <v>39</v>
      </c>
      <c r="G138" s="503" t="s">
        <v>139</v>
      </c>
      <c r="H138" s="502" t="s">
        <v>252</v>
      </c>
      <c r="I138" s="502" t="s">
        <v>247</v>
      </c>
      <c r="J138" s="65535">
        <f>VLOOKUP(A138,Catálogo!A:B,2,0)</f>
        <v>259.26</v>
      </c>
      <c r="K138" s="65535">
        <f>VLOOKUP(A138,Catálogo!A:C,3,0)</f>
        <v>2</v>
      </c>
      <c r="L138" s="65535">
        <f>VLOOKUP(A138,Catálogo!A:D,4,0)</f>
        <v>0</v>
      </c>
      <c r="M138" s="506"/>
      <c r="N138" s="15" t="str">
        <f>VLOOKUP(A138,[2]Hoja1!$B:$D,3,0)</f>
        <v>Devoluciones Vuse (feb 2025)</v>
      </c>
    </row>
    <row r="139" spans="1:14" s="15" x14ac:dyDescent="0.35">
      <c r="A139" s="15">
        <v>100024718</v>
      </c>
      <c r="B139" s="506">
        <v>7707200945430</v>
      </c>
      <c r="C139" s="15" t="s">
        <v>579</v>
      </c>
      <c r="D139" s="503" t="s">
        <v>44</v>
      </c>
      <c r="E139" s="503" t="s">
        <v>33</v>
      </c>
      <c r="F139" s="503" t="s">
        <v>39</v>
      </c>
      <c r="G139" s="502" t="s">
        <v>139</v>
      </c>
      <c r="H139" s="502" t="s">
        <v>252</v>
      </c>
      <c r="I139" s="502" t="s">
        <v>247</v>
      </c>
      <c r="J139" s="65535">
        <f>VLOOKUP(A139,Catálogo!A:B,2,0)</f>
        <v>258.62</v>
      </c>
      <c r="K139" s="65535">
        <f>VLOOKUP(A139,Catálogo!A:C,3,0)</f>
        <v>2</v>
      </c>
      <c r="L139" s="65535">
        <f>VLOOKUP(A139,Catálogo!A:D,4,0)</f>
        <v>0</v>
      </c>
      <c r="M139" s="506"/>
      <c r="N139" s="15" t="str">
        <f>VLOOKUP(A139,[2]Hoja1!$B:$D,3,0)</f>
        <v>Devoluciones Vuse (feb 2025)</v>
      </c>
    </row>
    <row r="140" spans="1:14" s="15" x14ac:dyDescent="0.35">
      <c r="A140" s="15">
        <v>100024715</v>
      </c>
      <c r="B140" s="506">
        <v>7707200946987</v>
      </c>
      <c r="C140" s="15" t="s">
        <v>286</v>
      </c>
      <c r="D140" s="503" t="s">
        <v>44</v>
      </c>
      <c r="E140" s="503" t="s">
        <v>33</v>
      </c>
      <c r="F140" s="503" t="s">
        <v>39</v>
      </c>
      <c r="G140" s="502" t="s">
        <v>139</v>
      </c>
      <c r="H140" s="502" t="s">
        <v>252</v>
      </c>
      <c r="I140" s="502" t="s">
        <v>247</v>
      </c>
      <c r="J140" s="65535">
        <f>VLOOKUP(A140,Catálogo!A:B,2,0)</f>
        <v>129.31</v>
      </c>
      <c r="K140" s="65535">
        <f>VLOOKUP(A140,Catálogo!A:C,3,0)</f>
        <v>1</v>
      </c>
      <c r="L140" s="65535">
        <f>VLOOKUP(A140,Catálogo!A:D,4,0)</f>
        <v>0</v>
      </c>
      <c r="M140" s="506"/>
      <c r="N140" s="15" t="str">
        <f>VLOOKUP(A140,[2]Hoja1!$B:$D,3,0)</f>
        <v>Devoluciones Vuse (feb 2025)</v>
      </c>
    </row>
    <row r="141" spans="1:14" s="15" x14ac:dyDescent="0.35">
      <c r="A141" s="502">
        <v>100080917</v>
      </c>
      <c r="B141" s="502">
        <v>75045135</v>
      </c>
      <c r="C141" s="502" t="s">
        <v>532</v>
      </c>
      <c r="D141" s="502" t="s">
        <v>32</v>
      </c>
      <c r="E141" s="503" t="s">
        <v>33</v>
      </c>
      <c r="F141" s="502" t="s">
        <v>46</v>
      </c>
      <c r="G141" s="502" t="s">
        <v>35</v>
      </c>
      <c r="H141" s="502" t="s">
        <v>36</v>
      </c>
      <c r="I141" s="502" t="s">
        <v>247</v>
      </c>
      <c r="J141" s="65535">
        <f>VLOOKUP(A141,Catálogo!A:B,2,0)</f>
        <v>138.88999999999999</v>
      </c>
      <c r="K141" s="65535">
        <f>VLOOKUP(A141,Catálogo!A:C,3,0)</f>
        <v>3</v>
      </c>
      <c r="L141" s="65535">
        <f>VLOOKUP(A141,Catálogo!A:D,4,0)</f>
        <v>0</v>
      </c>
      <c r="M141" s="506"/>
      <c r="N141" s="15" t="str">
        <f>VLOOKUP(A141,[2]Hoja1!$B:$D,3,0)</f>
        <v>Descontinuado JTI</v>
      </c>
    </row>
    <row r="142" spans="1:14" s="15" x14ac:dyDescent="0.35">
      <c r="A142" s="502">
        <v>100013301</v>
      </c>
      <c r="B142" s="502">
        <v>75066611</v>
      </c>
      <c r="C142" s="502" t="s">
        <v>456</v>
      </c>
      <c r="D142" s="502" t="s">
        <v>44</v>
      </c>
      <c r="E142" s="503" t="s">
        <v>33</v>
      </c>
      <c r="F142" s="502" t="s">
        <v>39</v>
      </c>
      <c r="G142" s="502" t="s">
        <v>52</v>
      </c>
      <c r="H142" s="502" t="s">
        <v>36</v>
      </c>
      <c r="I142" s="502" t="s">
        <v>247</v>
      </c>
      <c r="J142" s="65535">
        <f>VLOOKUP(A142,Catálogo!A:B,2,0)</f>
        <v>73.28</v>
      </c>
      <c r="K142" s="65535">
        <f>VLOOKUP(A142,Catálogo!A:C,3,0)</f>
        <v>1</v>
      </c>
      <c r="L142" s="65535">
        <f>VLOOKUP(A142,Catálogo!A:D,4,0)</f>
        <v>0</v>
      </c>
      <c r="M142" s="506"/>
      <c r="N142" s="15" t="str">
        <f>VLOOKUP(A142,[2]Hoja1!$B:$D,3,0)</f>
        <v>Descontinuado BAT</v>
      </c>
    </row>
    <row r="143" spans="1:14" s="15" x14ac:dyDescent="0.35">
      <c r="A143" s="503">
        <v>100021886</v>
      </c>
      <c r="B143" s="504">
        <v>75077389</v>
      </c>
      <c r="C143" s="503" t="s">
        <v>347</v>
      </c>
      <c r="D143" s="503" t="s">
        <v>44</v>
      </c>
      <c r="E143" s="503" t="s">
        <v>33</v>
      </c>
      <c r="F143" s="503" t="s">
        <v>46</v>
      </c>
      <c r="G143" s="503" t="s">
        <v>54</v>
      </c>
      <c r="H143" s="502" t="s">
        <v>36</v>
      </c>
      <c r="I143" s="502" t="s">
        <v>247</v>
      </c>
      <c r="J143" s="65535">
        <f>VLOOKUP(A143,Catálogo!A:B,2,0)</f>
        <v>251.72</v>
      </c>
      <c r="K143" s="65535">
        <f>VLOOKUP(A143,Catálogo!A:C,3,0)</f>
        <v>4</v>
      </c>
      <c r="L143" s="65535">
        <f>VLOOKUP(A143,Catálogo!A:D,4,0)</f>
        <v>0</v>
      </c>
      <c r="M143" s="506"/>
      <c r="N143" s="15" t="str">
        <f>VLOOKUP(A143,[2]Hoja1!$B:$D,3,0)</f>
        <v>Descontinuado BAT</v>
      </c>
    </row>
    <row r="144" spans="1:14" s="15" x14ac:dyDescent="0.35">
      <c r="A144" s="502">
        <v>100021422</v>
      </c>
      <c r="B144" s="505">
        <v>75022242</v>
      </c>
      <c r="C144" s="502" t="s">
        <v>393</v>
      </c>
      <c r="D144" s="502" t="s">
        <v>11</v>
      </c>
      <c r="E144" s="503" t="s">
        <v>33</v>
      </c>
      <c r="F144" s="502" t="s">
        <v>39</v>
      </c>
      <c r="G144" s="502" t="s">
        <v>54</v>
      </c>
      <c r="H144" s="502" t="s">
        <v>36</v>
      </c>
      <c r="I144" s="502" t="s">
        <v>109</v>
      </c>
      <c r="J144" s="65535" t="e">
        <f>VLOOKUP(A144,Catálogo!A:B,2,0)</f>
        <v>#N/A</v>
      </c>
      <c r="K144" s="65535" t="e">
        <f>VLOOKUP(A144,Catálogo!A:C,3,0)</f>
        <v>#N/A</v>
      </c>
      <c r="L144" s="65535" t="e">
        <f>VLOOKUP(A144,Catálogo!A:D,4,0)</f>
        <v>#N/A</v>
      </c>
      <c r="M144" s="506" t="e">
        <f>J144/L144</f>
        <v>#N/A</v>
      </c>
      <c r="N144" s="15" t="str">
        <f>VLOOKUP(A144,[2]Hoja1!$B:$D,3,0)</f>
        <v>Descontinuado PMI</v>
      </c>
    </row>
    <row r="145" spans="1:14" s="15" x14ac:dyDescent="0.35">
      <c r="A145" s="502">
        <v>100080980</v>
      </c>
      <c r="B145" s="505">
        <v>75049577</v>
      </c>
      <c r="C145" s="502" t="s">
        <v>509</v>
      </c>
      <c r="D145" s="502" t="s">
        <v>11</v>
      </c>
      <c r="E145" s="503" t="s">
        <v>33</v>
      </c>
      <c r="F145" s="502" t="s">
        <v>41</v>
      </c>
      <c r="G145" s="502" t="s">
        <v>14</v>
      </c>
      <c r="H145" s="502" t="s">
        <v>36</v>
      </c>
      <c r="I145" s="502" t="s">
        <v>109</v>
      </c>
      <c r="J145" s="65535" t="e">
        <f>VLOOKUP(A145,Catálogo!A:B,2,0)</f>
        <v>#N/A</v>
      </c>
      <c r="K145" s="65535" t="e">
        <f>VLOOKUP(A145,Catálogo!A:C,3,0)</f>
        <v>#N/A</v>
      </c>
      <c r="L145" s="65535" t="e">
        <f>VLOOKUP(A145,Catálogo!A:D,4,0)</f>
        <v>#N/A</v>
      </c>
      <c r="M145" s="506"/>
      <c r="N145" s="15" t="str">
        <f>VLOOKUP(A145,[2]Hoja1!$B:$D,3,0)</f>
        <v>Devolución 2024 PMI</v>
      </c>
    </row>
    <row r="146" spans="1:14" s="15" x14ac:dyDescent="0.35">
      <c r="A146" s="502">
        <v>100080877</v>
      </c>
      <c r="B146" s="502">
        <v>75039868</v>
      </c>
      <c r="C146" s="502" t="s">
        <v>355</v>
      </c>
      <c r="D146" s="502" t="s">
        <v>44</v>
      </c>
      <c r="E146" s="503" t="s">
        <v>33</v>
      </c>
      <c r="F146" s="502" t="s">
        <v>46</v>
      </c>
      <c r="G146" s="502" t="s">
        <v>52</v>
      </c>
      <c r="H146" s="502" t="s">
        <v>36</v>
      </c>
      <c r="I146" s="502" t="s">
        <v>247</v>
      </c>
      <c r="J146" s="65535" t="e">
        <f>VLOOKUP(A146,Catálogo!A:B,2,0)</f>
        <v>#N/A</v>
      </c>
      <c r="K146" s="65535" t="e">
        <f>VLOOKUP(A146,Catálogo!A:C,3,0)</f>
        <v>#N/A</v>
      </c>
      <c r="L146" s="65535" t="e">
        <f>VLOOKUP(A146,Catálogo!A:D,4,0)</f>
        <v>#N/A</v>
      </c>
      <c r="M146" s="506"/>
      <c r="N146" s="15" t="str">
        <f>VLOOKUP(A146,[2]Hoja1!$B:$D,3,0)</f>
        <v>Descontinuado BAT</v>
      </c>
    </row>
    <row r="147" spans="1:14" s="15" x14ac:dyDescent="0.35">
      <c r="A147" s="502">
        <v>100080834</v>
      </c>
      <c r="B147" s="502">
        <v>75034665</v>
      </c>
      <c r="C147" s="502" t="s">
        <v>353</v>
      </c>
      <c r="D147" s="502" t="s">
        <v>44</v>
      </c>
      <c r="E147" s="503" t="s">
        <v>33</v>
      </c>
      <c r="F147" s="502" t="s">
        <v>46</v>
      </c>
      <c r="G147" s="502" t="s">
        <v>52</v>
      </c>
      <c r="H147" s="502" t="s">
        <v>36</v>
      </c>
      <c r="I147" s="502" t="s">
        <v>247</v>
      </c>
      <c r="J147" s="65535">
        <f>VLOOKUP(A147,Catálogo!A:B,2,0)</f>
        <v>47.41</v>
      </c>
      <c r="K147" s="65535">
        <f>VLOOKUP(A147,Catálogo!A:C,3,0)</f>
        <v>1</v>
      </c>
      <c r="L147" s="65535">
        <f>VLOOKUP(A147,Catálogo!A:D,4,0)</f>
        <v>0</v>
      </c>
      <c r="M147" s="506"/>
      <c r="N147" s="15" t="str">
        <f>VLOOKUP(A147,[2]Hoja1!$B:$D,3,0)</f>
        <v>Descontinuado BAT</v>
      </c>
    </row>
    <row r="148" spans="1:14" s="15" x14ac:dyDescent="0.35">
      <c r="A148" s="502">
        <v>100020879</v>
      </c>
      <c r="B148" s="504">
        <v>7501031701742</v>
      </c>
      <c r="C148" s="502" t="s">
        <v>307</v>
      </c>
      <c r="D148" s="503" t="s">
        <v>44</v>
      </c>
      <c r="E148" s="503" t="s">
        <v>33</v>
      </c>
      <c r="F148" s="503" t="s">
        <v>39</v>
      </c>
      <c r="G148" s="502" t="s">
        <v>139</v>
      </c>
      <c r="H148" s="502" t="s">
        <v>252</v>
      </c>
      <c r="I148" s="502" t="s">
        <v>247</v>
      </c>
      <c r="J148" s="65535">
        <f>VLOOKUP(A148,Catálogo!A:B,2,0)</f>
        <v>129.63</v>
      </c>
      <c r="K148" s="65535">
        <f>VLOOKUP(A148,Catálogo!A:C,3,0)</f>
        <v>1</v>
      </c>
      <c r="L148" s="65535">
        <f>VLOOKUP(A148,Catálogo!A:D,4,0)</f>
        <v>0</v>
      </c>
      <c r="M148" s="506"/>
      <c r="N148" s="15" t="str">
        <f>VLOOKUP(A148,[2]Hoja1!$B:$D,3,0)</f>
        <v>Devoluciones Vuse (feb 2025)</v>
      </c>
    </row>
    <row r="149" spans="1:14" s="15" x14ac:dyDescent="0.35">
      <c r="A149" s="15">
        <v>100024714</v>
      </c>
      <c r="B149" s="506">
        <v>7707200942019</v>
      </c>
      <c r="C149" s="15" t="s">
        <v>282</v>
      </c>
      <c r="D149" s="503" t="s">
        <v>44</v>
      </c>
      <c r="E149" s="503" t="s">
        <v>33</v>
      </c>
      <c r="F149" s="503" t="s">
        <v>39</v>
      </c>
      <c r="G149" s="502" t="s">
        <v>139</v>
      </c>
      <c r="H149" s="502" t="s">
        <v>252</v>
      </c>
      <c r="I149" s="502" t="s">
        <v>247</v>
      </c>
      <c r="J149" s="65535" t="e">
        <f>VLOOKUP(A149,Catálogo!A:B,2,0)</f>
        <v>#N/A</v>
      </c>
      <c r="K149" s="65535" t="e">
        <f>VLOOKUP(A149,Catálogo!A:C,3,0)</f>
        <v>#N/A</v>
      </c>
      <c r="L149" s="65535" t="e">
        <f>VLOOKUP(A149,Catálogo!A:D,4,0)</f>
        <v>#N/A</v>
      </c>
      <c r="M149" s="506"/>
      <c r="N149" s="15" t="str">
        <f>VLOOKUP(A149,[2]Hoja1!$B:$D,3,0)</f>
        <v>Devoluciones Vuse (feb 2025)</v>
      </c>
    </row>
    <row r="150" spans="1:14" s="15" x14ac:dyDescent="0.35">
      <c r="A150" s="502">
        <v>100080976</v>
      </c>
      <c r="B150" s="505">
        <v>75049591</v>
      </c>
      <c r="C150" s="502" t="s">
        <v>497</v>
      </c>
      <c r="D150" s="502" t="s">
        <v>11</v>
      </c>
      <c r="E150" s="503" t="s">
        <v>33</v>
      </c>
      <c r="F150" s="502" t="s">
        <v>41</v>
      </c>
      <c r="G150" s="502" t="s">
        <v>71</v>
      </c>
      <c r="H150" s="502" t="s">
        <v>36</v>
      </c>
      <c r="I150" s="502" t="s">
        <v>109</v>
      </c>
      <c r="J150" s="65535">
        <f>VLOOKUP(A150,Catálogo!A:B,2,0)</f>
        <v>124.25999999999999</v>
      </c>
      <c r="K150" s="65535">
        <f>VLOOKUP(A150,Catálogo!A:C,3,0)</f>
        <v>5</v>
      </c>
      <c r="L150" s="65535">
        <f>VLOOKUP(A150,Catálogo!A:D,4,0)</f>
        <v>0</v>
      </c>
      <c r="M150" s="506"/>
      <c r="N150" s="15" t="str">
        <f>VLOOKUP(A150,[2]Hoja1!$B:$D,3,0)</f>
        <v>Descontinuados JTI</v>
      </c>
    </row>
    <row r="151" spans="1:14" s="15" x14ac:dyDescent="0.35">
      <c r="A151" s="502">
        <v>100080769</v>
      </c>
      <c r="B151" s="505">
        <v>75027018</v>
      </c>
      <c r="C151" s="502" t="s">
        <v>427</v>
      </c>
      <c r="D151" s="502" t="s">
        <v>11</v>
      </c>
      <c r="E151" s="503" t="s">
        <v>33</v>
      </c>
      <c r="F151" s="502" t="s">
        <v>39</v>
      </c>
      <c r="G151" s="502" t="s">
        <v>71</v>
      </c>
      <c r="H151" s="502" t="s">
        <v>36</v>
      </c>
      <c r="I151" s="502" t="s">
        <v>109</v>
      </c>
      <c r="J151" s="65535">
        <f>VLOOKUP(A151,Catálogo!A:B,2,0)</f>
        <v>40.520000000000003</v>
      </c>
      <c r="K151" s="65535">
        <f>VLOOKUP(A151,Catálogo!A:C,3,0)</f>
        <v>1</v>
      </c>
      <c r="L151" s="65535">
        <f>VLOOKUP(A151,Catálogo!A:D,4,0)</f>
        <v>0</v>
      </c>
      <c r="M151" s="506"/>
      <c r="N151" s="15" t="str">
        <f>VLOOKUP(A151,[2]Hoja1!$B:$D,3,0)</f>
        <v>Descontinuado PMI</v>
      </c>
    </row>
    <row r="152" spans="1:14" s="15" x14ac:dyDescent="0.35">
      <c r="A152" s="502">
        <v>100015421</v>
      </c>
      <c r="B152" s="505">
        <v>7501045357423</v>
      </c>
      <c r="C152" s="502" t="s">
        <v>476</v>
      </c>
      <c r="D152" s="503" t="s">
        <v>11</v>
      </c>
      <c r="E152" s="503" t="s">
        <v>33</v>
      </c>
      <c r="F152" s="503" t="s">
        <v>46</v>
      </c>
      <c r="G152" s="503" t="s">
        <v>75</v>
      </c>
      <c r="H152" s="502" t="s">
        <v>70</v>
      </c>
      <c r="I152" s="502" t="s">
        <v>109</v>
      </c>
      <c r="J152" s="65535">
        <f>VLOOKUP(A152,Catálogo!A:B,2,0)</f>
        <v>1177.6100000000001</v>
      </c>
      <c r="K152" s="65535">
        <f>VLOOKUP(A152,Catálogo!A:C,3,0)</f>
        <v>17</v>
      </c>
      <c r="L152" s="65535">
        <f>VLOOKUP(A152,Catálogo!A:D,4,0)</f>
        <v>0</v>
      </c>
      <c r="M152" s="506" t="e">
        <f>J152/L152</f>
        <v>#DIV/0!</v>
      </c>
      <c r="N152" s="15" t="str">
        <f>VLOOKUP(A152,[2]Hoja1!$B:$D,3,0)</f>
        <v>Devoluciones Heets</v>
      </c>
    </row>
    <row r="153" spans="1:14" s="15" x14ac:dyDescent="0.35">
      <c r="A153" s="502">
        <v>100006386</v>
      </c>
      <c r="B153" s="502">
        <v>75053673</v>
      </c>
      <c r="C153" s="502" t="s">
        <v>334</v>
      </c>
      <c r="D153" s="502" t="s">
        <v>44</v>
      </c>
      <c r="E153" s="503" t="s">
        <v>33</v>
      </c>
      <c r="F153" s="502" t="s">
        <v>46</v>
      </c>
      <c r="G153" s="502" t="s">
        <v>52</v>
      </c>
      <c r="H153" s="502" t="s">
        <v>36</v>
      </c>
      <c r="I153" s="502" t="s">
        <v>247</v>
      </c>
      <c r="J153" s="65535">
        <f>VLOOKUP(A153,Catálogo!A:B,2,0)</f>
        <v>109.26</v>
      </c>
      <c r="K153" s="65535">
        <f>VLOOKUP(A153,Catálogo!A:C,3,0)</f>
        <v>2</v>
      </c>
      <c r="L153" s="65535">
        <f>VLOOKUP(A153,Catálogo!A:D,4,0)</f>
        <v>0</v>
      </c>
      <c r="M153" s="506"/>
      <c r="N153" s="15" t="str">
        <f>VLOOKUP(A153,[2]Hoja1!$B:$D,3,0)</f>
        <v>Descontinuado BAT</v>
      </c>
    </row>
    <row r="154" spans="1:14" s="15" x14ac:dyDescent="0.35">
      <c r="A154" s="503">
        <v>100020899</v>
      </c>
      <c r="B154" s="504">
        <v>7501031701537</v>
      </c>
      <c r="C154" s="503" t="s">
        <v>314</v>
      </c>
      <c r="D154" s="503" t="s">
        <v>44</v>
      </c>
      <c r="E154" s="503" t="s">
        <v>33</v>
      </c>
      <c r="F154" s="503" t="s">
        <v>39</v>
      </c>
      <c r="G154" s="503" t="s">
        <v>578</v>
      </c>
      <c r="H154" s="502" t="s">
        <v>252</v>
      </c>
      <c r="I154" s="502" t="s">
        <v>247</v>
      </c>
      <c r="J154" s="65535">
        <f>VLOOKUP(A154,Catálogo!A:B,2,0)</f>
        <v>85.34</v>
      </c>
      <c r="K154" s="65535">
        <f>VLOOKUP(A154,Catálogo!A:C,3,0)</f>
        <v>1</v>
      </c>
      <c r="L154" s="65535">
        <f>VLOOKUP(A154,Catálogo!A:D,4,0)</f>
        <v>0</v>
      </c>
      <c r="M154" s="506"/>
      <c r="N154" s="15" t="str">
        <f>VLOOKUP(A154,[2]Hoja1!$B:$D,3,0)</f>
        <v>Devoluciones Vuse (feb 2025)</v>
      </c>
    </row>
    <row r="155" spans="1:14" s="15" x14ac:dyDescent="0.35">
      <c r="A155" s="502">
        <v>100011706</v>
      </c>
      <c r="B155" s="505">
        <v>75063832</v>
      </c>
      <c r="C155" s="502" t="s">
        <v>496</v>
      </c>
      <c r="D155" s="502" t="s">
        <v>11</v>
      </c>
      <c r="E155" s="503" t="s">
        <v>33</v>
      </c>
      <c r="F155" s="502" t="s">
        <v>41</v>
      </c>
      <c r="G155" s="502" t="s">
        <v>71</v>
      </c>
      <c r="H155" s="502" t="s">
        <v>36</v>
      </c>
      <c r="I155" s="502" t="s">
        <v>109</v>
      </c>
      <c r="J155" s="65535">
        <f>VLOOKUP(A155,Catálogo!A:B,2,0)</f>
        <v>83.33</v>
      </c>
      <c r="K155" s="65535">
        <f>VLOOKUP(A155,Catálogo!A:C,3,0)</f>
        <v>3</v>
      </c>
      <c r="L155" s="65535">
        <f>VLOOKUP(A155,Catálogo!A:D,4,0)</f>
        <v>0</v>
      </c>
      <c r="M155" s="506"/>
      <c r="N155" s="15" t="str">
        <f>VLOOKUP(A155,[2]Hoja1!$B:$D,3,0)</f>
        <v>Descontinuados JTI</v>
      </c>
    </row>
    <row r="156" spans="1:14" s="15" x14ac:dyDescent="0.35">
      <c r="A156" s="502">
        <v>100080861</v>
      </c>
      <c r="B156" s="505">
        <v>75037994</v>
      </c>
      <c r="C156" s="502" t="s">
        <v>549</v>
      </c>
      <c r="D156" s="503" t="s">
        <v>11</v>
      </c>
      <c r="E156" s="503" t="s">
        <v>33</v>
      </c>
      <c r="F156" s="503" t="s">
        <v>39</v>
      </c>
      <c r="G156" s="503" t="s">
        <v>71</v>
      </c>
      <c r="H156" s="502" t="s">
        <v>36</v>
      </c>
      <c r="I156" s="502" t="s">
        <v>109</v>
      </c>
      <c r="J156" s="65535">
        <f>VLOOKUP(A156,Catálogo!A:B,2,0)</f>
        <v>40.520000000000003</v>
      </c>
      <c r="K156" s="65535">
        <f>VLOOKUP(A156,Catálogo!A:C,3,0)</f>
        <v>1</v>
      </c>
      <c r="L156" s="65535">
        <f>VLOOKUP(A156,Catálogo!A:D,4,0)</f>
        <v>0</v>
      </c>
      <c r="M156" s="506"/>
      <c r="N156" s="15" t="str">
        <f>VLOOKUP(A156,[2]Hoja1!$B:$D,3,0)</f>
        <v>Devolución 2024 PMI</v>
      </c>
    </row>
    <row r="157" spans="1:14" s="15" x14ac:dyDescent="0.35">
      <c r="A157" s="502">
        <v>100021421</v>
      </c>
      <c r="B157" s="505">
        <v>75012717</v>
      </c>
      <c r="C157" s="502" t="s">
        <v>398</v>
      </c>
      <c r="D157" s="502" t="s">
        <v>11</v>
      </c>
      <c r="E157" s="503" t="s">
        <v>33</v>
      </c>
      <c r="F157" s="502" t="s">
        <v>39</v>
      </c>
      <c r="G157" s="502" t="s">
        <v>54</v>
      </c>
      <c r="H157" s="502" t="s">
        <v>36</v>
      </c>
      <c r="I157" s="502" t="s">
        <v>109</v>
      </c>
      <c r="J157" s="65535">
        <f>VLOOKUP(A157,Catálogo!A:B,2,0)</f>
        <v>75</v>
      </c>
      <c r="K157" s="65535">
        <f>VLOOKUP(A157,Catálogo!A:C,3,0)</f>
        <v>1</v>
      </c>
      <c r="L157" s="65535">
        <f>VLOOKUP(A157,Catálogo!A:D,4,0)</f>
        <v>0</v>
      </c>
      <c r="M157" s="506" t="e">
        <f>J157/L157</f>
        <v>#DIV/0!</v>
      </c>
      <c r="N157" s="15" t="str">
        <f>VLOOKUP(A157,[2]Hoja1!$B:$D,3,0)</f>
        <v>Descontinuado PMI</v>
      </c>
    </row>
    <row r="158" spans="1:14" s="15" x14ac:dyDescent="0.35">
      <c r="A158" s="502">
        <v>100019698</v>
      </c>
      <c r="B158" s="505">
        <v>75072605</v>
      </c>
      <c r="C158" s="502" t="s">
        <v>396</v>
      </c>
      <c r="D158" s="502" t="s">
        <v>11</v>
      </c>
      <c r="E158" s="503" t="s">
        <v>33</v>
      </c>
      <c r="F158" s="502" t="s">
        <v>39</v>
      </c>
      <c r="G158" s="502" t="s">
        <v>54</v>
      </c>
      <c r="H158" s="502" t="s">
        <v>36</v>
      </c>
      <c r="I158" s="502" t="s">
        <v>109</v>
      </c>
      <c r="J158" s="65535">
        <f>VLOOKUP(A158,Catálogo!A:B,2,0)</f>
        <v>73.28</v>
      </c>
      <c r="K158" s="65535">
        <f>VLOOKUP(A158,Catálogo!A:C,3,0)</f>
        <v>1</v>
      </c>
      <c r="L158" s="65535">
        <f>VLOOKUP(A158,Catálogo!A:D,4,0)</f>
        <v>0</v>
      </c>
      <c r="M158" s="506"/>
      <c r="N158" s="15" t="str">
        <f>VLOOKUP(A158,[2]Hoja1!$B:$D,3,0)</f>
        <v>Descontinuado PMI</v>
      </c>
    </row>
    <row r="159" spans="1:14" s="15" x14ac:dyDescent="0.35">
      <c r="A159" s="502">
        <v>100020726</v>
      </c>
      <c r="B159" s="505">
        <v>7503031950205</v>
      </c>
      <c r="C159" s="502" t="s">
        <v>411</v>
      </c>
      <c r="D159" s="502" t="s">
        <v>11</v>
      </c>
      <c r="E159" s="503" t="s">
        <v>33</v>
      </c>
      <c r="F159" s="502" t="s">
        <v>46</v>
      </c>
      <c r="G159" s="502" t="s">
        <v>54</v>
      </c>
      <c r="H159" s="502" t="s">
        <v>36</v>
      </c>
      <c r="I159" s="502" t="s">
        <v>109</v>
      </c>
      <c r="J159" s="65535" t="e">
        <f>VLOOKUP(A159,Catálogo!A:B,2,0)</f>
        <v>#N/A</v>
      </c>
      <c r="K159" s="65535" t="e">
        <f>VLOOKUP(A159,Catálogo!A:C,3,0)</f>
        <v>#N/A</v>
      </c>
      <c r="L159" s="65535" t="e">
        <f>VLOOKUP(A159,Catálogo!A:D,4,0)</f>
        <v>#N/A</v>
      </c>
      <c r="M159" s="506"/>
      <c r="N159" s="15" t="str">
        <f>VLOOKUP(A159,[2]Hoja1!$B:$D,3,0)</f>
        <v>Descontinuado PMI</v>
      </c>
    </row>
    <row r="160" spans="1:14" s="15" x14ac:dyDescent="0.35">
      <c r="A160" s="502">
        <v>100021889</v>
      </c>
      <c r="B160" s="502">
        <v>75077426</v>
      </c>
      <c r="C160" s="502" t="s">
        <v>345</v>
      </c>
      <c r="D160" s="502" t="s">
        <v>44</v>
      </c>
      <c r="E160" s="503" t="s">
        <v>33</v>
      </c>
      <c r="F160" s="502" t="s">
        <v>46</v>
      </c>
      <c r="G160" s="502" t="s">
        <v>52</v>
      </c>
      <c r="H160" s="502" t="s">
        <v>36</v>
      </c>
      <c r="I160" s="502" t="s">
        <v>247</v>
      </c>
      <c r="J160" s="65535">
        <f>VLOOKUP(A160,Catálogo!A:B,2,0)</f>
        <v>55.56</v>
      </c>
      <c r="K160" s="65535">
        <f>VLOOKUP(A160,Catálogo!A:C,3,0)</f>
        <v>1</v>
      </c>
      <c r="L160" s="65535">
        <f>VLOOKUP(A160,Catálogo!A:D,4,0)</f>
        <v>0</v>
      </c>
      <c r="M160" s="506"/>
      <c r="N160" s="15" t="str">
        <f>VLOOKUP(A160,[2]Hoja1!$B:$D,3,0)</f>
        <v>Descontinuado BAT</v>
      </c>
    </row>
    <row r="161" spans="1:14" s="15" x14ac:dyDescent="0.35">
      <c r="A161" s="502">
        <v>100011708</v>
      </c>
      <c r="B161" s="505">
        <v>75063870</v>
      </c>
      <c r="C161" s="502" t="s">
        <v>503</v>
      </c>
      <c r="D161" s="502" t="s">
        <v>11</v>
      </c>
      <c r="E161" s="503" t="s">
        <v>33</v>
      </c>
      <c r="F161" s="502" t="s">
        <v>41</v>
      </c>
      <c r="G161" s="502" t="s">
        <v>35</v>
      </c>
      <c r="H161" s="502" t="s">
        <v>36</v>
      </c>
      <c r="I161" s="502" t="s">
        <v>109</v>
      </c>
      <c r="J161" s="65535">
        <f>VLOOKUP(A161,Catálogo!A:B,2,0)</f>
        <v>55.56</v>
      </c>
      <c r="K161" s="65535">
        <f>VLOOKUP(A161,Catálogo!A:C,3,0)</f>
        <v>2</v>
      </c>
      <c r="L161" s="65535">
        <f>VLOOKUP(A161,Catálogo!A:D,4,0)</f>
        <v>0</v>
      </c>
      <c r="M161" s="506"/>
      <c r="N161" s="15" t="str">
        <f>VLOOKUP(A161,[2]Hoja1!$B:$D,3,0)</f>
        <v>Descontinuados JTI</v>
      </c>
    </row>
    <row r="162" spans="1:14" s="15" x14ac:dyDescent="0.35">
      <c r="A162" s="502">
        <v>100080990</v>
      </c>
      <c r="B162" s="505">
        <v>75050450</v>
      </c>
      <c r="C162" s="502" t="s">
        <v>392</v>
      </c>
      <c r="D162" s="502" t="s">
        <v>11</v>
      </c>
      <c r="E162" s="503" t="s">
        <v>33</v>
      </c>
      <c r="F162" s="502" t="s">
        <v>39</v>
      </c>
      <c r="G162" s="502" t="s">
        <v>14</v>
      </c>
      <c r="H162" s="502" t="s">
        <v>36</v>
      </c>
      <c r="I162" s="502" t="s">
        <v>109</v>
      </c>
      <c r="J162" s="65535">
        <f>VLOOKUP(A162,Catálogo!A:B,2,0)</f>
        <v>58.33</v>
      </c>
      <c r="K162" s="65535">
        <f>VLOOKUP(A162,Catálogo!A:C,3,0)</f>
        <v>1</v>
      </c>
      <c r="L162" s="65535">
        <f>VLOOKUP(A162,Catálogo!A:D,4,0)</f>
        <v>0</v>
      </c>
      <c r="M162" s="506"/>
      <c r="N162" s="15" t="str">
        <f>VLOOKUP(A162,[2]Hoja1!$B:$D,3,0)</f>
        <v>Descontinuado PMI</v>
      </c>
    </row>
    <row r="163" spans="1:14" s="15" x14ac:dyDescent="0.35">
      <c r="A163" s="502">
        <v>100011673</v>
      </c>
      <c r="B163" s="505">
        <v>75063825</v>
      </c>
      <c r="C163" s="502" t="s">
        <v>527</v>
      </c>
      <c r="D163" s="503" t="s">
        <v>11</v>
      </c>
      <c r="E163" s="503" t="s">
        <v>33</v>
      </c>
      <c r="F163" s="502" t="s">
        <v>41</v>
      </c>
      <c r="G163" s="503" t="s">
        <v>71</v>
      </c>
      <c r="H163" s="502" t="s">
        <v>36</v>
      </c>
      <c r="I163" s="502" t="s">
        <v>109</v>
      </c>
      <c r="J163" s="65535">
        <f>VLOOKUP(A163,Catálogo!A:B,2,0)</f>
        <v>2109.39</v>
      </c>
      <c r="K163" s="65535">
        <f>VLOOKUP(A163,Catálogo!A:C,3,0)</f>
        <v>37</v>
      </c>
      <c r="L163" s="65535">
        <f>VLOOKUP(A163,Catálogo!A:D,4,0)</f>
        <v>0</v>
      </c>
      <c r="M163" s="506" t="e">
        <f>J163/L163</f>
        <v>#DIV/0!</v>
      </c>
      <c r="N163" s="15" t="str">
        <f>VLOOKUP(A163,[2]Hoja1!$B:$D,3,0)</f>
        <v>Devolución 2024 PMI</v>
      </c>
    </row>
    <row r="164" spans="1:14" s="15" x14ac:dyDescent="0.35">
      <c r="A164" s="15">
        <v>100024658</v>
      </c>
      <c r="B164" s="506">
        <v>7707200942736</v>
      </c>
      <c r="C164" s="15" t="s">
        <v>256</v>
      </c>
      <c r="D164" s="502" t="s">
        <v>44</v>
      </c>
      <c r="E164" s="503" t="s">
        <v>33</v>
      </c>
      <c r="F164" s="502" t="s">
        <v>39</v>
      </c>
      <c r="G164" s="502" t="s">
        <v>139</v>
      </c>
      <c r="H164" s="502" t="s">
        <v>252</v>
      </c>
      <c r="I164" s="502" t="s">
        <v>247</v>
      </c>
      <c r="J164" s="65535" t="e">
        <f>VLOOKUP(A164,Catálogo!A:B,2,0)</f>
        <v>#N/A</v>
      </c>
      <c r="K164" s="65535" t="e">
        <f>VLOOKUP(A164,Catálogo!A:C,3,0)</f>
        <v>#N/A</v>
      </c>
      <c r="L164" s="65535" t="e">
        <f>VLOOKUP(A164,Catálogo!A:D,4,0)</f>
        <v>#N/A</v>
      </c>
      <c r="M164" s="65535"/>
      <c r="N164" s="15" t="e">
        <f>VLOOKUP(A164,[2]Hoja1!$B:$D,3,0)</f>
        <v>#N/A</v>
      </c>
    </row>
    <row r="165" spans="1:14" s="15" x14ac:dyDescent="0.35">
      <c r="A165" s="15">
        <v>100024656</v>
      </c>
      <c r="B165" s="506">
        <v>7702303265324</v>
      </c>
      <c r="C165" s="15" t="s">
        <v>257</v>
      </c>
      <c r="D165" s="502" t="s">
        <v>44</v>
      </c>
      <c r="E165" s="503" t="s">
        <v>33</v>
      </c>
      <c r="F165" s="502" t="s">
        <v>39</v>
      </c>
      <c r="G165" s="502" t="s">
        <v>139</v>
      </c>
      <c r="H165" s="502" t="s">
        <v>252</v>
      </c>
      <c r="I165" s="502" t="s">
        <v>247</v>
      </c>
      <c r="J165" s="65535" t="e">
        <f>VLOOKUP(A165,Catálogo!A:B,2,0)</f>
        <v>#N/A</v>
      </c>
      <c r="K165" s="65535" t="e">
        <f>VLOOKUP(A165,Catálogo!A:C,3,0)</f>
        <v>#N/A</v>
      </c>
      <c r="L165" s="65535" t="e">
        <f>VLOOKUP(A165,Catálogo!A:D,4,0)</f>
        <v>#N/A</v>
      </c>
      <c r="M165" s="65535"/>
      <c r="N165" s="15" t="e">
        <f>VLOOKUP(A165,[2]Hoja1!$B:$D,3,0)</f>
        <v>#N/A</v>
      </c>
    </row>
    <row r="166" spans="1:14" s="15" x14ac:dyDescent="0.35">
      <c r="A166" s="15">
        <v>100024655</v>
      </c>
      <c r="B166" s="506">
        <v>7702303108812</v>
      </c>
      <c r="C166" s="15" t="s">
        <v>258</v>
      </c>
      <c r="D166" s="502" t="s">
        <v>44</v>
      </c>
      <c r="E166" s="503" t="s">
        <v>33</v>
      </c>
      <c r="F166" s="502" t="s">
        <v>39</v>
      </c>
      <c r="G166" s="502" t="s">
        <v>139</v>
      </c>
      <c r="H166" s="502" t="s">
        <v>252</v>
      </c>
      <c r="I166" s="502" t="s">
        <v>247</v>
      </c>
      <c r="J166" s="65535" t="e">
        <f>VLOOKUP(A166,Catálogo!A:B,2,0)</f>
        <v>#N/A</v>
      </c>
      <c r="K166" s="65535" t="e">
        <f>VLOOKUP(A166,Catálogo!A:C,3,0)</f>
        <v>#N/A</v>
      </c>
      <c r="L166" s="65535" t="e">
        <f>VLOOKUP(A166,Catálogo!A:D,4,0)</f>
        <v>#N/A</v>
      </c>
      <c r="M166" s="65535"/>
      <c r="N166" s="15" t="e">
        <f>VLOOKUP(A166,[2]Hoja1!$B:$D,3,0)</f>
        <v>#N/A</v>
      </c>
    </row>
    <row r="167" spans="1:14" s="15" x14ac:dyDescent="0.35">
      <c r="A167" s="15">
        <v>100024657</v>
      </c>
      <c r="B167" s="506">
        <v>7702303657044</v>
      </c>
      <c r="C167" s="15" t="s">
        <v>259</v>
      </c>
      <c r="D167" s="502" t="s">
        <v>44</v>
      </c>
      <c r="E167" s="503" t="s">
        <v>33</v>
      </c>
      <c r="F167" s="502" t="s">
        <v>39</v>
      </c>
      <c r="G167" s="502" t="s">
        <v>139</v>
      </c>
      <c r="H167" s="502" t="s">
        <v>252</v>
      </c>
      <c r="I167" s="502" t="s">
        <v>247</v>
      </c>
      <c r="J167" s="65535" t="e">
        <f>VLOOKUP(A167,Catálogo!A:B,2,0)</f>
        <v>#N/A</v>
      </c>
      <c r="K167" s="65535" t="e">
        <f>VLOOKUP(A167,Catálogo!A:C,3,0)</f>
        <v>#N/A</v>
      </c>
      <c r="L167" s="65535" t="e">
        <f>VLOOKUP(A167,Catálogo!A:D,4,0)</f>
        <v>#N/A</v>
      </c>
      <c r="M167" s="65535"/>
      <c r="N167" s="15" t="e">
        <f>VLOOKUP(A167,[2]Hoja1!$B:$D,3,0)</f>
        <v>#N/A</v>
      </c>
    </row>
    <row r="168" spans="1:14" s="15" x14ac:dyDescent="0.35">
      <c r="A168" s="15">
        <v>100024648</v>
      </c>
      <c r="B168" s="506">
        <v>7707200944563</v>
      </c>
      <c r="C168" s="15" t="s">
        <v>261</v>
      </c>
      <c r="D168" s="502" t="s">
        <v>44</v>
      </c>
      <c r="E168" s="503" t="s">
        <v>33</v>
      </c>
      <c r="F168" s="502" t="s">
        <v>39</v>
      </c>
      <c r="G168" s="502" t="s">
        <v>139</v>
      </c>
      <c r="H168" s="502" t="s">
        <v>252</v>
      </c>
      <c r="I168" s="502" t="s">
        <v>247</v>
      </c>
      <c r="J168" s="65535" t="e">
        <f>VLOOKUP(A168,Catálogo!A:B,2,0)</f>
        <v>#N/A</v>
      </c>
      <c r="K168" s="65535" t="e">
        <f>VLOOKUP(A168,Catálogo!A:C,3,0)</f>
        <v>#N/A</v>
      </c>
      <c r="L168" s="65535" t="e">
        <f>VLOOKUP(A168,Catálogo!A:D,4,0)</f>
        <v>#N/A</v>
      </c>
      <c r="M168" s="65535"/>
      <c r="N168" s="15" t="e">
        <f>VLOOKUP(A168,[2]Hoja1!$B:$D,3,0)</f>
        <v>#N/A</v>
      </c>
    </row>
    <row r="169" spans="1:14" s="15" x14ac:dyDescent="0.35">
      <c r="A169" s="15">
        <v>100024653</v>
      </c>
      <c r="B169" s="506">
        <v>7707200947311</v>
      </c>
      <c r="C169" s="15" t="s">
        <v>266</v>
      </c>
      <c r="D169" s="502" t="s">
        <v>44</v>
      </c>
      <c r="E169" s="503" t="s">
        <v>33</v>
      </c>
      <c r="F169" s="502" t="s">
        <v>39</v>
      </c>
      <c r="G169" s="502" t="s">
        <v>139</v>
      </c>
      <c r="H169" s="502" t="s">
        <v>252</v>
      </c>
      <c r="I169" s="502" t="s">
        <v>247</v>
      </c>
      <c r="J169" s="65535" t="e">
        <f>VLOOKUP(A169,Catálogo!A:B,2,0)</f>
        <v>#N/A</v>
      </c>
      <c r="K169" s="65535" t="e">
        <f>VLOOKUP(A169,Catálogo!A:C,3,0)</f>
        <v>#N/A</v>
      </c>
      <c r="L169" s="65535" t="e">
        <f>VLOOKUP(A169,Catálogo!A:D,4,0)</f>
        <v>#N/A</v>
      </c>
      <c r="M169" s="65535"/>
      <c r="N169" s="15" t="e">
        <f>VLOOKUP(A169,[2]Hoja1!$B:$D,3,0)</f>
        <v>#N/A</v>
      </c>
    </row>
    <row r="170" spans="1:14" s="15" x14ac:dyDescent="0.35">
      <c r="A170" s="15">
        <v>100024649</v>
      </c>
      <c r="B170" s="506">
        <v>7707200945799</v>
      </c>
      <c r="C170" s="15" t="s">
        <v>267</v>
      </c>
      <c r="D170" s="502" t="s">
        <v>44</v>
      </c>
      <c r="E170" s="503" t="s">
        <v>33</v>
      </c>
      <c r="F170" s="502" t="s">
        <v>39</v>
      </c>
      <c r="G170" s="502" t="s">
        <v>139</v>
      </c>
      <c r="H170" s="502" t="s">
        <v>252</v>
      </c>
      <c r="I170" s="502" t="s">
        <v>247</v>
      </c>
      <c r="J170" s="65535" t="e">
        <f>VLOOKUP(A170,Catálogo!A:B,2,0)</f>
        <v>#N/A</v>
      </c>
      <c r="K170" s="65535" t="e">
        <f>VLOOKUP(A170,Catálogo!A:C,3,0)</f>
        <v>#N/A</v>
      </c>
      <c r="L170" s="65535" t="e">
        <f>VLOOKUP(A170,Catálogo!A:D,4,0)</f>
        <v>#N/A</v>
      </c>
      <c r="M170" s="65535"/>
      <c r="N170" s="15" t="e">
        <f>VLOOKUP(A170,[2]Hoja1!$B:$D,3,0)</f>
        <v>#N/A</v>
      </c>
    </row>
    <row r="171" spans="1:14" s="15" x14ac:dyDescent="0.35">
      <c r="A171" s="15">
        <v>100024652</v>
      </c>
      <c r="B171" s="506">
        <v>7707200945072</v>
      </c>
      <c r="C171" s="15" t="s">
        <v>269</v>
      </c>
      <c r="D171" s="502" t="s">
        <v>44</v>
      </c>
      <c r="E171" s="503" t="s">
        <v>33</v>
      </c>
      <c r="F171" s="502" t="s">
        <v>39</v>
      </c>
      <c r="G171" s="502" t="s">
        <v>139</v>
      </c>
      <c r="H171" s="502" t="s">
        <v>252</v>
      </c>
      <c r="I171" s="502" t="s">
        <v>247</v>
      </c>
      <c r="J171" s="65535" t="e">
        <f>VLOOKUP(A171,Catálogo!A:B,2,0)</f>
        <v>#N/A</v>
      </c>
      <c r="K171" s="65535" t="e">
        <f>VLOOKUP(A171,Catálogo!A:C,3,0)</f>
        <v>#N/A</v>
      </c>
      <c r="L171" s="65535" t="e">
        <f>VLOOKUP(A171,Catálogo!A:D,4,0)</f>
        <v>#N/A</v>
      </c>
      <c r="M171" s="65535"/>
      <c r="N171" s="15" t="e">
        <f>VLOOKUP(A171,[2]Hoja1!$B:$D,3,0)</f>
        <v>#N/A</v>
      </c>
    </row>
    <row r="172" spans="1:14" s="15" x14ac:dyDescent="0.35">
      <c r="A172" s="15">
        <v>100024650</v>
      </c>
      <c r="B172" s="506">
        <v>7707200949285</v>
      </c>
      <c r="C172" s="15" t="s">
        <v>271</v>
      </c>
      <c r="D172" s="502" t="s">
        <v>44</v>
      </c>
      <c r="E172" s="503" t="s">
        <v>33</v>
      </c>
      <c r="F172" s="502" t="s">
        <v>39</v>
      </c>
      <c r="G172" s="502" t="s">
        <v>139</v>
      </c>
      <c r="H172" s="502" t="s">
        <v>252</v>
      </c>
      <c r="I172" s="502" t="s">
        <v>247</v>
      </c>
      <c r="J172" s="65535" t="e">
        <f>VLOOKUP(A172,Catálogo!A:B,2,0)</f>
        <v>#N/A</v>
      </c>
      <c r="K172" s="65535" t="e">
        <f>VLOOKUP(A172,Catálogo!A:C,3,0)</f>
        <v>#N/A</v>
      </c>
      <c r="L172" s="65535" t="e">
        <f>VLOOKUP(A172,Catálogo!A:D,4,0)</f>
        <v>#N/A</v>
      </c>
      <c r="M172" s="65535"/>
      <c r="N172" s="15" t="e">
        <f>VLOOKUP(A172,[2]Hoja1!$B:$D,3,0)</f>
        <v>#N/A</v>
      </c>
    </row>
    <row r="173" spans="1:14" s="15" x14ac:dyDescent="0.35">
      <c r="A173" s="15">
        <v>100024651</v>
      </c>
      <c r="B173" s="506">
        <v>7707200949551</v>
      </c>
      <c r="C173" s="15" t="s">
        <v>273</v>
      </c>
      <c r="D173" s="502" t="s">
        <v>44</v>
      </c>
      <c r="E173" s="503" t="s">
        <v>33</v>
      </c>
      <c r="F173" s="502" t="s">
        <v>39</v>
      </c>
      <c r="G173" s="502" t="s">
        <v>139</v>
      </c>
      <c r="H173" s="502" t="s">
        <v>252</v>
      </c>
      <c r="I173" s="502" t="s">
        <v>247</v>
      </c>
      <c r="J173" s="65535" t="e">
        <f>VLOOKUP(A173,Catálogo!A:B,2,0)</f>
        <v>#N/A</v>
      </c>
      <c r="K173" s="65535" t="e">
        <f>VLOOKUP(A173,Catálogo!A:C,3,0)</f>
        <v>#N/A</v>
      </c>
      <c r="L173" s="65535" t="e">
        <f>VLOOKUP(A173,Catálogo!A:D,4,0)</f>
        <v>#N/A</v>
      </c>
      <c r="M173" s="65535"/>
      <c r="N173" s="15" t="e">
        <f>VLOOKUP(A173,[2]Hoja1!$B:$D,3,0)</f>
        <v>#N/A</v>
      </c>
    </row>
    <row r="174" spans="1:14" s="15" x14ac:dyDescent="0.35">
      <c r="A174" s="15">
        <v>100024654</v>
      </c>
      <c r="B174" s="506">
        <v>7707200944037</v>
      </c>
      <c r="C174" s="15" t="s">
        <v>275</v>
      </c>
      <c r="D174" s="502" t="s">
        <v>44</v>
      </c>
      <c r="E174" s="503" t="s">
        <v>33</v>
      </c>
      <c r="F174" s="502" t="s">
        <v>39</v>
      </c>
      <c r="G174" s="502" t="s">
        <v>139</v>
      </c>
      <c r="H174" s="502" t="s">
        <v>252</v>
      </c>
      <c r="I174" s="502" t="s">
        <v>247</v>
      </c>
      <c r="J174" s="65535" t="e">
        <f>VLOOKUP(A174,Catálogo!A:B,2,0)</f>
        <v>#N/A</v>
      </c>
      <c r="K174" s="65535" t="e">
        <f>VLOOKUP(A174,Catálogo!A:C,3,0)</f>
        <v>#N/A</v>
      </c>
      <c r="L174" s="65535" t="e">
        <f>VLOOKUP(A174,Catálogo!A:D,4,0)</f>
        <v>#N/A</v>
      </c>
      <c r="M174" s="65535"/>
      <c r="N174" s="15" t="e">
        <f>VLOOKUP(A174,[2]Hoja1!$B:$D,3,0)</f>
        <v>#N/A</v>
      </c>
    </row>
    <row r="175" spans="1:14" s="15" x14ac:dyDescent="0.35">
      <c r="A175" s="15">
        <v>100024414</v>
      </c>
      <c r="B175" s="506">
        <v>7702303906036</v>
      </c>
      <c r="C175" s="15" t="s">
        <v>277</v>
      </c>
      <c r="D175" s="502" t="s">
        <v>44</v>
      </c>
      <c r="E175" s="503" t="s">
        <v>33</v>
      </c>
      <c r="F175" s="502" t="s">
        <v>39</v>
      </c>
      <c r="G175" s="502" t="s">
        <v>139</v>
      </c>
      <c r="H175" s="502" t="s">
        <v>252</v>
      </c>
      <c r="I175" s="502" t="s">
        <v>247</v>
      </c>
      <c r="J175" s="65535" t="e">
        <f>VLOOKUP(A175,Catálogo!A:B,2,0)</f>
        <v>#N/A</v>
      </c>
      <c r="K175" s="65535" t="e">
        <f>VLOOKUP(A175,Catálogo!A:C,3,0)</f>
        <v>#N/A</v>
      </c>
      <c r="L175" s="65535" t="e">
        <f>VLOOKUP(A175,Catálogo!A:D,4,0)</f>
        <v>#N/A</v>
      </c>
      <c r="M175" s="65535"/>
      <c r="N175" s="15" t="e">
        <f>VLOOKUP(A175,[2]Hoja1!$B:$D,3,0)</f>
        <v>#N/A</v>
      </c>
    </row>
    <row r="176" spans="1:14" s="15" x14ac:dyDescent="0.35">
      <c r="A176" s="15">
        <v>100024620</v>
      </c>
      <c r="B176" s="506">
        <v>7707200942019</v>
      </c>
      <c r="C176" s="15" t="s">
        <v>580</v>
      </c>
      <c r="D176" s="502" t="s">
        <v>44</v>
      </c>
      <c r="E176" s="503" t="s">
        <v>33</v>
      </c>
      <c r="F176" s="502" t="s">
        <v>39</v>
      </c>
      <c r="G176" s="502" t="s">
        <v>139</v>
      </c>
      <c r="H176" s="502" t="s">
        <v>252</v>
      </c>
      <c r="I176" s="502" t="s">
        <v>247</v>
      </c>
      <c r="J176" s="65535" t="e">
        <f>VLOOKUP(A176,Catálogo!A:B,2,0)</f>
        <v>#N/A</v>
      </c>
      <c r="K176" s="65535" t="e">
        <f>VLOOKUP(A176,Catálogo!A:C,3,0)</f>
        <v>#N/A</v>
      </c>
      <c r="L176" s="65535" t="e">
        <f>VLOOKUP(A176,Catálogo!A:D,4,0)</f>
        <v>#N/A</v>
      </c>
      <c r="M176" s="65535"/>
      <c r="N176" s="15" t="e">
        <f>VLOOKUP(A176,[2]Hoja1!$B:$D,3,0)</f>
        <v>#N/A</v>
      </c>
    </row>
    <row r="177" spans="1:14" s="15" x14ac:dyDescent="0.35">
      <c r="A177" s="15">
        <v>100024627</v>
      </c>
      <c r="B177" s="506">
        <v>7707200945430</v>
      </c>
      <c r="C177" s="15" t="s">
        <v>283</v>
      </c>
      <c r="D177" s="502" t="s">
        <v>44</v>
      </c>
      <c r="E177" s="503" t="s">
        <v>33</v>
      </c>
      <c r="F177" s="502" t="s">
        <v>39</v>
      </c>
      <c r="G177" s="502" t="s">
        <v>139</v>
      </c>
      <c r="H177" s="502" t="s">
        <v>252</v>
      </c>
      <c r="I177" s="502" t="s">
        <v>247</v>
      </c>
      <c r="J177" s="65535" t="e">
        <f>VLOOKUP(A177,Catálogo!A:B,2,0)</f>
        <v>#N/A</v>
      </c>
      <c r="K177" s="65535" t="e">
        <f>VLOOKUP(A177,Catálogo!A:C,3,0)</f>
        <v>#N/A</v>
      </c>
      <c r="L177" s="65535" t="e">
        <f>VLOOKUP(A177,Catálogo!A:D,4,0)</f>
        <v>#N/A</v>
      </c>
      <c r="M177" s="65535"/>
      <c r="N177" s="15" t="e">
        <f>VLOOKUP(A177,[2]Hoja1!$B:$D,3,0)</f>
        <v>#N/A</v>
      </c>
    </row>
    <row r="178" spans="1:14" s="15" x14ac:dyDescent="0.35">
      <c r="A178" s="15">
        <v>100024625</v>
      </c>
      <c r="B178" s="506">
        <v>7707200947854</v>
      </c>
      <c r="C178" s="15" t="s">
        <v>284</v>
      </c>
      <c r="D178" s="502" t="s">
        <v>44</v>
      </c>
      <c r="E178" s="503" t="s">
        <v>33</v>
      </c>
      <c r="F178" s="502" t="s">
        <v>39</v>
      </c>
      <c r="G178" s="502" t="s">
        <v>139</v>
      </c>
      <c r="H178" s="502" t="s">
        <v>252</v>
      </c>
      <c r="I178" s="502" t="s">
        <v>247</v>
      </c>
      <c r="J178" s="65535" t="e">
        <f>VLOOKUP(A178,Catálogo!A:B,2,0)</f>
        <v>#N/A</v>
      </c>
      <c r="K178" s="65535" t="e">
        <f>VLOOKUP(A178,Catálogo!A:C,3,0)</f>
        <v>#N/A</v>
      </c>
      <c r="L178" s="65535" t="e">
        <f>VLOOKUP(A178,Catálogo!A:D,4,0)</f>
        <v>#N/A</v>
      </c>
      <c r="M178" s="65535"/>
      <c r="N178" s="15" t="e">
        <f>VLOOKUP(A178,[2]Hoja1!$B:$D,3,0)</f>
        <v>#N/A</v>
      </c>
    </row>
    <row r="179" spans="1:14" s="15" x14ac:dyDescent="0.35">
      <c r="A179" s="15">
        <v>100024623</v>
      </c>
      <c r="B179" s="506">
        <v>7707200946987</v>
      </c>
      <c r="C179" s="15" t="s">
        <v>287</v>
      </c>
      <c r="D179" s="502" t="s">
        <v>44</v>
      </c>
      <c r="E179" s="503" t="s">
        <v>33</v>
      </c>
      <c r="F179" s="502" t="s">
        <v>39</v>
      </c>
      <c r="G179" s="502" t="s">
        <v>139</v>
      </c>
      <c r="H179" s="502" t="s">
        <v>252</v>
      </c>
      <c r="I179" s="502" t="s">
        <v>247</v>
      </c>
      <c r="J179" s="65535" t="e">
        <f>VLOOKUP(A179,Catálogo!A:B,2,0)</f>
        <v>#N/A</v>
      </c>
      <c r="K179" s="65535" t="e">
        <f>VLOOKUP(A179,Catálogo!A:C,3,0)</f>
        <v>#N/A</v>
      </c>
      <c r="L179" s="65535" t="e">
        <f>VLOOKUP(A179,Catálogo!A:D,4,0)</f>
        <v>#N/A</v>
      </c>
      <c r="M179" s="65535"/>
      <c r="N179" s="15" t="e">
        <f>VLOOKUP(A179,[2]Hoja1!$B:$D,3,0)</f>
        <v>#N/A</v>
      </c>
    </row>
    <row r="180" spans="1:14" s="15" x14ac:dyDescent="0.35">
      <c r="A180" s="15">
        <v>100024624</v>
      </c>
      <c r="B180" s="506">
        <v>7707200940220</v>
      </c>
      <c r="C180" s="15" t="s">
        <v>289</v>
      </c>
      <c r="D180" s="502" t="s">
        <v>44</v>
      </c>
      <c r="E180" s="503" t="s">
        <v>33</v>
      </c>
      <c r="F180" s="502" t="s">
        <v>39</v>
      </c>
      <c r="G180" s="502" t="s">
        <v>139</v>
      </c>
      <c r="H180" s="502" t="s">
        <v>252</v>
      </c>
      <c r="I180" s="502" t="s">
        <v>247</v>
      </c>
      <c r="J180" s="65535" t="e">
        <f>VLOOKUP(A180,Catálogo!A:B,2,0)</f>
        <v>#N/A</v>
      </c>
      <c r="K180" s="65535" t="e">
        <f>VLOOKUP(A180,Catálogo!A:C,3,0)</f>
        <v>#N/A</v>
      </c>
      <c r="L180" s="65535" t="e">
        <f>VLOOKUP(A180,Catálogo!A:D,4,0)</f>
        <v>#N/A</v>
      </c>
      <c r="M180" s="65535"/>
      <c r="N180" s="15" t="e">
        <f>VLOOKUP(A180,[2]Hoja1!$B:$D,3,0)</f>
        <v>#N/A</v>
      </c>
    </row>
    <row r="181" spans="1:14" s="15" x14ac:dyDescent="0.35">
      <c r="A181" s="503">
        <v>100023339</v>
      </c>
      <c r="B181" s="504">
        <v>7501031701667</v>
      </c>
      <c r="C181" s="503" t="s">
        <v>290</v>
      </c>
      <c r="D181" s="503" t="s">
        <v>44</v>
      </c>
      <c r="E181" s="503" t="s">
        <v>33</v>
      </c>
      <c r="F181" s="503" t="s">
        <v>39</v>
      </c>
      <c r="G181" s="503" t="s">
        <v>139</v>
      </c>
      <c r="H181" s="502" t="s">
        <v>252</v>
      </c>
      <c r="I181" s="502" t="s">
        <v>247</v>
      </c>
      <c r="J181" s="65535" t="e">
        <f>VLOOKUP(A181,Catálogo!A:B,2,0)</f>
        <v>#N/A</v>
      </c>
      <c r="K181" s="65535" t="e">
        <f>VLOOKUP(A181,Catálogo!A:C,3,0)</f>
        <v>#N/A</v>
      </c>
      <c r="L181" s="65535" t="e">
        <f>VLOOKUP(A181,Catálogo!A:D,4,0)</f>
        <v>#N/A</v>
      </c>
      <c r="M181" s="65535"/>
      <c r="N181" s="15" t="e">
        <f>VLOOKUP(A181,[2]Hoja1!$B:$D,3,0)</f>
        <v>#N/A</v>
      </c>
    </row>
    <row r="182" spans="1:14" s="15" x14ac:dyDescent="0.35">
      <c r="A182" s="502">
        <v>100023339</v>
      </c>
      <c r="B182" s="504">
        <v>7501031701667</v>
      </c>
      <c r="C182" s="502" t="s">
        <v>290</v>
      </c>
      <c r="D182" s="503" t="s">
        <v>44</v>
      </c>
      <c r="E182" s="503" t="s">
        <v>33</v>
      </c>
      <c r="F182" s="503" t="s">
        <v>39</v>
      </c>
      <c r="G182" s="502" t="s">
        <v>139</v>
      </c>
      <c r="H182" s="502" t="s">
        <v>252</v>
      </c>
      <c r="I182" s="502" t="s">
        <v>247</v>
      </c>
      <c r="J182" s="65535" t="e">
        <f>VLOOKUP(A182,Catálogo!A:B,2,0)</f>
        <v>#N/A</v>
      </c>
      <c r="K182" s="65535" t="e">
        <f>VLOOKUP(A182,Catálogo!A:C,3,0)</f>
        <v>#N/A</v>
      </c>
      <c r="L182" s="65535" t="e">
        <f>VLOOKUP(A182,Catálogo!A:D,4,0)</f>
        <v>#N/A</v>
      </c>
      <c r="M182" s="65535"/>
      <c r="N182" s="15" t="e">
        <f>VLOOKUP(A182,[2]Hoja1!$B:$D,3,0)</f>
        <v>#N/A</v>
      </c>
    </row>
    <row r="183" spans="1:14" s="15" x14ac:dyDescent="0.35">
      <c r="A183" s="503">
        <v>100022786</v>
      </c>
      <c r="B183" s="504">
        <v>7501031701636</v>
      </c>
      <c r="C183" s="503" t="s">
        <v>291</v>
      </c>
      <c r="D183" s="503" t="s">
        <v>44</v>
      </c>
      <c r="E183" s="503" t="s">
        <v>33</v>
      </c>
      <c r="F183" s="503" t="s">
        <v>39</v>
      </c>
      <c r="G183" s="503" t="s">
        <v>139</v>
      </c>
      <c r="H183" s="502" t="s">
        <v>252</v>
      </c>
      <c r="I183" s="502" t="s">
        <v>247</v>
      </c>
      <c r="J183" s="65535" t="e">
        <f>VLOOKUP(A183,Catálogo!A:B,2,0)</f>
        <v>#N/A</v>
      </c>
      <c r="K183" s="65535" t="e">
        <f>VLOOKUP(A183,Catálogo!A:C,3,0)</f>
        <v>#N/A</v>
      </c>
      <c r="L183" s="65535" t="e">
        <f>VLOOKUP(A183,Catálogo!A:D,4,0)</f>
        <v>#N/A</v>
      </c>
      <c r="M183" s="65535"/>
      <c r="N183" s="15" t="e">
        <f>VLOOKUP(A183,[2]Hoja1!$B:$D,3,0)</f>
        <v>#N/A</v>
      </c>
    </row>
    <row r="184" spans="1:14" s="15" x14ac:dyDescent="0.35">
      <c r="A184" s="502">
        <v>100022786</v>
      </c>
      <c r="B184" s="504">
        <v>7501031701636</v>
      </c>
      <c r="C184" s="502" t="s">
        <v>291</v>
      </c>
      <c r="D184" s="503" t="s">
        <v>44</v>
      </c>
      <c r="E184" s="503" t="s">
        <v>33</v>
      </c>
      <c r="F184" s="503" t="s">
        <v>39</v>
      </c>
      <c r="G184" s="502" t="s">
        <v>139</v>
      </c>
      <c r="H184" s="502" t="s">
        <v>252</v>
      </c>
      <c r="I184" s="502" t="s">
        <v>247</v>
      </c>
      <c r="J184" s="65535" t="e">
        <f>VLOOKUP(A184,Catálogo!A:B,2,0)</f>
        <v>#N/A</v>
      </c>
      <c r="K184" s="65535" t="e">
        <f>VLOOKUP(A184,Catálogo!A:C,3,0)</f>
        <v>#N/A</v>
      </c>
      <c r="L184" s="65535" t="e">
        <f>VLOOKUP(A184,Catálogo!A:D,4,0)</f>
        <v>#N/A</v>
      </c>
      <c r="M184" s="65535"/>
      <c r="N184" s="15" t="e">
        <f>VLOOKUP(A184,[2]Hoja1!$B:$D,3,0)</f>
        <v>#N/A</v>
      </c>
    </row>
    <row r="185" spans="1:14" s="15" x14ac:dyDescent="0.35">
      <c r="A185" s="503">
        <v>100023338</v>
      </c>
      <c r="B185" s="504">
        <v>7501031701575</v>
      </c>
      <c r="C185" s="503" t="s">
        <v>293</v>
      </c>
      <c r="D185" s="503" t="s">
        <v>44</v>
      </c>
      <c r="E185" s="503" t="s">
        <v>33</v>
      </c>
      <c r="F185" s="503" t="s">
        <v>39</v>
      </c>
      <c r="G185" s="503" t="s">
        <v>139</v>
      </c>
      <c r="H185" s="502" t="s">
        <v>252</v>
      </c>
      <c r="I185" s="502" t="s">
        <v>247</v>
      </c>
      <c r="J185" s="65535" t="e">
        <f>VLOOKUP(A185,Catálogo!A:B,2,0)</f>
        <v>#N/A</v>
      </c>
      <c r="K185" s="65535" t="e">
        <f>VLOOKUP(A185,Catálogo!A:C,3,0)</f>
        <v>#N/A</v>
      </c>
      <c r="L185" s="65535" t="e">
        <f>VLOOKUP(A185,Catálogo!A:D,4,0)</f>
        <v>#N/A</v>
      </c>
      <c r="M185" s="65535"/>
      <c r="N185" s="15" t="e">
        <f>VLOOKUP(A185,[2]Hoja1!$B:$D,3,0)</f>
        <v>#N/A</v>
      </c>
    </row>
    <row r="186" spans="1:14" s="15" x14ac:dyDescent="0.35">
      <c r="A186" s="502">
        <v>100023338</v>
      </c>
      <c r="B186" s="504">
        <v>7501031701575</v>
      </c>
      <c r="C186" s="502" t="s">
        <v>293</v>
      </c>
      <c r="D186" s="503" t="s">
        <v>44</v>
      </c>
      <c r="E186" s="503" t="s">
        <v>33</v>
      </c>
      <c r="F186" s="503" t="s">
        <v>39</v>
      </c>
      <c r="G186" s="502" t="s">
        <v>139</v>
      </c>
      <c r="H186" s="502" t="s">
        <v>252</v>
      </c>
      <c r="I186" s="502" t="s">
        <v>247</v>
      </c>
      <c r="J186" s="65535" t="e">
        <f>VLOOKUP(A186,Catálogo!A:B,2,0)</f>
        <v>#N/A</v>
      </c>
      <c r="K186" s="65535" t="e">
        <f>VLOOKUP(A186,Catálogo!A:C,3,0)</f>
        <v>#N/A</v>
      </c>
      <c r="L186" s="65535" t="e">
        <f>VLOOKUP(A186,Catálogo!A:D,4,0)</f>
        <v>#N/A</v>
      </c>
      <c r="M186" s="65535"/>
      <c r="N186" s="15" t="e">
        <f>VLOOKUP(A186,[2]Hoja1!$B:$D,3,0)</f>
        <v>#N/A</v>
      </c>
    </row>
    <row r="187" spans="1:14" s="15" x14ac:dyDescent="0.35">
      <c r="A187" s="503">
        <v>100023094</v>
      </c>
      <c r="B187" s="504">
        <v>7501031701759</v>
      </c>
      <c r="C187" s="503" t="s">
        <v>294</v>
      </c>
      <c r="D187" s="503" t="s">
        <v>44</v>
      </c>
      <c r="E187" s="503" t="s">
        <v>33</v>
      </c>
      <c r="F187" s="503" t="s">
        <v>39</v>
      </c>
      <c r="G187" s="503" t="s">
        <v>139</v>
      </c>
      <c r="H187" s="502" t="s">
        <v>252</v>
      </c>
      <c r="I187" s="502" t="s">
        <v>247</v>
      </c>
      <c r="J187" s="65535" t="e">
        <f>VLOOKUP(A187,Catálogo!A:B,2,0)</f>
        <v>#N/A</v>
      </c>
      <c r="K187" s="65535" t="e">
        <f>VLOOKUP(A187,Catálogo!A:C,3,0)</f>
        <v>#N/A</v>
      </c>
      <c r="L187" s="65535" t="e">
        <f>VLOOKUP(A187,Catálogo!A:D,4,0)</f>
        <v>#N/A</v>
      </c>
      <c r="M187" s="65535"/>
      <c r="N187" s="15" t="e">
        <f>VLOOKUP(A187,[2]Hoja1!$B:$D,3,0)</f>
        <v>#N/A</v>
      </c>
    </row>
    <row r="188" spans="1:14" s="15" x14ac:dyDescent="0.35">
      <c r="A188" s="502">
        <v>100023094</v>
      </c>
      <c r="B188" s="504">
        <v>7501031701759</v>
      </c>
      <c r="C188" s="502" t="s">
        <v>294</v>
      </c>
      <c r="D188" s="503" t="s">
        <v>44</v>
      </c>
      <c r="E188" s="503" t="s">
        <v>33</v>
      </c>
      <c r="F188" s="503" t="s">
        <v>39</v>
      </c>
      <c r="G188" s="502" t="s">
        <v>139</v>
      </c>
      <c r="H188" s="502" t="s">
        <v>252</v>
      </c>
      <c r="I188" s="502" t="s">
        <v>247</v>
      </c>
      <c r="J188" s="65535" t="e">
        <f>VLOOKUP(A188,Catálogo!A:B,2,0)</f>
        <v>#N/A</v>
      </c>
      <c r="K188" s="65535" t="e">
        <f>VLOOKUP(A188,Catálogo!A:C,3,0)</f>
        <v>#N/A</v>
      </c>
      <c r="L188" s="65535" t="e">
        <f>VLOOKUP(A188,Catálogo!A:D,4,0)</f>
        <v>#N/A</v>
      </c>
      <c r="M188" s="65535"/>
      <c r="N188" s="15" t="e">
        <f>VLOOKUP(A188,[2]Hoja1!$B:$D,3,0)</f>
        <v>#N/A</v>
      </c>
    </row>
    <row r="189" spans="1:14" s="15" x14ac:dyDescent="0.35">
      <c r="A189" s="503">
        <v>100023336</v>
      </c>
      <c r="B189" s="504">
        <v>7501031701704</v>
      </c>
      <c r="C189" s="503" t="s">
        <v>295</v>
      </c>
      <c r="D189" s="503" t="s">
        <v>44</v>
      </c>
      <c r="E189" s="503" t="s">
        <v>33</v>
      </c>
      <c r="F189" s="503" t="s">
        <v>39</v>
      </c>
      <c r="G189" s="503" t="s">
        <v>139</v>
      </c>
      <c r="H189" s="502" t="s">
        <v>252</v>
      </c>
      <c r="I189" s="502" t="s">
        <v>247</v>
      </c>
      <c r="J189" s="65535" t="e">
        <f>VLOOKUP(A189,Catálogo!A:B,2,0)</f>
        <v>#N/A</v>
      </c>
      <c r="K189" s="65535" t="e">
        <f>VLOOKUP(A189,Catálogo!A:C,3,0)</f>
        <v>#N/A</v>
      </c>
      <c r="L189" s="65535" t="e">
        <f>VLOOKUP(A189,Catálogo!A:D,4,0)</f>
        <v>#N/A</v>
      </c>
      <c r="M189" s="65535"/>
      <c r="N189" s="15" t="e">
        <f>VLOOKUP(A189,[2]Hoja1!$B:$D,3,0)</f>
        <v>#N/A</v>
      </c>
    </row>
    <row r="190" spans="1:14" s="15" x14ac:dyDescent="0.35">
      <c r="A190" s="503">
        <v>100023337</v>
      </c>
      <c r="B190" s="504">
        <v>7501031701735</v>
      </c>
      <c r="C190" s="503" t="s">
        <v>296</v>
      </c>
      <c r="D190" s="503" t="s">
        <v>44</v>
      </c>
      <c r="E190" s="503" t="s">
        <v>33</v>
      </c>
      <c r="F190" s="503" t="s">
        <v>39</v>
      </c>
      <c r="G190" s="503" t="s">
        <v>139</v>
      </c>
      <c r="H190" s="502" t="s">
        <v>252</v>
      </c>
      <c r="I190" s="502" t="s">
        <v>247</v>
      </c>
      <c r="J190" s="65535" t="e">
        <f>VLOOKUP(A190,Catálogo!A:B,2,0)</f>
        <v>#N/A</v>
      </c>
      <c r="K190" s="65535" t="e">
        <f>VLOOKUP(A190,Catálogo!A:C,3,0)</f>
        <v>#N/A</v>
      </c>
      <c r="L190" s="65535" t="e">
        <f>VLOOKUP(A190,Catálogo!A:D,4,0)</f>
        <v>#N/A</v>
      </c>
      <c r="M190" s="65535"/>
      <c r="N190" s="15" t="e">
        <f>VLOOKUP(A190,[2]Hoja1!$B:$D,3,0)</f>
        <v>#N/A</v>
      </c>
    </row>
    <row r="191" spans="1:14" s="15" x14ac:dyDescent="0.35">
      <c r="A191" s="15">
        <v>100020897</v>
      </c>
      <c r="B191" s="506">
        <v>7501031701834</v>
      </c>
      <c r="C191" s="15" t="s">
        <v>297</v>
      </c>
      <c r="D191" s="502" t="s">
        <v>44</v>
      </c>
      <c r="E191" s="503" t="s">
        <v>33</v>
      </c>
      <c r="F191" s="502" t="s">
        <v>39</v>
      </c>
      <c r="G191" s="502" t="s">
        <v>139</v>
      </c>
      <c r="H191" s="502" t="s">
        <v>252</v>
      </c>
      <c r="I191" s="502" t="s">
        <v>247</v>
      </c>
      <c r="J191" s="65535" t="e">
        <f>VLOOKUP(A191,Catálogo!A:B,2,0)</f>
        <v>#N/A</v>
      </c>
      <c r="K191" s="65535" t="e">
        <f>VLOOKUP(A191,Catálogo!A:C,3,0)</f>
        <v>#N/A</v>
      </c>
      <c r="L191" s="65535" t="e">
        <f>VLOOKUP(A191,Catálogo!A:D,4,0)</f>
        <v>#N/A</v>
      </c>
      <c r="M191" s="65535"/>
      <c r="N191" s="15" t="e">
        <f>VLOOKUP(A191,[2]Hoja1!$B:$D,3,0)</f>
        <v>#N/A</v>
      </c>
    </row>
    <row r="192" spans="1:14" s="15" x14ac:dyDescent="0.35">
      <c r="A192" s="502">
        <v>100020894</v>
      </c>
      <c r="B192" s="504">
        <v>7501031701674</v>
      </c>
      <c r="C192" s="502" t="s">
        <v>298</v>
      </c>
      <c r="D192" s="503" t="s">
        <v>44</v>
      </c>
      <c r="E192" s="503" t="s">
        <v>33</v>
      </c>
      <c r="F192" s="503" t="s">
        <v>39</v>
      </c>
      <c r="G192" s="503" t="s">
        <v>139</v>
      </c>
      <c r="H192" s="502" t="s">
        <v>252</v>
      </c>
      <c r="I192" s="502" t="s">
        <v>247</v>
      </c>
      <c r="J192" s="65535" t="e">
        <f>VLOOKUP(A192,Catálogo!A:B,2,0)</f>
        <v>#N/A</v>
      </c>
      <c r="K192" s="65535" t="e">
        <f>VLOOKUP(A192,Catálogo!A:C,3,0)</f>
        <v>#N/A</v>
      </c>
      <c r="L192" s="65535" t="e">
        <f>VLOOKUP(A192,Catálogo!A:D,4,0)</f>
        <v>#N/A</v>
      </c>
      <c r="M192" s="65535"/>
      <c r="N192" s="15" t="e">
        <f>VLOOKUP(A192,[2]Hoja1!$B:$D,3,0)</f>
        <v>#N/A</v>
      </c>
    </row>
    <row r="193" spans="1:14" s="15" x14ac:dyDescent="0.35">
      <c r="A193" s="502">
        <v>100020893</v>
      </c>
      <c r="B193" s="504">
        <v>7501031701889</v>
      </c>
      <c r="C193" s="502" t="s">
        <v>299</v>
      </c>
      <c r="D193" s="503" t="s">
        <v>44</v>
      </c>
      <c r="E193" s="503" t="s">
        <v>33</v>
      </c>
      <c r="F193" s="503" t="s">
        <v>39</v>
      </c>
      <c r="G193" s="502" t="s">
        <v>139</v>
      </c>
      <c r="H193" s="502" t="s">
        <v>252</v>
      </c>
      <c r="I193" s="502" t="s">
        <v>247</v>
      </c>
      <c r="J193" s="65535" t="e">
        <f>VLOOKUP(A193,Catálogo!A:B,2,0)</f>
        <v>#N/A</v>
      </c>
      <c r="K193" s="65535" t="e">
        <f>VLOOKUP(A193,Catálogo!A:C,3,0)</f>
        <v>#N/A</v>
      </c>
      <c r="L193" s="65535" t="e">
        <f>VLOOKUP(A193,Catálogo!A:D,4,0)</f>
        <v>#N/A</v>
      </c>
      <c r="M193" s="65535"/>
      <c r="N193" s="15" t="e">
        <f>VLOOKUP(A193,[2]Hoja1!$B:$D,3,0)</f>
        <v>#N/A</v>
      </c>
    </row>
    <row r="194" spans="1:14" s="15" x14ac:dyDescent="0.35">
      <c r="A194" s="503">
        <v>100020892</v>
      </c>
      <c r="B194" s="504">
        <v>7501031701711</v>
      </c>
      <c r="C194" s="503" t="s">
        <v>300</v>
      </c>
      <c r="D194" s="503" t="s">
        <v>44</v>
      </c>
      <c r="E194" s="503" t="s">
        <v>33</v>
      </c>
      <c r="F194" s="503" t="s">
        <v>39</v>
      </c>
      <c r="G194" s="503" t="s">
        <v>139</v>
      </c>
      <c r="H194" s="502" t="s">
        <v>252</v>
      </c>
      <c r="I194" s="502" t="s">
        <v>247</v>
      </c>
      <c r="J194" s="65535" t="e">
        <f>VLOOKUP(A194,Catálogo!A:B,2,0)</f>
        <v>#N/A</v>
      </c>
      <c r="K194" s="65535" t="e">
        <f>VLOOKUP(A194,Catálogo!A:C,3,0)</f>
        <v>#N/A</v>
      </c>
      <c r="L194" s="65535" t="e">
        <f>VLOOKUP(A194,Catálogo!A:D,4,0)</f>
        <v>#N/A</v>
      </c>
      <c r="M194" s="65535"/>
      <c r="N194" s="15" t="e">
        <f>VLOOKUP(A194,[2]Hoja1!$B:$D,3,0)</f>
        <v>#N/A</v>
      </c>
    </row>
    <row r="195" spans="1:14" s="15" x14ac:dyDescent="0.35">
      <c r="A195" s="15">
        <v>100020890</v>
      </c>
      <c r="B195" s="506">
        <v>7501031701780</v>
      </c>
      <c r="C195" s="15" t="s">
        <v>301</v>
      </c>
      <c r="D195" s="502" t="s">
        <v>44</v>
      </c>
      <c r="E195" s="503" t="s">
        <v>33</v>
      </c>
      <c r="F195" s="502" t="s">
        <v>39</v>
      </c>
      <c r="G195" s="502" t="s">
        <v>139</v>
      </c>
      <c r="H195" s="502" t="s">
        <v>252</v>
      </c>
      <c r="I195" s="502" t="s">
        <v>247</v>
      </c>
      <c r="J195" s="65535" t="e">
        <f>VLOOKUP(A195,Catálogo!A:B,2,0)</f>
        <v>#N/A</v>
      </c>
      <c r="K195" s="65535" t="e">
        <f>VLOOKUP(A195,Catálogo!A:C,3,0)</f>
        <v>#N/A</v>
      </c>
      <c r="L195" s="65535" t="e">
        <f>VLOOKUP(A195,Catálogo!A:D,4,0)</f>
        <v>#N/A</v>
      </c>
      <c r="M195" s="65535"/>
      <c r="N195" s="15" t="e">
        <f>VLOOKUP(A195,[2]Hoja1!$B:$D,3,0)</f>
        <v>#N/A</v>
      </c>
    </row>
    <row r="196" spans="1:14" s="15" x14ac:dyDescent="0.35">
      <c r="A196" s="502">
        <v>100020886</v>
      </c>
      <c r="B196" s="504">
        <v>7501031701803</v>
      </c>
      <c r="C196" s="502" t="s">
        <v>303</v>
      </c>
      <c r="D196" s="503" t="s">
        <v>44</v>
      </c>
      <c r="E196" s="503" t="s">
        <v>33</v>
      </c>
      <c r="F196" s="503" t="s">
        <v>39</v>
      </c>
      <c r="G196" s="502" t="s">
        <v>139</v>
      </c>
      <c r="H196" s="502" t="s">
        <v>252</v>
      </c>
      <c r="I196" s="502" t="s">
        <v>247</v>
      </c>
      <c r="J196" s="65535" t="e">
        <f>VLOOKUP(A196,Catálogo!A:B,2,0)</f>
        <v>#N/A</v>
      </c>
      <c r="K196" s="65535" t="e">
        <f>VLOOKUP(A196,Catálogo!A:C,3,0)</f>
        <v>#N/A</v>
      </c>
      <c r="L196" s="65535" t="e">
        <f>VLOOKUP(A196,Catálogo!A:D,4,0)</f>
        <v>#N/A</v>
      </c>
      <c r="M196" s="65535"/>
      <c r="N196" s="15" t="e">
        <f>VLOOKUP(A196,[2]Hoja1!$B:$D,3,0)</f>
        <v>#N/A</v>
      </c>
    </row>
    <row r="197" spans="1:14" s="15" x14ac:dyDescent="0.35">
      <c r="A197" s="502">
        <v>100020885</v>
      </c>
      <c r="B197" s="504">
        <v>7501031701766</v>
      </c>
      <c r="C197" s="502" t="s">
        <v>304</v>
      </c>
      <c r="D197" s="503" t="s">
        <v>44</v>
      </c>
      <c r="E197" s="503" t="s">
        <v>33</v>
      </c>
      <c r="F197" s="503" t="s">
        <v>39</v>
      </c>
      <c r="G197" s="503" t="s">
        <v>139</v>
      </c>
      <c r="H197" s="502" t="s">
        <v>252</v>
      </c>
      <c r="I197" s="502" t="s">
        <v>247</v>
      </c>
      <c r="J197" s="65535" t="e">
        <f>VLOOKUP(A197,Catálogo!A:B,2,0)</f>
        <v>#N/A</v>
      </c>
      <c r="K197" s="65535" t="e">
        <f>VLOOKUP(A197,Catálogo!A:C,3,0)</f>
        <v>#N/A</v>
      </c>
      <c r="L197" s="65535" t="e">
        <f>VLOOKUP(A197,Catálogo!A:D,4,0)</f>
        <v>#N/A</v>
      </c>
      <c r="M197" s="65535"/>
      <c r="N197" s="15" t="e">
        <f>VLOOKUP(A197,[2]Hoja1!$B:$D,3,0)</f>
        <v>#N/A</v>
      </c>
    </row>
    <row r="198" spans="1:14" s="15" x14ac:dyDescent="0.35">
      <c r="A198" s="502">
        <v>100020883</v>
      </c>
      <c r="B198" s="504">
        <v>7501031701810</v>
      </c>
      <c r="C198" s="502" t="s">
        <v>305</v>
      </c>
      <c r="D198" s="503" t="s">
        <v>44</v>
      </c>
      <c r="E198" s="503" t="s">
        <v>33</v>
      </c>
      <c r="F198" s="503" t="s">
        <v>39</v>
      </c>
      <c r="G198" s="502" t="s">
        <v>139</v>
      </c>
      <c r="H198" s="502" t="s">
        <v>252</v>
      </c>
      <c r="I198" s="502" t="s">
        <v>247</v>
      </c>
      <c r="J198" s="65535" t="e">
        <f>VLOOKUP(A198,Catálogo!A:B,2,0)</f>
        <v>#N/A</v>
      </c>
      <c r="K198" s="65535" t="e">
        <f>VLOOKUP(A198,Catálogo!A:C,3,0)</f>
        <v>#N/A</v>
      </c>
      <c r="L198" s="65535" t="e">
        <f>VLOOKUP(A198,Catálogo!A:D,4,0)</f>
        <v>#N/A</v>
      </c>
      <c r="M198" s="65535"/>
      <c r="N198" s="15" t="e">
        <f>VLOOKUP(A198,[2]Hoja1!$B:$D,3,0)</f>
        <v>#N/A</v>
      </c>
    </row>
    <row r="199" spans="1:14" s="15" x14ac:dyDescent="0.35">
      <c r="A199" s="502">
        <v>100020882</v>
      </c>
      <c r="B199" s="504">
        <v>7501031701629</v>
      </c>
      <c r="C199" s="502" t="s">
        <v>306</v>
      </c>
      <c r="D199" s="503" t="s">
        <v>44</v>
      </c>
      <c r="E199" s="503" t="s">
        <v>33</v>
      </c>
      <c r="F199" s="503" t="s">
        <v>39</v>
      </c>
      <c r="G199" s="503" t="s">
        <v>139</v>
      </c>
      <c r="H199" s="502" t="s">
        <v>252</v>
      </c>
      <c r="I199" s="502" t="s">
        <v>247</v>
      </c>
      <c r="J199" s="65535">
        <f>VLOOKUP(A199,Catálogo!A:B,2,0)</f>
        <v>129.63</v>
      </c>
      <c r="K199" s="65535">
        <f>VLOOKUP(A199,Catálogo!A:C,3,0)</f>
        <v>1</v>
      </c>
      <c r="L199" s="65535">
        <f>VLOOKUP(A199,Catálogo!A:D,4,0)</f>
        <v>0</v>
      </c>
      <c r="M199" s="65535"/>
      <c r="N199" s="15" t="e">
        <f>VLOOKUP(A199,[2]Hoja1!$B:$D,3,0)</f>
        <v>#N/A</v>
      </c>
    </row>
    <row r="200" spans="1:14" s="15" x14ac:dyDescent="0.35">
      <c r="A200" s="502">
        <v>100020880</v>
      </c>
      <c r="B200" s="504">
        <v>7501031701728</v>
      </c>
      <c r="C200" s="502" t="s">
        <v>307</v>
      </c>
      <c r="D200" s="503" t="s">
        <v>44</v>
      </c>
      <c r="E200" s="503" t="s">
        <v>33</v>
      </c>
      <c r="F200" s="503" t="s">
        <v>39</v>
      </c>
      <c r="G200" s="503" t="s">
        <v>139</v>
      </c>
      <c r="H200" s="502" t="s">
        <v>252</v>
      </c>
      <c r="I200" s="502" t="s">
        <v>247</v>
      </c>
      <c r="J200" s="65535" t="e">
        <f>VLOOKUP(A200,Catálogo!A:B,2,0)</f>
        <v>#N/A</v>
      </c>
      <c r="K200" s="65535" t="e">
        <f>VLOOKUP(A200,Catálogo!A:C,3,0)</f>
        <v>#N/A</v>
      </c>
      <c r="L200" s="65535" t="e">
        <f>VLOOKUP(A200,Catálogo!A:D,4,0)</f>
        <v>#N/A</v>
      </c>
      <c r="M200" s="65535"/>
      <c r="N200" s="15" t="e">
        <f>VLOOKUP(A200,[2]Hoja1!$B:$D,3,0)</f>
        <v>#N/A</v>
      </c>
    </row>
    <row r="201" spans="1:14" s="15" x14ac:dyDescent="0.35">
      <c r="A201" s="15">
        <v>100020881</v>
      </c>
      <c r="B201" s="506">
        <v>7501031701896</v>
      </c>
      <c r="C201" s="15" t="s">
        <v>307</v>
      </c>
      <c r="D201" s="502" t="s">
        <v>44</v>
      </c>
      <c r="E201" s="503" t="s">
        <v>33</v>
      </c>
      <c r="F201" s="502" t="s">
        <v>39</v>
      </c>
      <c r="G201" s="502" t="s">
        <v>139</v>
      </c>
      <c r="H201" s="502" t="s">
        <v>252</v>
      </c>
      <c r="I201" s="502" t="s">
        <v>247</v>
      </c>
      <c r="J201" s="65535" t="e">
        <f>VLOOKUP(A201,Catálogo!A:B,2,0)</f>
        <v>#N/A</v>
      </c>
      <c r="K201" s="65535" t="e">
        <f>VLOOKUP(A201,Catálogo!A:C,3,0)</f>
        <v>#N/A</v>
      </c>
      <c r="L201" s="65535" t="e">
        <f>VLOOKUP(A201,Catálogo!A:D,4,0)</f>
        <v>#N/A</v>
      </c>
      <c r="M201" s="65535"/>
      <c r="N201" s="15" t="e">
        <f>VLOOKUP(A201,[2]Hoja1!$B:$D,3,0)</f>
        <v>#N/A</v>
      </c>
    </row>
    <row r="202" spans="1:14" s="15" x14ac:dyDescent="0.35">
      <c r="A202" s="502">
        <v>100020878</v>
      </c>
      <c r="B202" s="504">
        <v>7501031701773</v>
      </c>
      <c r="C202" s="502" t="s">
        <v>308</v>
      </c>
      <c r="D202" s="503" t="s">
        <v>44</v>
      </c>
      <c r="E202" s="503" t="s">
        <v>33</v>
      </c>
      <c r="F202" s="503" t="s">
        <v>39</v>
      </c>
      <c r="G202" s="502" t="s">
        <v>139</v>
      </c>
      <c r="H202" s="502" t="s">
        <v>252</v>
      </c>
      <c r="I202" s="502" t="s">
        <v>247</v>
      </c>
      <c r="J202" s="65535" t="e">
        <f>VLOOKUP(A202,Catálogo!A:B,2,0)</f>
        <v>#N/A</v>
      </c>
      <c r="K202" s="65535" t="e">
        <f>VLOOKUP(A202,Catálogo!A:C,3,0)</f>
        <v>#N/A</v>
      </c>
      <c r="L202" s="65535" t="e">
        <f>VLOOKUP(A202,Catálogo!A:D,4,0)</f>
        <v>#N/A</v>
      </c>
      <c r="M202" s="65535"/>
      <c r="N202" s="15" t="e">
        <f>VLOOKUP(A202,[2]Hoja1!$B:$D,3,0)</f>
        <v>#N/A</v>
      </c>
    </row>
    <row r="203" spans="1:14" s="15" x14ac:dyDescent="0.35">
      <c r="A203" s="503">
        <v>100020875</v>
      </c>
      <c r="B203" s="504">
        <v>7501031701681</v>
      </c>
      <c r="C203" s="503" t="s">
        <v>310</v>
      </c>
      <c r="D203" s="503" t="s">
        <v>44</v>
      </c>
      <c r="E203" s="503" t="s">
        <v>33</v>
      </c>
      <c r="F203" s="503" t="s">
        <v>39</v>
      </c>
      <c r="G203" s="503" t="s">
        <v>139</v>
      </c>
      <c r="H203" s="502" t="s">
        <v>252</v>
      </c>
      <c r="I203" s="502" t="s">
        <v>247</v>
      </c>
      <c r="J203" s="65535" t="e">
        <f>VLOOKUP(A203,Catálogo!A:B,2,0)</f>
        <v>#N/A</v>
      </c>
      <c r="K203" s="65535" t="e">
        <f>VLOOKUP(A203,Catálogo!A:C,3,0)</f>
        <v>#N/A</v>
      </c>
      <c r="L203" s="65535" t="e">
        <f>VLOOKUP(A203,Catálogo!A:D,4,0)</f>
        <v>#N/A</v>
      </c>
      <c r="M203" s="65535"/>
      <c r="N203" s="15" t="e">
        <f>VLOOKUP(A203,[2]Hoja1!$B:$D,3,0)</f>
        <v>#N/A</v>
      </c>
    </row>
    <row r="204" spans="1:14" s="15" x14ac:dyDescent="0.35">
      <c r="A204" s="15">
        <v>100020874</v>
      </c>
      <c r="B204" s="506">
        <v>7501031701797</v>
      </c>
      <c r="C204" s="15" t="s">
        <v>311</v>
      </c>
      <c r="D204" s="502" t="s">
        <v>44</v>
      </c>
      <c r="E204" s="503" t="s">
        <v>33</v>
      </c>
      <c r="F204" s="502" t="s">
        <v>39</v>
      </c>
      <c r="G204" s="502" t="s">
        <v>139</v>
      </c>
      <c r="H204" s="502" t="s">
        <v>252</v>
      </c>
      <c r="I204" s="502" t="s">
        <v>247</v>
      </c>
      <c r="J204" s="65535" t="e">
        <f>VLOOKUP(A204,Catálogo!A:B,2,0)</f>
        <v>#N/A</v>
      </c>
      <c r="K204" s="65535" t="e">
        <f>VLOOKUP(A204,Catálogo!A:C,3,0)</f>
        <v>#N/A</v>
      </c>
      <c r="L204" s="65535" t="e">
        <f>VLOOKUP(A204,Catálogo!A:D,4,0)</f>
        <v>#N/A</v>
      </c>
      <c r="M204" s="65535"/>
      <c r="N204" s="15" t="e">
        <f>VLOOKUP(A204,[2]Hoja1!$B:$D,3,0)</f>
        <v>#N/A</v>
      </c>
    </row>
    <row r="205" spans="1:14" s="15" x14ac:dyDescent="0.35">
      <c r="A205" s="503">
        <v>100020871</v>
      </c>
      <c r="B205" s="504">
        <v>7501031701599</v>
      </c>
      <c r="C205" s="503" t="s">
        <v>313</v>
      </c>
      <c r="D205" s="503" t="s">
        <v>44</v>
      </c>
      <c r="E205" s="503" t="s">
        <v>33</v>
      </c>
      <c r="F205" s="503" t="s">
        <v>39</v>
      </c>
      <c r="G205" s="503" t="s">
        <v>139</v>
      </c>
      <c r="H205" s="502" t="s">
        <v>252</v>
      </c>
      <c r="I205" s="502" t="s">
        <v>247</v>
      </c>
      <c r="J205" s="65535" t="e">
        <f>VLOOKUP(A205,Catálogo!A:B,2,0)</f>
        <v>#N/A</v>
      </c>
      <c r="K205" s="65535" t="e">
        <f>VLOOKUP(A205,Catálogo!A:C,3,0)</f>
        <v>#N/A</v>
      </c>
      <c r="L205" s="65535" t="e">
        <f>VLOOKUP(A205,Catálogo!A:D,4,0)</f>
        <v>#N/A</v>
      </c>
      <c r="M205" s="65535"/>
      <c r="N205" s="15" t="e">
        <f>VLOOKUP(A205,[2]Hoja1!$B:$D,3,0)</f>
        <v>#N/A</v>
      </c>
    </row>
    <row r="206" spans="1:14" s="15" x14ac:dyDescent="0.35">
      <c r="A206" s="503">
        <v>100020898</v>
      </c>
      <c r="B206" s="504">
        <v>7501031701551</v>
      </c>
      <c r="C206" s="503" t="s">
        <v>315</v>
      </c>
      <c r="D206" s="503" t="s">
        <v>44</v>
      </c>
      <c r="E206" s="503" t="s">
        <v>33</v>
      </c>
      <c r="F206" s="503" t="s">
        <v>39</v>
      </c>
      <c r="G206" s="503" t="s">
        <v>578</v>
      </c>
      <c r="H206" s="502" t="s">
        <v>252</v>
      </c>
      <c r="I206" s="502" t="s">
        <v>247</v>
      </c>
      <c r="J206" s="65535" t="e">
        <f>VLOOKUP(A206,Catálogo!A:B,2,0)</f>
        <v>#N/A</v>
      </c>
      <c r="K206" s="65535" t="e">
        <f>VLOOKUP(A206,Catálogo!A:C,3,0)</f>
        <v>#N/A</v>
      </c>
      <c r="L206" s="65535" t="e">
        <f>VLOOKUP(A206,Catálogo!A:D,4,0)</f>
        <v>#N/A</v>
      </c>
      <c r="M206" s="65535"/>
      <c r="N206" s="15" t="e">
        <f>VLOOKUP(A206,[2]Hoja1!$B:$D,3,0)</f>
        <v>#N/A</v>
      </c>
    </row>
    <row r="207" spans="1:14" s="15" x14ac:dyDescent="0.35">
      <c r="A207" s="15">
        <v>100080015</v>
      </c>
      <c r="B207" s="15">
        <v>8308713</v>
      </c>
      <c r="C207" s="15" t="s">
        <v>322</v>
      </c>
      <c r="D207" s="502" t="s">
        <v>32</v>
      </c>
      <c r="E207" s="503" t="s">
        <v>33</v>
      </c>
      <c r="F207" s="502" t="s">
        <v>34</v>
      </c>
      <c r="G207" s="502" t="s">
        <v>54</v>
      </c>
      <c r="H207" s="502" t="s">
        <v>36</v>
      </c>
      <c r="I207" s="502" t="s">
        <v>247</v>
      </c>
      <c r="J207" s="65535" t="e">
        <f>VLOOKUP(A207,Catálogo!A:B,2,0)</f>
        <v>#N/A</v>
      </c>
      <c r="K207" s="65535" t="e">
        <f>VLOOKUP(A207,Catálogo!A:C,3,0)</f>
        <v>#N/A</v>
      </c>
      <c r="L207" s="65535" t="e">
        <f>VLOOKUP(A207,Catálogo!A:D,4,0)</f>
        <v>#N/A</v>
      </c>
      <c r="M207" s="65535"/>
      <c r="N207" s="15" t="e">
        <f>VLOOKUP(A207,[2]Hoja1!$B:$D,3,0)</f>
        <v>#N/A</v>
      </c>
    </row>
    <row r="208" spans="1:14" s="15" x14ac:dyDescent="0.35">
      <c r="A208" s="15">
        <v>100019050</v>
      </c>
      <c r="B208" s="506">
        <v>75074029</v>
      </c>
      <c r="C208" s="15" t="s">
        <v>324</v>
      </c>
      <c r="D208" s="502" t="s">
        <v>44</v>
      </c>
      <c r="E208" s="503" t="s">
        <v>33</v>
      </c>
      <c r="F208" s="502" t="s">
        <v>46</v>
      </c>
      <c r="G208" s="502" t="s">
        <v>136</v>
      </c>
      <c r="H208" s="502" t="s">
        <v>36</v>
      </c>
      <c r="I208" s="502" t="s">
        <v>109</v>
      </c>
      <c r="J208" s="65535" t="e">
        <f>VLOOKUP(A208,Catálogo!A:B,2,0)</f>
        <v>#N/A</v>
      </c>
      <c r="K208" s="65535" t="e">
        <f>VLOOKUP(A208,Catálogo!A:C,3,0)</f>
        <v>#N/A</v>
      </c>
      <c r="L208" s="65535" t="e">
        <f>VLOOKUP(A208,Catálogo!A:D,4,0)</f>
        <v>#N/A</v>
      </c>
      <c r="M208" s="65535"/>
      <c r="N208" s="15" t="e">
        <f>VLOOKUP(A208,[2]Hoja1!$B:$D,3,0)</f>
        <v>#N/A</v>
      </c>
    </row>
    <row r="209" spans="1:14" s="15" x14ac:dyDescent="0.35">
      <c r="A209" s="502">
        <v>100020839</v>
      </c>
      <c r="B209" s="502">
        <v>75076450</v>
      </c>
      <c r="C209" s="502" t="s">
        <v>325</v>
      </c>
      <c r="D209" s="503" t="s">
        <v>44</v>
      </c>
      <c r="E209" s="503" t="s">
        <v>33</v>
      </c>
      <c r="F209" s="65535" t="s">
        <v>46</v>
      </c>
      <c r="G209" s="65535" t="s">
        <v>54</v>
      </c>
      <c r="H209" s="502" t="s">
        <v>36</v>
      </c>
      <c r="I209" s="502" t="s">
        <v>247</v>
      </c>
      <c r="J209" s="65535" t="e">
        <f>VLOOKUP(A209,Catálogo!A:B,2,0)</f>
        <v>#N/A</v>
      </c>
      <c r="K209" s="65535" t="e">
        <f>VLOOKUP(A209,Catálogo!A:C,3,0)</f>
        <v>#N/A</v>
      </c>
      <c r="L209" s="65535" t="e">
        <f>VLOOKUP(A209,Catálogo!A:D,4,0)</f>
        <v>#N/A</v>
      </c>
      <c r="M209" s="65535"/>
      <c r="N209" s="15" t="e">
        <f>VLOOKUP(A209,[2]Hoja1!$B:$D,3,0)</f>
        <v>#N/A</v>
      </c>
    </row>
    <row r="210" spans="1:14" s="15" x14ac:dyDescent="0.35">
      <c r="A210" s="502">
        <v>100019051</v>
      </c>
      <c r="B210" s="502">
        <v>75074012</v>
      </c>
      <c r="C210" s="502" t="s">
        <v>327</v>
      </c>
      <c r="D210" s="503" t="s">
        <v>44</v>
      </c>
      <c r="E210" s="503" t="s">
        <v>33</v>
      </c>
      <c r="F210" s="65535" t="s">
        <v>46</v>
      </c>
      <c r="G210" s="65535" t="s">
        <v>35</v>
      </c>
      <c r="H210" s="502" t="s">
        <v>36</v>
      </c>
      <c r="I210" s="502" t="s">
        <v>247</v>
      </c>
      <c r="J210" s="65535" t="e">
        <f>VLOOKUP(A210,Catálogo!A:B,2,0)</f>
        <v>#N/A</v>
      </c>
      <c r="K210" s="65535" t="e">
        <f>VLOOKUP(A210,Catálogo!A:C,3,0)</f>
        <v>#N/A</v>
      </c>
      <c r="L210" s="65535" t="e">
        <f>VLOOKUP(A210,Catálogo!A:D,4,0)</f>
        <v>#N/A</v>
      </c>
      <c r="M210" s="65535"/>
      <c r="N210" s="15" t="e">
        <f>VLOOKUP(A210,[2]Hoja1!$B:$D,3,0)</f>
        <v>#N/A</v>
      </c>
    </row>
    <row r="211" spans="1:14" s="15" x14ac:dyDescent="0.35">
      <c r="A211" s="15">
        <v>100014061</v>
      </c>
      <c r="B211" s="15">
        <v>75066888</v>
      </c>
      <c r="C211" s="15" t="s">
        <v>330</v>
      </c>
      <c r="D211" s="502" t="s">
        <v>44</v>
      </c>
      <c r="E211" s="503" t="s">
        <v>33</v>
      </c>
      <c r="F211" s="502" t="s">
        <v>46</v>
      </c>
      <c r="G211" s="502" t="s">
        <v>52</v>
      </c>
      <c r="H211" s="502" t="s">
        <v>36</v>
      </c>
      <c r="I211" s="502" t="s">
        <v>247</v>
      </c>
      <c r="J211" s="65535" t="e">
        <f>VLOOKUP(A211,Catálogo!A:B,2,0)</f>
        <v>#N/A</v>
      </c>
      <c r="K211" s="65535" t="e">
        <f>VLOOKUP(A211,Catálogo!A:C,3,0)</f>
        <v>#N/A</v>
      </c>
      <c r="L211" s="65535" t="e">
        <f>VLOOKUP(A211,Catálogo!A:D,4,0)</f>
        <v>#N/A</v>
      </c>
      <c r="M211" s="65535"/>
      <c r="N211" s="15" t="e">
        <f>VLOOKUP(A211,[2]Hoja1!$B:$D,3,0)</f>
        <v>#N/A</v>
      </c>
    </row>
    <row r="212" spans="1:14" s="15" x14ac:dyDescent="0.35">
      <c r="A212" s="502">
        <v>100010175</v>
      </c>
      <c r="B212" s="502">
        <v>75061654</v>
      </c>
      <c r="C212" s="502" t="s">
        <v>333</v>
      </c>
      <c r="D212" s="503" t="s">
        <v>44</v>
      </c>
      <c r="E212" s="503" t="s">
        <v>33</v>
      </c>
      <c r="F212" s="65535" t="s">
        <v>46</v>
      </c>
      <c r="G212" s="65535" t="s">
        <v>54</v>
      </c>
      <c r="H212" s="502" t="s">
        <v>36</v>
      </c>
      <c r="I212" s="502" t="s">
        <v>247</v>
      </c>
      <c r="J212" s="65535" t="e">
        <f>VLOOKUP(A212,Catálogo!A:B,2,0)</f>
        <v>#N/A</v>
      </c>
      <c r="K212" s="65535" t="e">
        <f>VLOOKUP(A212,Catálogo!A:C,3,0)</f>
        <v>#N/A</v>
      </c>
      <c r="L212" s="65535" t="e">
        <f>VLOOKUP(A212,Catálogo!A:D,4,0)</f>
        <v>#N/A</v>
      </c>
      <c r="M212" s="65535"/>
      <c r="N212" s="15" t="e">
        <f>VLOOKUP(A212,[2]Hoja1!$B:$D,3,0)</f>
        <v>#N/A</v>
      </c>
    </row>
    <row r="213" spans="1:14" s="15" x14ac:dyDescent="0.35">
      <c r="A213" s="503">
        <v>100023316</v>
      </c>
      <c r="B213" s="504">
        <v>75079642</v>
      </c>
      <c r="C213" s="503" t="s">
        <v>336</v>
      </c>
      <c r="D213" s="503" t="s">
        <v>44</v>
      </c>
      <c r="E213" s="503" t="s">
        <v>33</v>
      </c>
      <c r="F213" s="503" t="s">
        <v>46</v>
      </c>
      <c r="G213" s="503" t="s">
        <v>14</v>
      </c>
      <c r="H213" s="502" t="s">
        <v>36</v>
      </c>
      <c r="I213" s="502" t="s">
        <v>247</v>
      </c>
      <c r="J213" s="65535" t="e">
        <f>VLOOKUP(A213,Catálogo!A:B,2,0)</f>
        <v>#N/A</v>
      </c>
      <c r="K213" s="65535" t="e">
        <f>VLOOKUP(A213,Catálogo!A:C,3,0)</f>
        <v>#N/A</v>
      </c>
      <c r="L213" s="65535" t="e">
        <f>VLOOKUP(A213,Catálogo!A:D,4,0)</f>
        <v>#N/A</v>
      </c>
      <c r="M213" s="65535"/>
      <c r="N213" s="15" t="e">
        <f>VLOOKUP(A213,[2]Hoja1!$B:$D,3,0)</f>
        <v>#N/A</v>
      </c>
    </row>
    <row r="214" spans="1:14" s="15" x14ac:dyDescent="0.35">
      <c r="A214" s="503">
        <v>100023314</v>
      </c>
      <c r="B214" s="504">
        <v>75079659</v>
      </c>
      <c r="C214" s="503" t="s">
        <v>339</v>
      </c>
      <c r="D214" s="503" t="s">
        <v>44</v>
      </c>
      <c r="E214" s="503" t="s">
        <v>33</v>
      </c>
      <c r="F214" s="503" t="s">
        <v>46</v>
      </c>
      <c r="G214" s="503" t="s">
        <v>14</v>
      </c>
      <c r="H214" s="502" t="s">
        <v>36</v>
      </c>
      <c r="I214" s="502" t="s">
        <v>247</v>
      </c>
      <c r="J214" s="65535" t="e">
        <f>VLOOKUP(A214,Catálogo!A:B,2,0)</f>
        <v>#N/A</v>
      </c>
      <c r="K214" s="65535" t="e">
        <f>VLOOKUP(A214,Catálogo!A:C,3,0)</f>
        <v>#N/A</v>
      </c>
      <c r="L214" s="65535" t="e">
        <f>VLOOKUP(A214,Catálogo!A:D,4,0)</f>
        <v>#N/A</v>
      </c>
      <c r="M214" s="65535"/>
      <c r="N214" s="15" t="e">
        <f>VLOOKUP(A214,[2]Hoja1!$B:$D,3,0)</f>
        <v>#N/A</v>
      </c>
    </row>
    <row r="215" spans="1:14" s="15" x14ac:dyDescent="0.35">
      <c r="A215" s="502">
        <v>100013594</v>
      </c>
      <c r="B215" s="502">
        <v>75067960</v>
      </c>
      <c r="C215" s="502" t="s">
        <v>341</v>
      </c>
      <c r="D215" s="503" t="s">
        <v>44</v>
      </c>
      <c r="E215" s="65535" t="s">
        <v>67</v>
      </c>
      <c r="F215" s="65535" t="s">
        <v>46</v>
      </c>
      <c r="G215" s="65535" t="s">
        <v>35</v>
      </c>
      <c r="H215" s="502" t="s">
        <v>36</v>
      </c>
      <c r="I215" s="502" t="s">
        <v>247</v>
      </c>
      <c r="J215" s="65535" t="e">
        <f>VLOOKUP(A215,Catálogo!A:B,2,0)</f>
        <v>#N/A</v>
      </c>
      <c r="K215" s="65535" t="e">
        <f>VLOOKUP(A215,Catálogo!A:C,3,0)</f>
        <v>#N/A</v>
      </c>
      <c r="L215" s="65535" t="e">
        <f>VLOOKUP(A215,Catálogo!A:D,4,0)</f>
        <v>#N/A</v>
      </c>
      <c r="M215" s="65535"/>
      <c r="N215" s="15" t="e">
        <f>VLOOKUP(A215,[2]Hoja1!$B:$D,3,0)</f>
        <v>#N/A</v>
      </c>
    </row>
    <row r="216" spans="1:14" s="15" x14ac:dyDescent="0.35">
      <c r="A216" s="502">
        <v>100010317</v>
      </c>
      <c r="B216" s="502">
        <v>75062620</v>
      </c>
      <c r="C216" s="502" t="s">
        <v>351</v>
      </c>
      <c r="D216" s="502" t="s">
        <v>44</v>
      </c>
      <c r="E216" s="503" t="s">
        <v>33</v>
      </c>
      <c r="F216" s="502" t="s">
        <v>46</v>
      </c>
      <c r="G216" s="502" t="s">
        <v>52</v>
      </c>
      <c r="H216" s="502" t="s">
        <v>36</v>
      </c>
      <c r="I216" s="502" t="s">
        <v>247</v>
      </c>
      <c r="J216" s="65535" t="e">
        <f>VLOOKUP(A216,Catálogo!A:B,2,0)</f>
        <v>#N/A</v>
      </c>
      <c r="K216" s="65535" t="e">
        <f>VLOOKUP(A216,Catálogo!A:C,3,0)</f>
        <v>#N/A</v>
      </c>
      <c r="L216" s="65535" t="e">
        <f>VLOOKUP(A216,Catálogo!A:D,4,0)</f>
        <v>#N/A</v>
      </c>
      <c r="M216" s="65535"/>
      <c r="N216" s="15" t="e">
        <f>VLOOKUP(A216,[2]Hoja1!$B:$D,3,0)</f>
        <v>#N/A</v>
      </c>
    </row>
    <row r="217" spans="1:14" s="15" x14ac:dyDescent="0.35">
      <c r="A217" s="502">
        <v>100080803</v>
      </c>
      <c r="B217" s="502">
        <v>75027667</v>
      </c>
      <c r="C217" s="502" t="s">
        <v>352</v>
      </c>
      <c r="D217" s="503" t="s">
        <v>44</v>
      </c>
      <c r="E217" s="503" t="s">
        <v>33</v>
      </c>
      <c r="F217" s="65535" t="s">
        <v>46</v>
      </c>
      <c r="G217" s="65535" t="s">
        <v>54</v>
      </c>
      <c r="H217" s="502" t="s">
        <v>36</v>
      </c>
      <c r="I217" s="502" t="s">
        <v>247</v>
      </c>
      <c r="J217" s="65535" t="e">
        <f>VLOOKUP(A217,Catálogo!A:B,2,0)</f>
        <v>#N/A</v>
      </c>
      <c r="K217" s="65535" t="e">
        <f>VLOOKUP(A217,Catálogo!A:C,3,0)</f>
        <v>#N/A</v>
      </c>
      <c r="L217" s="65535" t="e">
        <f>VLOOKUP(A217,Catálogo!A:D,4,0)</f>
        <v>#N/A</v>
      </c>
      <c r="M217" s="65535"/>
      <c r="N217" s="15" t="e">
        <f>VLOOKUP(A217,[2]Hoja1!$B:$D,3,0)</f>
        <v>#N/A</v>
      </c>
    </row>
    <row r="218" spans="1:14" s="15" x14ac:dyDescent="0.35">
      <c r="A218" s="502">
        <v>100080806</v>
      </c>
      <c r="B218" s="502">
        <v>75027803</v>
      </c>
      <c r="C218" s="502" t="s">
        <v>356</v>
      </c>
      <c r="D218" s="503" t="s">
        <v>44</v>
      </c>
      <c r="E218" s="503" t="s">
        <v>33</v>
      </c>
      <c r="F218" s="65535" t="s">
        <v>41</v>
      </c>
      <c r="G218" s="65535" t="s">
        <v>35</v>
      </c>
      <c r="H218" s="502" t="s">
        <v>36</v>
      </c>
      <c r="I218" s="502" t="s">
        <v>247</v>
      </c>
      <c r="J218" s="65535" t="e">
        <f>VLOOKUP(A218,Catálogo!A:B,2,0)</f>
        <v>#N/A</v>
      </c>
      <c r="K218" s="65535" t="e">
        <f>VLOOKUP(A218,Catálogo!A:C,3,0)</f>
        <v>#N/A</v>
      </c>
      <c r="L218" s="65535" t="e">
        <f>VLOOKUP(A218,Catálogo!A:D,4,0)</f>
        <v>#N/A</v>
      </c>
      <c r="M218" s="65535"/>
      <c r="N218" s="15" t="e">
        <f>VLOOKUP(A218,[2]Hoja1!$B:$D,3,0)</f>
        <v>#N/A</v>
      </c>
    </row>
    <row r="219" spans="1:14" s="15" x14ac:dyDescent="0.35">
      <c r="A219" s="15">
        <v>100080888</v>
      </c>
      <c r="B219" s="15">
        <v>8308014</v>
      </c>
      <c r="C219" s="15" t="s">
        <v>357</v>
      </c>
      <c r="D219" s="502" t="s">
        <v>44</v>
      </c>
      <c r="E219" s="503" t="s">
        <v>33</v>
      </c>
      <c r="F219" s="502" t="s">
        <v>41</v>
      </c>
      <c r="G219" s="502" t="s">
        <v>136</v>
      </c>
      <c r="H219" s="502" t="s">
        <v>36</v>
      </c>
      <c r="I219" s="502" t="s">
        <v>247</v>
      </c>
      <c r="J219" s="65535" t="e">
        <f>VLOOKUP(A219,Catálogo!A:B,2,0)</f>
        <v>#N/A</v>
      </c>
      <c r="K219" s="65535" t="e">
        <f>VLOOKUP(A219,Catálogo!A:C,3,0)</f>
        <v>#N/A</v>
      </c>
      <c r="L219" s="65535" t="e">
        <f>VLOOKUP(A219,Catálogo!A:D,4,0)</f>
        <v>#N/A</v>
      </c>
      <c r="M219" s="65535"/>
      <c r="N219" s="15" t="e">
        <f>VLOOKUP(A219,[2]Hoja1!$B:$D,3,0)</f>
        <v>#N/A</v>
      </c>
    </row>
    <row r="220" spans="1:14" s="15" x14ac:dyDescent="0.35">
      <c r="A220" s="15">
        <v>100011743</v>
      </c>
      <c r="B220" s="15">
        <v>75064587</v>
      </c>
      <c r="C220" s="15" t="s">
        <v>359</v>
      </c>
      <c r="D220" s="502" t="s">
        <v>44</v>
      </c>
      <c r="E220" s="503" t="s">
        <v>33</v>
      </c>
      <c r="F220" s="502" t="s">
        <v>46</v>
      </c>
      <c r="G220" s="502" t="s">
        <v>52</v>
      </c>
      <c r="H220" s="502" t="s">
        <v>36</v>
      </c>
      <c r="I220" s="502" t="s">
        <v>247</v>
      </c>
      <c r="J220" s="65535" t="e">
        <f>VLOOKUP(A220,Catálogo!A:B,2,0)</f>
        <v>#N/A</v>
      </c>
      <c r="K220" s="65535" t="e">
        <f>VLOOKUP(A220,Catálogo!A:C,3,0)</f>
        <v>#N/A</v>
      </c>
      <c r="L220" s="65535" t="e">
        <f>VLOOKUP(A220,Catálogo!A:D,4,0)</f>
        <v>#N/A</v>
      </c>
      <c r="M220" s="65535"/>
      <c r="N220" s="15" t="e">
        <f>VLOOKUP(A220,[2]Hoja1!$B:$D,3,0)</f>
        <v>#N/A</v>
      </c>
    </row>
    <row r="221" spans="1:14" s="15" x14ac:dyDescent="0.35">
      <c r="A221" s="503">
        <v>100023315</v>
      </c>
      <c r="B221" s="504">
        <v>75079697</v>
      </c>
      <c r="C221" s="503" t="s">
        <v>360</v>
      </c>
      <c r="D221" s="503" t="s">
        <v>44</v>
      </c>
      <c r="E221" s="503" t="s">
        <v>33</v>
      </c>
      <c r="F221" s="503" t="s">
        <v>46</v>
      </c>
      <c r="G221" s="503" t="s">
        <v>54</v>
      </c>
      <c r="H221" s="502" t="s">
        <v>36</v>
      </c>
      <c r="I221" s="502" t="s">
        <v>247</v>
      </c>
      <c r="J221" s="65535" t="e">
        <f>VLOOKUP(A221,Catálogo!A:B,2,0)</f>
        <v>#N/A</v>
      </c>
      <c r="K221" s="65535" t="e">
        <f>VLOOKUP(A221,Catálogo!A:C,3,0)</f>
        <v>#N/A</v>
      </c>
      <c r="L221" s="65535" t="e">
        <f>VLOOKUP(A221,Catálogo!A:D,4,0)</f>
        <v>#N/A</v>
      </c>
      <c r="M221" s="65535"/>
      <c r="N221" s="15" t="e">
        <f>VLOOKUP(A221,[2]Hoja1!$B:$D,3,0)</f>
        <v>#N/A</v>
      </c>
    </row>
    <row r="222" spans="1:14" s="15" x14ac:dyDescent="0.35">
      <c r="A222" s="502">
        <v>100019003</v>
      </c>
      <c r="B222" s="505">
        <v>75001445</v>
      </c>
      <c r="C222" s="502" t="s">
        <v>383</v>
      </c>
      <c r="D222" s="502" t="s">
        <v>11</v>
      </c>
      <c r="E222" s="503" t="s">
        <v>33</v>
      </c>
      <c r="F222" s="502" t="s">
        <v>46</v>
      </c>
      <c r="G222" s="502" t="s">
        <v>14</v>
      </c>
      <c r="H222" s="502" t="s">
        <v>36</v>
      </c>
      <c r="I222" s="502" t="s">
        <v>109</v>
      </c>
      <c r="J222" s="65535" t="e">
        <f>VLOOKUP(A222,Catálogo!A:B,2,0)</f>
        <v>#N/A</v>
      </c>
      <c r="K222" s="65535" t="e">
        <f>VLOOKUP(A222,Catálogo!A:C,3,0)</f>
        <v>#N/A</v>
      </c>
      <c r="L222" s="65535" t="e">
        <f>VLOOKUP(A222,Catálogo!A:D,4,0)</f>
        <v>#N/A</v>
      </c>
      <c r="M222" s="65535"/>
      <c r="N222" s="15" t="e">
        <f>VLOOKUP(A222,[2]Hoja1!$B:$D,3,0)</f>
        <v>#N/A</v>
      </c>
    </row>
    <row r="223" spans="1:14" s="15" x14ac:dyDescent="0.35">
      <c r="A223" s="15">
        <v>100019696</v>
      </c>
      <c r="B223" s="505">
        <v>75072612</v>
      </c>
      <c r="C223" s="15" t="s">
        <v>394</v>
      </c>
      <c r="D223" s="502" t="s">
        <v>11</v>
      </c>
      <c r="E223" s="503" t="s">
        <v>33</v>
      </c>
      <c r="F223" s="502" t="s">
        <v>39</v>
      </c>
      <c r="G223" s="502" t="s">
        <v>35</v>
      </c>
      <c r="H223" s="502" t="s">
        <v>36</v>
      </c>
      <c r="I223" s="502" t="s">
        <v>109</v>
      </c>
      <c r="J223" s="65535" t="e">
        <f>VLOOKUP(A223,Catálogo!A:B,2,0)</f>
        <v>#N/A</v>
      </c>
      <c r="K223" s="65535" t="e">
        <f>VLOOKUP(A223,Catálogo!A:C,3,0)</f>
        <v>#N/A</v>
      </c>
      <c r="L223" s="65535" t="e">
        <f>VLOOKUP(A223,Catálogo!A:D,4,0)</f>
        <v>#N/A</v>
      </c>
      <c r="M223" s="65535"/>
      <c r="N223" s="15" t="e">
        <f>VLOOKUP(A223,[2]Hoja1!$B:$D,3,0)</f>
        <v>#N/A</v>
      </c>
    </row>
    <row r="224" spans="1:14" s="15" x14ac:dyDescent="0.35">
      <c r="A224" s="502">
        <v>100021413</v>
      </c>
      <c r="B224" s="505">
        <v>7503031950229</v>
      </c>
      <c r="C224" s="502" t="s">
        <v>397</v>
      </c>
      <c r="D224" s="503" t="s">
        <v>11</v>
      </c>
      <c r="E224" s="503" t="s">
        <v>33</v>
      </c>
      <c r="F224" s="503" t="s">
        <v>46</v>
      </c>
      <c r="G224" s="503" t="s">
        <v>14</v>
      </c>
      <c r="H224" s="502" t="s">
        <v>36</v>
      </c>
      <c r="I224" s="502" t="s">
        <v>109</v>
      </c>
      <c r="J224" s="65535" t="e">
        <f>VLOOKUP(A224,Catálogo!A:B,2,0)</f>
        <v>#N/A</v>
      </c>
      <c r="K224" s="65535" t="e">
        <f>VLOOKUP(A224,Catálogo!A:C,3,0)</f>
        <v>#N/A</v>
      </c>
      <c r="L224" s="65535" t="e">
        <f>VLOOKUP(A224,Catálogo!A:D,4,0)</f>
        <v>#N/A</v>
      </c>
      <c r="M224" s="65535"/>
      <c r="N224" s="15" t="e">
        <f>VLOOKUP(A224,[2]Hoja1!$B:$D,3,0)</f>
        <v>#N/A</v>
      </c>
    </row>
    <row r="225" spans="1:14" s="15" x14ac:dyDescent="0.35">
      <c r="A225" s="502">
        <v>100021411</v>
      </c>
      <c r="B225" s="505">
        <v>7503031950236</v>
      </c>
      <c r="C225" s="502" t="s">
        <v>400</v>
      </c>
      <c r="D225" s="502" t="s">
        <v>11</v>
      </c>
      <c r="E225" s="503" t="s">
        <v>33</v>
      </c>
      <c r="F225" s="502" t="s">
        <v>46</v>
      </c>
      <c r="G225" s="502" t="s">
        <v>14</v>
      </c>
      <c r="H225" s="502" t="s">
        <v>36</v>
      </c>
      <c r="I225" s="502" t="s">
        <v>109</v>
      </c>
      <c r="J225" s="65535" t="e">
        <f>VLOOKUP(A225,Catálogo!A:B,2,0)</f>
        <v>#N/A</v>
      </c>
      <c r="K225" s="65535" t="e">
        <f>VLOOKUP(A225,Catálogo!A:C,3,0)</f>
        <v>#N/A</v>
      </c>
      <c r="L225" s="65535" t="e">
        <f>VLOOKUP(A225,Catálogo!A:D,4,0)</f>
        <v>#N/A</v>
      </c>
      <c r="M225" s="65535"/>
      <c r="N225" s="15" t="e">
        <f>VLOOKUP(A225,[2]Hoja1!$B:$D,3,0)</f>
        <v>#N/A</v>
      </c>
    </row>
    <row r="226" spans="1:14" s="15" x14ac:dyDescent="0.35">
      <c r="A226" s="502">
        <v>100021409</v>
      </c>
      <c r="B226" s="505">
        <v>7503031950250</v>
      </c>
      <c r="C226" s="502" t="s">
        <v>401</v>
      </c>
      <c r="D226" s="502" t="s">
        <v>11</v>
      </c>
      <c r="E226" s="503" t="s">
        <v>33</v>
      </c>
      <c r="F226" s="502" t="s">
        <v>46</v>
      </c>
      <c r="G226" s="502" t="s">
        <v>14</v>
      </c>
      <c r="H226" s="502" t="s">
        <v>36</v>
      </c>
      <c r="I226" s="502" t="s">
        <v>109</v>
      </c>
      <c r="J226" s="65535" t="e">
        <f>VLOOKUP(A226,Catálogo!A:B,2,0)</f>
        <v>#N/A</v>
      </c>
      <c r="K226" s="65535" t="e">
        <f>VLOOKUP(A226,Catálogo!A:C,3,0)</f>
        <v>#N/A</v>
      </c>
      <c r="L226" s="65535" t="e">
        <f>VLOOKUP(A226,Catálogo!A:D,4,0)</f>
        <v>#N/A</v>
      </c>
      <c r="M226" s="65535"/>
      <c r="N226" s="15" t="e">
        <f>VLOOKUP(A226,[2]Hoja1!$B:$D,3,0)</f>
        <v>#N/A</v>
      </c>
    </row>
    <row r="227" spans="1:14" s="15" x14ac:dyDescent="0.35">
      <c r="A227" s="502">
        <v>100021407</v>
      </c>
      <c r="B227" s="505">
        <v>7503031950243</v>
      </c>
      <c r="C227" s="502" t="s">
        <v>402</v>
      </c>
      <c r="D227" s="503" t="s">
        <v>11</v>
      </c>
      <c r="E227" s="503" t="s">
        <v>33</v>
      </c>
      <c r="F227" s="503" t="s">
        <v>46</v>
      </c>
      <c r="G227" s="502" t="s">
        <v>54</v>
      </c>
      <c r="H227" s="502" t="s">
        <v>36</v>
      </c>
      <c r="I227" s="502" t="s">
        <v>109</v>
      </c>
      <c r="J227" s="65535" t="e">
        <f>VLOOKUP(A227,Catálogo!A:B,2,0)</f>
        <v>#N/A</v>
      </c>
      <c r="K227" s="65535" t="e">
        <f>VLOOKUP(A227,Catálogo!A:C,3,0)</f>
        <v>#N/A</v>
      </c>
      <c r="L227" s="65535" t="e">
        <f>VLOOKUP(A227,Catálogo!A:D,4,0)</f>
        <v>#N/A</v>
      </c>
      <c r="M227" s="65535"/>
      <c r="N227" s="15" t="e">
        <f>VLOOKUP(A227,[2]Hoja1!$B:$D,3,0)</f>
        <v>#N/A</v>
      </c>
    </row>
    <row r="228" spans="1:14" s="15" x14ac:dyDescent="0.35">
      <c r="A228" s="502">
        <v>100021418</v>
      </c>
      <c r="B228" s="505">
        <v>75015718</v>
      </c>
      <c r="C228" s="502" t="s">
        <v>403</v>
      </c>
      <c r="D228" s="502" t="s">
        <v>11</v>
      </c>
      <c r="E228" s="503" t="s">
        <v>33</v>
      </c>
      <c r="F228" s="502" t="s">
        <v>39</v>
      </c>
      <c r="G228" s="502" t="s">
        <v>54</v>
      </c>
      <c r="H228" s="502" t="s">
        <v>36</v>
      </c>
      <c r="I228" s="502" t="s">
        <v>109</v>
      </c>
      <c r="J228" s="65535" t="e">
        <f>VLOOKUP(A228,Catálogo!A:B,2,0)</f>
        <v>#N/A</v>
      </c>
      <c r="K228" s="65535" t="e">
        <f>VLOOKUP(A228,Catálogo!A:C,3,0)</f>
        <v>#N/A</v>
      </c>
      <c r="L228" s="65535" t="e">
        <f>VLOOKUP(A228,Catálogo!A:D,4,0)</f>
        <v>#N/A</v>
      </c>
      <c r="M228" s="65535"/>
      <c r="N228" s="15" t="e">
        <f>VLOOKUP(A228,[2]Hoja1!$B:$D,3,0)</f>
        <v>#N/A</v>
      </c>
    </row>
    <row r="229" spans="1:14" s="15" x14ac:dyDescent="0.35">
      <c r="A229" s="502">
        <v>100022334</v>
      </c>
      <c r="B229" s="505">
        <v>7503031950441</v>
      </c>
      <c r="C229" s="502" t="s">
        <v>404</v>
      </c>
      <c r="D229" s="503" t="s">
        <v>11</v>
      </c>
      <c r="E229" s="503" t="s">
        <v>33</v>
      </c>
      <c r="F229" s="503" t="s">
        <v>46</v>
      </c>
      <c r="G229" s="502" t="s">
        <v>54</v>
      </c>
      <c r="H229" s="502" t="s">
        <v>36</v>
      </c>
      <c r="I229" s="502" t="s">
        <v>109</v>
      </c>
      <c r="J229" s="65535" t="e">
        <f>VLOOKUP(A229,Catálogo!A:B,2,0)</f>
        <v>#N/A</v>
      </c>
      <c r="K229" s="65535" t="e">
        <f>VLOOKUP(A229,Catálogo!A:C,3,0)</f>
        <v>#N/A</v>
      </c>
      <c r="L229" s="65535" t="e">
        <f>VLOOKUP(A229,Catálogo!A:D,4,0)</f>
        <v>#N/A</v>
      </c>
      <c r="M229" s="65535"/>
      <c r="N229" s="15" t="e">
        <f>VLOOKUP(A229,[2]Hoja1!$B:$D,3,0)</f>
        <v>#N/A</v>
      </c>
    </row>
    <row r="230" spans="1:14" s="15" x14ac:dyDescent="0.35">
      <c r="A230" s="502">
        <v>100020134</v>
      </c>
      <c r="B230" s="505">
        <v>7503031950144</v>
      </c>
      <c r="C230" s="502" t="s">
        <v>406</v>
      </c>
      <c r="D230" s="503" t="s">
        <v>11</v>
      </c>
      <c r="E230" s="503" t="s">
        <v>33</v>
      </c>
      <c r="F230" s="503" t="s">
        <v>46</v>
      </c>
      <c r="G230" s="503" t="s">
        <v>14</v>
      </c>
      <c r="H230" s="502" t="s">
        <v>36</v>
      </c>
      <c r="I230" s="502" t="s">
        <v>109</v>
      </c>
      <c r="J230" s="65535" t="e">
        <f>VLOOKUP(A230,Catálogo!A:B,2,0)</f>
        <v>#N/A</v>
      </c>
      <c r="K230" s="65535" t="e">
        <f>VLOOKUP(A230,Catálogo!A:C,3,0)</f>
        <v>#N/A</v>
      </c>
      <c r="L230" s="65535" t="e">
        <f>VLOOKUP(A230,Catálogo!A:D,4,0)</f>
        <v>#N/A</v>
      </c>
      <c r="M230" s="65535"/>
      <c r="N230" s="15" t="e">
        <f>VLOOKUP(A230,[2]Hoja1!$B:$D,3,0)</f>
        <v>#N/A</v>
      </c>
    </row>
    <row r="231" spans="1:14" s="15" x14ac:dyDescent="0.35">
      <c r="A231" s="15">
        <v>100020136</v>
      </c>
      <c r="B231" s="505">
        <v>7503031950151</v>
      </c>
      <c r="C231" s="15" t="s">
        <v>407</v>
      </c>
      <c r="D231" s="502" t="s">
        <v>11</v>
      </c>
      <c r="E231" s="503" t="s">
        <v>33</v>
      </c>
      <c r="F231" s="502" t="s">
        <v>46</v>
      </c>
      <c r="G231" s="502" t="s">
        <v>54</v>
      </c>
      <c r="H231" s="502" t="s">
        <v>36</v>
      </c>
      <c r="I231" s="502" t="s">
        <v>109</v>
      </c>
      <c r="J231" s="65535" t="e">
        <f>VLOOKUP(A231,Catálogo!A:B,2,0)</f>
        <v>#N/A</v>
      </c>
      <c r="K231" s="65535" t="e">
        <f>VLOOKUP(A231,Catálogo!A:C,3,0)</f>
        <v>#N/A</v>
      </c>
      <c r="L231" s="65535" t="e">
        <f>VLOOKUP(A231,Catálogo!A:D,4,0)</f>
        <v>#N/A</v>
      </c>
      <c r="M231" s="65535"/>
      <c r="N231" s="15" t="e">
        <f>VLOOKUP(A231,[2]Hoja1!$B:$D,3,0)</f>
        <v>#N/A</v>
      </c>
    </row>
    <row r="232" spans="1:14" s="15" x14ac:dyDescent="0.35">
      <c r="A232" s="15">
        <v>100019578</v>
      </c>
      <c r="B232" s="505">
        <v>7503031950052</v>
      </c>
      <c r="C232" s="15" t="s">
        <v>408</v>
      </c>
      <c r="D232" s="502" t="s">
        <v>11</v>
      </c>
      <c r="E232" s="503" t="s">
        <v>33</v>
      </c>
      <c r="F232" s="502" t="s">
        <v>46</v>
      </c>
      <c r="G232" s="502" t="s">
        <v>14</v>
      </c>
      <c r="H232" s="502" t="s">
        <v>36</v>
      </c>
      <c r="I232" s="502" t="s">
        <v>109</v>
      </c>
      <c r="J232" s="65535" t="e">
        <f>VLOOKUP(A232,Catálogo!A:B,2,0)</f>
        <v>#N/A</v>
      </c>
      <c r="K232" s="65535" t="e">
        <f>VLOOKUP(A232,Catálogo!A:C,3,0)</f>
        <v>#N/A</v>
      </c>
      <c r="L232" s="65535" t="e">
        <f>VLOOKUP(A232,Catálogo!A:D,4,0)</f>
        <v>#N/A</v>
      </c>
      <c r="M232" s="65535"/>
      <c r="N232" s="15" t="e">
        <f>VLOOKUP(A232,[2]Hoja1!$B:$D,3,0)</f>
        <v>#N/A</v>
      </c>
    </row>
    <row r="233" spans="1:14" s="15" x14ac:dyDescent="0.35">
      <c r="A233" s="15">
        <v>100019576</v>
      </c>
      <c r="B233" s="505">
        <v>7503031950069</v>
      </c>
      <c r="C233" s="15" t="s">
        <v>412</v>
      </c>
      <c r="D233" s="502" t="s">
        <v>11</v>
      </c>
      <c r="E233" s="503" t="s">
        <v>33</v>
      </c>
      <c r="F233" s="502" t="s">
        <v>46</v>
      </c>
      <c r="G233" s="502" t="s">
        <v>14</v>
      </c>
      <c r="H233" s="502" t="s">
        <v>36</v>
      </c>
      <c r="I233" s="502" t="s">
        <v>109</v>
      </c>
      <c r="J233" s="65535" t="e">
        <f>VLOOKUP(A233,Catálogo!A:B,2,0)</f>
        <v>#N/A</v>
      </c>
      <c r="K233" s="65535" t="e">
        <f>VLOOKUP(A233,Catálogo!A:C,3,0)</f>
        <v>#N/A</v>
      </c>
      <c r="L233" s="65535" t="e">
        <f>VLOOKUP(A233,Catálogo!A:D,4,0)</f>
        <v>#N/A</v>
      </c>
      <c r="M233" s="65535"/>
      <c r="N233" s="15" t="e">
        <f>VLOOKUP(A233,[2]Hoja1!$B:$D,3,0)</f>
        <v>#N/A</v>
      </c>
    </row>
    <row r="234" spans="1:14" s="15" x14ac:dyDescent="0.35">
      <c r="A234" s="502">
        <v>100020429</v>
      </c>
      <c r="B234" s="507">
        <v>7503031950175</v>
      </c>
      <c r="C234" s="502" t="s">
        <v>413</v>
      </c>
      <c r="D234" s="503" t="s">
        <v>11</v>
      </c>
      <c r="E234" s="503" t="s">
        <v>33</v>
      </c>
      <c r="F234" s="503" t="s">
        <v>46</v>
      </c>
      <c r="G234" s="503" t="s">
        <v>14</v>
      </c>
      <c r="H234" s="502" t="s">
        <v>36</v>
      </c>
      <c r="I234" s="502" t="s">
        <v>109</v>
      </c>
      <c r="J234" s="65535" t="e">
        <f>VLOOKUP(A234,Catálogo!A:B,2,0)</f>
        <v>#N/A</v>
      </c>
      <c r="K234" s="65535" t="e">
        <f>VLOOKUP(A234,Catálogo!A:C,3,0)</f>
        <v>#N/A</v>
      </c>
      <c r="L234" s="65535" t="e">
        <f>VLOOKUP(A234,Catálogo!A:D,4,0)</f>
        <v>#N/A</v>
      </c>
      <c r="M234" s="65535"/>
      <c r="N234" s="15" t="e">
        <f>VLOOKUP(A234,[2]Hoja1!$B:$D,3,0)</f>
        <v>#N/A</v>
      </c>
    </row>
    <row r="235" spans="1:14" s="15" x14ac:dyDescent="0.35">
      <c r="A235" s="503">
        <v>100007987</v>
      </c>
      <c r="B235" s="505">
        <v>9583</v>
      </c>
      <c r="C235" s="503" t="s">
        <v>423</v>
      </c>
      <c r="D235" s="503" t="s">
        <v>11</v>
      </c>
      <c r="E235" s="503" t="s">
        <v>33</v>
      </c>
      <c r="F235" s="503" t="s">
        <v>46</v>
      </c>
      <c r="G235" s="503" t="s">
        <v>35</v>
      </c>
      <c r="H235" s="502" t="s">
        <v>36</v>
      </c>
      <c r="I235" s="502" t="s">
        <v>247</v>
      </c>
      <c r="J235" s="65535" t="e">
        <f>VLOOKUP(A235,Catálogo!A:B,2,0)</f>
        <v>#N/A</v>
      </c>
      <c r="K235" s="65535" t="e">
        <f>VLOOKUP(A235,Catálogo!A:C,3,0)</f>
        <v>#N/A</v>
      </c>
      <c r="L235" s="65535" t="e">
        <f>VLOOKUP(A235,Catálogo!A:D,4,0)</f>
        <v>#N/A</v>
      </c>
      <c r="M235" s="65535"/>
      <c r="N235" s="15" t="e">
        <f>VLOOKUP(A235,[2]Hoja1!$B:$D,3,0)</f>
        <v>#N/A</v>
      </c>
    </row>
    <row r="236" spans="1:14" s="15" x14ac:dyDescent="0.35">
      <c r="A236" s="503">
        <v>100007989</v>
      </c>
      <c r="B236" s="505">
        <v>9584</v>
      </c>
      <c r="C236" s="503" t="s">
        <v>425</v>
      </c>
      <c r="D236" s="503" t="s">
        <v>11</v>
      </c>
      <c r="E236" s="503" t="s">
        <v>33</v>
      </c>
      <c r="F236" s="503" t="s">
        <v>46</v>
      </c>
      <c r="G236" s="503" t="s">
        <v>71</v>
      </c>
      <c r="H236" s="502" t="s">
        <v>36</v>
      </c>
      <c r="I236" s="502" t="s">
        <v>109</v>
      </c>
      <c r="J236" s="65535" t="e">
        <f>VLOOKUP(A236,Catálogo!A:B,2,0)</f>
        <v>#N/A</v>
      </c>
      <c r="K236" s="65535" t="e">
        <f>VLOOKUP(A236,Catálogo!A:C,3,0)</f>
        <v>#N/A</v>
      </c>
      <c r="L236" s="65535" t="e">
        <f>VLOOKUP(A236,Catálogo!A:D,4,0)</f>
        <v>#N/A</v>
      </c>
      <c r="M236" s="65535"/>
      <c r="N236" s="15" t="e">
        <f>VLOOKUP(A236,[2]Hoja1!$B:$D,3,0)</f>
        <v>#N/A</v>
      </c>
    </row>
    <row r="237" spans="1:14" s="15" x14ac:dyDescent="0.35">
      <c r="A237" s="15">
        <v>100007424</v>
      </c>
      <c r="B237" s="505">
        <v>75056001</v>
      </c>
      <c r="C237" s="15" t="s">
        <v>437</v>
      </c>
      <c r="D237" s="502" t="s">
        <v>11</v>
      </c>
      <c r="E237" s="503" t="s">
        <v>33</v>
      </c>
      <c r="F237" s="502" t="s">
        <v>39</v>
      </c>
      <c r="G237" s="502" t="s">
        <v>14</v>
      </c>
      <c r="H237" s="502" t="s">
        <v>36</v>
      </c>
      <c r="I237" s="502" t="s">
        <v>109</v>
      </c>
      <c r="J237" s="65535" t="e">
        <f>VLOOKUP(A237,Catálogo!A:B,2,0)</f>
        <v>#N/A</v>
      </c>
      <c r="K237" s="65535" t="e">
        <f>VLOOKUP(A237,Catálogo!A:C,3,0)</f>
        <v>#N/A</v>
      </c>
      <c r="L237" s="65535" t="e">
        <f>VLOOKUP(A237,Catálogo!A:D,4,0)</f>
        <v>#N/A</v>
      </c>
      <c r="M237" s="65535"/>
      <c r="N237" s="15" t="e">
        <f>VLOOKUP(A237,[2]Hoja1!$B:$D,3,0)</f>
        <v>#N/A</v>
      </c>
    </row>
    <row r="238" spans="1:14" s="15" x14ac:dyDescent="0.35">
      <c r="A238" s="15">
        <v>100080977</v>
      </c>
      <c r="B238" s="505">
        <v>75047078</v>
      </c>
      <c r="C238" s="15" t="s">
        <v>440</v>
      </c>
      <c r="D238" s="502" t="s">
        <v>11</v>
      </c>
      <c r="E238" s="503" t="s">
        <v>33</v>
      </c>
      <c r="F238" s="502" t="s">
        <v>39</v>
      </c>
      <c r="G238" s="502" t="s">
        <v>54</v>
      </c>
      <c r="H238" s="502" t="s">
        <v>36</v>
      </c>
      <c r="I238" s="502" t="s">
        <v>109</v>
      </c>
      <c r="J238" s="65535" t="e">
        <f>VLOOKUP(A238,Catálogo!A:B,2,0)</f>
        <v>#N/A</v>
      </c>
      <c r="K238" s="65535" t="e">
        <f>VLOOKUP(A238,Catálogo!A:C,3,0)</f>
        <v>#N/A</v>
      </c>
      <c r="L238" s="65535" t="e">
        <f>VLOOKUP(A238,Catálogo!A:D,4,0)</f>
        <v>#N/A</v>
      </c>
      <c r="M238" s="65535"/>
      <c r="N238" s="15" t="e">
        <f>VLOOKUP(A238,[2]Hoja1!$B:$D,3,0)</f>
        <v>#N/A</v>
      </c>
    </row>
    <row r="239" spans="1:14" s="15" x14ac:dyDescent="0.35">
      <c r="A239" s="502">
        <v>100007451</v>
      </c>
      <c r="B239" s="502">
        <v>75057732</v>
      </c>
      <c r="C239" s="502" t="s">
        <v>447</v>
      </c>
      <c r="D239" s="503" t="s">
        <v>44</v>
      </c>
      <c r="E239" s="65535" t="s">
        <v>45</v>
      </c>
      <c r="F239" s="65535" t="s">
        <v>46</v>
      </c>
      <c r="G239" s="65535" t="s">
        <v>54</v>
      </c>
      <c r="H239" s="502" t="s">
        <v>36</v>
      </c>
      <c r="I239" s="502" t="s">
        <v>247</v>
      </c>
      <c r="J239" s="65535" t="e">
        <f>VLOOKUP(A239,Catálogo!A:B,2,0)</f>
        <v>#N/A</v>
      </c>
      <c r="K239" s="65535" t="e">
        <f>VLOOKUP(A239,Catálogo!A:C,3,0)</f>
        <v>#N/A</v>
      </c>
      <c r="L239" s="65535" t="e">
        <f>VLOOKUP(A239,Catálogo!A:D,4,0)</f>
        <v>#N/A</v>
      </c>
      <c r="M239" s="65535"/>
      <c r="N239" s="15" t="e">
        <f>VLOOKUP(A239,[2]Hoja1!$B:$D,3,0)</f>
        <v>#N/A</v>
      </c>
    </row>
    <row r="240" spans="1:14" s="15" x14ac:dyDescent="0.35">
      <c r="A240" s="502">
        <v>100011378</v>
      </c>
      <c r="B240" s="502">
        <v>75063351</v>
      </c>
      <c r="C240" s="502" t="s">
        <v>450</v>
      </c>
      <c r="D240" s="502" t="s">
        <v>44</v>
      </c>
      <c r="E240" s="503" t="s">
        <v>33</v>
      </c>
      <c r="F240" s="502" t="s">
        <v>39</v>
      </c>
      <c r="G240" s="502" t="s">
        <v>58</v>
      </c>
      <c r="H240" s="502" t="s">
        <v>36</v>
      </c>
      <c r="I240" s="502" t="s">
        <v>247</v>
      </c>
      <c r="J240" s="65535" t="e">
        <f>VLOOKUP(A240,Catálogo!A:B,2,0)</f>
        <v>#N/A</v>
      </c>
      <c r="K240" s="65535" t="e">
        <f>VLOOKUP(A240,Catálogo!A:C,3,0)</f>
        <v>#N/A</v>
      </c>
      <c r="L240" s="65535" t="e">
        <f>VLOOKUP(A240,Catálogo!A:D,4,0)</f>
        <v>#N/A</v>
      </c>
      <c r="M240" s="65535"/>
      <c r="N240" s="15" t="e">
        <f>VLOOKUP(A240,[2]Hoja1!$B:$D,3,0)</f>
        <v>#N/A</v>
      </c>
    </row>
    <row r="241" spans="1:14" s="15" x14ac:dyDescent="0.35">
      <c r="A241" s="502">
        <v>100011380</v>
      </c>
      <c r="B241" s="502">
        <v>75063344</v>
      </c>
      <c r="C241" s="502" t="s">
        <v>451</v>
      </c>
      <c r="D241" s="502" t="s">
        <v>44</v>
      </c>
      <c r="E241" s="503" t="s">
        <v>33</v>
      </c>
      <c r="F241" s="502" t="s">
        <v>39</v>
      </c>
      <c r="G241" s="502" t="s">
        <v>58</v>
      </c>
      <c r="H241" s="502" t="s">
        <v>36</v>
      </c>
      <c r="I241" s="502" t="s">
        <v>247</v>
      </c>
      <c r="J241" s="65535">
        <f>VLOOKUP(A241,Catálogo!A:B,2,0)</f>
        <v>157.41</v>
      </c>
      <c r="K241" s="65535">
        <f>VLOOKUP(A241,Catálogo!A:C,3,0)</f>
        <v>2</v>
      </c>
      <c r="L241" s="65535">
        <f>VLOOKUP(A241,Catálogo!A:D,4,0)</f>
        <v>0</v>
      </c>
      <c r="M241" s="65535"/>
      <c r="N241" s="15" t="e">
        <f>VLOOKUP(A241,[2]Hoja1!$B:$D,3,0)</f>
        <v>#N/A</v>
      </c>
    </row>
    <row r="242" spans="1:14" s="15" x14ac:dyDescent="0.35">
      <c r="A242" s="502">
        <v>100018747</v>
      </c>
      <c r="B242" s="502">
        <v>75074197</v>
      </c>
      <c r="C242" s="502" t="s">
        <v>452</v>
      </c>
      <c r="D242" s="503" t="s">
        <v>44</v>
      </c>
      <c r="E242" s="503" t="s">
        <v>33</v>
      </c>
      <c r="F242" s="65535" t="s">
        <v>46</v>
      </c>
      <c r="G242" s="65535" t="s">
        <v>35</v>
      </c>
      <c r="H242" s="502" t="s">
        <v>36</v>
      </c>
      <c r="I242" s="502" t="s">
        <v>247</v>
      </c>
      <c r="J242" s="65535" t="e">
        <f>VLOOKUP(A242,Catálogo!A:B,2,0)</f>
        <v>#N/A</v>
      </c>
      <c r="K242" s="65535" t="e">
        <f>VLOOKUP(A242,Catálogo!A:C,3,0)</f>
        <v>#N/A</v>
      </c>
      <c r="L242" s="65535" t="e">
        <f>VLOOKUP(A242,Catálogo!A:D,4,0)</f>
        <v>#N/A</v>
      </c>
      <c r="M242" s="65535"/>
      <c r="N242" s="15" t="e">
        <f>VLOOKUP(A242,[2]Hoja1!$B:$D,3,0)</f>
        <v>#N/A</v>
      </c>
    </row>
    <row r="243" spans="1:14" s="15" x14ac:dyDescent="0.35">
      <c r="A243" s="502">
        <v>100080954</v>
      </c>
      <c r="B243" s="502">
        <v>75047283</v>
      </c>
      <c r="C243" s="502" t="s">
        <v>455</v>
      </c>
      <c r="D243" s="502" t="s">
        <v>44</v>
      </c>
      <c r="E243" s="503" t="s">
        <v>33</v>
      </c>
      <c r="F243" s="502" t="s">
        <v>39</v>
      </c>
      <c r="G243" s="502" t="s">
        <v>58</v>
      </c>
      <c r="H243" s="502" t="s">
        <v>36</v>
      </c>
      <c r="I243" s="502" t="s">
        <v>247</v>
      </c>
      <c r="J243" s="65535" t="e">
        <f>VLOOKUP(A243,Catálogo!A:B,2,0)</f>
        <v>#N/A</v>
      </c>
      <c r="K243" s="65535" t="e">
        <f>VLOOKUP(A243,Catálogo!A:C,3,0)</f>
        <v>#N/A</v>
      </c>
      <c r="L243" s="65535" t="e">
        <f>VLOOKUP(A243,Catálogo!A:D,4,0)</f>
        <v>#N/A</v>
      </c>
      <c r="M243" s="65535"/>
      <c r="N243" s="15" t="e">
        <f>VLOOKUP(A243,[2]Hoja1!$B:$D,3,0)</f>
        <v>#N/A</v>
      </c>
    </row>
    <row r="244" spans="1:14" s="15" x14ac:dyDescent="0.35">
      <c r="A244" s="503">
        <v>900000012</v>
      </c>
      <c r="B244" s="505">
        <v>8356</v>
      </c>
      <c r="C244" s="503" t="s">
        <v>463</v>
      </c>
      <c r="D244" s="503" t="s">
        <v>11</v>
      </c>
      <c r="E244" s="503" t="s">
        <v>33</v>
      </c>
      <c r="F244" s="503" t="s">
        <v>100</v>
      </c>
      <c r="G244" s="503" t="s">
        <v>35</v>
      </c>
      <c r="H244" s="502" t="s">
        <v>36</v>
      </c>
      <c r="I244" s="502" t="s">
        <v>247</v>
      </c>
      <c r="J244" s="65535" t="e">
        <f>VLOOKUP(A244,Catálogo!A:B,2,0)</f>
        <v>#N/A</v>
      </c>
      <c r="K244" s="65535" t="e">
        <f>VLOOKUP(A244,Catálogo!A:C,3,0)</f>
        <v>#N/A</v>
      </c>
      <c r="L244" s="65535" t="e">
        <f>VLOOKUP(A244,Catálogo!A:D,4,0)</f>
        <v>#N/A</v>
      </c>
      <c r="M244" s="65535"/>
      <c r="N244" s="15" t="e">
        <f>VLOOKUP(A244,[2]Hoja1!$B:$D,3,0)</f>
        <v>#N/A</v>
      </c>
    </row>
    <row r="245" spans="1:14" s="15" x14ac:dyDescent="0.35">
      <c r="A245" s="502">
        <v>100017011</v>
      </c>
      <c r="B245" s="505">
        <v>5410706851496</v>
      </c>
      <c r="C245" s="502" t="s">
        <v>465</v>
      </c>
      <c r="D245" s="503" t="s">
        <v>11</v>
      </c>
      <c r="E245" s="503" t="s">
        <v>33</v>
      </c>
      <c r="F245" s="502" t="s">
        <v>239</v>
      </c>
      <c r="G245" s="503" t="s">
        <v>239</v>
      </c>
      <c r="H245" s="502" t="s">
        <v>70</v>
      </c>
      <c r="I245" s="502" t="s">
        <v>109</v>
      </c>
      <c r="J245" s="65535" t="e">
        <f>VLOOKUP(A245,Catálogo!A:B,2,0)</f>
        <v>#N/A</v>
      </c>
      <c r="K245" s="65535" t="e">
        <f>VLOOKUP(A245,Catálogo!A:C,3,0)</f>
        <v>#N/A</v>
      </c>
      <c r="L245" s="65535" t="e">
        <f>VLOOKUP(A245,Catálogo!A:D,4,0)</f>
        <v>#N/A</v>
      </c>
      <c r="M245" s="65535"/>
      <c r="N245" s="15" t="e">
        <f>VLOOKUP(A245,[2]Hoja1!$B:$D,3,0)</f>
        <v>#N/A</v>
      </c>
    </row>
    <row r="246" spans="1:14" s="15" x14ac:dyDescent="0.35">
      <c r="A246" s="502">
        <v>100018398</v>
      </c>
      <c r="B246" s="505">
        <v>7622100806332</v>
      </c>
      <c r="C246" s="502" t="s">
        <v>467</v>
      </c>
      <c r="D246" s="503" t="s">
        <v>11</v>
      </c>
      <c r="E246" s="503" t="s">
        <v>33</v>
      </c>
      <c r="F246" s="502" t="s">
        <v>239</v>
      </c>
      <c r="G246" s="503" t="s">
        <v>239</v>
      </c>
      <c r="H246" s="502" t="s">
        <v>70</v>
      </c>
      <c r="I246" s="502" t="s">
        <v>109</v>
      </c>
      <c r="J246" s="65535" t="e">
        <f>VLOOKUP(A246,Catálogo!A:B,2,0)</f>
        <v>#N/A</v>
      </c>
      <c r="K246" s="65535" t="e">
        <f>VLOOKUP(A246,Catálogo!A:C,3,0)</f>
        <v>#N/A</v>
      </c>
      <c r="L246" s="65535" t="e">
        <f>VLOOKUP(A246,Catálogo!A:D,4,0)</f>
        <v>#N/A</v>
      </c>
      <c r="M246" s="65535"/>
      <c r="N246" s="15" t="e">
        <f>VLOOKUP(A246,[2]Hoja1!$B:$D,3,0)</f>
        <v>#N/A</v>
      </c>
    </row>
    <row r="247" spans="1:14" s="15" x14ac:dyDescent="0.35">
      <c r="A247" s="502">
        <v>100018398</v>
      </c>
      <c r="B247" s="505">
        <v>7622100806332</v>
      </c>
      <c r="C247" s="502" t="s">
        <v>467</v>
      </c>
      <c r="D247" s="503" t="s">
        <v>11</v>
      </c>
      <c r="E247" s="503" t="s">
        <v>33</v>
      </c>
      <c r="F247" s="502" t="s">
        <v>239</v>
      </c>
      <c r="G247" s="503" t="s">
        <v>239</v>
      </c>
      <c r="H247" s="502" t="s">
        <v>70</v>
      </c>
      <c r="I247" s="502" t="s">
        <v>109</v>
      </c>
      <c r="J247" s="65535" t="e">
        <f>VLOOKUP(A247,Catálogo!A:B,2,0)</f>
        <v>#N/A</v>
      </c>
      <c r="K247" s="65535" t="e">
        <f>VLOOKUP(A247,Catálogo!A:C,3,0)</f>
        <v>#N/A</v>
      </c>
      <c r="L247" s="65535" t="e">
        <f>VLOOKUP(A247,Catálogo!A:D,4,0)</f>
        <v>#N/A</v>
      </c>
      <c r="M247" s="65535"/>
      <c r="N247" s="15" t="e">
        <f>VLOOKUP(A247,[2]Hoja1!$B:$D,3,0)</f>
        <v>#N/A</v>
      </c>
    </row>
    <row r="248" spans="1:14" s="15" x14ac:dyDescent="0.35">
      <c r="A248" s="15">
        <v>100020906</v>
      </c>
      <c r="B248" s="505">
        <v>5410706903317</v>
      </c>
      <c r="C248" s="15" t="s">
        <v>469</v>
      </c>
      <c r="D248" s="502" t="s">
        <v>11</v>
      </c>
      <c r="E248" s="503" t="s">
        <v>33</v>
      </c>
      <c r="F248" s="502" t="s">
        <v>39</v>
      </c>
      <c r="G248" s="502" t="s">
        <v>239</v>
      </c>
      <c r="H248" s="502" t="s">
        <v>70</v>
      </c>
      <c r="I248" s="502" t="s">
        <v>109</v>
      </c>
      <c r="J248" s="65535" t="e">
        <f>VLOOKUP(A248,Catálogo!A:B,2,0)</f>
        <v>#N/A</v>
      </c>
      <c r="K248" s="65535" t="e">
        <f>VLOOKUP(A248,Catálogo!A:C,3,0)</f>
        <v>#N/A</v>
      </c>
      <c r="L248" s="65535" t="e">
        <f>VLOOKUP(A248,Catálogo!A:D,4,0)</f>
        <v>#N/A</v>
      </c>
      <c r="M248" s="65535"/>
      <c r="N248" s="15" t="e">
        <f>VLOOKUP(A248,[2]Hoja1!$B:$D,3,0)</f>
        <v>#N/A</v>
      </c>
    </row>
    <row r="249" spans="1:14" s="15" x14ac:dyDescent="0.35">
      <c r="A249" s="502">
        <v>100020904</v>
      </c>
      <c r="B249" s="505">
        <v>5410706903294</v>
      </c>
      <c r="C249" s="502" t="s">
        <v>470</v>
      </c>
      <c r="D249" s="503" t="s">
        <v>11</v>
      </c>
      <c r="E249" s="503" t="s">
        <v>33</v>
      </c>
      <c r="F249" s="502" t="s">
        <v>239</v>
      </c>
      <c r="G249" s="503" t="s">
        <v>239</v>
      </c>
      <c r="H249" s="502" t="s">
        <v>70</v>
      </c>
      <c r="I249" s="502" t="s">
        <v>109</v>
      </c>
      <c r="J249" s="65535" t="e">
        <f>VLOOKUP(A249,Catálogo!A:B,2,0)</f>
        <v>#N/A</v>
      </c>
      <c r="K249" s="65535" t="e">
        <f>VLOOKUP(A249,Catálogo!A:C,3,0)</f>
        <v>#N/A</v>
      </c>
      <c r="L249" s="65535" t="e">
        <f>VLOOKUP(A249,Catálogo!A:D,4,0)</f>
        <v>#N/A</v>
      </c>
      <c r="M249" s="65535"/>
      <c r="N249" s="15" t="e">
        <f>VLOOKUP(A249,[2]Hoja1!$B:$D,3,0)</f>
        <v>#N/A</v>
      </c>
    </row>
    <row r="250" spans="1:14" s="15" x14ac:dyDescent="0.35">
      <c r="A250" s="15">
        <v>100020905</v>
      </c>
      <c r="B250" s="505">
        <v>5410706903355</v>
      </c>
      <c r="C250" s="15" t="s">
        <v>471</v>
      </c>
      <c r="D250" s="502" t="s">
        <v>11</v>
      </c>
      <c r="E250" s="503" t="s">
        <v>33</v>
      </c>
      <c r="F250" s="502" t="s">
        <v>39</v>
      </c>
      <c r="G250" s="502" t="s">
        <v>239</v>
      </c>
      <c r="H250" s="502" t="s">
        <v>70</v>
      </c>
      <c r="I250" s="502" t="s">
        <v>109</v>
      </c>
      <c r="J250" s="65535" t="e">
        <f>VLOOKUP(A250,Catálogo!A:B,2,0)</f>
        <v>#N/A</v>
      </c>
      <c r="K250" s="65535" t="e">
        <f>VLOOKUP(A250,Catálogo!A:C,3,0)</f>
        <v>#N/A</v>
      </c>
      <c r="L250" s="65535" t="e">
        <f>VLOOKUP(A250,Catálogo!A:D,4,0)</f>
        <v>#N/A</v>
      </c>
      <c r="M250" s="65535"/>
      <c r="N250" s="15" t="e">
        <f>VLOOKUP(A250,[2]Hoja1!$B:$D,3,0)</f>
        <v>#N/A</v>
      </c>
    </row>
    <row r="251" spans="1:14" s="15" x14ac:dyDescent="0.35">
      <c r="A251" s="15">
        <v>100020178</v>
      </c>
      <c r="B251" s="505">
        <v>5410706884715</v>
      </c>
      <c r="C251" s="15" t="s">
        <v>473</v>
      </c>
      <c r="D251" s="502" t="s">
        <v>11</v>
      </c>
      <c r="E251" s="503" t="s">
        <v>33</v>
      </c>
      <c r="F251" s="502" t="s">
        <v>39</v>
      </c>
      <c r="G251" s="502" t="s">
        <v>239</v>
      </c>
      <c r="H251" s="502" t="s">
        <v>70</v>
      </c>
      <c r="I251" s="502" t="s">
        <v>109</v>
      </c>
      <c r="J251" s="65535" t="e">
        <f>VLOOKUP(A251,Catálogo!A:B,2,0)</f>
        <v>#N/A</v>
      </c>
      <c r="K251" s="65535" t="e">
        <f>VLOOKUP(A251,Catálogo!A:C,3,0)</f>
        <v>#N/A</v>
      </c>
      <c r="L251" s="65535" t="e">
        <f>VLOOKUP(A251,Catálogo!A:D,4,0)</f>
        <v>#N/A</v>
      </c>
      <c r="M251" s="65535"/>
      <c r="N251" s="15" t="e">
        <f>VLOOKUP(A251,[2]Hoja1!$B:$D,3,0)</f>
        <v>#N/A</v>
      </c>
    </row>
    <row r="252" spans="1:14" s="15" x14ac:dyDescent="0.35">
      <c r="A252" s="15">
        <v>100020179</v>
      </c>
      <c r="B252" s="505">
        <v>5410706884654</v>
      </c>
      <c r="C252" s="15" t="s">
        <v>474</v>
      </c>
      <c r="D252" s="502" t="s">
        <v>11</v>
      </c>
      <c r="E252" s="503" t="s">
        <v>33</v>
      </c>
      <c r="F252" s="502" t="s">
        <v>39</v>
      </c>
      <c r="G252" s="502" t="s">
        <v>239</v>
      </c>
      <c r="H252" s="502" t="s">
        <v>70</v>
      </c>
      <c r="I252" s="502" t="s">
        <v>109</v>
      </c>
      <c r="J252" s="65535" t="e">
        <f>VLOOKUP(A252,Catálogo!A:B,2,0)</f>
        <v>#N/A</v>
      </c>
      <c r="K252" s="65535" t="e">
        <f>VLOOKUP(A252,Catálogo!A:C,3,0)</f>
        <v>#N/A</v>
      </c>
      <c r="L252" s="65535" t="e">
        <f>VLOOKUP(A252,Catálogo!A:D,4,0)</f>
        <v>#N/A</v>
      </c>
      <c r="M252" s="65535"/>
      <c r="N252" s="15" t="e">
        <f>VLOOKUP(A252,[2]Hoja1!$B:$D,3,0)</f>
        <v>#N/A</v>
      </c>
    </row>
    <row r="253" spans="1:14" s="15" x14ac:dyDescent="0.35">
      <c r="A253" s="503">
        <v>100020992</v>
      </c>
      <c r="B253" s="505">
        <v>5410710000000</v>
      </c>
      <c r="C253" s="503" t="s">
        <v>475</v>
      </c>
      <c r="D253" s="503" t="s">
        <v>11</v>
      </c>
      <c r="E253" s="503" t="s">
        <v>33</v>
      </c>
      <c r="F253" s="503" t="s">
        <v>239</v>
      </c>
      <c r="G253" s="502" t="s">
        <v>239</v>
      </c>
      <c r="H253" s="502" t="s">
        <v>70</v>
      </c>
      <c r="I253" s="502" t="s">
        <v>109</v>
      </c>
      <c r="J253" s="65535" t="e">
        <f>VLOOKUP(A253,Catálogo!A:B,2,0)</f>
        <v>#N/A</v>
      </c>
      <c r="K253" s="65535" t="e">
        <f>VLOOKUP(A253,Catálogo!A:C,3,0)</f>
        <v>#N/A</v>
      </c>
      <c r="L253" s="65535" t="e">
        <f>VLOOKUP(A253,Catálogo!A:D,4,0)</f>
        <v>#N/A</v>
      </c>
      <c r="M253" s="65535"/>
      <c r="N253" s="15" t="e">
        <f>VLOOKUP(A253,[2]Hoja1!$B:$D,3,0)</f>
        <v>#N/A</v>
      </c>
    </row>
    <row r="254" spans="1:14" s="15" x14ac:dyDescent="0.35">
      <c r="A254" s="15">
        <v>100012007</v>
      </c>
      <c r="B254" s="505">
        <v>75063900</v>
      </c>
      <c r="C254" s="15" t="s">
        <v>487</v>
      </c>
      <c r="D254" s="502" t="s">
        <v>11</v>
      </c>
      <c r="E254" s="503" t="s">
        <v>33</v>
      </c>
      <c r="F254" s="502" t="s">
        <v>41</v>
      </c>
      <c r="G254" s="502" t="s">
        <v>35</v>
      </c>
      <c r="H254" s="502" t="s">
        <v>36</v>
      </c>
      <c r="I254" s="502" t="s">
        <v>109</v>
      </c>
      <c r="J254" s="65535" t="e">
        <f>VLOOKUP(A254,Catálogo!A:B,2,0)</f>
        <v>#N/A</v>
      </c>
      <c r="K254" s="65535" t="e">
        <f>VLOOKUP(A254,Catálogo!A:C,3,0)</f>
        <v>#N/A</v>
      </c>
      <c r="L254" s="65535" t="e">
        <f>VLOOKUP(A254,Catálogo!A:D,4,0)</f>
        <v>#N/A</v>
      </c>
      <c r="M254" s="65535"/>
      <c r="N254" s="15" t="e">
        <f>VLOOKUP(A254,[2]Hoja1!$B:$D,3,0)</f>
        <v>#N/A</v>
      </c>
    </row>
    <row r="255" spans="1:14" s="15" x14ac:dyDescent="0.35">
      <c r="A255" s="15">
        <v>100011702</v>
      </c>
      <c r="B255" s="505">
        <v>75063894</v>
      </c>
      <c r="C255" s="15" t="s">
        <v>488</v>
      </c>
      <c r="D255" s="502" t="s">
        <v>11</v>
      </c>
      <c r="E255" s="503" t="s">
        <v>33</v>
      </c>
      <c r="F255" s="502" t="s">
        <v>41</v>
      </c>
      <c r="G255" s="502" t="s">
        <v>35</v>
      </c>
      <c r="H255" s="502" t="s">
        <v>36</v>
      </c>
      <c r="I255" s="502" t="s">
        <v>109</v>
      </c>
      <c r="J255" s="65535" t="e">
        <f>VLOOKUP(A255,Catálogo!A:B,2,0)</f>
        <v>#N/A</v>
      </c>
      <c r="K255" s="65535" t="e">
        <f>VLOOKUP(A255,Catálogo!A:C,3,0)</f>
        <v>#N/A</v>
      </c>
      <c r="L255" s="65535" t="e">
        <f>VLOOKUP(A255,Catálogo!A:D,4,0)</f>
        <v>#N/A</v>
      </c>
      <c r="M255" s="65535"/>
      <c r="N255" s="15" t="e">
        <f>VLOOKUP(A255,[2]Hoja1!$B:$D,3,0)</f>
        <v>#N/A</v>
      </c>
    </row>
    <row r="256" spans="1:14" s="15" x14ac:dyDescent="0.35">
      <c r="A256" s="15">
        <v>100012003</v>
      </c>
      <c r="B256" s="505">
        <v>75063863</v>
      </c>
      <c r="C256" s="15" t="s">
        <v>490</v>
      </c>
      <c r="D256" s="502" t="s">
        <v>11</v>
      </c>
      <c r="E256" s="503" t="s">
        <v>33</v>
      </c>
      <c r="F256" s="502" t="s">
        <v>41</v>
      </c>
      <c r="G256" s="502" t="s">
        <v>54</v>
      </c>
      <c r="H256" s="502" t="s">
        <v>36</v>
      </c>
      <c r="I256" s="502" t="s">
        <v>109</v>
      </c>
      <c r="J256" s="65535" t="e">
        <f>VLOOKUP(A256,Catálogo!A:B,2,0)</f>
        <v>#N/A</v>
      </c>
      <c r="K256" s="65535" t="e">
        <f>VLOOKUP(A256,Catálogo!A:C,3,0)</f>
        <v>#N/A</v>
      </c>
      <c r="L256" s="65535" t="e">
        <f>VLOOKUP(A256,Catálogo!A:D,4,0)</f>
        <v>#N/A</v>
      </c>
      <c r="M256" s="65535"/>
      <c r="N256" s="15" t="e">
        <f>VLOOKUP(A256,[2]Hoja1!$B:$D,3,0)</f>
        <v>#N/A</v>
      </c>
    </row>
    <row r="257" spans="1:14" s="15" x14ac:dyDescent="0.35">
      <c r="A257" s="15">
        <v>100009575</v>
      </c>
      <c r="B257" s="505">
        <v>75061449</v>
      </c>
      <c r="C257" s="15" t="s">
        <v>491</v>
      </c>
      <c r="D257" s="502" t="s">
        <v>11</v>
      </c>
      <c r="E257" s="503" t="s">
        <v>33</v>
      </c>
      <c r="F257" s="502" t="s">
        <v>41</v>
      </c>
      <c r="G257" s="502" t="s">
        <v>35</v>
      </c>
      <c r="H257" s="502" t="s">
        <v>36</v>
      </c>
      <c r="I257" s="502" t="s">
        <v>109</v>
      </c>
      <c r="J257" s="65535" t="e">
        <f>VLOOKUP(A257,Catálogo!A:B,2,0)</f>
        <v>#N/A</v>
      </c>
      <c r="K257" s="65535" t="e">
        <f>VLOOKUP(A257,Catálogo!A:C,3,0)</f>
        <v>#N/A</v>
      </c>
      <c r="L257" s="65535" t="e">
        <f>VLOOKUP(A257,Catálogo!A:D,4,0)</f>
        <v>#N/A</v>
      </c>
      <c r="M257" s="65535"/>
      <c r="N257" s="15" t="e">
        <f>VLOOKUP(A257,[2]Hoja1!$B:$D,3,0)</f>
        <v>#N/A</v>
      </c>
    </row>
    <row r="258" spans="1:14" s="15" x14ac:dyDescent="0.35">
      <c r="A258" s="15">
        <v>100012005</v>
      </c>
      <c r="B258" s="505">
        <v>75063948</v>
      </c>
      <c r="C258" s="15" t="s">
        <v>492</v>
      </c>
      <c r="D258" s="502" t="s">
        <v>11</v>
      </c>
      <c r="E258" s="503" t="s">
        <v>33</v>
      </c>
      <c r="F258" s="502" t="s">
        <v>41</v>
      </c>
      <c r="G258" s="502" t="s">
        <v>71</v>
      </c>
      <c r="H258" s="502" t="s">
        <v>36</v>
      </c>
      <c r="I258" s="502" t="s">
        <v>109</v>
      </c>
      <c r="J258" s="65535" t="e">
        <f>VLOOKUP(A258,Catálogo!A:B,2,0)</f>
        <v>#N/A</v>
      </c>
      <c r="K258" s="65535" t="e">
        <f>VLOOKUP(A258,Catálogo!A:C,3,0)</f>
        <v>#N/A</v>
      </c>
      <c r="L258" s="65535" t="e">
        <f>VLOOKUP(A258,Catálogo!A:D,4,0)</f>
        <v>#N/A</v>
      </c>
      <c r="M258" s="65535"/>
      <c r="N258" s="15" t="e">
        <f>VLOOKUP(A258,[2]Hoja1!$B:$D,3,0)</f>
        <v>#N/A</v>
      </c>
    </row>
    <row r="259" spans="1:14" s="15" x14ac:dyDescent="0.35">
      <c r="A259" s="15">
        <v>100011705</v>
      </c>
      <c r="B259" s="505">
        <v>75063931</v>
      </c>
      <c r="C259" s="15" t="s">
        <v>493</v>
      </c>
      <c r="D259" s="502" t="s">
        <v>11</v>
      </c>
      <c r="E259" s="503" t="s">
        <v>33</v>
      </c>
      <c r="F259" s="502" t="s">
        <v>41</v>
      </c>
      <c r="G259" s="502" t="s">
        <v>71</v>
      </c>
      <c r="H259" s="502" t="s">
        <v>36</v>
      </c>
      <c r="I259" s="502" t="s">
        <v>109</v>
      </c>
      <c r="J259" s="65535" t="e">
        <f>VLOOKUP(A259,Catálogo!A:B,2,0)</f>
        <v>#N/A</v>
      </c>
      <c r="K259" s="65535" t="e">
        <f>VLOOKUP(A259,Catálogo!A:C,3,0)</f>
        <v>#N/A</v>
      </c>
      <c r="L259" s="65535" t="e">
        <f>VLOOKUP(A259,Catálogo!A:D,4,0)</f>
        <v>#N/A</v>
      </c>
      <c r="M259" s="65535"/>
      <c r="N259" s="15" t="e">
        <f>VLOOKUP(A259,[2]Hoja1!$B:$D,3,0)</f>
        <v>#N/A</v>
      </c>
    </row>
    <row r="260" spans="1:14" s="15" x14ac:dyDescent="0.35">
      <c r="A260" s="502">
        <v>100080984</v>
      </c>
      <c r="B260" s="505">
        <v>75049607</v>
      </c>
      <c r="C260" s="502" t="s">
        <v>494</v>
      </c>
      <c r="D260" s="502" t="s">
        <v>11</v>
      </c>
      <c r="E260" s="503" t="s">
        <v>33</v>
      </c>
      <c r="F260" s="502" t="s">
        <v>41</v>
      </c>
      <c r="G260" s="502" t="s">
        <v>71</v>
      </c>
      <c r="H260" s="502" t="s">
        <v>36</v>
      </c>
      <c r="I260" s="502" t="s">
        <v>109</v>
      </c>
      <c r="J260" s="65535" t="e">
        <f>VLOOKUP(A260,Catálogo!A:B,2,0)</f>
        <v>#N/A</v>
      </c>
      <c r="K260" s="65535" t="e">
        <f>VLOOKUP(A260,Catálogo!A:C,3,0)</f>
        <v>#N/A</v>
      </c>
      <c r="L260" s="65535" t="e">
        <f>VLOOKUP(A260,Catálogo!A:D,4,0)</f>
        <v>#N/A</v>
      </c>
      <c r="M260" s="65535"/>
      <c r="N260" s="15" t="e">
        <f>VLOOKUP(A260,[2]Hoja1!$B:$D,3,0)</f>
        <v>#N/A</v>
      </c>
    </row>
    <row r="261" spans="1:14" s="15" x14ac:dyDescent="0.35">
      <c r="A261" s="15">
        <v>100012002</v>
      </c>
      <c r="B261" s="505">
        <v>75063849</v>
      </c>
      <c r="C261" s="15" t="s">
        <v>495</v>
      </c>
      <c r="D261" s="502" t="s">
        <v>11</v>
      </c>
      <c r="E261" s="503" t="s">
        <v>33</v>
      </c>
      <c r="F261" s="502" t="s">
        <v>41</v>
      </c>
      <c r="G261" s="502" t="s">
        <v>71</v>
      </c>
      <c r="H261" s="502" t="s">
        <v>36</v>
      </c>
      <c r="I261" s="502" t="s">
        <v>109</v>
      </c>
      <c r="J261" s="65535" t="e">
        <f>VLOOKUP(A261,Catálogo!A:B,2,0)</f>
        <v>#N/A</v>
      </c>
      <c r="K261" s="65535" t="e">
        <f>VLOOKUP(A261,Catálogo!A:C,3,0)</f>
        <v>#N/A</v>
      </c>
      <c r="L261" s="65535" t="e">
        <f>VLOOKUP(A261,Catálogo!A:D,4,0)</f>
        <v>#N/A</v>
      </c>
      <c r="M261" s="65535"/>
      <c r="N261" s="15" t="e">
        <f>VLOOKUP(A261,[2]Hoja1!$B:$D,3,0)</f>
        <v>#N/A</v>
      </c>
    </row>
    <row r="262" spans="1:14" s="15" x14ac:dyDescent="0.35">
      <c r="A262" s="15">
        <v>100080951</v>
      </c>
      <c r="B262" s="505">
        <v>75047092</v>
      </c>
      <c r="C262" s="15" t="s">
        <v>498</v>
      </c>
      <c r="D262" s="502" t="s">
        <v>11</v>
      </c>
      <c r="E262" s="503" t="s">
        <v>33</v>
      </c>
      <c r="F262" s="502" t="s">
        <v>41</v>
      </c>
      <c r="G262" s="502" t="s">
        <v>71</v>
      </c>
      <c r="H262" s="502" t="s">
        <v>36</v>
      </c>
      <c r="I262" s="502" t="s">
        <v>109</v>
      </c>
      <c r="J262" s="65535" t="e">
        <f>VLOOKUP(A262,Catálogo!A:B,2,0)</f>
        <v>#N/A</v>
      </c>
      <c r="K262" s="65535" t="e">
        <f>VLOOKUP(A262,Catálogo!A:C,3,0)</f>
        <v>#N/A</v>
      </c>
      <c r="L262" s="65535" t="e">
        <f>VLOOKUP(A262,Catálogo!A:D,4,0)</f>
        <v>#N/A</v>
      </c>
      <c r="M262" s="65535"/>
      <c r="N262" s="15" t="e">
        <f>VLOOKUP(A262,[2]Hoja1!$B:$D,3,0)</f>
        <v>#N/A</v>
      </c>
    </row>
    <row r="263" spans="1:14" s="15" x14ac:dyDescent="0.35">
      <c r="A263" s="15">
        <v>100080869</v>
      </c>
      <c r="B263" s="505">
        <v>75037048</v>
      </c>
      <c r="C263" s="15" t="s">
        <v>499</v>
      </c>
      <c r="D263" s="502" t="s">
        <v>11</v>
      </c>
      <c r="E263" s="503" t="s">
        <v>33</v>
      </c>
      <c r="F263" s="502" t="s">
        <v>41</v>
      </c>
      <c r="G263" s="502" t="s">
        <v>35</v>
      </c>
      <c r="H263" s="502" t="s">
        <v>36</v>
      </c>
      <c r="I263" s="502" t="s">
        <v>109</v>
      </c>
      <c r="J263" s="65535" t="e">
        <f>VLOOKUP(A263,Catálogo!A:B,2,0)</f>
        <v>#N/A</v>
      </c>
      <c r="K263" s="65535" t="e">
        <f>VLOOKUP(A263,Catálogo!A:C,3,0)</f>
        <v>#N/A</v>
      </c>
      <c r="L263" s="65535" t="e">
        <f>VLOOKUP(A263,Catálogo!A:D,4,0)</f>
        <v>#N/A</v>
      </c>
      <c r="M263" s="65535"/>
      <c r="N263" s="15" t="e">
        <f>VLOOKUP(A263,[2]Hoja1!$B:$D,3,0)</f>
        <v>#N/A</v>
      </c>
    </row>
    <row r="264" spans="1:14" s="15" x14ac:dyDescent="0.35">
      <c r="A264" s="15">
        <v>100005287</v>
      </c>
      <c r="B264" s="505">
        <v>75053048</v>
      </c>
      <c r="C264" s="15" t="s">
        <v>500</v>
      </c>
      <c r="D264" s="502" t="s">
        <v>11</v>
      </c>
      <c r="E264" s="503" t="s">
        <v>33</v>
      </c>
      <c r="F264" s="502" t="s">
        <v>41</v>
      </c>
      <c r="G264" s="502" t="s">
        <v>54</v>
      </c>
      <c r="H264" s="502" t="s">
        <v>36</v>
      </c>
      <c r="I264" s="502" t="s">
        <v>109</v>
      </c>
      <c r="J264" s="65535" t="e">
        <f>VLOOKUP(A264,Catálogo!A:B,2,0)</f>
        <v>#N/A</v>
      </c>
      <c r="K264" s="65535" t="e">
        <f>VLOOKUP(A264,Catálogo!A:C,3,0)</f>
        <v>#N/A</v>
      </c>
      <c r="L264" s="65535" t="e">
        <f>VLOOKUP(A264,Catálogo!A:D,4,0)</f>
        <v>#N/A</v>
      </c>
      <c r="M264" s="65535"/>
      <c r="N264" s="15" t="e">
        <f>VLOOKUP(A264,[2]Hoja1!$B:$D,3,0)</f>
        <v>#N/A</v>
      </c>
    </row>
    <row r="265" spans="1:14" s="15" x14ac:dyDescent="0.35">
      <c r="A265" s="15">
        <v>100012006</v>
      </c>
      <c r="B265" s="505">
        <v>75063924</v>
      </c>
      <c r="C265" s="15" t="s">
        <v>501</v>
      </c>
      <c r="D265" s="502" t="s">
        <v>11</v>
      </c>
      <c r="E265" s="503" t="s">
        <v>33</v>
      </c>
      <c r="F265" s="502" t="s">
        <v>41</v>
      </c>
      <c r="G265" s="502" t="s">
        <v>35</v>
      </c>
      <c r="H265" s="502" t="s">
        <v>36</v>
      </c>
      <c r="I265" s="502" t="s">
        <v>109</v>
      </c>
      <c r="J265" s="65535" t="e">
        <f>VLOOKUP(A265,Catálogo!A:B,2,0)</f>
        <v>#N/A</v>
      </c>
      <c r="K265" s="65535" t="e">
        <f>VLOOKUP(A265,Catálogo!A:C,3,0)</f>
        <v>#N/A</v>
      </c>
      <c r="L265" s="65535" t="e">
        <f>VLOOKUP(A265,Catálogo!A:D,4,0)</f>
        <v>#N/A</v>
      </c>
      <c r="M265" s="65535"/>
      <c r="N265" s="15" t="e">
        <f>VLOOKUP(A265,[2]Hoja1!$B:$D,3,0)</f>
        <v>#N/A</v>
      </c>
    </row>
    <row r="266" spans="1:14" s="15" x14ac:dyDescent="0.35">
      <c r="A266" s="15">
        <v>100011704</v>
      </c>
      <c r="B266" s="505">
        <v>75063917</v>
      </c>
      <c r="C266" s="15" t="s">
        <v>502</v>
      </c>
      <c r="D266" s="502" t="s">
        <v>11</v>
      </c>
      <c r="E266" s="503" t="s">
        <v>33</v>
      </c>
      <c r="F266" s="502" t="s">
        <v>41</v>
      </c>
      <c r="G266" s="502" t="s">
        <v>35</v>
      </c>
      <c r="H266" s="502" t="s">
        <v>36</v>
      </c>
      <c r="I266" s="502" t="s">
        <v>109</v>
      </c>
      <c r="J266" s="65535" t="e">
        <f>VLOOKUP(A266,Catálogo!A:B,2,0)</f>
        <v>#N/A</v>
      </c>
      <c r="K266" s="65535" t="e">
        <f>VLOOKUP(A266,Catálogo!A:C,3,0)</f>
        <v>#N/A</v>
      </c>
      <c r="L266" s="65535" t="e">
        <f>VLOOKUP(A266,Catálogo!A:D,4,0)</f>
        <v>#N/A</v>
      </c>
      <c r="M266" s="65535"/>
      <c r="N266" s="15" t="e">
        <f>VLOOKUP(A266,[2]Hoja1!$B:$D,3,0)</f>
        <v>#N/A</v>
      </c>
    </row>
    <row r="267" spans="1:14" s="15" x14ac:dyDescent="0.35">
      <c r="A267" s="15">
        <v>100008186</v>
      </c>
      <c r="B267" s="505">
        <v>75057817</v>
      </c>
      <c r="C267" s="15" t="s">
        <v>504</v>
      </c>
      <c r="D267" s="502" t="s">
        <v>11</v>
      </c>
      <c r="E267" s="503" t="s">
        <v>33</v>
      </c>
      <c r="F267" s="502" t="s">
        <v>41</v>
      </c>
      <c r="G267" s="502" t="s">
        <v>35</v>
      </c>
      <c r="H267" s="502" t="s">
        <v>36</v>
      </c>
      <c r="I267" s="502" t="s">
        <v>109</v>
      </c>
      <c r="J267" s="65535" t="e">
        <f>VLOOKUP(A267,Catálogo!A:B,2,0)</f>
        <v>#N/A</v>
      </c>
      <c r="K267" s="65535" t="e">
        <f>VLOOKUP(A267,Catálogo!A:C,3,0)</f>
        <v>#N/A</v>
      </c>
      <c r="L267" s="65535" t="e">
        <f>VLOOKUP(A267,Catálogo!A:D,4,0)</f>
        <v>#N/A</v>
      </c>
      <c r="M267" s="65535"/>
      <c r="N267" s="15" t="e">
        <f>VLOOKUP(A267,[2]Hoja1!$B:$D,3,0)</f>
        <v>#N/A</v>
      </c>
    </row>
    <row r="268" spans="1:14" s="15" x14ac:dyDescent="0.35">
      <c r="A268" s="502">
        <v>100018204</v>
      </c>
      <c r="B268" s="505">
        <v>7501045300139</v>
      </c>
      <c r="C268" s="502" t="s">
        <v>506</v>
      </c>
      <c r="D268" s="503" t="s">
        <v>11</v>
      </c>
      <c r="E268" s="503" t="s">
        <v>33</v>
      </c>
      <c r="F268" s="502" t="s">
        <v>41</v>
      </c>
      <c r="G268" s="502" t="s">
        <v>14</v>
      </c>
      <c r="H268" s="502" t="s">
        <v>36</v>
      </c>
      <c r="I268" s="502" t="s">
        <v>109</v>
      </c>
      <c r="J268" s="65535" t="e">
        <f>VLOOKUP(A268,Catálogo!A:B,2,0)</f>
        <v>#N/A</v>
      </c>
      <c r="K268" s="65535" t="e">
        <f>VLOOKUP(A268,Catálogo!A:C,3,0)</f>
        <v>#N/A</v>
      </c>
      <c r="L268" s="65535" t="e">
        <f>VLOOKUP(A268,Catálogo!A:D,4,0)</f>
        <v>#N/A</v>
      </c>
      <c r="M268" s="65535"/>
      <c r="N268" s="15" t="e">
        <f>VLOOKUP(A268,[2]Hoja1!$B:$D,3,0)</f>
        <v>#N/A</v>
      </c>
    </row>
    <row r="269" spans="1:14" s="15" x14ac:dyDescent="0.35">
      <c r="A269" s="15">
        <v>100004742</v>
      </c>
      <c r="B269" s="505">
        <v>75052867</v>
      </c>
      <c r="C269" s="15" t="s">
        <v>508</v>
      </c>
      <c r="D269" s="502" t="s">
        <v>11</v>
      </c>
      <c r="E269" s="503" t="s">
        <v>33</v>
      </c>
      <c r="F269" s="502" t="s">
        <v>41</v>
      </c>
      <c r="G269" s="502" t="s">
        <v>35</v>
      </c>
      <c r="H269" s="502" t="s">
        <v>36</v>
      </c>
      <c r="I269" s="502" t="s">
        <v>109</v>
      </c>
      <c r="J269" s="65535" t="e">
        <f>VLOOKUP(A269,Catálogo!A:B,2,0)</f>
        <v>#N/A</v>
      </c>
      <c r="K269" s="65535" t="e">
        <f>VLOOKUP(A269,Catálogo!A:C,3,0)</f>
        <v>#N/A</v>
      </c>
      <c r="L269" s="65535" t="e">
        <f>VLOOKUP(A269,Catálogo!A:D,4,0)</f>
        <v>#N/A</v>
      </c>
      <c r="M269" s="65535"/>
      <c r="N269" s="15" t="e">
        <f>VLOOKUP(A269,[2]Hoja1!$B:$D,3,0)</f>
        <v>#N/A</v>
      </c>
    </row>
    <row r="270" spans="1:14" s="15" x14ac:dyDescent="0.35">
      <c r="A270" s="502">
        <v>100011674</v>
      </c>
      <c r="B270" s="505">
        <v>75063726</v>
      </c>
      <c r="C270" s="502" t="s">
        <v>511</v>
      </c>
      <c r="D270" s="503" t="s">
        <v>11</v>
      </c>
      <c r="E270" s="503" t="s">
        <v>33</v>
      </c>
      <c r="F270" s="502" t="s">
        <v>41</v>
      </c>
      <c r="G270" s="503" t="s">
        <v>35</v>
      </c>
      <c r="H270" s="502" t="s">
        <v>36</v>
      </c>
      <c r="I270" s="502" t="s">
        <v>109</v>
      </c>
      <c r="J270" s="65535" t="e">
        <f>VLOOKUP(A270,Catálogo!A:B,2,0)</f>
        <v>#N/A</v>
      </c>
      <c r="K270" s="65535" t="e">
        <f>VLOOKUP(A270,Catálogo!A:C,3,0)</f>
        <v>#N/A</v>
      </c>
      <c r="L270" s="65535" t="e">
        <f>VLOOKUP(A270,Catálogo!A:D,4,0)</f>
        <v>#N/A</v>
      </c>
      <c r="M270" s="65535"/>
      <c r="N270" s="15" t="e">
        <f>VLOOKUP(A270,[2]Hoja1!$B:$D,3,0)</f>
        <v>#N/A</v>
      </c>
    </row>
    <row r="271" spans="1:14" s="15" x14ac:dyDescent="0.35">
      <c r="A271" s="502">
        <v>100011678</v>
      </c>
      <c r="B271" s="505">
        <v>75063757</v>
      </c>
      <c r="C271" s="502" t="s">
        <v>512</v>
      </c>
      <c r="D271" s="502" t="s">
        <v>11</v>
      </c>
      <c r="E271" s="503" t="s">
        <v>33</v>
      </c>
      <c r="F271" s="502" t="s">
        <v>41</v>
      </c>
      <c r="G271" s="502" t="s">
        <v>35</v>
      </c>
      <c r="H271" s="502" t="s">
        <v>36</v>
      </c>
      <c r="I271" s="502" t="s">
        <v>109</v>
      </c>
      <c r="J271" s="65535" t="e">
        <f>VLOOKUP(A271,Catálogo!A:B,2,0)</f>
        <v>#N/A</v>
      </c>
      <c r="K271" s="65535" t="e">
        <f>VLOOKUP(A271,Catálogo!A:C,3,0)</f>
        <v>#N/A</v>
      </c>
      <c r="L271" s="65535" t="e">
        <f>VLOOKUP(A271,Catálogo!A:D,4,0)</f>
        <v>#N/A</v>
      </c>
      <c r="M271" s="65535"/>
      <c r="N271" s="15" t="e">
        <f>VLOOKUP(A271,[2]Hoja1!$B:$D,3,0)</f>
        <v>#N/A</v>
      </c>
    </row>
    <row r="272" spans="1:14" s="15" x14ac:dyDescent="0.35">
      <c r="A272" s="15">
        <v>100018490</v>
      </c>
      <c r="B272" s="505">
        <v>7501045300146</v>
      </c>
      <c r="C272" s="15" t="s">
        <v>513</v>
      </c>
      <c r="D272" s="502" t="s">
        <v>11</v>
      </c>
      <c r="E272" s="503" t="s">
        <v>33</v>
      </c>
      <c r="F272" s="502" t="s">
        <v>41</v>
      </c>
      <c r="G272" s="502" t="s">
        <v>35</v>
      </c>
      <c r="H272" s="502" t="s">
        <v>36</v>
      </c>
      <c r="I272" s="502" t="s">
        <v>109</v>
      </c>
      <c r="J272" s="65535" t="e">
        <f>VLOOKUP(A272,Catálogo!A:B,2,0)</f>
        <v>#N/A</v>
      </c>
      <c r="K272" s="65535" t="e">
        <f>VLOOKUP(A272,Catálogo!A:C,3,0)</f>
        <v>#N/A</v>
      </c>
      <c r="L272" s="65535" t="e">
        <f>VLOOKUP(A272,Catálogo!A:D,4,0)</f>
        <v>#N/A</v>
      </c>
      <c r="M272" s="65535"/>
      <c r="N272" s="15" t="e">
        <f>VLOOKUP(A272,[2]Hoja1!$B:$D,3,0)</f>
        <v>#N/A</v>
      </c>
    </row>
    <row r="273" spans="1:14" s="15" x14ac:dyDescent="0.35">
      <c r="A273" s="15">
        <v>100013785</v>
      </c>
      <c r="B273" s="505">
        <v>75067892</v>
      </c>
      <c r="C273" s="15" t="s">
        <v>516</v>
      </c>
      <c r="D273" s="502" t="s">
        <v>11</v>
      </c>
      <c r="E273" s="503" t="s">
        <v>33</v>
      </c>
      <c r="F273" s="502" t="s">
        <v>41</v>
      </c>
      <c r="G273" s="502" t="s">
        <v>35</v>
      </c>
      <c r="H273" s="502" t="s">
        <v>36</v>
      </c>
      <c r="I273" s="502" t="s">
        <v>109</v>
      </c>
      <c r="J273" s="65535" t="e">
        <f>VLOOKUP(A273,Catálogo!A:B,2,0)</f>
        <v>#N/A</v>
      </c>
      <c r="K273" s="65535" t="e">
        <f>VLOOKUP(A273,Catálogo!A:C,3,0)</f>
        <v>#N/A</v>
      </c>
      <c r="L273" s="65535" t="e">
        <f>VLOOKUP(A273,Catálogo!A:D,4,0)</f>
        <v>#N/A</v>
      </c>
      <c r="M273" s="65535"/>
      <c r="N273" s="15" t="e">
        <f>VLOOKUP(A273,[2]Hoja1!$B:$D,3,0)</f>
        <v>#N/A</v>
      </c>
    </row>
    <row r="274" spans="1:14" s="15" x14ac:dyDescent="0.35">
      <c r="A274" s="502">
        <v>100013982</v>
      </c>
      <c r="B274" s="505">
        <v>75067823</v>
      </c>
      <c r="C274" s="502" t="s">
        <v>517</v>
      </c>
      <c r="D274" s="502" t="s">
        <v>11</v>
      </c>
      <c r="E274" s="503" t="s">
        <v>33</v>
      </c>
      <c r="F274" s="502" t="s">
        <v>41</v>
      </c>
      <c r="G274" s="502" t="s">
        <v>35</v>
      </c>
      <c r="H274" s="502" t="s">
        <v>36</v>
      </c>
      <c r="I274" s="502" t="s">
        <v>109</v>
      </c>
      <c r="J274" s="65535" t="e">
        <f>VLOOKUP(A274,Catálogo!A:B,2,0)</f>
        <v>#N/A</v>
      </c>
      <c r="K274" s="65535" t="e">
        <f>VLOOKUP(A274,Catálogo!A:C,3,0)</f>
        <v>#N/A</v>
      </c>
      <c r="L274" s="65535" t="e">
        <f>VLOOKUP(A274,Catálogo!A:D,4,0)</f>
        <v>#N/A</v>
      </c>
      <c r="M274" s="65535"/>
      <c r="N274" s="15" t="e">
        <f>VLOOKUP(A274,[2]Hoja1!$B:$D,3,0)</f>
        <v>#N/A</v>
      </c>
    </row>
    <row r="275" spans="1:14" s="15" x14ac:dyDescent="0.35">
      <c r="A275" s="15">
        <v>100080979</v>
      </c>
      <c r="B275" s="505">
        <v>75049584</v>
      </c>
      <c r="C275" s="15" t="s">
        <v>519</v>
      </c>
      <c r="D275" s="502" t="s">
        <v>11</v>
      </c>
      <c r="E275" s="503" t="s">
        <v>33</v>
      </c>
      <c r="F275" s="502" t="s">
        <v>41</v>
      </c>
      <c r="G275" s="502" t="s">
        <v>54</v>
      </c>
      <c r="H275" s="502" t="s">
        <v>36</v>
      </c>
      <c r="I275" s="502" t="s">
        <v>109</v>
      </c>
      <c r="J275" s="65535" t="e">
        <f>VLOOKUP(A275,Catálogo!A:B,2,0)</f>
        <v>#N/A</v>
      </c>
      <c r="K275" s="65535" t="e">
        <f>VLOOKUP(A275,Catálogo!A:C,3,0)</f>
        <v>#N/A</v>
      </c>
      <c r="L275" s="65535" t="e">
        <f>VLOOKUP(A275,Catálogo!A:D,4,0)</f>
        <v>#N/A</v>
      </c>
      <c r="M275" s="65535"/>
      <c r="N275" s="15" t="e">
        <f>VLOOKUP(A275,[2]Hoja1!$B:$D,3,0)</f>
        <v>#N/A</v>
      </c>
    </row>
    <row r="276" spans="1:14" s="15" x14ac:dyDescent="0.35">
      <c r="A276" s="502">
        <v>100019960</v>
      </c>
      <c r="B276" s="505">
        <v>7503031950113</v>
      </c>
      <c r="C276" s="502" t="s">
        <v>521</v>
      </c>
      <c r="D276" s="503" t="s">
        <v>11</v>
      </c>
      <c r="E276" s="503" t="s">
        <v>33</v>
      </c>
      <c r="F276" s="502" t="s">
        <v>41</v>
      </c>
      <c r="G276" s="502" t="s">
        <v>14</v>
      </c>
      <c r="H276" s="502" t="s">
        <v>36</v>
      </c>
      <c r="I276" s="502" t="s">
        <v>109</v>
      </c>
      <c r="J276" s="65535" t="e">
        <f>VLOOKUP(A276,Catálogo!A:B,2,0)</f>
        <v>#N/A</v>
      </c>
      <c r="K276" s="65535" t="e">
        <f>VLOOKUP(A276,Catálogo!A:C,3,0)</f>
        <v>#N/A</v>
      </c>
      <c r="L276" s="65535" t="e">
        <f>VLOOKUP(A276,Catálogo!A:D,4,0)</f>
        <v>#N/A</v>
      </c>
      <c r="M276" s="65535"/>
      <c r="N276" s="15" t="e">
        <f>VLOOKUP(A276,[2]Hoja1!$B:$D,3,0)</f>
        <v>#N/A</v>
      </c>
    </row>
    <row r="277" spans="1:14" s="15" x14ac:dyDescent="0.35">
      <c r="A277" s="502">
        <v>100019961</v>
      </c>
      <c r="B277" s="505">
        <v>7503031950106</v>
      </c>
      <c r="C277" s="502" t="s">
        <v>522</v>
      </c>
      <c r="D277" s="503" t="s">
        <v>11</v>
      </c>
      <c r="E277" s="503" t="s">
        <v>33</v>
      </c>
      <c r="F277" s="502" t="s">
        <v>41</v>
      </c>
      <c r="G277" s="502" t="s">
        <v>54</v>
      </c>
      <c r="H277" s="502" t="s">
        <v>36</v>
      </c>
      <c r="I277" s="502" t="s">
        <v>109</v>
      </c>
      <c r="J277" s="65535" t="e">
        <f>VLOOKUP(A277,Catálogo!A:B,2,0)</f>
        <v>#N/A</v>
      </c>
      <c r="K277" s="65535" t="e">
        <f>VLOOKUP(A277,Catálogo!A:C,3,0)</f>
        <v>#N/A</v>
      </c>
      <c r="L277" s="65535" t="e">
        <f>VLOOKUP(A277,Catálogo!A:D,4,0)</f>
        <v>#N/A</v>
      </c>
      <c r="M277" s="65535"/>
      <c r="N277" s="15" t="e">
        <f>VLOOKUP(A277,[2]Hoja1!$B:$D,3,0)</f>
        <v>#N/A</v>
      </c>
    </row>
    <row r="278" spans="1:14" s="15" x14ac:dyDescent="0.35">
      <c r="A278" s="502">
        <v>100014579</v>
      </c>
      <c r="B278" s="505">
        <v>75069773</v>
      </c>
      <c r="C278" s="502" t="s">
        <v>523</v>
      </c>
      <c r="D278" s="503" t="s">
        <v>11</v>
      </c>
      <c r="E278" s="503" t="s">
        <v>33</v>
      </c>
      <c r="F278" s="502" t="s">
        <v>41</v>
      </c>
      <c r="G278" s="502" t="s">
        <v>14</v>
      </c>
      <c r="H278" s="502" t="s">
        <v>36</v>
      </c>
      <c r="I278" s="502" t="s">
        <v>109</v>
      </c>
      <c r="J278" s="65535" t="e">
        <f>VLOOKUP(A278,Catálogo!A:B,2,0)</f>
        <v>#N/A</v>
      </c>
      <c r="K278" s="65535" t="e">
        <f>VLOOKUP(A278,Catálogo!A:C,3,0)</f>
        <v>#N/A</v>
      </c>
      <c r="L278" s="65535" t="e">
        <f>VLOOKUP(A278,Catálogo!A:D,4,0)</f>
        <v>#N/A</v>
      </c>
      <c r="M278" s="65535"/>
      <c r="N278" s="15" t="e">
        <f>VLOOKUP(A278,[2]Hoja1!$B:$D,3,0)</f>
        <v>#N/A</v>
      </c>
    </row>
    <row r="279" spans="1:14" s="15" x14ac:dyDescent="0.35">
      <c r="A279" s="502">
        <v>100080958</v>
      </c>
      <c r="B279" s="505">
        <v>75047498</v>
      </c>
      <c r="C279" s="502" t="s">
        <v>524</v>
      </c>
      <c r="D279" s="503" t="s">
        <v>11</v>
      </c>
      <c r="E279" s="503" t="s">
        <v>33</v>
      </c>
      <c r="F279" s="502" t="s">
        <v>41</v>
      </c>
      <c r="G279" s="502" t="s">
        <v>35</v>
      </c>
      <c r="H279" s="502" t="s">
        <v>36</v>
      </c>
      <c r="I279" s="502" t="s">
        <v>109</v>
      </c>
      <c r="J279" s="65535" t="e">
        <f>VLOOKUP(A279,Catálogo!A:B,2,0)</f>
        <v>#N/A</v>
      </c>
      <c r="K279" s="65535" t="e">
        <f>VLOOKUP(A279,Catálogo!A:C,3,0)</f>
        <v>#N/A</v>
      </c>
      <c r="L279" s="65535" t="e">
        <f>VLOOKUP(A279,Catálogo!A:D,4,0)</f>
        <v>#N/A</v>
      </c>
      <c r="M279" s="65535"/>
      <c r="N279" s="15" t="e">
        <f>VLOOKUP(A279,[2]Hoja1!$B:$D,3,0)</f>
        <v>#N/A</v>
      </c>
    </row>
    <row r="280" spans="1:14" s="15" x14ac:dyDescent="0.35">
      <c r="A280" s="502">
        <v>100080961</v>
      </c>
      <c r="B280" s="505">
        <v>75047467</v>
      </c>
      <c r="C280" s="502" t="s">
        <v>525</v>
      </c>
      <c r="D280" s="503" t="s">
        <v>11</v>
      </c>
      <c r="E280" s="503" t="s">
        <v>33</v>
      </c>
      <c r="F280" s="502" t="s">
        <v>41</v>
      </c>
      <c r="G280" s="502" t="s">
        <v>14</v>
      </c>
      <c r="H280" s="502" t="s">
        <v>36</v>
      </c>
      <c r="I280" s="502" t="s">
        <v>109</v>
      </c>
      <c r="J280" s="65535" t="e">
        <f>VLOOKUP(A280,Catálogo!A:B,2,0)</f>
        <v>#N/A</v>
      </c>
      <c r="K280" s="65535" t="e">
        <f>VLOOKUP(A280,Catálogo!A:C,3,0)</f>
        <v>#N/A</v>
      </c>
      <c r="L280" s="65535" t="e">
        <f>VLOOKUP(A280,Catálogo!A:D,4,0)</f>
        <v>#N/A</v>
      </c>
      <c r="M280" s="65535"/>
      <c r="N280" s="15" t="e">
        <f>VLOOKUP(A280,[2]Hoja1!$B:$D,3,0)</f>
        <v>#N/A</v>
      </c>
    </row>
    <row r="281" spans="1:14" s="15" x14ac:dyDescent="0.35">
      <c r="A281" s="502">
        <v>100012203</v>
      </c>
      <c r="B281" s="505">
        <v>75061715</v>
      </c>
      <c r="C281" s="502" t="s">
        <v>526</v>
      </c>
      <c r="D281" s="503" t="s">
        <v>11</v>
      </c>
      <c r="E281" s="503" t="s">
        <v>33</v>
      </c>
      <c r="F281" s="502" t="s">
        <v>41</v>
      </c>
      <c r="G281" s="503" t="s">
        <v>71</v>
      </c>
      <c r="H281" s="502" t="s">
        <v>36</v>
      </c>
      <c r="I281" s="502" t="s">
        <v>109</v>
      </c>
      <c r="J281" s="65535" t="e">
        <f>VLOOKUP(A281,Catálogo!A:B,2,0)</f>
        <v>#N/A</v>
      </c>
      <c r="K281" s="65535" t="e">
        <f>VLOOKUP(A281,Catálogo!A:C,3,0)</f>
        <v>#N/A</v>
      </c>
      <c r="L281" s="65535" t="e">
        <f>VLOOKUP(A281,Catálogo!A:D,4,0)</f>
        <v>#N/A</v>
      </c>
      <c r="M281" s="65535"/>
      <c r="N281" s="15" t="e">
        <f>VLOOKUP(A281,[2]Hoja1!$B:$D,3,0)</f>
        <v>#N/A</v>
      </c>
    </row>
    <row r="282" spans="1:14" s="15" x14ac:dyDescent="0.35">
      <c r="A282" s="502">
        <v>100014243</v>
      </c>
      <c r="B282" s="505">
        <v>7503023959131</v>
      </c>
      <c r="C282" s="502" t="s">
        <v>539</v>
      </c>
      <c r="D282" s="503" t="s">
        <v>32</v>
      </c>
      <c r="E282" s="503" t="s">
        <v>33</v>
      </c>
      <c r="F282" s="502" t="s">
        <v>46</v>
      </c>
      <c r="G282" s="502" t="s">
        <v>35</v>
      </c>
      <c r="H282" s="502" t="s">
        <v>36</v>
      </c>
      <c r="I282" s="502" t="s">
        <v>247</v>
      </c>
      <c r="J282" s="65535" t="e">
        <f>VLOOKUP(A282,Catálogo!A:B,2,0)</f>
        <v>#N/A</v>
      </c>
      <c r="K282" s="65535" t="e">
        <f>VLOOKUP(A282,Catálogo!A:C,3,0)</f>
        <v>#N/A</v>
      </c>
      <c r="L282" s="65535" t="e">
        <f>VLOOKUP(A282,Catálogo!A:D,4,0)</f>
        <v>#N/A</v>
      </c>
      <c r="M282" s="65535"/>
      <c r="N282" s="15" t="e">
        <f>VLOOKUP(A282,[2]Hoja1!$B:$D,3,0)</f>
        <v>#N/A</v>
      </c>
    </row>
    <row r="283" spans="1:14" s="15" x14ac:dyDescent="0.35">
      <c r="A283" s="502">
        <v>100015187</v>
      </c>
      <c r="B283" s="505">
        <v>75068752</v>
      </c>
      <c r="C283" s="502" t="s">
        <v>544</v>
      </c>
      <c r="D283" s="503" t="s">
        <v>11</v>
      </c>
      <c r="E283" s="503" t="s">
        <v>33</v>
      </c>
      <c r="F283" s="503" t="s">
        <v>39</v>
      </c>
      <c r="G283" s="503" t="s">
        <v>71</v>
      </c>
      <c r="H283" s="502" t="s">
        <v>36</v>
      </c>
      <c r="I283" s="502" t="s">
        <v>109</v>
      </c>
      <c r="J283" s="65535" t="e">
        <f>VLOOKUP(A283,Catálogo!A:B,2,0)</f>
        <v>#N/A</v>
      </c>
      <c r="K283" s="65535" t="e">
        <f>VLOOKUP(A283,Catálogo!A:C,3,0)</f>
        <v>#N/A</v>
      </c>
      <c r="L283" s="65535" t="e">
        <f>VLOOKUP(A283,Catálogo!A:D,4,0)</f>
        <v>#N/A</v>
      </c>
      <c r="M283" s="65535"/>
      <c r="N283" s="15" t="e">
        <f>VLOOKUP(A283,[2]Hoja1!$B:$D,3,0)</f>
        <v>#N/A</v>
      </c>
    </row>
    <row r="284" spans="1:14" s="15" x14ac:dyDescent="0.35">
      <c r="A284" s="502">
        <v>100080033</v>
      </c>
      <c r="B284" s="505">
        <v>75001247</v>
      </c>
      <c r="C284" s="502" t="s">
        <v>546</v>
      </c>
      <c r="D284" s="503" t="s">
        <v>11</v>
      </c>
      <c r="E284" s="503" t="s">
        <v>33</v>
      </c>
      <c r="F284" s="503" t="s">
        <v>39</v>
      </c>
      <c r="G284" s="502" t="s">
        <v>54</v>
      </c>
      <c r="H284" s="502" t="s">
        <v>36</v>
      </c>
      <c r="I284" s="502" t="s">
        <v>109</v>
      </c>
      <c r="J284" s="65535" t="e">
        <f>VLOOKUP(A284,Catálogo!A:B,2,0)</f>
        <v>#N/A</v>
      </c>
      <c r="K284" s="65535" t="e">
        <f>VLOOKUP(A284,Catálogo!A:C,3,0)</f>
        <v>#N/A</v>
      </c>
      <c r="L284" s="65535" t="e">
        <f>VLOOKUP(A284,Catálogo!A:D,4,0)</f>
        <v>#N/A</v>
      </c>
      <c r="M284" s="65535"/>
      <c r="N284" s="15" t="e">
        <f>VLOOKUP(A284,[2]Hoja1!$B:$D,3,0)</f>
        <v>#N/A</v>
      </c>
    </row>
    <row r="285" spans="1:14" s="15" x14ac:dyDescent="0.35">
      <c r="A285" s="15">
        <v>100080439</v>
      </c>
      <c r="B285" s="505">
        <v>75016760</v>
      </c>
      <c r="C285" s="15" t="s">
        <v>548</v>
      </c>
      <c r="D285" s="502" t="s">
        <v>11</v>
      </c>
      <c r="E285" s="503" t="s">
        <v>33</v>
      </c>
      <c r="F285" s="502" t="s">
        <v>39</v>
      </c>
      <c r="G285" s="502" t="s">
        <v>71</v>
      </c>
      <c r="H285" s="502" t="s">
        <v>36</v>
      </c>
      <c r="I285" s="502" t="s">
        <v>109</v>
      </c>
      <c r="J285" s="65535" t="e">
        <f>VLOOKUP(A285,Catálogo!A:B,2,0)</f>
        <v>#N/A</v>
      </c>
      <c r="K285" s="65535" t="e">
        <f>VLOOKUP(A285,Catálogo!A:C,3,0)</f>
        <v>#N/A</v>
      </c>
      <c r="L285" s="65535" t="e">
        <f>VLOOKUP(A285,Catálogo!A:D,4,0)</f>
        <v>#N/A</v>
      </c>
      <c r="M285" s="65535"/>
      <c r="N285" s="15" t="e">
        <f>VLOOKUP(A285,[2]Hoja1!$B:$D,3,0)</f>
        <v>#N/A</v>
      </c>
    </row>
    <row r="286" spans="1:14" s="15" x14ac:dyDescent="0.35">
      <c r="A286" s="502">
        <v>100080926</v>
      </c>
      <c r="B286" s="505">
        <v>75045692</v>
      </c>
      <c r="C286" s="502" t="s">
        <v>551</v>
      </c>
      <c r="D286" s="502" t="s">
        <v>11</v>
      </c>
      <c r="E286" s="503" t="s">
        <v>33</v>
      </c>
      <c r="F286" s="502" t="s">
        <v>39</v>
      </c>
      <c r="G286" s="502" t="s">
        <v>54</v>
      </c>
      <c r="H286" s="502" t="s">
        <v>36</v>
      </c>
      <c r="I286" s="502" t="s">
        <v>109</v>
      </c>
      <c r="J286" s="65535" t="e">
        <f>VLOOKUP(A286,Catálogo!A:B,2,0)</f>
        <v>#N/A</v>
      </c>
      <c r="K286" s="65535" t="e">
        <f>VLOOKUP(A286,Catálogo!A:C,3,0)</f>
        <v>#N/A</v>
      </c>
      <c r="L286" s="65535" t="e">
        <f>VLOOKUP(A286,Catálogo!A:D,4,0)</f>
        <v>#N/A</v>
      </c>
      <c r="M286" s="65535"/>
      <c r="N286" s="15" t="e">
        <f>VLOOKUP(A286,[2]Hoja1!$B:$D,3,0)</f>
        <v>#N/A</v>
      </c>
    </row>
    <row r="287" spans="1:14" s="15" x14ac:dyDescent="0.35">
      <c r="A287" s="502">
        <v>100021888</v>
      </c>
      <c r="B287" s="502">
        <v>75077433</v>
      </c>
      <c r="C287" s="502" t="s">
        <v>344</v>
      </c>
      <c r="J287" s="65535" t="e">
        <f>VLOOKUP(A287,Catálogo!A:B,2,0)</f>
        <v>#N/A</v>
      </c>
      <c r="K287" s="65535" t="e">
        <f>VLOOKUP(A287,Catálogo!A:C,3,0)</f>
        <v>#N/A</v>
      </c>
      <c r="L287" s="65535" t="e">
        <f>VLOOKUP(A287,Catálogo!A:D,4,0)</f>
        <v>#N/A</v>
      </c>
      <c r="N287" s="15" t="e">
        <f>VLOOKUP(A287,[2]Hoja1!$B:$D,3,0)</f>
        <v>#N/A</v>
      </c>
    </row>
    <row r="288" spans="1:14" s="15" x14ac:dyDescent="0.35">
      <c r="A288" s="502">
        <v>100080808</v>
      </c>
      <c r="B288" s="505">
        <v>75030728</v>
      </c>
      <c r="C288" s="502" t="s">
        <v>371</v>
      </c>
      <c r="J288" s="65535" t="e">
        <f>VLOOKUP(A288,Catálogo!A:B,2,0)</f>
        <v>#N/A</v>
      </c>
      <c r="K288" s="65535" t="e">
        <f>VLOOKUP(A288,Catálogo!A:C,3,0)</f>
        <v>#N/A</v>
      </c>
      <c r="L288" s="65535" t="e">
        <f>VLOOKUP(A288,Catálogo!A:D,4,0)</f>
        <v>#N/A</v>
      </c>
      <c r="N288" s="15" t="e">
        <f>VLOOKUP(A288,[2]Hoja1!$B:$D,3,0)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4" sqref="B4"/>
    </sheetView>
  </sheetViews>
  <sheetFormatPr baseColWidth="10" defaultColWidth="11.453125" defaultRowHeight="14.5" x14ac:dyDescent="0.35"/>
  <cols>
    <col min="1" max="1" width="18.54296875" style="15" bestFit="1" customWidth="1"/>
    <col min="2" max="2" width="25.54296875" style="15" bestFit="1" customWidth="1"/>
    <col min="3" max="3" width="23.453125" style="15" customWidth="1"/>
    <col min="4" max="4" width="11.1796875" style="15" bestFit="1" customWidth="1"/>
    <col min="8" max="8" width="18.1796875" style="15" customWidth="1"/>
    <col min="9" max="9" width="19.54296875" style="15" customWidth="1"/>
    <col min="10" max="10" width="18.453125" style="15" customWidth="1"/>
    <col min="11" max="11" width="22.7265625" style="15" customWidth="1"/>
  </cols>
  <sheetData>
    <row r="1" spans="1:4" s="15" ht="47.15" customHeight="1" x14ac:dyDescent="0.35">
      <c r="A1" s="65535" t="s">
        <v>572</v>
      </c>
      <c r="B1" s="65535" t="s">
        <v>581</v>
      </c>
      <c r="C1" s="65535" t="s">
        <v>582</v>
      </c>
      <c r="D1" s="65535" t="s">
        <v>576</v>
      </c>
    </row>
    <row r="2" spans="1:4" s="15" ht="17.149999999999999" customHeight="1" x14ac:dyDescent="0.35">
      <c r="A2" s="15">
        <v>100004048</v>
      </c>
      <c r="B2" s="15">
        <v>4089408.1500000055</v>
      </c>
      <c r="C2" s="15">
        <v>51741</v>
      </c>
      <c r="D2" s="15">
        <v>75290.03839999983</v>
      </c>
    </row>
    <row r="3" spans="1:4" s="15" x14ac:dyDescent="0.35">
      <c r="A3" s="15">
        <v>100004788</v>
      </c>
      <c r="B3" s="15">
        <v>2675164.8499999996</v>
      </c>
      <c r="C3" s="15">
        <v>34869</v>
      </c>
      <c r="D3" s="15">
        <v>30288.765699999909</v>
      </c>
    </row>
    <row r="4" spans="1:4" s="15" x14ac:dyDescent="0.35">
      <c r="A4" s="15">
        <v>100005585</v>
      </c>
      <c r="B4" s="15">
        <v>7571725.9300000016</v>
      </c>
      <c r="C4" s="15">
        <v>107010</v>
      </c>
      <c r="D4" s="15">
        <v>371792.18620000128</v>
      </c>
    </row>
    <row r="5" spans="1:4" s="15" x14ac:dyDescent="0.35">
      <c r="A5" s="15">
        <v>100006294</v>
      </c>
      <c r="B5" s="15">
        <v>1028.3599999999999</v>
      </c>
      <c r="C5" s="15">
        <v>18</v>
      </c>
      <c r="D5" s="15">
        <v>4.0641999999999996</v>
      </c>
    </row>
    <row r="6" spans="1:4" s="15" x14ac:dyDescent="0.35">
      <c r="A6" s="15">
        <v>100006296</v>
      </c>
      <c r="B6" s="15">
        <v>4660.04</v>
      </c>
      <c r="C6" s="15">
        <v>77</v>
      </c>
      <c r="D6" s="15">
        <v>0</v>
      </c>
    </row>
    <row r="7" spans="1:4" s="15" x14ac:dyDescent="0.35">
      <c r="A7" s="15">
        <v>100006386</v>
      </c>
      <c r="B7" s="15">
        <v>109.26</v>
      </c>
      <c r="C7" s="15">
        <v>2</v>
      </c>
      <c r="D7" s="15">
        <v>0</v>
      </c>
    </row>
    <row r="8" spans="1:4" s="15" x14ac:dyDescent="0.35">
      <c r="A8" s="15">
        <v>100007108</v>
      </c>
      <c r="B8" s="15">
        <v>4514100.5200000023</v>
      </c>
      <c r="C8" s="15">
        <v>62657</v>
      </c>
      <c r="D8" s="15">
        <v>213386.81640000045</v>
      </c>
    </row>
    <row r="9" spans="1:4" s="15" x14ac:dyDescent="0.35">
      <c r="A9" s="15">
        <v>100008185</v>
      </c>
      <c r="B9" s="15">
        <v>444.44</v>
      </c>
      <c r="C9" s="15">
        <v>16</v>
      </c>
      <c r="D9" s="15">
        <v>0</v>
      </c>
    </row>
    <row r="10" spans="1:4" s="15" x14ac:dyDescent="0.35">
      <c r="A10" s="15">
        <v>100008441</v>
      </c>
      <c r="B10" s="15">
        <v>50.86</v>
      </c>
      <c r="C10" s="15">
        <v>1</v>
      </c>
      <c r="D10" s="15">
        <v>0</v>
      </c>
    </row>
    <row r="11" spans="1:4" s="15" x14ac:dyDescent="0.35">
      <c r="A11" s="15">
        <v>100008777</v>
      </c>
      <c r="B11" s="15">
        <v>254.31</v>
      </c>
      <c r="C11" s="15">
        <v>5</v>
      </c>
      <c r="D11" s="15">
        <v>0</v>
      </c>
    </row>
    <row r="12" spans="1:4" s="15" x14ac:dyDescent="0.35">
      <c r="A12" s="15">
        <v>100009230</v>
      </c>
      <c r="B12" s="15">
        <v>3398574.3900000216</v>
      </c>
      <c r="C12" s="15">
        <v>47178</v>
      </c>
      <c r="D12" s="15">
        <v>68105.148000000278</v>
      </c>
    </row>
    <row r="13" spans="1:4" s="15" x14ac:dyDescent="0.35">
      <c r="A13" s="15">
        <v>100009359</v>
      </c>
      <c r="B13" s="15">
        <v>709.6</v>
      </c>
      <c r="C13" s="15">
        <v>23</v>
      </c>
      <c r="D13" s="15">
        <v>0</v>
      </c>
    </row>
    <row r="14" spans="1:4" s="15" x14ac:dyDescent="0.35">
      <c r="A14" s="15">
        <v>100009364</v>
      </c>
      <c r="B14" s="15">
        <v>1854.4099999999999</v>
      </c>
      <c r="C14" s="15">
        <v>38</v>
      </c>
      <c r="D14" s="15">
        <v>0</v>
      </c>
    </row>
    <row r="15" spans="1:4" s="15" x14ac:dyDescent="0.35">
      <c r="A15" s="15">
        <v>100009916</v>
      </c>
      <c r="B15" s="15">
        <v>6206.9</v>
      </c>
      <c r="C15" s="15">
        <v>20</v>
      </c>
      <c r="D15" s="15">
        <v>0</v>
      </c>
    </row>
    <row r="16" spans="1:4" s="15" x14ac:dyDescent="0.35">
      <c r="A16" s="15">
        <v>100010332</v>
      </c>
      <c r="B16" s="15">
        <v>749.6099999999999</v>
      </c>
      <c r="C16" s="15">
        <v>11</v>
      </c>
      <c r="D16" s="15">
        <v>0</v>
      </c>
    </row>
    <row r="17" spans="1:4" s="15" x14ac:dyDescent="0.35">
      <c r="A17" s="15">
        <v>100010934</v>
      </c>
      <c r="B17" s="15">
        <v>732.76</v>
      </c>
      <c r="C17" s="15">
        <v>10</v>
      </c>
      <c r="D17" s="15">
        <v>0</v>
      </c>
    </row>
    <row r="18" spans="1:4" s="15" x14ac:dyDescent="0.35">
      <c r="A18" s="15">
        <v>100011380</v>
      </c>
      <c r="B18" s="15">
        <v>157.41</v>
      </c>
      <c r="C18" s="15">
        <v>2</v>
      </c>
      <c r="D18" s="15">
        <v>0</v>
      </c>
    </row>
    <row r="19" spans="1:4" s="15" x14ac:dyDescent="0.35">
      <c r="A19" s="15">
        <v>100011590</v>
      </c>
      <c r="B19" s="15">
        <v>1480.17</v>
      </c>
      <c r="C19" s="15">
        <v>18</v>
      </c>
      <c r="D19" s="15">
        <v>0</v>
      </c>
    </row>
    <row r="20" spans="1:4" s="15" x14ac:dyDescent="0.35">
      <c r="A20" s="15">
        <v>100011671</v>
      </c>
      <c r="B20" s="15">
        <v>550.86</v>
      </c>
      <c r="C20" s="15">
        <v>9</v>
      </c>
      <c r="D20" s="15">
        <v>0</v>
      </c>
    </row>
    <row r="21" spans="1:4" s="15" x14ac:dyDescent="0.35">
      <c r="A21" s="15">
        <v>100011672</v>
      </c>
      <c r="B21" s="15">
        <v>28959.699999999997</v>
      </c>
      <c r="C21" s="15">
        <v>568</v>
      </c>
      <c r="D21" s="15">
        <v>0</v>
      </c>
    </row>
    <row r="22" spans="1:4" s="15" x14ac:dyDescent="0.35">
      <c r="A22" s="15">
        <v>100011673</v>
      </c>
      <c r="B22" s="15">
        <v>2109.39</v>
      </c>
      <c r="C22" s="15">
        <v>37</v>
      </c>
      <c r="D22" s="15">
        <v>0</v>
      </c>
    </row>
    <row r="23" spans="1:4" s="15" x14ac:dyDescent="0.35">
      <c r="A23" s="15">
        <v>100011677</v>
      </c>
      <c r="B23" s="15">
        <v>3593.69</v>
      </c>
      <c r="C23" s="15">
        <v>112</v>
      </c>
      <c r="D23" s="15">
        <v>0</v>
      </c>
    </row>
    <row r="24" spans="1:4" s="15" x14ac:dyDescent="0.35">
      <c r="A24" s="15">
        <v>100011706</v>
      </c>
      <c r="B24" s="15">
        <v>83.33</v>
      </c>
      <c r="C24" s="15">
        <v>3</v>
      </c>
      <c r="D24" s="15">
        <v>0</v>
      </c>
    </row>
    <row r="25" spans="1:4" s="15" x14ac:dyDescent="0.35">
      <c r="A25" s="15">
        <v>100011708</v>
      </c>
      <c r="B25" s="15">
        <v>55.56</v>
      </c>
      <c r="C25" s="15">
        <v>2</v>
      </c>
      <c r="D25" s="15">
        <v>0</v>
      </c>
    </row>
    <row r="26" spans="1:4" s="15" x14ac:dyDescent="0.35">
      <c r="A26" s="15">
        <v>100012153</v>
      </c>
      <c r="B26" s="15">
        <v>2323550.9199999971</v>
      </c>
      <c r="C26" s="15">
        <v>30922</v>
      </c>
      <c r="D26" s="15">
        <v>52117.048199999881</v>
      </c>
    </row>
    <row r="27" spans="1:4" s="15" x14ac:dyDescent="0.35">
      <c r="A27" s="15">
        <v>100012202</v>
      </c>
      <c r="B27" s="15">
        <v>562.74</v>
      </c>
      <c r="C27" s="15">
        <v>13</v>
      </c>
      <c r="D27" s="15">
        <v>0</v>
      </c>
    </row>
    <row r="28" spans="1:4" s="15" x14ac:dyDescent="0.35">
      <c r="A28" s="15">
        <v>100012746</v>
      </c>
      <c r="B28" s="15">
        <v>4410777.7699999884</v>
      </c>
      <c r="C28" s="15">
        <v>62580</v>
      </c>
      <c r="D28" s="15">
        <v>166036.01080000051</v>
      </c>
    </row>
    <row r="29" spans="1:4" s="15" x14ac:dyDescent="0.35">
      <c r="A29" s="15">
        <v>100012957</v>
      </c>
      <c r="B29" s="15">
        <v>2485325.5199999991</v>
      </c>
      <c r="C29" s="15">
        <v>32665</v>
      </c>
      <c r="D29" s="15">
        <v>68352.192199999947</v>
      </c>
    </row>
    <row r="30" spans="1:4" s="15" x14ac:dyDescent="0.35">
      <c r="A30" s="15">
        <v>100012997</v>
      </c>
      <c r="B30" s="15">
        <v>3467849.9200000013</v>
      </c>
      <c r="C30" s="15">
        <v>49450</v>
      </c>
      <c r="D30" s="15">
        <v>120086.7035999998</v>
      </c>
    </row>
    <row r="31" spans="1:4" s="15" x14ac:dyDescent="0.35">
      <c r="A31" s="15">
        <v>100013075</v>
      </c>
      <c r="B31" s="15">
        <v>1097573.7799999996</v>
      </c>
      <c r="C31" s="15">
        <v>22895</v>
      </c>
      <c r="D31" s="15">
        <v>25422.972400000031</v>
      </c>
    </row>
    <row r="32" spans="1:4" s="15" x14ac:dyDescent="0.35">
      <c r="A32" s="15">
        <v>100013078</v>
      </c>
      <c r="B32" s="15">
        <v>651.72</v>
      </c>
      <c r="C32" s="15">
        <v>14</v>
      </c>
      <c r="D32" s="15">
        <v>0</v>
      </c>
    </row>
    <row r="33" spans="1:4" s="15" x14ac:dyDescent="0.35">
      <c r="A33" s="15">
        <v>100013110</v>
      </c>
      <c r="B33" s="15">
        <v>2160299.0399999926</v>
      </c>
      <c r="C33" s="15">
        <v>37705</v>
      </c>
      <c r="D33" s="15">
        <v>29057.843099999867</v>
      </c>
    </row>
    <row r="34" spans="1:4" s="15" x14ac:dyDescent="0.35">
      <c r="A34" s="15">
        <v>100013136</v>
      </c>
      <c r="B34" s="15">
        <v>4527073.5299999993</v>
      </c>
      <c r="C34" s="15">
        <v>64430</v>
      </c>
      <c r="D34" s="15">
        <v>244172.82250000068</v>
      </c>
    </row>
    <row r="35" spans="1:4" s="15" x14ac:dyDescent="0.35">
      <c r="A35" s="15">
        <v>100013301</v>
      </c>
      <c r="B35" s="15">
        <v>73.28</v>
      </c>
      <c r="C35" s="15">
        <v>1</v>
      </c>
      <c r="D35" s="15">
        <v>0</v>
      </c>
    </row>
    <row r="36" spans="1:4" s="15" x14ac:dyDescent="0.35">
      <c r="A36" s="15">
        <v>100013782</v>
      </c>
      <c r="B36" s="15">
        <v>129.31</v>
      </c>
      <c r="C36" s="15">
        <v>3</v>
      </c>
      <c r="D36" s="15">
        <v>0</v>
      </c>
    </row>
    <row r="37" spans="1:4" s="15" x14ac:dyDescent="0.35">
      <c r="A37" s="15">
        <v>100013891</v>
      </c>
      <c r="B37" s="15">
        <v>2596685.1200000038</v>
      </c>
      <c r="C37" s="15">
        <v>37832</v>
      </c>
      <c r="D37" s="15">
        <v>15108.862600000124</v>
      </c>
    </row>
    <row r="38" spans="1:4" s="15" x14ac:dyDescent="0.35">
      <c r="A38" s="15">
        <v>100013892</v>
      </c>
      <c r="B38" s="15">
        <v>948017.51000000024</v>
      </c>
      <c r="C38" s="15">
        <v>14000</v>
      </c>
      <c r="D38" s="15">
        <v>40570.44829999996</v>
      </c>
    </row>
    <row r="39" spans="1:4" s="15" x14ac:dyDescent="0.35">
      <c r="A39" s="15">
        <v>100013983</v>
      </c>
      <c r="B39" s="15">
        <v>593.48</v>
      </c>
      <c r="C39" s="15">
        <v>9</v>
      </c>
      <c r="D39" s="15">
        <v>0</v>
      </c>
    </row>
    <row r="40" spans="1:4" s="15" x14ac:dyDescent="0.35">
      <c r="A40" s="15">
        <v>100014187</v>
      </c>
      <c r="B40" s="15">
        <v>2534718.1700000037</v>
      </c>
      <c r="C40" s="15">
        <v>35934</v>
      </c>
      <c r="D40" s="15">
        <v>27779.945199999856</v>
      </c>
    </row>
    <row r="41" spans="1:4" s="15" x14ac:dyDescent="0.35">
      <c r="A41" s="15">
        <v>100014240</v>
      </c>
      <c r="B41" s="15">
        <v>53085.859999999979</v>
      </c>
      <c r="C41" s="15">
        <v>746</v>
      </c>
      <c r="D41" s="15">
        <v>45.182599999999994</v>
      </c>
    </row>
    <row r="42" spans="1:4" s="15" x14ac:dyDescent="0.35">
      <c r="A42" s="15">
        <v>100014242</v>
      </c>
      <c r="B42" s="15">
        <v>697.31999999999994</v>
      </c>
      <c r="C42" s="15">
        <v>10</v>
      </c>
      <c r="D42" s="15">
        <v>0</v>
      </c>
    </row>
    <row r="43" spans="1:4" s="15" x14ac:dyDescent="0.35">
      <c r="A43" s="15">
        <v>100014569</v>
      </c>
      <c r="B43" s="15">
        <v>3423857.7800000128</v>
      </c>
      <c r="C43" s="15">
        <v>59790</v>
      </c>
      <c r="D43" s="15">
        <v>117097.40069999987</v>
      </c>
    </row>
    <row r="44" spans="1:4" s="15" x14ac:dyDescent="0.35">
      <c r="A44" s="15">
        <v>100014570</v>
      </c>
      <c r="B44" s="15">
        <v>13233673.469999993</v>
      </c>
      <c r="C44" s="15">
        <v>173062</v>
      </c>
      <c r="D44" s="15">
        <v>815199.13080000004</v>
      </c>
    </row>
    <row r="45" spans="1:4" s="15" x14ac:dyDescent="0.35">
      <c r="A45" s="15">
        <v>100014571</v>
      </c>
      <c r="B45" s="15">
        <v>923.94</v>
      </c>
      <c r="C45" s="15">
        <v>13</v>
      </c>
      <c r="D45" s="15">
        <v>0</v>
      </c>
    </row>
    <row r="46" spans="1:4" s="15" x14ac:dyDescent="0.35">
      <c r="A46" s="15">
        <v>100014678</v>
      </c>
      <c r="B46" s="15">
        <v>543686.98999999941</v>
      </c>
      <c r="C46" s="15">
        <v>8702</v>
      </c>
      <c r="D46" s="15">
        <v>2076.3427999999899</v>
      </c>
    </row>
    <row r="47" spans="1:4" s="15" x14ac:dyDescent="0.35">
      <c r="A47" s="15">
        <v>100014711</v>
      </c>
      <c r="B47" s="15">
        <v>3712503.4199999971</v>
      </c>
      <c r="C47" s="15">
        <v>48488</v>
      </c>
      <c r="D47" s="15">
        <v>122791.0615999999</v>
      </c>
    </row>
    <row r="48" spans="1:4" s="15" x14ac:dyDescent="0.35">
      <c r="A48" s="15">
        <v>100014714</v>
      </c>
      <c r="B48" s="15">
        <v>4921768.3900000053</v>
      </c>
      <c r="C48" s="15">
        <v>62653</v>
      </c>
      <c r="D48" s="15">
        <v>232404.19309999936</v>
      </c>
    </row>
    <row r="49" spans="1:4" s="15" x14ac:dyDescent="0.35">
      <c r="A49" s="15">
        <v>100014718</v>
      </c>
      <c r="B49" s="15">
        <v>1569.8500000000001</v>
      </c>
      <c r="C49" s="15">
        <v>32</v>
      </c>
      <c r="D49" s="15">
        <v>0</v>
      </c>
    </row>
    <row r="50" spans="1:4" s="15" x14ac:dyDescent="0.35">
      <c r="A50" s="15">
        <v>100014772</v>
      </c>
      <c r="B50" s="15">
        <v>30749.089999999989</v>
      </c>
      <c r="C50" s="15">
        <v>360</v>
      </c>
      <c r="D50" s="15">
        <v>168.50480000000007</v>
      </c>
    </row>
    <row r="51" spans="1:4" s="15" x14ac:dyDescent="0.35">
      <c r="A51" s="15">
        <v>100014774</v>
      </c>
      <c r="B51" s="15">
        <v>54847.290000000008</v>
      </c>
      <c r="C51" s="15">
        <v>698</v>
      </c>
      <c r="D51" s="15">
        <v>357.20300000000015</v>
      </c>
    </row>
    <row r="52" spans="1:4" s="15" x14ac:dyDescent="0.35">
      <c r="A52" s="15">
        <v>100014775</v>
      </c>
      <c r="B52" s="15">
        <v>43584.429999999986</v>
      </c>
      <c r="C52" s="15">
        <v>407</v>
      </c>
      <c r="D52" s="15">
        <v>226.23210000000006</v>
      </c>
    </row>
    <row r="53" spans="1:4" s="15" x14ac:dyDescent="0.35">
      <c r="A53" s="15">
        <v>100014777</v>
      </c>
      <c r="B53" s="15">
        <v>48817.279999999984</v>
      </c>
      <c r="C53" s="15">
        <v>509</v>
      </c>
      <c r="D53" s="15">
        <v>292.20909999999986</v>
      </c>
    </row>
    <row r="54" spans="1:4" s="15" x14ac:dyDescent="0.35">
      <c r="A54" s="15">
        <v>100014778</v>
      </c>
      <c r="B54" s="15">
        <v>46569.700000000012</v>
      </c>
      <c r="C54" s="15">
        <v>435</v>
      </c>
      <c r="D54" s="15">
        <v>249.02630000000011</v>
      </c>
    </row>
    <row r="55" spans="1:4" s="15" x14ac:dyDescent="0.35">
      <c r="A55" s="15">
        <v>100014779</v>
      </c>
      <c r="B55" s="15">
        <v>56347.429999999978</v>
      </c>
      <c r="C55" s="15">
        <v>660</v>
      </c>
      <c r="D55" s="15">
        <v>348.27780000000007</v>
      </c>
    </row>
    <row r="56" spans="1:4" s="15" x14ac:dyDescent="0.35">
      <c r="A56" s="15">
        <v>100014850</v>
      </c>
      <c r="B56" s="15">
        <v>329501.45999999961</v>
      </c>
      <c r="C56" s="15">
        <v>4687</v>
      </c>
      <c r="D56" s="15">
        <v>4573.4296999999997</v>
      </c>
    </row>
    <row r="57" spans="1:4" s="15" x14ac:dyDescent="0.35">
      <c r="A57" s="15">
        <v>100014868</v>
      </c>
      <c r="B57" s="15">
        <v>2884068.1299999952</v>
      </c>
      <c r="C57" s="15">
        <v>37625</v>
      </c>
      <c r="D57" s="15">
        <v>37029.816800000001</v>
      </c>
    </row>
    <row r="58" spans="1:4" s="15" x14ac:dyDescent="0.35">
      <c r="A58" s="15">
        <v>100015037</v>
      </c>
      <c r="B58" s="15">
        <v>4128130.3800000022</v>
      </c>
      <c r="C58" s="15">
        <v>54130</v>
      </c>
      <c r="D58" s="15">
        <v>107828.61409999989</v>
      </c>
    </row>
    <row r="59" spans="1:4" s="15" x14ac:dyDescent="0.35">
      <c r="A59" s="15">
        <v>100015174</v>
      </c>
      <c r="B59" s="15">
        <v>16123.659999999998</v>
      </c>
      <c r="C59" s="15">
        <v>215</v>
      </c>
      <c r="D59" s="15">
        <v>0</v>
      </c>
    </row>
    <row r="60" spans="1:4" s="15" x14ac:dyDescent="0.35">
      <c r="A60" s="15">
        <v>100015186</v>
      </c>
      <c r="B60" s="15">
        <v>3997552.850000002</v>
      </c>
      <c r="C60" s="15">
        <v>69950</v>
      </c>
      <c r="D60" s="15">
        <v>190122.30260000026</v>
      </c>
    </row>
    <row r="61" spans="1:4" s="15" x14ac:dyDescent="0.35">
      <c r="A61" s="15">
        <v>100015215</v>
      </c>
      <c r="B61" s="15">
        <v>8150.73</v>
      </c>
      <c r="C61" s="15">
        <v>123</v>
      </c>
      <c r="D61" s="15">
        <v>0</v>
      </c>
    </row>
    <row r="62" spans="1:4" s="15" x14ac:dyDescent="0.35">
      <c r="A62" s="15">
        <v>100015219</v>
      </c>
      <c r="B62" s="15">
        <v>300</v>
      </c>
      <c r="C62" s="15">
        <v>4</v>
      </c>
      <c r="D62" s="15">
        <v>0</v>
      </c>
    </row>
    <row r="63" spans="1:4" s="15" x14ac:dyDescent="0.35">
      <c r="A63" s="15">
        <v>100015222</v>
      </c>
      <c r="B63" s="15">
        <v>301.72000000000003</v>
      </c>
      <c r="C63" s="15">
        <v>5</v>
      </c>
      <c r="D63" s="15">
        <v>0</v>
      </c>
    </row>
    <row r="64" spans="1:4" s="15" x14ac:dyDescent="0.35">
      <c r="A64" s="15">
        <v>100015341</v>
      </c>
      <c r="B64" s="15">
        <v>1295823.8699999962</v>
      </c>
      <c r="C64" s="15">
        <v>18819</v>
      </c>
      <c r="D64" s="15">
        <v>2622.9755000000005</v>
      </c>
    </row>
    <row r="65" spans="1:4" s="15" x14ac:dyDescent="0.35">
      <c r="A65" s="15">
        <v>100015416</v>
      </c>
      <c r="B65" s="15">
        <v>12857.049999999996</v>
      </c>
      <c r="C65" s="15">
        <v>187</v>
      </c>
      <c r="D65" s="15">
        <v>0</v>
      </c>
    </row>
    <row r="66" spans="1:4" s="15" x14ac:dyDescent="0.35">
      <c r="A66" s="15">
        <v>100015417</v>
      </c>
      <c r="B66" s="15">
        <v>8465.6799999999967</v>
      </c>
      <c r="C66" s="15">
        <v>124</v>
      </c>
      <c r="D66" s="15">
        <v>0</v>
      </c>
    </row>
    <row r="67" spans="1:4" s="15" x14ac:dyDescent="0.35">
      <c r="A67" s="15">
        <v>100015418</v>
      </c>
      <c r="B67" s="15">
        <v>9633.7299999999941</v>
      </c>
      <c r="C67" s="15">
        <v>139</v>
      </c>
      <c r="D67" s="15">
        <v>0</v>
      </c>
    </row>
    <row r="68" spans="1:4" s="15" x14ac:dyDescent="0.35">
      <c r="A68" s="15">
        <v>100015419</v>
      </c>
      <c r="B68" s="15">
        <v>3160.35</v>
      </c>
      <c r="C68" s="15">
        <v>47</v>
      </c>
      <c r="D68" s="15">
        <v>0</v>
      </c>
    </row>
    <row r="69" spans="1:4" s="15" x14ac:dyDescent="0.35">
      <c r="A69" s="15">
        <v>100015420</v>
      </c>
      <c r="B69" s="15">
        <v>1832.1799999999998</v>
      </c>
      <c r="C69" s="15">
        <v>27</v>
      </c>
      <c r="D69" s="15">
        <v>0</v>
      </c>
    </row>
    <row r="70" spans="1:4" s="15" x14ac:dyDescent="0.35">
      <c r="A70" s="15">
        <v>100015421</v>
      </c>
      <c r="B70" s="15">
        <v>1177.6100000000001</v>
      </c>
      <c r="C70" s="15">
        <v>17</v>
      </c>
      <c r="D70" s="15">
        <v>0</v>
      </c>
    </row>
    <row r="71" spans="1:4" s="15" x14ac:dyDescent="0.35">
      <c r="A71" s="15">
        <v>100015645</v>
      </c>
      <c r="B71" s="15">
        <v>4122.45</v>
      </c>
      <c r="C71" s="15">
        <v>55</v>
      </c>
      <c r="D71" s="15">
        <v>2.6171000000000002</v>
      </c>
    </row>
    <row r="72" spans="1:4" s="15" x14ac:dyDescent="0.35">
      <c r="A72" s="15">
        <v>100015648</v>
      </c>
      <c r="B72" s="15">
        <v>11470.859999999995</v>
      </c>
      <c r="C72" s="15">
        <v>170</v>
      </c>
      <c r="D72" s="15">
        <v>16.810400000000001</v>
      </c>
    </row>
    <row r="73" spans="1:4" s="15" x14ac:dyDescent="0.35">
      <c r="A73" s="15">
        <v>100016042</v>
      </c>
      <c r="B73" s="15">
        <v>10137.93</v>
      </c>
      <c r="C73" s="15">
        <v>160</v>
      </c>
      <c r="D73" s="15">
        <v>20.366500000000002</v>
      </c>
    </row>
    <row r="74" spans="1:4" s="15" x14ac:dyDescent="0.35">
      <c r="A74" s="15">
        <v>100016043</v>
      </c>
      <c r="B74" s="15">
        <v>6462.9199999999992</v>
      </c>
      <c r="C74" s="15">
        <v>102</v>
      </c>
      <c r="D74" s="15">
        <v>0</v>
      </c>
    </row>
    <row r="75" spans="1:4" s="15" x14ac:dyDescent="0.35">
      <c r="A75" s="15">
        <v>100016044</v>
      </c>
      <c r="B75" s="15">
        <v>10708.189999999999</v>
      </c>
      <c r="C75" s="15">
        <v>169</v>
      </c>
      <c r="D75" s="15">
        <v>4.5256999999999996</v>
      </c>
    </row>
    <row r="76" spans="1:4" s="15" x14ac:dyDescent="0.35">
      <c r="A76" s="15">
        <v>100016045</v>
      </c>
      <c r="B76" s="15">
        <v>11088.37</v>
      </c>
      <c r="C76" s="15">
        <v>175</v>
      </c>
      <c r="D76" s="15">
        <v>2.2629000000000001</v>
      </c>
    </row>
    <row r="77" spans="1:4" s="15" x14ac:dyDescent="0.35">
      <c r="A77" s="15">
        <v>100016254</v>
      </c>
      <c r="B77" s="15">
        <v>6354.7400000000007</v>
      </c>
      <c r="C77" s="15">
        <v>120</v>
      </c>
      <c r="D77" s="15">
        <v>0</v>
      </c>
    </row>
    <row r="78" spans="1:4" s="15" x14ac:dyDescent="0.35">
      <c r="A78" s="15">
        <v>100016411</v>
      </c>
      <c r="B78" s="15">
        <v>2730</v>
      </c>
      <c r="C78" s="15">
        <v>55</v>
      </c>
      <c r="D78" s="15">
        <v>0</v>
      </c>
    </row>
    <row r="79" spans="1:4" s="15" x14ac:dyDescent="0.35">
      <c r="A79" s="15">
        <v>100016412</v>
      </c>
      <c r="B79" s="15">
        <v>3900038.2999999984</v>
      </c>
      <c r="C79" s="15">
        <v>62606</v>
      </c>
      <c r="D79" s="15">
        <v>142490.18249999979</v>
      </c>
    </row>
    <row r="80" spans="1:4" s="15" x14ac:dyDescent="0.35">
      <c r="A80" s="15">
        <v>100016413</v>
      </c>
      <c r="B80" s="15">
        <v>2560846.5699999966</v>
      </c>
      <c r="C80" s="15">
        <v>40990</v>
      </c>
      <c r="D80" s="15">
        <v>43885.931700000147</v>
      </c>
    </row>
    <row r="81" spans="1:4" s="15" x14ac:dyDescent="0.35">
      <c r="A81" s="15">
        <v>100016443</v>
      </c>
      <c r="B81" s="15">
        <v>10657945.219999991</v>
      </c>
      <c r="C81" s="15">
        <v>151488</v>
      </c>
      <c r="D81" s="15">
        <v>716964.98930000025</v>
      </c>
    </row>
    <row r="82" spans="1:4" s="15" x14ac:dyDescent="0.35">
      <c r="A82" s="15">
        <v>100017182</v>
      </c>
      <c r="B82" s="15">
        <v>392222.21000000014</v>
      </c>
      <c r="C82" s="15">
        <v>11313</v>
      </c>
      <c r="D82" s="15">
        <v>1721.5673000000002</v>
      </c>
    </row>
    <row r="83" spans="1:4" s="15" x14ac:dyDescent="0.35">
      <c r="A83" s="15">
        <v>100017393</v>
      </c>
      <c r="B83" s="15">
        <v>52477.260000000009</v>
      </c>
      <c r="C83" s="15">
        <v>672</v>
      </c>
      <c r="D83" s="15">
        <v>33.341699999999996</v>
      </c>
    </row>
    <row r="84" spans="1:4" s="15" x14ac:dyDescent="0.35">
      <c r="A84" s="15">
        <v>100017624</v>
      </c>
      <c r="B84" s="15">
        <v>730.53</v>
      </c>
      <c r="C84" s="15">
        <v>10</v>
      </c>
      <c r="D84" s="15">
        <v>0</v>
      </c>
    </row>
    <row r="85" spans="1:4" s="15" x14ac:dyDescent="0.35">
      <c r="A85" s="15">
        <v>100017662</v>
      </c>
      <c r="B85" s="15">
        <v>733.33</v>
      </c>
      <c r="C85" s="15">
        <v>12</v>
      </c>
      <c r="D85" s="15">
        <v>0</v>
      </c>
    </row>
    <row r="86" spans="1:4" s="15" x14ac:dyDescent="0.35">
      <c r="A86" s="15">
        <v>100017980</v>
      </c>
      <c r="B86" s="15">
        <v>14366.799999999994</v>
      </c>
      <c r="C86" s="15">
        <v>211</v>
      </c>
      <c r="D86" s="15">
        <v>0</v>
      </c>
    </row>
    <row r="87" spans="1:4" s="15" x14ac:dyDescent="0.35">
      <c r="A87" s="15">
        <v>100017982</v>
      </c>
      <c r="B87" s="15">
        <v>2539767.290000008</v>
      </c>
      <c r="C87" s="15">
        <v>48902</v>
      </c>
      <c r="D87" s="15">
        <v>60118.93879999988</v>
      </c>
    </row>
    <row r="88" spans="1:4" s="15" x14ac:dyDescent="0.35">
      <c r="A88" s="15">
        <v>100018038</v>
      </c>
      <c r="B88" s="15">
        <v>1889262.6500000032</v>
      </c>
      <c r="C88" s="15">
        <v>36295</v>
      </c>
      <c r="D88" s="15">
        <v>22154.048000000083</v>
      </c>
    </row>
    <row r="89" spans="1:4" s="15" x14ac:dyDescent="0.35">
      <c r="A89" s="15">
        <v>100018586</v>
      </c>
      <c r="B89" s="15">
        <v>1617.81</v>
      </c>
      <c r="C89" s="15">
        <v>40</v>
      </c>
      <c r="D89" s="15">
        <v>0</v>
      </c>
    </row>
    <row r="90" spans="1:4" s="15" x14ac:dyDescent="0.35">
      <c r="A90" s="15">
        <v>100018638</v>
      </c>
      <c r="B90" s="15">
        <v>3853.5899999999983</v>
      </c>
      <c r="C90" s="15">
        <v>57</v>
      </c>
      <c r="D90" s="15">
        <v>0</v>
      </c>
    </row>
    <row r="91" spans="1:4" s="15" x14ac:dyDescent="0.35">
      <c r="A91" s="15">
        <v>100018639</v>
      </c>
      <c r="B91" s="15">
        <v>2547.69</v>
      </c>
      <c r="C91" s="15">
        <v>37</v>
      </c>
      <c r="D91" s="15">
        <v>0</v>
      </c>
    </row>
    <row r="92" spans="1:4" s="15" x14ac:dyDescent="0.35">
      <c r="A92" s="15">
        <v>100018656</v>
      </c>
      <c r="B92" s="15">
        <v>2559767.7400000002</v>
      </c>
      <c r="C92" s="15">
        <v>36321</v>
      </c>
      <c r="D92" s="15">
        <v>53848.404399999854</v>
      </c>
    </row>
    <row r="93" spans="1:4" s="15" x14ac:dyDescent="0.35">
      <c r="A93" s="15">
        <v>100018745</v>
      </c>
      <c r="B93" s="15">
        <v>1997063.4300000041</v>
      </c>
      <c r="C93" s="15">
        <v>41942</v>
      </c>
      <c r="D93" s="15">
        <v>35325.450499999853</v>
      </c>
    </row>
    <row r="94" spans="1:4" s="15" x14ac:dyDescent="0.35">
      <c r="A94" s="15">
        <v>100018746</v>
      </c>
      <c r="B94" s="15">
        <v>2042704.7300000021</v>
      </c>
      <c r="C94" s="15">
        <v>42969</v>
      </c>
      <c r="D94" s="15">
        <v>11229.353200000151</v>
      </c>
    </row>
    <row r="95" spans="1:4" s="15" x14ac:dyDescent="0.35">
      <c r="A95" s="15">
        <v>100018748</v>
      </c>
      <c r="B95" s="15">
        <v>437.03999999999996</v>
      </c>
      <c r="C95" s="15">
        <v>8</v>
      </c>
      <c r="D95" s="15">
        <v>0</v>
      </c>
    </row>
    <row r="96" spans="1:4" s="15" x14ac:dyDescent="0.35">
      <c r="A96" s="15">
        <v>100018872</v>
      </c>
      <c r="B96" s="15">
        <v>2857235.4299999978</v>
      </c>
      <c r="C96" s="15">
        <v>40554</v>
      </c>
      <c r="D96" s="15">
        <v>56515.163399999881</v>
      </c>
    </row>
    <row r="97" spans="1:4" s="15" x14ac:dyDescent="0.35">
      <c r="A97" s="15">
        <v>100018931</v>
      </c>
      <c r="B97" s="15">
        <v>7216.31</v>
      </c>
      <c r="C97" s="15">
        <v>93</v>
      </c>
      <c r="D97" s="15">
        <v>0</v>
      </c>
    </row>
    <row r="98" spans="1:4" s="15" x14ac:dyDescent="0.35">
      <c r="A98" s="15">
        <v>100019052</v>
      </c>
      <c r="B98" s="15">
        <v>6411.619999999999</v>
      </c>
      <c r="C98" s="15">
        <v>100</v>
      </c>
      <c r="D98" s="15">
        <v>0</v>
      </c>
    </row>
    <row r="99" spans="1:4" s="15" x14ac:dyDescent="0.35">
      <c r="A99" s="15">
        <v>100019228</v>
      </c>
      <c r="B99" s="15">
        <v>198424.39999999979</v>
      </c>
      <c r="C99" s="15">
        <v>3744</v>
      </c>
      <c r="D99" s="15">
        <v>174.72350000000003</v>
      </c>
    </row>
    <row r="100" spans="1:4" s="15" x14ac:dyDescent="0.35">
      <c r="A100" s="15">
        <v>100019230</v>
      </c>
      <c r="B100" s="15">
        <v>3474910.3699999982</v>
      </c>
      <c r="C100" s="15">
        <v>64444</v>
      </c>
      <c r="D100" s="15">
        <v>146345.27890000053</v>
      </c>
    </row>
    <row r="101" spans="1:4" s="15" x14ac:dyDescent="0.35">
      <c r="A101" s="15">
        <v>100019232</v>
      </c>
      <c r="B101" s="15">
        <v>602180.94000000053</v>
      </c>
      <c r="C101" s="15">
        <v>11295</v>
      </c>
      <c r="D101" s="15">
        <v>189.21499999999997</v>
      </c>
    </row>
    <row r="102" spans="1:4" s="15" x14ac:dyDescent="0.35">
      <c r="A102" s="15">
        <v>100019233</v>
      </c>
      <c r="B102" s="15">
        <v>2666707.9299999969</v>
      </c>
      <c r="C102" s="15">
        <v>49524</v>
      </c>
      <c r="D102" s="15">
        <v>55532.499899999886</v>
      </c>
    </row>
    <row r="103" spans="1:4" s="15" x14ac:dyDescent="0.35">
      <c r="A103" s="15">
        <v>100019234</v>
      </c>
      <c r="B103" s="15">
        <v>3673864.3399999947</v>
      </c>
      <c r="C103" s="15">
        <v>68329</v>
      </c>
      <c r="D103" s="15">
        <v>190979.40749999988</v>
      </c>
    </row>
    <row r="104" spans="1:4" s="15" x14ac:dyDescent="0.35">
      <c r="A104" s="15">
        <v>100019548</v>
      </c>
      <c r="B104" s="15">
        <v>9707.67</v>
      </c>
      <c r="C104" s="15">
        <v>140</v>
      </c>
      <c r="D104" s="15">
        <v>0</v>
      </c>
    </row>
    <row r="105" spans="1:4" s="15" x14ac:dyDescent="0.35">
      <c r="A105" s="15">
        <v>100019549</v>
      </c>
      <c r="B105" s="15">
        <v>3562.22</v>
      </c>
      <c r="C105" s="15">
        <v>51</v>
      </c>
      <c r="D105" s="15">
        <v>5.1725000000000003</v>
      </c>
    </row>
    <row r="106" spans="1:4" s="15" x14ac:dyDescent="0.35">
      <c r="A106" s="15">
        <v>100019550</v>
      </c>
      <c r="B106" s="15">
        <v>2907123.6100000059</v>
      </c>
      <c r="C106" s="15">
        <v>41314</v>
      </c>
      <c r="D106" s="15">
        <v>75220.587099999902</v>
      </c>
    </row>
    <row r="107" spans="1:4" s="15" x14ac:dyDescent="0.35">
      <c r="A107" s="15">
        <v>100019698</v>
      </c>
      <c r="B107" s="15">
        <v>73.28</v>
      </c>
      <c r="C107" s="15">
        <v>1</v>
      </c>
      <c r="D107" s="15">
        <v>0</v>
      </c>
    </row>
    <row r="108" spans="1:4" s="15" x14ac:dyDescent="0.35">
      <c r="A108" s="15">
        <v>100019959</v>
      </c>
      <c r="B108" s="15">
        <v>634.70000000000005</v>
      </c>
      <c r="C108" s="15">
        <v>9</v>
      </c>
      <c r="D108" s="15">
        <v>0</v>
      </c>
    </row>
    <row r="109" spans="1:4" s="15" x14ac:dyDescent="0.35">
      <c r="A109" s="15">
        <v>100019981</v>
      </c>
      <c r="B109" s="15">
        <v>2547219.2999999938</v>
      </c>
      <c r="C109" s="15">
        <v>36162</v>
      </c>
      <c r="D109" s="15">
        <v>54149.800099999906</v>
      </c>
    </row>
    <row r="110" spans="1:4" s="15" x14ac:dyDescent="0.35">
      <c r="A110" s="15">
        <v>100020133</v>
      </c>
      <c r="B110" s="15">
        <v>2401160.4000000055</v>
      </c>
      <c r="C110" s="15">
        <v>45316</v>
      </c>
      <c r="D110" s="15">
        <v>66371.922399999909</v>
      </c>
    </row>
    <row r="111" spans="1:4" s="15" x14ac:dyDescent="0.35">
      <c r="A111" s="15">
        <v>100020137</v>
      </c>
      <c r="B111" s="15">
        <v>40.520000000000003</v>
      </c>
      <c r="C111" s="15">
        <v>1</v>
      </c>
      <c r="D111" s="15">
        <v>0</v>
      </c>
    </row>
    <row r="112" spans="1:4" s="15" x14ac:dyDescent="0.35">
      <c r="A112" s="15">
        <v>100020528</v>
      </c>
      <c r="B112" s="15">
        <v>6689.73</v>
      </c>
      <c r="C112" s="15">
        <v>95</v>
      </c>
      <c r="D112" s="15">
        <v>2.6124999999999998</v>
      </c>
    </row>
    <row r="113" spans="1:4" s="15" x14ac:dyDescent="0.35">
      <c r="A113" s="15">
        <v>100020727</v>
      </c>
      <c r="B113" s="15">
        <v>2238.1799999999998</v>
      </c>
      <c r="C113" s="15">
        <v>32</v>
      </c>
      <c r="D113" s="15">
        <v>0</v>
      </c>
    </row>
    <row r="114" spans="1:4" s="15" x14ac:dyDescent="0.35">
      <c r="A114" s="15">
        <v>100020728</v>
      </c>
      <c r="B114" s="15">
        <v>4351.1899999999987</v>
      </c>
      <c r="C114" s="15">
        <v>63</v>
      </c>
      <c r="D114" s="15">
        <v>0</v>
      </c>
    </row>
    <row r="115" spans="1:4" s="15" x14ac:dyDescent="0.35">
      <c r="A115" s="15">
        <v>100020729</v>
      </c>
      <c r="B115" s="15">
        <v>1648.65</v>
      </c>
      <c r="C115" s="15">
        <v>24</v>
      </c>
      <c r="D115" s="15">
        <v>0</v>
      </c>
    </row>
    <row r="116" spans="1:4" s="15" x14ac:dyDescent="0.35">
      <c r="A116" s="15">
        <v>100020770</v>
      </c>
      <c r="B116" s="15">
        <v>1175.8700000000001</v>
      </c>
      <c r="C116" s="15">
        <v>16</v>
      </c>
      <c r="D116" s="15">
        <v>0</v>
      </c>
    </row>
    <row r="117" spans="1:4" s="15" x14ac:dyDescent="0.35">
      <c r="A117" s="15">
        <v>100020837</v>
      </c>
      <c r="B117" s="15">
        <v>1966732.2399999974</v>
      </c>
      <c r="C117" s="15">
        <v>53058</v>
      </c>
      <c r="D117" s="15">
        <v>67150.523600000219</v>
      </c>
    </row>
    <row r="118" spans="1:4" s="15" x14ac:dyDescent="0.35">
      <c r="A118" s="15">
        <v>100020838</v>
      </c>
      <c r="B118" s="15">
        <v>2628961.1200000038</v>
      </c>
      <c r="C118" s="15">
        <v>37305</v>
      </c>
      <c r="D118" s="15">
        <v>20483.065899999969</v>
      </c>
    </row>
    <row r="119" spans="1:4" s="15" x14ac:dyDescent="0.35">
      <c r="A119" s="15">
        <v>100020873</v>
      </c>
      <c r="B119" s="15">
        <v>259.26</v>
      </c>
      <c r="C119" s="15">
        <v>2</v>
      </c>
      <c r="D119" s="15">
        <v>0</v>
      </c>
    </row>
    <row r="120" spans="1:4" s="15" x14ac:dyDescent="0.35">
      <c r="A120" s="15">
        <v>100020877</v>
      </c>
      <c r="B120" s="15">
        <v>259.26</v>
      </c>
      <c r="C120" s="15">
        <v>2</v>
      </c>
      <c r="D120" s="15">
        <v>0</v>
      </c>
    </row>
    <row r="121" spans="1:4" s="15" x14ac:dyDescent="0.35">
      <c r="A121" s="15">
        <v>100020879</v>
      </c>
      <c r="B121" s="15">
        <v>129.63</v>
      </c>
      <c r="C121" s="15">
        <v>1</v>
      </c>
      <c r="D121" s="15">
        <v>0</v>
      </c>
    </row>
    <row r="122" spans="1:4" s="15" x14ac:dyDescent="0.35">
      <c r="A122" s="15">
        <v>100020882</v>
      </c>
      <c r="B122" s="15">
        <v>129.63</v>
      </c>
      <c r="C122" s="15">
        <v>1</v>
      </c>
      <c r="D122" s="15">
        <v>0</v>
      </c>
    </row>
    <row r="123" spans="1:4" s="15" x14ac:dyDescent="0.35">
      <c r="A123" s="15">
        <v>100020888</v>
      </c>
      <c r="B123" s="15">
        <v>518.52</v>
      </c>
      <c r="C123" s="15">
        <v>4</v>
      </c>
      <c r="D123" s="15">
        <v>0</v>
      </c>
    </row>
    <row r="124" spans="1:4" s="15" x14ac:dyDescent="0.35">
      <c r="A124" s="15">
        <v>100020899</v>
      </c>
      <c r="B124" s="15">
        <v>85.34</v>
      </c>
      <c r="C124" s="15">
        <v>1</v>
      </c>
      <c r="D124" s="15">
        <v>0</v>
      </c>
    </row>
    <row r="125" spans="1:4" s="15" x14ac:dyDescent="0.35">
      <c r="A125" s="15">
        <v>100020945</v>
      </c>
      <c r="B125" s="15">
        <v>1331821.1799999997</v>
      </c>
      <c r="C125" s="15">
        <v>35890</v>
      </c>
      <c r="D125" s="15">
        <v>22913.246300000166</v>
      </c>
    </row>
    <row r="126" spans="1:4" s="15" x14ac:dyDescent="0.35">
      <c r="A126" s="15">
        <v>100020969</v>
      </c>
      <c r="B126" s="15">
        <v>439258.4099999998</v>
      </c>
      <c r="C126" s="15">
        <v>9432</v>
      </c>
      <c r="D126" s="15">
        <v>26318.52740000001</v>
      </c>
    </row>
    <row r="127" spans="1:4" s="15" x14ac:dyDescent="0.35">
      <c r="A127" s="15">
        <v>100020970</v>
      </c>
      <c r="B127" s="15">
        <v>803003.93999999959</v>
      </c>
      <c r="C127" s="15">
        <v>23809</v>
      </c>
      <c r="D127" s="15">
        <v>49874.847900000044</v>
      </c>
    </row>
    <row r="128" spans="1:4" s="15" x14ac:dyDescent="0.35">
      <c r="A128" s="15">
        <v>100021048</v>
      </c>
      <c r="B128" s="15">
        <v>2376492.7600000058</v>
      </c>
      <c r="C128" s="15">
        <v>40880</v>
      </c>
      <c r="D128" s="15">
        <v>66227.740700000097</v>
      </c>
    </row>
    <row r="129" spans="1:4" s="15" x14ac:dyDescent="0.35">
      <c r="A129" s="15">
        <v>100021091</v>
      </c>
      <c r="B129" s="15">
        <v>965.52</v>
      </c>
      <c r="C129" s="15">
        <v>14</v>
      </c>
      <c r="D129" s="15">
        <v>4.9260999999999999</v>
      </c>
    </row>
    <row r="130" spans="1:4" s="15" x14ac:dyDescent="0.35">
      <c r="A130" s="15">
        <v>100021272</v>
      </c>
      <c r="B130" s="15">
        <v>9305.7100000000009</v>
      </c>
      <c r="C130" s="15">
        <v>298</v>
      </c>
      <c r="D130" s="15">
        <v>0</v>
      </c>
    </row>
    <row r="131" spans="1:4" s="15" x14ac:dyDescent="0.35">
      <c r="A131" s="15">
        <v>100021415</v>
      </c>
      <c r="B131" s="15">
        <v>225</v>
      </c>
      <c r="C131" s="15">
        <v>3</v>
      </c>
      <c r="D131" s="15">
        <v>0</v>
      </c>
    </row>
    <row r="132" spans="1:4" s="15" x14ac:dyDescent="0.35">
      <c r="A132" s="15">
        <v>100021421</v>
      </c>
      <c r="B132" s="15">
        <v>75</v>
      </c>
      <c r="C132" s="15">
        <v>1</v>
      </c>
      <c r="D132" s="15">
        <v>0</v>
      </c>
    </row>
    <row r="133" spans="1:4" s="15" x14ac:dyDescent="0.35">
      <c r="A133" s="15">
        <v>100021658</v>
      </c>
      <c r="B133" s="15">
        <v>1293294.7500000009</v>
      </c>
      <c r="C133" s="15">
        <v>34840</v>
      </c>
      <c r="D133" s="15">
        <v>33125.674000000072</v>
      </c>
    </row>
    <row r="134" spans="1:4" s="15" x14ac:dyDescent="0.35">
      <c r="A134" s="15">
        <v>100021790</v>
      </c>
      <c r="B134" s="15">
        <v>2607119.7399999974</v>
      </c>
      <c r="C134" s="15">
        <v>36982</v>
      </c>
      <c r="D134" s="15">
        <v>32369.318299999813</v>
      </c>
    </row>
    <row r="135" spans="1:4" s="15" x14ac:dyDescent="0.35">
      <c r="A135" s="15">
        <v>100021797</v>
      </c>
      <c r="B135" s="15">
        <v>287.04000000000002</v>
      </c>
      <c r="C135" s="15">
        <v>5</v>
      </c>
      <c r="D135" s="15">
        <v>0</v>
      </c>
    </row>
    <row r="136" spans="1:4" s="15" x14ac:dyDescent="0.35">
      <c r="A136" s="15">
        <v>100021813</v>
      </c>
      <c r="B136" s="15">
        <v>1372497.9099999985</v>
      </c>
      <c r="C136" s="15">
        <v>19415</v>
      </c>
      <c r="D136" s="15">
        <v>24975.018499999966</v>
      </c>
    </row>
    <row r="137" spans="1:4" s="15" x14ac:dyDescent="0.35">
      <c r="A137" s="15">
        <v>100021814</v>
      </c>
      <c r="B137" s="15">
        <v>8914.41</v>
      </c>
      <c r="C137" s="15">
        <v>122</v>
      </c>
      <c r="D137" s="15">
        <v>26.2728</v>
      </c>
    </row>
    <row r="138" spans="1:4" s="15" x14ac:dyDescent="0.35">
      <c r="A138" s="15">
        <v>100021886</v>
      </c>
      <c r="B138" s="15">
        <v>251.72</v>
      </c>
      <c r="C138" s="15">
        <v>4</v>
      </c>
      <c r="D138" s="15">
        <v>0</v>
      </c>
    </row>
    <row r="139" spans="1:4" s="15" x14ac:dyDescent="0.35">
      <c r="A139" s="15">
        <v>100021889</v>
      </c>
      <c r="B139" s="15">
        <v>55.56</v>
      </c>
      <c r="C139" s="15">
        <v>1</v>
      </c>
      <c r="D139" s="15">
        <v>0</v>
      </c>
    </row>
    <row r="140" spans="1:4" s="15" x14ac:dyDescent="0.35">
      <c r="A140" s="15">
        <v>100021950</v>
      </c>
      <c r="B140" s="15">
        <v>681755.40000000247</v>
      </c>
      <c r="C140" s="15">
        <v>14503</v>
      </c>
      <c r="D140" s="15">
        <v>23610.832100000007</v>
      </c>
    </row>
    <row r="141" spans="1:4" s="15" x14ac:dyDescent="0.35">
      <c r="A141" s="15">
        <v>100021977</v>
      </c>
      <c r="B141" s="15">
        <v>1206391.1499999987</v>
      </c>
      <c r="C141" s="15">
        <v>35274</v>
      </c>
      <c r="D141" s="15">
        <v>51420.226600000016</v>
      </c>
    </row>
    <row r="142" spans="1:4" s="15" x14ac:dyDescent="0.35">
      <c r="A142" s="15">
        <v>100021978</v>
      </c>
      <c r="B142" s="15">
        <v>1533206.1600000013</v>
      </c>
      <c r="C142" s="15">
        <v>29366</v>
      </c>
      <c r="D142" s="15">
        <v>34206.218900000153</v>
      </c>
    </row>
    <row r="143" spans="1:4" s="15" x14ac:dyDescent="0.35">
      <c r="A143" s="15">
        <v>100022054</v>
      </c>
      <c r="B143" s="15">
        <v>2434.4799999999996</v>
      </c>
      <c r="C143" s="15">
        <v>49</v>
      </c>
      <c r="D143" s="15">
        <v>4.0639000000000003</v>
      </c>
    </row>
    <row r="144" spans="1:4" s="15" x14ac:dyDescent="0.35">
      <c r="A144" s="15">
        <v>100022118</v>
      </c>
      <c r="B144" s="15">
        <v>3232814.08</v>
      </c>
      <c r="C144" s="15">
        <v>45966</v>
      </c>
      <c r="D144" s="15">
        <v>107243.95879999973</v>
      </c>
    </row>
    <row r="145" spans="1:4" s="15" x14ac:dyDescent="0.35">
      <c r="A145" s="15">
        <v>100022134</v>
      </c>
      <c r="B145" s="15">
        <v>670.37</v>
      </c>
      <c r="C145" s="15">
        <v>9</v>
      </c>
      <c r="D145" s="15">
        <v>0</v>
      </c>
    </row>
    <row r="146" spans="1:4" s="15" x14ac:dyDescent="0.35">
      <c r="A146" s="15">
        <v>100022136</v>
      </c>
      <c r="B146" s="15">
        <v>789.27</v>
      </c>
      <c r="C146" s="15">
        <v>11</v>
      </c>
      <c r="D146" s="15">
        <v>0</v>
      </c>
    </row>
    <row r="147" spans="1:4" s="15" x14ac:dyDescent="0.35">
      <c r="A147" s="15">
        <v>100022137</v>
      </c>
      <c r="B147" s="15">
        <v>4100.7699999999995</v>
      </c>
      <c r="C147" s="15">
        <v>56</v>
      </c>
      <c r="D147" s="15">
        <v>2.4632000000000001</v>
      </c>
    </row>
    <row r="148" spans="1:4" s="15" x14ac:dyDescent="0.35">
      <c r="A148" s="15">
        <v>100022138</v>
      </c>
      <c r="B148" s="15">
        <v>727.27</v>
      </c>
      <c r="C148" s="15">
        <v>10</v>
      </c>
      <c r="D148" s="15">
        <v>0</v>
      </c>
    </row>
    <row r="149" spans="1:4" s="15" x14ac:dyDescent="0.35">
      <c r="A149" s="15">
        <v>100022139</v>
      </c>
      <c r="B149" s="15">
        <v>1135.03</v>
      </c>
      <c r="C149" s="15">
        <v>16</v>
      </c>
      <c r="D149" s="15">
        <v>0</v>
      </c>
    </row>
    <row r="150" spans="1:4" s="15" x14ac:dyDescent="0.35">
      <c r="A150" s="15">
        <v>100022210</v>
      </c>
      <c r="B150" s="15">
        <v>1395.2</v>
      </c>
      <c r="C150" s="15">
        <v>20</v>
      </c>
      <c r="D150" s="15">
        <v>0</v>
      </c>
    </row>
    <row r="151" spans="1:4" s="15" x14ac:dyDescent="0.35">
      <c r="A151" s="15">
        <v>100022233</v>
      </c>
      <c r="B151" s="15">
        <v>2720110.1400000006</v>
      </c>
      <c r="C151" s="15">
        <v>38597</v>
      </c>
      <c r="D151" s="15">
        <v>54038.850199999724</v>
      </c>
    </row>
    <row r="152" spans="1:4" s="15" x14ac:dyDescent="0.35">
      <c r="A152" s="15">
        <v>100022276</v>
      </c>
      <c r="B152" s="15">
        <v>1228.6200000000001</v>
      </c>
      <c r="C152" s="15">
        <v>17</v>
      </c>
      <c r="D152" s="15">
        <v>0</v>
      </c>
    </row>
    <row r="153" spans="1:4" s="15" x14ac:dyDescent="0.35">
      <c r="A153" s="15">
        <v>100022331</v>
      </c>
      <c r="B153" s="15">
        <v>898.56000000000006</v>
      </c>
      <c r="C153" s="15">
        <v>17</v>
      </c>
      <c r="D153" s="15">
        <v>0</v>
      </c>
    </row>
    <row r="154" spans="1:4" s="15" x14ac:dyDescent="0.35">
      <c r="A154" s="15">
        <v>100022332</v>
      </c>
      <c r="B154" s="15">
        <v>2024.91</v>
      </c>
      <c r="C154" s="15">
        <v>38</v>
      </c>
      <c r="D154" s="15">
        <v>0</v>
      </c>
    </row>
    <row r="155" spans="1:4" s="15" x14ac:dyDescent="0.35">
      <c r="A155" s="15">
        <v>100022335</v>
      </c>
      <c r="B155" s="15">
        <v>2159749.6500000008</v>
      </c>
      <c r="C155" s="15">
        <v>45586</v>
      </c>
      <c r="D155" s="15">
        <v>73987.676199999871</v>
      </c>
    </row>
    <row r="156" spans="1:4" s="15" x14ac:dyDescent="0.35">
      <c r="A156" s="15">
        <v>100022336</v>
      </c>
      <c r="B156" s="15">
        <v>4786949.7300000107</v>
      </c>
      <c r="C156" s="15">
        <v>70280</v>
      </c>
      <c r="D156" s="15">
        <v>299846.07309999951</v>
      </c>
    </row>
    <row r="157" spans="1:4" s="15" x14ac:dyDescent="0.35">
      <c r="A157" s="15">
        <v>100022523</v>
      </c>
      <c r="B157" s="15">
        <v>2774747.2900000024</v>
      </c>
      <c r="C157" s="15">
        <v>44513</v>
      </c>
      <c r="D157" s="15">
        <v>60858.879200000149</v>
      </c>
    </row>
    <row r="158" spans="1:4" s="15" x14ac:dyDescent="0.35">
      <c r="A158" s="15">
        <v>100022784</v>
      </c>
      <c r="B158" s="15">
        <v>458.33</v>
      </c>
      <c r="C158" s="15">
        <v>5</v>
      </c>
      <c r="D158" s="15">
        <v>0</v>
      </c>
    </row>
    <row r="159" spans="1:4" s="15" x14ac:dyDescent="0.35">
      <c r="A159" s="15">
        <v>100022785</v>
      </c>
      <c r="B159" s="15">
        <v>648.15</v>
      </c>
      <c r="C159" s="15">
        <v>5</v>
      </c>
      <c r="D159" s="15">
        <v>0</v>
      </c>
    </row>
    <row r="160" spans="1:4" s="15" x14ac:dyDescent="0.35">
      <c r="A160" s="15">
        <v>100022845</v>
      </c>
      <c r="B160" s="15">
        <v>2120.06</v>
      </c>
      <c r="C160" s="15">
        <v>30</v>
      </c>
      <c r="D160" s="15">
        <v>0</v>
      </c>
    </row>
    <row r="161" spans="1:4" s="15" x14ac:dyDescent="0.35">
      <c r="A161" s="15">
        <v>100022846</v>
      </c>
      <c r="B161" s="15">
        <v>689.66</v>
      </c>
      <c r="C161" s="15">
        <v>10</v>
      </c>
      <c r="D161" s="15">
        <v>0</v>
      </c>
    </row>
    <row r="162" spans="1:4" s="15" x14ac:dyDescent="0.35">
      <c r="A162" s="15">
        <v>100022847</v>
      </c>
      <c r="B162" s="15">
        <v>1953.54</v>
      </c>
      <c r="C162" s="15">
        <v>27</v>
      </c>
      <c r="D162" s="15">
        <v>0</v>
      </c>
    </row>
    <row r="163" spans="1:4" s="15" x14ac:dyDescent="0.35">
      <c r="A163" s="15">
        <v>100022848</v>
      </c>
      <c r="B163" s="15">
        <v>2701.7</v>
      </c>
      <c r="C163" s="15">
        <v>37</v>
      </c>
      <c r="D163" s="15">
        <v>2.4632000000000001</v>
      </c>
    </row>
    <row r="164" spans="1:4" s="15" x14ac:dyDescent="0.35">
      <c r="A164" s="15">
        <v>100022849</v>
      </c>
      <c r="B164" s="15">
        <v>1628.67</v>
      </c>
      <c r="C164" s="15">
        <v>22</v>
      </c>
      <c r="D164" s="15">
        <v>0</v>
      </c>
    </row>
    <row r="165" spans="1:4" s="15" x14ac:dyDescent="0.35">
      <c r="A165" s="15">
        <v>100022965</v>
      </c>
      <c r="B165" s="15">
        <v>2613250.3399999966</v>
      </c>
      <c r="C165" s="15">
        <v>41872</v>
      </c>
      <c r="D165" s="15">
        <v>81319.805900000007</v>
      </c>
    </row>
    <row r="166" spans="1:4" s="15" x14ac:dyDescent="0.35">
      <c r="A166" s="15">
        <v>100022968</v>
      </c>
      <c r="B166" s="15">
        <v>3851.7299999999991</v>
      </c>
      <c r="C166" s="15">
        <v>55</v>
      </c>
      <c r="D166" s="15">
        <v>0</v>
      </c>
    </row>
    <row r="167" spans="1:4" s="15" x14ac:dyDescent="0.35">
      <c r="A167" s="15">
        <v>100022970</v>
      </c>
      <c r="B167" s="15">
        <v>341.37</v>
      </c>
      <c r="C167" s="15">
        <v>5</v>
      </c>
      <c r="D167" s="15">
        <v>0</v>
      </c>
    </row>
    <row r="168" spans="1:4" s="15" x14ac:dyDescent="0.35">
      <c r="A168" s="15">
        <v>100022971</v>
      </c>
      <c r="B168" s="15">
        <v>2073154.7199999888</v>
      </c>
      <c r="C168" s="15">
        <v>30359</v>
      </c>
      <c r="D168" s="15">
        <v>100505.10260000032</v>
      </c>
    </row>
    <row r="169" spans="1:4" s="15" x14ac:dyDescent="0.35">
      <c r="A169" s="15">
        <v>100022995</v>
      </c>
      <c r="B169" s="15">
        <v>772133.73999999627</v>
      </c>
      <c r="C169" s="15">
        <v>14522</v>
      </c>
      <c r="D169" s="15">
        <v>20684.378499999944</v>
      </c>
    </row>
    <row r="170" spans="1:4" s="15" x14ac:dyDescent="0.35">
      <c r="A170" s="15">
        <v>100022996</v>
      </c>
      <c r="B170" s="15">
        <v>322377.78999999934</v>
      </c>
      <c r="C170" s="15">
        <v>6830</v>
      </c>
      <c r="D170" s="15">
        <v>7206.2285000000093</v>
      </c>
    </row>
    <row r="171" spans="1:4" s="15" x14ac:dyDescent="0.35">
      <c r="A171" s="15">
        <v>100023126</v>
      </c>
      <c r="B171" s="15">
        <v>3483.33</v>
      </c>
      <c r="C171" s="15">
        <v>38</v>
      </c>
      <c r="D171" s="15">
        <v>0</v>
      </c>
    </row>
    <row r="172" spans="1:4" s="15" x14ac:dyDescent="0.35">
      <c r="A172" s="15">
        <v>100023311</v>
      </c>
      <c r="B172" s="15">
        <v>2705220.9100000006</v>
      </c>
      <c r="C172" s="15">
        <v>38421</v>
      </c>
      <c r="D172" s="15">
        <v>33512.664499999824</v>
      </c>
    </row>
    <row r="173" spans="1:4" s="15" x14ac:dyDescent="0.35">
      <c r="A173" s="15">
        <v>100023312</v>
      </c>
      <c r="B173" s="15">
        <v>2642142.2099999981</v>
      </c>
      <c r="C173" s="15">
        <v>37589</v>
      </c>
      <c r="D173" s="15">
        <v>41359.698499999773</v>
      </c>
    </row>
    <row r="174" spans="1:4" s="15" x14ac:dyDescent="0.35">
      <c r="A174" s="15">
        <v>100023317</v>
      </c>
      <c r="B174" s="15">
        <v>756094.70999999973</v>
      </c>
      <c r="C174" s="15">
        <v>14375</v>
      </c>
      <c r="D174" s="15">
        <v>46678.162399999957</v>
      </c>
    </row>
    <row r="175" spans="1:4" s="15" x14ac:dyDescent="0.35">
      <c r="A175" s="15">
        <v>100023361</v>
      </c>
      <c r="B175" s="15">
        <v>916.67000000000007</v>
      </c>
      <c r="C175" s="15">
        <v>15</v>
      </c>
      <c r="D175" s="15">
        <v>0</v>
      </c>
    </row>
    <row r="176" spans="1:4" s="15" x14ac:dyDescent="0.35">
      <c r="A176" s="15">
        <v>100023362</v>
      </c>
      <c r="B176" s="15">
        <v>524.71</v>
      </c>
      <c r="C176" s="15">
        <v>9</v>
      </c>
      <c r="D176" s="15">
        <v>0</v>
      </c>
    </row>
    <row r="177" spans="1:4" s="15" x14ac:dyDescent="0.35">
      <c r="A177" s="15">
        <v>100023422</v>
      </c>
      <c r="B177" s="15">
        <v>-222469.03000000003</v>
      </c>
      <c r="C177" s="15">
        <v>-2823</v>
      </c>
      <c r="D177" s="15">
        <v>14.2971</v>
      </c>
    </row>
    <row r="178" spans="1:4" s="15" x14ac:dyDescent="0.35">
      <c r="A178" s="15">
        <v>100023423</v>
      </c>
      <c r="B178" s="15">
        <v>13128.560000000003</v>
      </c>
      <c r="C178" s="15">
        <v>170</v>
      </c>
      <c r="D178" s="15">
        <v>14.277899999999999</v>
      </c>
    </row>
    <row r="179" spans="1:4" s="15" x14ac:dyDescent="0.35">
      <c r="A179" s="15">
        <v>100023424</v>
      </c>
      <c r="B179" s="15">
        <v>10811.630000000003</v>
      </c>
      <c r="C179" s="15">
        <v>141</v>
      </c>
      <c r="D179" s="15">
        <v>5.6879</v>
      </c>
    </row>
    <row r="180" spans="1:4" s="15" x14ac:dyDescent="0.35">
      <c r="A180" s="15">
        <v>100023425</v>
      </c>
      <c r="B180" s="15">
        <v>2197597.5699999994</v>
      </c>
      <c r="C180" s="15">
        <v>37815</v>
      </c>
      <c r="D180" s="15">
        <v>42952.100200000146</v>
      </c>
    </row>
    <row r="181" spans="1:4" s="15" x14ac:dyDescent="0.35">
      <c r="A181" s="15">
        <v>100023426</v>
      </c>
      <c r="B181" s="15">
        <v>67215.28</v>
      </c>
      <c r="C181" s="15">
        <v>1066</v>
      </c>
      <c r="D181" s="15">
        <v>49.448200000000014</v>
      </c>
    </row>
    <row r="182" spans="1:4" s="15" x14ac:dyDescent="0.35">
      <c r="A182" s="15">
        <v>100023679</v>
      </c>
      <c r="B182" s="15">
        <v>2240172.189999979</v>
      </c>
      <c r="C182" s="15">
        <v>32725</v>
      </c>
      <c r="D182" s="15">
        <v>61426.887700000072</v>
      </c>
    </row>
    <row r="183" spans="1:4" s="15" x14ac:dyDescent="0.35">
      <c r="A183" s="15">
        <v>100023680</v>
      </c>
      <c r="B183" s="15">
        <v>35041.860000000015</v>
      </c>
      <c r="C183" s="15">
        <v>504</v>
      </c>
      <c r="D183" s="15">
        <v>84.323799999999991</v>
      </c>
    </row>
    <row r="184" spans="1:4" s="15" x14ac:dyDescent="0.35">
      <c r="A184" s="15">
        <v>100023681</v>
      </c>
      <c r="B184" s="15">
        <v>2178300.8399999812</v>
      </c>
      <c r="C184" s="15">
        <v>31839</v>
      </c>
      <c r="D184" s="15">
        <v>51323.83020000004</v>
      </c>
    </row>
    <row r="185" spans="1:4" s="15" x14ac:dyDescent="0.35">
      <c r="A185" s="15">
        <v>100023682</v>
      </c>
      <c r="B185" s="15">
        <v>2241597.7699999865</v>
      </c>
      <c r="C185" s="15">
        <v>32719</v>
      </c>
      <c r="D185" s="15">
        <v>35701.936399999882</v>
      </c>
    </row>
    <row r="186" spans="1:4" s="15" x14ac:dyDescent="0.35">
      <c r="A186" s="15">
        <v>100023683</v>
      </c>
      <c r="B186" s="15">
        <v>21145.559999999987</v>
      </c>
      <c r="C186" s="15">
        <v>302</v>
      </c>
      <c r="D186" s="15">
        <v>24.137800000000002</v>
      </c>
    </row>
    <row r="187" spans="1:4" s="15" x14ac:dyDescent="0.35">
      <c r="A187" s="15">
        <v>100023684</v>
      </c>
      <c r="B187" s="15">
        <v>45466.620000000017</v>
      </c>
      <c r="C187" s="15">
        <v>664</v>
      </c>
      <c r="D187" s="15">
        <v>73.097999999999999</v>
      </c>
    </row>
    <row r="188" spans="1:4" s="15" x14ac:dyDescent="0.35">
      <c r="A188" s="15">
        <v>100023685</v>
      </c>
      <c r="B188" s="15">
        <v>2223477.1299999813</v>
      </c>
      <c r="C188" s="15">
        <v>32506</v>
      </c>
      <c r="D188" s="15">
        <v>51257.874800000085</v>
      </c>
    </row>
    <row r="189" spans="1:4" s="15" x14ac:dyDescent="0.35">
      <c r="A189" s="15">
        <v>100023686</v>
      </c>
      <c r="B189" s="15">
        <v>2247869.0799999763</v>
      </c>
      <c r="C189" s="15">
        <v>32863</v>
      </c>
      <c r="D189" s="15">
        <v>57134.646699999845</v>
      </c>
    </row>
    <row r="190" spans="1:4" s="15" x14ac:dyDescent="0.35">
      <c r="A190" s="15">
        <v>100023714</v>
      </c>
      <c r="B190" s="15">
        <v>1285.3600000000001</v>
      </c>
      <c r="C190" s="15">
        <v>21</v>
      </c>
      <c r="D190" s="15">
        <v>0</v>
      </c>
    </row>
    <row r="191" spans="1:4" s="15" x14ac:dyDescent="0.35">
      <c r="A191" s="15">
        <v>100023889</v>
      </c>
      <c r="B191" s="15">
        <v>413.79999999999995</v>
      </c>
      <c r="C191" s="15">
        <v>6</v>
      </c>
      <c r="D191" s="15">
        <v>4.9260999999999999</v>
      </c>
    </row>
    <row r="192" spans="1:4" s="15" x14ac:dyDescent="0.35">
      <c r="A192" s="15">
        <v>100023891</v>
      </c>
      <c r="B192" s="15">
        <v>488.79999999999995</v>
      </c>
      <c r="C192" s="15">
        <v>7</v>
      </c>
      <c r="D192" s="15">
        <v>4.9260999999999999</v>
      </c>
    </row>
    <row r="193" spans="1:4" s="15" x14ac:dyDescent="0.35">
      <c r="A193" s="15">
        <v>100023892</v>
      </c>
      <c r="B193" s="15">
        <v>4942.5499999999993</v>
      </c>
      <c r="C193" s="15">
        <v>71</v>
      </c>
      <c r="D193" s="15">
        <v>10.3996</v>
      </c>
    </row>
    <row r="194" spans="1:4" s="15" x14ac:dyDescent="0.35">
      <c r="A194" s="15">
        <v>100024134</v>
      </c>
      <c r="B194" s="15">
        <v>48812.000000000022</v>
      </c>
      <c r="C194" s="15">
        <v>677</v>
      </c>
      <c r="D194" s="15">
        <v>33.552300000000002</v>
      </c>
    </row>
    <row r="195" spans="1:4" s="15" x14ac:dyDescent="0.35">
      <c r="A195" s="15">
        <v>100024244</v>
      </c>
      <c r="B195" s="15">
        <v>2031286.9399999762</v>
      </c>
      <c r="C195" s="15">
        <v>29667</v>
      </c>
      <c r="D195" s="15">
        <v>37236.091499999937</v>
      </c>
    </row>
    <row r="196" spans="1:4" s="15" x14ac:dyDescent="0.35">
      <c r="A196" s="15">
        <v>100024246</v>
      </c>
      <c r="B196" s="15">
        <v>2018929.7999999805</v>
      </c>
      <c r="C196" s="15">
        <v>29502</v>
      </c>
      <c r="D196" s="15">
        <v>32296.749099999786</v>
      </c>
    </row>
    <row r="197" spans="1:4" s="15" x14ac:dyDescent="0.35">
      <c r="A197" s="15">
        <v>100024282</v>
      </c>
      <c r="B197" s="15">
        <v>491077.18000000191</v>
      </c>
      <c r="C197" s="15">
        <v>951</v>
      </c>
      <c r="D197" s="15">
        <v>3504.0030000000074</v>
      </c>
    </row>
    <row r="198" spans="1:4" s="15" x14ac:dyDescent="0.35">
      <c r="A198" s="15">
        <v>100024286</v>
      </c>
      <c r="B198" s="15">
        <v>889722.33000000403</v>
      </c>
      <c r="C198" s="15">
        <v>1723</v>
      </c>
      <c r="D198" s="15">
        <v>10346.035700000004</v>
      </c>
    </row>
    <row r="199" spans="1:4" s="15" x14ac:dyDescent="0.35">
      <c r="A199" s="15">
        <v>100024288</v>
      </c>
      <c r="B199" s="15">
        <v>346205.18000000005</v>
      </c>
      <c r="C199" s="15">
        <v>402</v>
      </c>
      <c r="D199" s="15">
        <v>1691.6576999999993</v>
      </c>
    </row>
    <row r="200" spans="1:4" s="15" x14ac:dyDescent="0.35">
      <c r="A200" s="15">
        <v>100024289</v>
      </c>
      <c r="B200" s="15">
        <v>1391872.7200000021</v>
      </c>
      <c r="C200" s="15">
        <v>24337</v>
      </c>
      <c r="D200" s="15">
        <v>5521.9734000000126</v>
      </c>
    </row>
    <row r="201" spans="1:4" s="15" x14ac:dyDescent="0.35">
      <c r="A201" s="15">
        <v>100024293</v>
      </c>
      <c r="B201" s="15">
        <v>1427090.5900000045</v>
      </c>
      <c r="C201" s="15">
        <v>24951</v>
      </c>
      <c r="D201" s="15">
        <v>3424.3335999999931</v>
      </c>
    </row>
    <row r="202" spans="1:4" s="15" x14ac:dyDescent="0.35">
      <c r="A202" s="15">
        <v>100024294</v>
      </c>
      <c r="B202" s="15">
        <v>1332924.600000001</v>
      </c>
      <c r="C202" s="15">
        <v>23301</v>
      </c>
      <c r="D202" s="15">
        <v>6122.6910000000062</v>
      </c>
    </row>
    <row r="203" spans="1:4" s="15" x14ac:dyDescent="0.35">
      <c r="A203" s="15">
        <v>100024295</v>
      </c>
      <c r="B203" s="15">
        <v>1474164.7700000056</v>
      </c>
      <c r="C203" s="15">
        <v>25796</v>
      </c>
      <c r="D203" s="15">
        <v>3702.0024999999964</v>
      </c>
    </row>
    <row r="204" spans="1:4" s="15" x14ac:dyDescent="0.35">
      <c r="A204" s="15">
        <v>100024303</v>
      </c>
      <c r="B204" s="15">
        <v>638.79999999999995</v>
      </c>
      <c r="C204" s="15">
        <v>9</v>
      </c>
      <c r="D204" s="15">
        <v>2.6785999999999999</v>
      </c>
    </row>
    <row r="205" spans="1:4" s="15" x14ac:dyDescent="0.35">
      <c r="A205" s="15">
        <v>100024304</v>
      </c>
      <c r="B205" s="15">
        <v>444.44</v>
      </c>
      <c r="C205" s="15">
        <v>6</v>
      </c>
      <c r="D205" s="15">
        <v>5.2907999999999999</v>
      </c>
    </row>
    <row r="206" spans="1:4" s="15" x14ac:dyDescent="0.35">
      <c r="A206" s="15">
        <v>100024305</v>
      </c>
      <c r="B206" s="15">
        <v>689.66</v>
      </c>
      <c r="C206" s="15">
        <v>10</v>
      </c>
      <c r="D206" s="15">
        <v>0</v>
      </c>
    </row>
    <row r="207" spans="1:4" s="15" x14ac:dyDescent="0.35">
      <c r="A207" s="15">
        <v>100024306</v>
      </c>
      <c r="B207" s="15">
        <v>2081.2800000000002</v>
      </c>
      <c r="C207" s="15">
        <v>29</v>
      </c>
      <c r="D207" s="15">
        <v>2.4632000000000001</v>
      </c>
    </row>
    <row r="208" spans="1:4" s="15" x14ac:dyDescent="0.35">
      <c r="A208" s="15">
        <v>100024320</v>
      </c>
      <c r="B208" s="15">
        <v>931626.78999999491</v>
      </c>
      <c r="C208" s="15">
        <v>17513</v>
      </c>
      <c r="D208" s="15">
        <v>43686.792999999954</v>
      </c>
    </row>
    <row r="209" spans="1:4" s="15" x14ac:dyDescent="0.35">
      <c r="A209" s="15">
        <v>100024321</v>
      </c>
      <c r="B209" s="15">
        <v>2305456.5399999903</v>
      </c>
      <c r="C209" s="15">
        <v>33589</v>
      </c>
      <c r="D209" s="15">
        <v>15203.026100000136</v>
      </c>
    </row>
    <row r="210" spans="1:4" s="15" x14ac:dyDescent="0.35">
      <c r="A210" s="15">
        <v>100024397</v>
      </c>
      <c r="B210" s="15">
        <v>1283283.4700000032</v>
      </c>
      <c r="C210" s="15">
        <v>22444</v>
      </c>
      <c r="D210" s="15">
        <v>8807.4686000000056</v>
      </c>
    </row>
    <row r="211" spans="1:4" s="15" x14ac:dyDescent="0.35">
      <c r="A211" s="15">
        <v>100024398</v>
      </c>
      <c r="B211" s="15">
        <v>1311180.7800000021</v>
      </c>
      <c r="C211" s="15">
        <v>22893</v>
      </c>
      <c r="D211" s="15">
        <v>6376.8366000000133</v>
      </c>
    </row>
    <row r="212" spans="1:4" s="15" x14ac:dyDescent="0.35">
      <c r="A212" s="15">
        <v>100024399</v>
      </c>
      <c r="B212" s="15">
        <v>1246342.8100000005</v>
      </c>
      <c r="C212" s="15">
        <v>21771</v>
      </c>
      <c r="D212" s="15">
        <v>10367.808999999983</v>
      </c>
    </row>
    <row r="213" spans="1:4" s="15" x14ac:dyDescent="0.35">
      <c r="A213" s="15">
        <v>100024400</v>
      </c>
      <c r="B213" s="15">
        <v>1360113.7300000037</v>
      </c>
      <c r="C213" s="15">
        <v>23782</v>
      </c>
      <c r="D213" s="15">
        <v>6055.8764000000147</v>
      </c>
    </row>
    <row r="214" spans="1:4" s="15" x14ac:dyDescent="0.35">
      <c r="A214" s="15">
        <v>100024415</v>
      </c>
      <c r="B214" s="15">
        <v>627276.87999999896</v>
      </c>
      <c r="C214" s="15">
        <v>10878</v>
      </c>
      <c r="D214" s="15">
        <v>1315.655499999996</v>
      </c>
    </row>
    <row r="215" spans="1:4" s="15" x14ac:dyDescent="0.35">
      <c r="A215" s="15">
        <v>100024416</v>
      </c>
      <c r="B215" s="15">
        <v>600647.349999998</v>
      </c>
      <c r="C215" s="15">
        <v>10446</v>
      </c>
      <c r="D215" s="15">
        <v>2508.8053999999952</v>
      </c>
    </row>
    <row r="216" spans="1:4" s="15" x14ac:dyDescent="0.35">
      <c r="A216" s="15">
        <v>100024417</v>
      </c>
      <c r="B216" s="15">
        <v>646052.8399999995</v>
      </c>
      <c r="C216" s="15">
        <v>11233</v>
      </c>
      <c r="D216" s="15">
        <v>1181.8832999999956</v>
      </c>
    </row>
    <row r="217" spans="1:4" s="15" x14ac:dyDescent="0.35">
      <c r="A217" s="15">
        <v>100024418</v>
      </c>
      <c r="B217" s="15">
        <v>614774.06999999762</v>
      </c>
      <c r="C217" s="15">
        <v>10689</v>
      </c>
      <c r="D217" s="15">
        <v>2977.9461999999944</v>
      </c>
    </row>
    <row r="218" spans="1:4" s="15" x14ac:dyDescent="0.35">
      <c r="A218" s="15">
        <v>100024419</v>
      </c>
      <c r="B218" s="15">
        <v>593400.71000000031</v>
      </c>
      <c r="C218" s="15">
        <v>10308</v>
      </c>
      <c r="D218" s="15">
        <v>1562.1390999999956</v>
      </c>
    </row>
    <row r="219" spans="1:4" s="15" x14ac:dyDescent="0.35">
      <c r="A219" s="15">
        <v>100024420</v>
      </c>
      <c r="B219" s="15">
        <v>623820.1199999986</v>
      </c>
      <c r="C219" s="15">
        <v>10874</v>
      </c>
      <c r="D219" s="15">
        <v>3284.6830999999966</v>
      </c>
    </row>
    <row r="220" spans="1:4" s="15" x14ac:dyDescent="0.35">
      <c r="A220" s="15">
        <v>100024462</v>
      </c>
      <c r="B220" s="15">
        <v>666624.60000000079</v>
      </c>
      <c r="C220" s="15">
        <v>11583</v>
      </c>
      <c r="D220" s="15">
        <v>1727.6310999999964</v>
      </c>
    </row>
    <row r="221" spans="1:4" s="15" x14ac:dyDescent="0.35">
      <c r="A221" s="15">
        <v>100024465</v>
      </c>
      <c r="B221" s="15">
        <v>638283.48999999918</v>
      </c>
      <c r="C221" s="15">
        <v>11110</v>
      </c>
      <c r="D221" s="15">
        <v>4645.8551000000052</v>
      </c>
    </row>
    <row r="222" spans="1:4" s="15" x14ac:dyDescent="0.35">
      <c r="A222" s="15">
        <v>100024596</v>
      </c>
      <c r="B222" s="15">
        <v>2597681.3000000031</v>
      </c>
      <c r="C222" s="15">
        <v>36889</v>
      </c>
      <c r="D222" s="15">
        <v>30607.274599999892</v>
      </c>
    </row>
    <row r="223" spans="1:4" s="15" x14ac:dyDescent="0.35">
      <c r="A223" s="15">
        <v>100024599</v>
      </c>
      <c r="B223" s="15">
        <v>521431.37999999983</v>
      </c>
      <c r="C223" s="15">
        <v>7116</v>
      </c>
      <c r="D223" s="15">
        <v>3166.5752999999995</v>
      </c>
    </row>
    <row r="224" spans="1:4" s="15" x14ac:dyDescent="0.35">
      <c r="A224" s="15">
        <v>100024712</v>
      </c>
      <c r="B224" s="15">
        <v>2361.12</v>
      </c>
      <c r="C224" s="15">
        <v>17</v>
      </c>
      <c r="D224" s="15">
        <v>0</v>
      </c>
    </row>
    <row r="225" spans="1:4" s="15" x14ac:dyDescent="0.35">
      <c r="A225" s="15">
        <v>100024715</v>
      </c>
      <c r="B225" s="15">
        <v>129.31</v>
      </c>
      <c r="C225" s="15">
        <v>1</v>
      </c>
      <c r="D225" s="15">
        <v>0</v>
      </c>
    </row>
    <row r="226" spans="1:4" s="15" x14ac:dyDescent="0.35">
      <c r="A226" s="15">
        <v>100024716</v>
      </c>
      <c r="B226" s="15">
        <v>555.55999999999995</v>
      </c>
      <c r="C226" s="15">
        <v>4</v>
      </c>
      <c r="D226" s="15">
        <v>0</v>
      </c>
    </row>
    <row r="227" spans="1:4" s="15" x14ac:dyDescent="0.35">
      <c r="A227" s="15">
        <v>100024718</v>
      </c>
      <c r="B227" s="15">
        <v>258.62</v>
      </c>
      <c r="C227" s="15">
        <v>2</v>
      </c>
      <c r="D227" s="15">
        <v>0</v>
      </c>
    </row>
    <row r="228" spans="1:4" s="15" x14ac:dyDescent="0.35">
      <c r="A228" s="15">
        <v>100024720</v>
      </c>
      <c r="B228" s="15">
        <v>6518.5200000000013</v>
      </c>
      <c r="C228" s="15">
        <v>22</v>
      </c>
      <c r="D228" s="15">
        <v>0</v>
      </c>
    </row>
    <row r="229" spans="1:4" s="15" x14ac:dyDescent="0.35">
      <c r="A229" s="15">
        <v>100024721</v>
      </c>
      <c r="B229" s="15">
        <v>7407.41</v>
      </c>
      <c r="C229" s="15">
        <v>25</v>
      </c>
      <c r="D229" s="15">
        <v>0</v>
      </c>
    </row>
    <row r="230" spans="1:4" s="15" x14ac:dyDescent="0.35">
      <c r="A230" s="15">
        <v>100024722</v>
      </c>
      <c r="B230" s="15">
        <v>11259.26</v>
      </c>
      <c r="C230" s="15">
        <v>38</v>
      </c>
      <c r="D230" s="15">
        <v>0</v>
      </c>
    </row>
    <row r="231" spans="1:4" s="15" x14ac:dyDescent="0.35">
      <c r="A231" s="15">
        <v>100024724</v>
      </c>
      <c r="B231" s="15">
        <v>296.3</v>
      </c>
      <c r="C231" s="15">
        <v>1</v>
      </c>
      <c r="D231" s="15">
        <v>0</v>
      </c>
    </row>
    <row r="232" spans="1:4" s="15" x14ac:dyDescent="0.35">
      <c r="A232" s="15">
        <v>100024725</v>
      </c>
      <c r="B232" s="15">
        <v>3812.2599999999998</v>
      </c>
      <c r="C232" s="15">
        <v>28</v>
      </c>
      <c r="D232" s="15">
        <v>0</v>
      </c>
    </row>
    <row r="233" spans="1:4" s="15" x14ac:dyDescent="0.35">
      <c r="A233" s="15">
        <v>100024726</v>
      </c>
      <c r="B233" s="15">
        <v>1037.04</v>
      </c>
      <c r="C233" s="15">
        <v>7</v>
      </c>
      <c r="D233" s="15">
        <v>0</v>
      </c>
    </row>
    <row r="234" spans="1:4" s="15" x14ac:dyDescent="0.35">
      <c r="A234" s="15">
        <v>100024727</v>
      </c>
      <c r="B234" s="15">
        <v>1185.18</v>
      </c>
      <c r="C234" s="15">
        <v>8</v>
      </c>
      <c r="D234" s="15">
        <v>0</v>
      </c>
    </row>
    <row r="235" spans="1:4" s="15" x14ac:dyDescent="0.35">
      <c r="A235" s="15">
        <v>100024728</v>
      </c>
      <c r="B235" s="15">
        <v>878.67000000000007</v>
      </c>
      <c r="C235" s="15">
        <v>6</v>
      </c>
      <c r="D235" s="15">
        <v>0</v>
      </c>
    </row>
    <row r="236" spans="1:4" s="15" x14ac:dyDescent="0.35">
      <c r="A236" s="15">
        <v>100024729</v>
      </c>
      <c r="B236" s="15">
        <v>434.23</v>
      </c>
      <c r="C236" s="15">
        <v>3</v>
      </c>
      <c r="D236" s="15">
        <v>0</v>
      </c>
    </row>
    <row r="237" spans="1:4" s="15" x14ac:dyDescent="0.35">
      <c r="A237" s="15">
        <v>100024859</v>
      </c>
      <c r="B237" s="15">
        <v>9811.2199999999993</v>
      </c>
      <c r="C237" s="15">
        <v>19</v>
      </c>
      <c r="D237" s="15">
        <v>129.09479999999999</v>
      </c>
    </row>
    <row r="238" spans="1:4" s="15" x14ac:dyDescent="0.35">
      <c r="A238" s="15">
        <v>100024861</v>
      </c>
      <c r="B238" s="15">
        <v>18085.349999999999</v>
      </c>
      <c r="C238" s="15">
        <v>21</v>
      </c>
      <c r="D238" s="15">
        <v>369.08889999999997</v>
      </c>
    </row>
    <row r="239" spans="1:4" s="15" x14ac:dyDescent="0.35">
      <c r="A239" s="15">
        <v>100024862</v>
      </c>
      <c r="B239" s="15">
        <v>540838.18000000075</v>
      </c>
      <c r="C239" s="15">
        <v>628</v>
      </c>
      <c r="D239" s="15">
        <v>4398.3086000000021</v>
      </c>
    </row>
    <row r="240" spans="1:4" s="15" x14ac:dyDescent="0.35">
      <c r="A240" s="15">
        <v>100024881</v>
      </c>
      <c r="B240" s="15">
        <v>2374079.3200000008</v>
      </c>
      <c r="C240" s="15">
        <v>33769</v>
      </c>
      <c r="D240" s="15">
        <v>25947.322399999946</v>
      </c>
    </row>
    <row r="241" spans="1:4" s="15" x14ac:dyDescent="0.35">
      <c r="A241" s="15">
        <v>100024882</v>
      </c>
      <c r="B241" s="15">
        <v>57580.810000000034</v>
      </c>
      <c r="C241" s="15">
        <v>813</v>
      </c>
      <c r="D241" s="15">
        <v>510.48619999999994</v>
      </c>
    </row>
    <row r="242" spans="1:4" s="15" x14ac:dyDescent="0.35">
      <c r="A242" s="15">
        <v>100024883</v>
      </c>
      <c r="B242" s="15">
        <v>5706.44</v>
      </c>
      <c r="C242" s="15">
        <v>81</v>
      </c>
      <c r="D242" s="15">
        <v>21.014699999999998</v>
      </c>
    </row>
    <row r="243" spans="1:4" s="15" x14ac:dyDescent="0.35">
      <c r="A243" s="15">
        <v>100024884</v>
      </c>
      <c r="B243" s="15">
        <v>8044.29</v>
      </c>
      <c r="C243" s="15">
        <v>115</v>
      </c>
      <c r="D243" s="15">
        <v>37.8078</v>
      </c>
    </row>
    <row r="244" spans="1:4" s="15" x14ac:dyDescent="0.35">
      <c r="A244" s="15">
        <v>100024885</v>
      </c>
      <c r="B244" s="15">
        <v>6026.53</v>
      </c>
      <c r="C244" s="15">
        <v>87</v>
      </c>
      <c r="D244" s="15">
        <v>12.746400000000001</v>
      </c>
    </row>
    <row r="245" spans="1:4" s="15" x14ac:dyDescent="0.35">
      <c r="A245" s="15">
        <v>100024886</v>
      </c>
      <c r="B245" s="15">
        <v>5278.4400000000005</v>
      </c>
      <c r="C245" s="15">
        <v>74</v>
      </c>
      <c r="D245" s="15">
        <v>23.891599999999997</v>
      </c>
    </row>
    <row r="246" spans="1:4" s="15" x14ac:dyDescent="0.35">
      <c r="A246" s="15">
        <v>100024887</v>
      </c>
      <c r="B246" s="15">
        <v>2827.5800000000004</v>
      </c>
      <c r="C246" s="15">
        <v>41</v>
      </c>
      <c r="D246" s="15">
        <v>2.6785999999999999</v>
      </c>
    </row>
    <row r="247" spans="1:4" s="15" x14ac:dyDescent="0.35">
      <c r="A247" s="15">
        <v>100024888</v>
      </c>
      <c r="B247" s="15">
        <v>9995.5499999999993</v>
      </c>
      <c r="C247" s="15">
        <v>142</v>
      </c>
      <c r="D247" s="15">
        <v>33.396099999999997</v>
      </c>
    </row>
    <row r="248" spans="1:4" s="15" x14ac:dyDescent="0.35">
      <c r="A248" s="15">
        <v>100024932</v>
      </c>
      <c r="B248" s="15">
        <v>1999329.5199999758</v>
      </c>
      <c r="C248" s="15">
        <v>29204</v>
      </c>
      <c r="D248" s="15">
        <v>14031.147000000081</v>
      </c>
    </row>
    <row r="249" spans="1:4" s="15" x14ac:dyDescent="0.35">
      <c r="A249" s="15">
        <v>100024997</v>
      </c>
      <c r="B249" s="15">
        <v>1356483.5600000045</v>
      </c>
      <c r="C249" s="15">
        <v>23674</v>
      </c>
      <c r="D249" s="15">
        <v>4515.3167000000021</v>
      </c>
    </row>
    <row r="250" spans="1:4" s="15" x14ac:dyDescent="0.35">
      <c r="A250" s="15">
        <v>100024998</v>
      </c>
      <c r="B250" s="15">
        <v>1321357.1800000032</v>
      </c>
      <c r="C250" s="15">
        <v>23033</v>
      </c>
      <c r="D250" s="15">
        <v>7416.8106000000207</v>
      </c>
    </row>
    <row r="251" spans="1:4" s="15" x14ac:dyDescent="0.35">
      <c r="A251" s="15">
        <v>100024999</v>
      </c>
      <c r="B251" s="15">
        <v>1965833.6199999761</v>
      </c>
      <c r="C251" s="15">
        <v>28692</v>
      </c>
      <c r="D251" s="15">
        <v>27570.359599999854</v>
      </c>
    </row>
    <row r="252" spans="1:4" s="15" x14ac:dyDescent="0.35">
      <c r="A252" s="15">
        <v>100025053</v>
      </c>
      <c r="B252" s="15">
        <v>2066636.5799999968</v>
      </c>
      <c r="C252" s="15">
        <v>33116</v>
      </c>
      <c r="D252" s="15">
        <v>9032.7207000000071</v>
      </c>
    </row>
    <row r="253" spans="1:4" s="15" x14ac:dyDescent="0.35">
      <c r="A253" s="15">
        <v>100025152</v>
      </c>
      <c r="B253" s="15">
        <v>1699326.2799999982</v>
      </c>
      <c r="C253" s="15">
        <v>24229</v>
      </c>
      <c r="D253" s="15">
        <v>16842.22570000009</v>
      </c>
    </row>
    <row r="254" spans="1:4" s="15" x14ac:dyDescent="0.35">
      <c r="A254" s="15">
        <v>100025162</v>
      </c>
      <c r="B254" s="15">
        <v>312757.39999999898</v>
      </c>
      <c r="C254" s="15">
        <v>4610</v>
      </c>
      <c r="D254" s="15">
        <v>3796.6764000000039</v>
      </c>
    </row>
    <row r="255" spans="1:4" s="15" x14ac:dyDescent="0.35">
      <c r="A255" s="15">
        <v>100025282</v>
      </c>
      <c r="B255" s="15">
        <v>2059094.8800000057</v>
      </c>
      <c r="C255" s="15">
        <v>38306</v>
      </c>
      <c r="D255" s="15">
        <v>34123.247999999963</v>
      </c>
    </row>
    <row r="256" spans="1:4" s="15" x14ac:dyDescent="0.35">
      <c r="A256" s="15">
        <v>100025283</v>
      </c>
      <c r="B256" s="15">
        <v>17123.980000000003</v>
      </c>
      <c r="C256" s="15">
        <v>317</v>
      </c>
      <c r="D256" s="15">
        <v>77.641500000000008</v>
      </c>
    </row>
    <row r="257" spans="1:4" s="15" x14ac:dyDescent="0.35">
      <c r="A257" s="15">
        <v>100025284</v>
      </c>
      <c r="B257" s="15">
        <v>5897.9199999999983</v>
      </c>
      <c r="C257" s="15">
        <v>82</v>
      </c>
      <c r="D257" s="15">
        <v>24.813200000000002</v>
      </c>
    </row>
    <row r="258" spans="1:4" s="15" x14ac:dyDescent="0.35">
      <c r="A258" s="15">
        <v>100025292</v>
      </c>
      <c r="B258" s="15">
        <v>721740.4600000002</v>
      </c>
      <c r="C258" s="15">
        <v>9762</v>
      </c>
      <c r="D258" s="15">
        <v>10930.850299999984</v>
      </c>
    </row>
    <row r="259" spans="1:4" s="15" x14ac:dyDescent="0.35">
      <c r="A259" s="15">
        <v>100025296</v>
      </c>
      <c r="B259" s="15">
        <v>685431.98000000091</v>
      </c>
      <c r="C259" s="15">
        <v>9269</v>
      </c>
      <c r="D259" s="15">
        <v>11461.637399999956</v>
      </c>
    </row>
    <row r="260" spans="1:4" s="15" x14ac:dyDescent="0.35">
      <c r="A260" s="15">
        <v>100025297</v>
      </c>
      <c r="B260" s="15">
        <v>728683.89000000269</v>
      </c>
      <c r="C260" s="15">
        <v>9858</v>
      </c>
      <c r="D260" s="15">
        <v>12983.798699999956</v>
      </c>
    </row>
    <row r="261" spans="1:4" s="15" x14ac:dyDescent="0.35">
      <c r="A261" s="15">
        <v>100025298</v>
      </c>
      <c r="B261" s="15">
        <v>728935.09000000008</v>
      </c>
      <c r="C261" s="15">
        <v>9867</v>
      </c>
      <c r="D261" s="15">
        <v>12231.386499999953</v>
      </c>
    </row>
    <row r="262" spans="1:4" s="15" x14ac:dyDescent="0.35">
      <c r="A262" s="15">
        <v>100025304</v>
      </c>
      <c r="B262" s="15">
        <v>1421800.0700000077</v>
      </c>
      <c r="C262" s="15">
        <v>24821</v>
      </c>
      <c r="D262" s="15">
        <v>3412.9471999999932</v>
      </c>
    </row>
    <row r="263" spans="1:4" s="15" x14ac:dyDescent="0.35">
      <c r="A263" s="15">
        <v>100025310</v>
      </c>
      <c r="B263" s="15">
        <v>1894906.8299999756</v>
      </c>
      <c r="C263" s="15">
        <v>27832</v>
      </c>
      <c r="D263" s="15">
        <v>46444.243899999979</v>
      </c>
    </row>
    <row r="264" spans="1:4" s="15" x14ac:dyDescent="0.35">
      <c r="A264" s="15">
        <v>100025311</v>
      </c>
      <c r="B264" s="15">
        <v>1921813.0099999791</v>
      </c>
      <c r="C264" s="15">
        <v>28192</v>
      </c>
      <c r="D264" s="15">
        <v>28961.072899999843</v>
      </c>
    </row>
    <row r="265" spans="1:4" s="15" x14ac:dyDescent="0.35">
      <c r="A265" s="15">
        <v>100025332</v>
      </c>
      <c r="B265" s="15">
        <v>2031294.3599999778</v>
      </c>
      <c r="C265" s="15">
        <v>29621</v>
      </c>
      <c r="D265" s="15">
        <v>19732.556099999983</v>
      </c>
    </row>
    <row r="266" spans="1:4" s="15" x14ac:dyDescent="0.35">
      <c r="A266" s="15">
        <v>100025442</v>
      </c>
      <c r="B266" s="15">
        <v>4380.5999999999995</v>
      </c>
      <c r="C266" s="15">
        <v>61</v>
      </c>
      <c r="D266" s="15">
        <v>120.9632</v>
      </c>
    </row>
    <row r="267" spans="1:4" s="15" x14ac:dyDescent="0.35">
      <c r="A267" s="15">
        <v>100025443</v>
      </c>
      <c r="B267" s="15">
        <v>4385.7700000000004</v>
      </c>
      <c r="C267" s="15">
        <v>62</v>
      </c>
      <c r="D267" s="15">
        <v>17.3032</v>
      </c>
    </row>
    <row r="268" spans="1:4" s="15" x14ac:dyDescent="0.35">
      <c r="A268" s="15">
        <v>100025444</v>
      </c>
      <c r="B268" s="15">
        <v>14434.56</v>
      </c>
      <c r="C268" s="15">
        <v>206</v>
      </c>
      <c r="D268" s="15">
        <v>70.005800000000008</v>
      </c>
    </row>
    <row r="269" spans="1:4" s="15" x14ac:dyDescent="0.35">
      <c r="A269" s="15">
        <v>100025445</v>
      </c>
      <c r="B269" s="15">
        <v>72600.84</v>
      </c>
      <c r="C269" s="15">
        <v>997</v>
      </c>
      <c r="D269" s="15">
        <v>301.28979999999996</v>
      </c>
    </row>
    <row r="270" spans="1:4" s="15" x14ac:dyDescent="0.35">
      <c r="A270" s="15">
        <v>100025446</v>
      </c>
      <c r="B270" s="15">
        <v>42716.160000000003</v>
      </c>
      <c r="C270" s="15">
        <v>583</v>
      </c>
      <c r="D270" s="15">
        <v>183.36059999999998</v>
      </c>
    </row>
    <row r="271" spans="1:4" s="15" x14ac:dyDescent="0.35">
      <c r="A271" s="15">
        <v>100025448</v>
      </c>
      <c r="B271" s="15">
        <v>1558.7800000000002</v>
      </c>
      <c r="C271" s="15">
        <v>29</v>
      </c>
      <c r="D271" s="15">
        <v>2.0629</v>
      </c>
    </row>
    <row r="272" spans="1:4" s="15" x14ac:dyDescent="0.35">
      <c r="A272" s="15">
        <v>100025449</v>
      </c>
      <c r="B272" s="15">
        <v>120548.74000000009</v>
      </c>
      <c r="C272" s="15">
        <v>1726</v>
      </c>
      <c r="D272" s="15">
        <v>569.89719999999977</v>
      </c>
    </row>
    <row r="273" spans="1:4" s="15" x14ac:dyDescent="0.35">
      <c r="A273" s="15">
        <v>100025450</v>
      </c>
      <c r="B273" s="15">
        <v>264425.63999999955</v>
      </c>
      <c r="C273" s="15">
        <v>3788</v>
      </c>
      <c r="D273" s="15">
        <v>536.49109999999882</v>
      </c>
    </row>
    <row r="274" spans="1:4" s="15" x14ac:dyDescent="0.35">
      <c r="A274" s="15">
        <v>100025451</v>
      </c>
      <c r="B274" s="15">
        <v>189093.57999999993</v>
      </c>
      <c r="C274" s="15">
        <v>2700</v>
      </c>
      <c r="D274" s="15">
        <v>791.31140000000062</v>
      </c>
    </row>
    <row r="275" spans="1:4" s="15" x14ac:dyDescent="0.35">
      <c r="A275" s="15">
        <v>100025452</v>
      </c>
      <c r="B275" s="15">
        <v>206041.56999999975</v>
      </c>
      <c r="C275" s="15">
        <v>2945</v>
      </c>
      <c r="D275" s="15">
        <v>992.37060000000122</v>
      </c>
    </row>
    <row r="276" spans="1:4" s="15" x14ac:dyDescent="0.35">
      <c r="A276" s="15">
        <v>100025670</v>
      </c>
      <c r="B276" s="15">
        <v>703486.14999999967</v>
      </c>
      <c r="C276" s="15">
        <v>20463</v>
      </c>
      <c r="D276" s="15">
        <v>12711.904900000001</v>
      </c>
    </row>
    <row r="277" spans="1:4" s="15" x14ac:dyDescent="0.35">
      <c r="A277" s="15">
        <v>100025672</v>
      </c>
      <c r="B277" s="15">
        <v>756625.53999999957</v>
      </c>
      <c r="C277" s="15">
        <v>21979</v>
      </c>
      <c r="D277" s="15">
        <v>14883.204100000001</v>
      </c>
    </row>
    <row r="278" spans="1:4" s="15" x14ac:dyDescent="0.35">
      <c r="A278" s="15">
        <v>100025673</v>
      </c>
      <c r="B278" s="15">
        <v>863479.23000000266</v>
      </c>
      <c r="C278" s="15">
        <v>18156</v>
      </c>
      <c r="D278" s="15">
        <v>10862.322100000039</v>
      </c>
    </row>
    <row r="279" spans="1:4" s="15" x14ac:dyDescent="0.35">
      <c r="A279" s="15">
        <v>100025675</v>
      </c>
      <c r="B279" s="15">
        <v>806074.44000000146</v>
      </c>
      <c r="C279" s="15">
        <v>16896</v>
      </c>
      <c r="D279" s="15">
        <v>8312.6244000000133</v>
      </c>
    </row>
    <row r="280" spans="1:4" s="15" x14ac:dyDescent="0.35">
      <c r="A280" s="15">
        <v>100025677</v>
      </c>
      <c r="B280" s="15">
        <v>740204.41999999853</v>
      </c>
      <c r="C280" s="15">
        <v>13761</v>
      </c>
      <c r="D280" s="15">
        <v>8962.5181999999859</v>
      </c>
    </row>
    <row r="281" spans="1:4" s="15" x14ac:dyDescent="0.35">
      <c r="A281" s="15">
        <v>100025842</v>
      </c>
      <c r="B281" s="15">
        <v>51553.100000000028</v>
      </c>
      <c r="C281" s="15">
        <v>729</v>
      </c>
      <c r="D281" s="15">
        <v>2617.467900000001</v>
      </c>
    </row>
    <row r="282" spans="1:4" s="15" x14ac:dyDescent="0.35">
      <c r="A282" s="15">
        <v>100025843</v>
      </c>
      <c r="B282" s="15">
        <v>48168.700000000055</v>
      </c>
      <c r="C282" s="15">
        <v>690</v>
      </c>
      <c r="D282" s="15">
        <v>1784.1647999999991</v>
      </c>
    </row>
    <row r="283" spans="1:4" s="15" x14ac:dyDescent="0.35">
      <c r="A283" s="15">
        <v>100025844</v>
      </c>
      <c r="B283" s="15">
        <v>33491.750000000022</v>
      </c>
      <c r="C283" s="15">
        <v>480</v>
      </c>
      <c r="D283" s="15">
        <v>1268.6559000000004</v>
      </c>
    </row>
    <row r="284" spans="1:4" s="15" x14ac:dyDescent="0.35">
      <c r="A284" s="15">
        <v>100025845</v>
      </c>
      <c r="B284" s="15">
        <v>103009.02</v>
      </c>
      <c r="C284" s="15">
        <v>1476</v>
      </c>
      <c r="D284" s="15">
        <v>2172.5061000000001</v>
      </c>
    </row>
    <row r="285" spans="1:4" s="15" x14ac:dyDescent="0.35">
      <c r="A285" s="15">
        <v>100025846</v>
      </c>
      <c r="B285" s="15">
        <v>151568.38999999981</v>
      </c>
      <c r="C285" s="15">
        <v>2165</v>
      </c>
      <c r="D285" s="15">
        <v>2717.3054999999981</v>
      </c>
    </row>
    <row r="286" spans="1:4" s="15" x14ac:dyDescent="0.35">
      <c r="A286" s="15">
        <v>100025847</v>
      </c>
      <c r="B286" s="15">
        <v>34406.150000000023</v>
      </c>
      <c r="C286" s="15">
        <v>484</v>
      </c>
      <c r="D286" s="15">
        <v>673.87470000000042</v>
      </c>
    </row>
    <row r="287" spans="1:4" s="15" x14ac:dyDescent="0.35">
      <c r="A287" s="15">
        <v>100025848</v>
      </c>
      <c r="B287" s="15">
        <v>62651.380000000063</v>
      </c>
      <c r="C287" s="15">
        <v>894</v>
      </c>
      <c r="D287" s="15">
        <v>1510.9518000000005</v>
      </c>
    </row>
    <row r="288" spans="1:4" s="15" x14ac:dyDescent="0.35">
      <c r="A288" s="15">
        <v>100025850</v>
      </c>
      <c r="B288" s="15">
        <v>4090985.7999999891</v>
      </c>
      <c r="C288" s="15">
        <v>58431</v>
      </c>
      <c r="D288" s="15">
        <v>76667.14179999975</v>
      </c>
    </row>
    <row r="289" spans="1:4" s="15" x14ac:dyDescent="0.35">
      <c r="A289" s="15">
        <v>100025893</v>
      </c>
      <c r="B289" s="15">
        <v>467210.40999999846</v>
      </c>
      <c r="C289" s="15">
        <v>8288</v>
      </c>
      <c r="D289" s="15">
        <v>1978.7069999999944</v>
      </c>
    </row>
    <row r="290" spans="1:4" s="15" x14ac:dyDescent="0.35">
      <c r="A290" s="15">
        <v>100025894</v>
      </c>
      <c r="B290" s="15">
        <v>438890.40000000107</v>
      </c>
      <c r="C290" s="15">
        <v>7782</v>
      </c>
      <c r="D290" s="15">
        <v>3064.8559999999989</v>
      </c>
    </row>
    <row r="291" spans="1:4" s="15" x14ac:dyDescent="0.35">
      <c r="A291" s="15">
        <v>100025895</v>
      </c>
      <c r="B291" s="15">
        <v>440371.03000000282</v>
      </c>
      <c r="C291" s="15">
        <v>7803</v>
      </c>
      <c r="D291" s="15">
        <v>2233.6688999999956</v>
      </c>
    </row>
    <row r="292" spans="1:4" s="15" x14ac:dyDescent="0.35">
      <c r="A292" s="15">
        <v>100026062</v>
      </c>
      <c r="B292" s="15">
        <v>1449686.610000002</v>
      </c>
      <c r="C292" s="15">
        <v>25575</v>
      </c>
      <c r="D292" s="15">
        <v>2443.0305999999964</v>
      </c>
    </row>
    <row r="293" spans="1:4" s="15" x14ac:dyDescent="0.35">
      <c r="A293" s="15">
        <v>100026064</v>
      </c>
      <c r="B293" s="15">
        <v>1458975.8000000056</v>
      </c>
      <c r="C293" s="15">
        <v>25745</v>
      </c>
      <c r="D293" s="15">
        <v>2591.4917999999948</v>
      </c>
    </row>
    <row r="294" spans="1:4" s="15" x14ac:dyDescent="0.35">
      <c r="A294" s="15">
        <v>100026065</v>
      </c>
      <c r="B294" s="15">
        <v>1461240.2900000038</v>
      </c>
      <c r="C294" s="15">
        <v>25822</v>
      </c>
      <c r="D294" s="15">
        <v>4194.5548000000035</v>
      </c>
    </row>
    <row r="295" spans="1:4" s="15" x14ac:dyDescent="0.35">
      <c r="A295" s="15">
        <v>100026067</v>
      </c>
      <c r="B295" s="15">
        <v>1424763.9100000018</v>
      </c>
      <c r="C295" s="15">
        <v>25196</v>
      </c>
      <c r="D295" s="15">
        <v>6321.2753000000221</v>
      </c>
    </row>
    <row r="296" spans="1:4" s="15" x14ac:dyDescent="0.35">
      <c r="A296" s="15">
        <v>100026068</v>
      </c>
      <c r="B296" s="15">
        <v>381563.27999999886</v>
      </c>
      <c r="C296" s="15">
        <v>6180</v>
      </c>
      <c r="D296" s="15">
        <v>1416.7562999999941</v>
      </c>
    </row>
    <row r="297" spans="1:4" s="15" x14ac:dyDescent="0.35">
      <c r="A297" s="15">
        <v>100026069</v>
      </c>
      <c r="B297" s="15">
        <v>115222.39000000025</v>
      </c>
      <c r="C297" s="15">
        <v>1556</v>
      </c>
      <c r="D297" s="15">
        <v>1680.4335999999973</v>
      </c>
    </row>
    <row r="298" spans="1:4" s="15" x14ac:dyDescent="0.35">
      <c r="A298" s="15">
        <v>100026070</v>
      </c>
      <c r="B298" s="15">
        <v>57750.609999999819</v>
      </c>
      <c r="C298" s="15">
        <v>1023</v>
      </c>
      <c r="D298" s="15">
        <v>476.8784000000004</v>
      </c>
    </row>
    <row r="299" spans="1:4" s="15" x14ac:dyDescent="0.35">
      <c r="A299" s="15">
        <v>100026071</v>
      </c>
      <c r="B299" s="15">
        <v>75544.619999999952</v>
      </c>
      <c r="C299" s="15">
        <v>1339</v>
      </c>
      <c r="D299" s="15">
        <v>519.56690000000049</v>
      </c>
    </row>
    <row r="300" spans="1:4" s="15" x14ac:dyDescent="0.35">
      <c r="A300" s="15">
        <v>100026072</v>
      </c>
      <c r="B300" s="15">
        <v>57063.519999999808</v>
      </c>
      <c r="C300" s="15">
        <v>1010</v>
      </c>
      <c r="D300" s="15">
        <v>468.65020000000032</v>
      </c>
    </row>
    <row r="301" spans="1:4" s="15" x14ac:dyDescent="0.35">
      <c r="A301" s="15">
        <v>100026074</v>
      </c>
      <c r="B301" s="15">
        <v>62031.959999999781</v>
      </c>
      <c r="C301" s="15">
        <v>1098</v>
      </c>
      <c r="D301" s="15">
        <v>509.7100000000006</v>
      </c>
    </row>
    <row r="302" spans="1:4" s="15" x14ac:dyDescent="0.35">
      <c r="A302" s="15">
        <v>100026143</v>
      </c>
      <c r="B302" s="15">
        <v>2611503.9100000127</v>
      </c>
      <c r="C302" s="15">
        <v>38381</v>
      </c>
      <c r="D302" s="15">
        <v>23051.100699999894</v>
      </c>
    </row>
    <row r="303" spans="1:4" s="15" x14ac:dyDescent="0.35">
      <c r="A303" s="15">
        <v>100026304</v>
      </c>
      <c r="B303" s="15">
        <v>168.1</v>
      </c>
      <c r="C303" s="15">
        <v>3</v>
      </c>
      <c r="D303" s="15">
        <v>0</v>
      </c>
    </row>
    <row r="304" spans="1:4" s="15" x14ac:dyDescent="0.35">
      <c r="A304" s="15">
        <v>100026382</v>
      </c>
      <c r="B304" s="15">
        <v>16500</v>
      </c>
      <c r="C304" s="15">
        <v>330</v>
      </c>
      <c r="D304" s="15">
        <v>0</v>
      </c>
    </row>
    <row r="305" spans="1:4" s="15" x14ac:dyDescent="0.35">
      <c r="A305" s="15">
        <v>100026383</v>
      </c>
      <c r="B305" s="15">
        <v>2666809.1300000162</v>
      </c>
      <c r="C305" s="15">
        <v>39212</v>
      </c>
      <c r="D305" s="15">
        <v>3254.427900000011</v>
      </c>
    </row>
    <row r="306" spans="1:4" s="15" x14ac:dyDescent="0.35">
      <c r="A306" s="15">
        <v>100026385</v>
      </c>
      <c r="B306" s="15">
        <v>370253.82999999973</v>
      </c>
      <c r="C306" s="15">
        <v>7325</v>
      </c>
      <c r="D306" s="15">
        <v>617.91350000000045</v>
      </c>
    </row>
    <row r="307" spans="1:4" s="15" x14ac:dyDescent="0.35">
      <c r="A307" s="15">
        <v>100026386</v>
      </c>
      <c r="B307" s="15">
        <v>372694.47999999969</v>
      </c>
      <c r="C307" s="15">
        <v>7351</v>
      </c>
      <c r="D307" s="15">
        <v>2341.7239999999961</v>
      </c>
    </row>
    <row r="308" spans="1:4" s="15" x14ac:dyDescent="0.35">
      <c r="A308" s="15">
        <v>100026387</v>
      </c>
      <c r="B308" s="15">
        <v>351211.22999999986</v>
      </c>
      <c r="C308" s="15">
        <v>6944</v>
      </c>
      <c r="D308" s="15">
        <v>620.33520000000033</v>
      </c>
    </row>
    <row r="309" spans="1:4" s="15" x14ac:dyDescent="0.35">
      <c r="A309" s="15">
        <v>100026388</v>
      </c>
      <c r="B309" s="15">
        <v>386411.24999999959</v>
      </c>
      <c r="C309" s="15">
        <v>7654</v>
      </c>
      <c r="D309" s="15">
        <v>978.38440000000185</v>
      </c>
    </row>
    <row r="310" spans="1:4" s="15" x14ac:dyDescent="0.35">
      <c r="A310" s="15">
        <v>100080027</v>
      </c>
      <c r="B310" s="15">
        <v>17762057.659999982</v>
      </c>
      <c r="C310" s="15">
        <v>233144</v>
      </c>
      <c r="D310" s="15">
        <v>1247943.8771999986</v>
      </c>
    </row>
    <row r="311" spans="1:4" s="15" x14ac:dyDescent="0.35">
      <c r="A311" s="15">
        <v>100080028</v>
      </c>
      <c r="B311" s="15">
        <v>4322954.6400000062</v>
      </c>
      <c r="C311" s="15">
        <v>56654</v>
      </c>
      <c r="D311" s="15">
        <v>115411.04519999996</v>
      </c>
    </row>
    <row r="312" spans="1:4" s="15" x14ac:dyDescent="0.35">
      <c r="A312" s="15">
        <v>100080029</v>
      </c>
      <c r="B312" s="15">
        <v>1166.9899999999998</v>
      </c>
      <c r="C312" s="15">
        <v>60</v>
      </c>
      <c r="D312" s="15">
        <v>0</v>
      </c>
    </row>
    <row r="313" spans="1:4" s="15" x14ac:dyDescent="0.35">
      <c r="A313" s="15">
        <v>100080031</v>
      </c>
      <c r="B313" s="15">
        <v>108.62</v>
      </c>
      <c r="C313" s="15">
        <v>2</v>
      </c>
      <c r="D313" s="15">
        <v>0</v>
      </c>
    </row>
    <row r="314" spans="1:4" s="15" x14ac:dyDescent="0.35">
      <c r="A314" s="15">
        <v>100080034</v>
      </c>
      <c r="B314" s="15">
        <v>1997523.5099999995</v>
      </c>
      <c r="C314" s="15">
        <v>32482</v>
      </c>
      <c r="D314" s="15">
        <v>16444.635100000069</v>
      </c>
    </row>
    <row r="315" spans="1:4" s="15" x14ac:dyDescent="0.35">
      <c r="A315" s="15">
        <v>100080184</v>
      </c>
      <c r="B315" s="15">
        <v>689.65000000000009</v>
      </c>
      <c r="C315" s="15">
        <v>16</v>
      </c>
      <c r="D315" s="15">
        <v>0</v>
      </c>
    </row>
    <row r="316" spans="1:4" s="15" x14ac:dyDescent="0.35">
      <c r="A316" s="15">
        <v>100080257</v>
      </c>
      <c r="B316" s="15">
        <v>4474488.4400000069</v>
      </c>
      <c r="C316" s="15">
        <v>78208</v>
      </c>
      <c r="D316" s="15">
        <v>220959.72610000009</v>
      </c>
    </row>
    <row r="317" spans="1:4" s="15" x14ac:dyDescent="0.35">
      <c r="A317" s="15">
        <v>100080351</v>
      </c>
      <c r="B317" s="15">
        <v>605704.56999999983</v>
      </c>
      <c r="C317" s="15">
        <v>8891</v>
      </c>
      <c r="D317" s="15">
        <v>4240.6128000000181</v>
      </c>
    </row>
    <row r="318" spans="1:4" s="15" x14ac:dyDescent="0.35">
      <c r="A318" s="15">
        <v>100080372</v>
      </c>
      <c r="B318" s="15">
        <v>1120376.1399999994</v>
      </c>
      <c r="C318" s="15">
        <v>11533</v>
      </c>
      <c r="D318" s="15">
        <v>6133.7050000000218</v>
      </c>
    </row>
    <row r="319" spans="1:4" s="15" x14ac:dyDescent="0.35">
      <c r="A319" s="15">
        <v>100080381</v>
      </c>
      <c r="B319" s="15">
        <v>6379.329999999999</v>
      </c>
      <c r="C319" s="15">
        <v>135</v>
      </c>
      <c r="D319" s="15">
        <v>15.240000000000002</v>
      </c>
    </row>
    <row r="320" spans="1:4" s="15" x14ac:dyDescent="0.35">
      <c r="A320" s="15">
        <v>100080382</v>
      </c>
      <c r="B320" s="15">
        <v>-51.72</v>
      </c>
      <c r="C320" s="15">
        <v>-3</v>
      </c>
      <c r="D320" s="15">
        <v>1.2314000000000001</v>
      </c>
    </row>
    <row r="321" spans="1:4" s="15" x14ac:dyDescent="0.35">
      <c r="A321" s="15">
        <v>100080420</v>
      </c>
      <c r="B321" s="15">
        <v>54.31</v>
      </c>
      <c r="C321" s="15">
        <v>1</v>
      </c>
      <c r="D321" s="15">
        <v>0</v>
      </c>
    </row>
    <row r="322" spans="1:4" s="15" x14ac:dyDescent="0.35">
      <c r="A322" s="15">
        <v>100080440</v>
      </c>
      <c r="B322" s="15">
        <v>4051397.8500000108</v>
      </c>
      <c r="C322" s="15">
        <v>51306</v>
      </c>
      <c r="D322" s="15">
        <v>138209.26010000025</v>
      </c>
    </row>
    <row r="323" spans="1:4" s="15" x14ac:dyDescent="0.35">
      <c r="A323" s="15">
        <v>100080644</v>
      </c>
      <c r="B323" s="15">
        <v>3360856.029999997</v>
      </c>
      <c r="C323" s="15">
        <v>47752</v>
      </c>
      <c r="D323" s="15">
        <v>55047.480399999731</v>
      </c>
    </row>
    <row r="324" spans="1:4" s="15" x14ac:dyDescent="0.35">
      <c r="A324" s="15">
        <v>100080687</v>
      </c>
      <c r="B324" s="15">
        <v>10472583.269999998</v>
      </c>
      <c r="C324" s="15">
        <v>136596</v>
      </c>
      <c r="D324" s="15">
        <v>607327.16449999926</v>
      </c>
    </row>
    <row r="325" spans="1:4" s="15" x14ac:dyDescent="0.35">
      <c r="A325" s="15">
        <v>100080695</v>
      </c>
      <c r="B325" s="15">
        <v>127.59</v>
      </c>
      <c r="C325" s="15">
        <v>4</v>
      </c>
      <c r="D325" s="15">
        <v>0</v>
      </c>
    </row>
    <row r="326" spans="1:4" s="15" x14ac:dyDescent="0.35">
      <c r="A326" s="15">
        <v>100080762</v>
      </c>
      <c r="B326" s="15">
        <v>758.19999999999993</v>
      </c>
      <c r="C326" s="15">
        <v>20</v>
      </c>
      <c r="D326" s="15">
        <v>0</v>
      </c>
    </row>
    <row r="327" spans="1:4" s="15" x14ac:dyDescent="0.35">
      <c r="A327" s="15">
        <v>100080763</v>
      </c>
      <c r="B327" s="15">
        <v>849309.47999999928</v>
      </c>
      <c r="C327" s="15">
        <v>10160</v>
      </c>
      <c r="D327" s="15">
        <v>6653.1745999999921</v>
      </c>
    </row>
    <row r="328" spans="1:4" s="15" x14ac:dyDescent="0.35">
      <c r="A328" s="15">
        <v>100080769</v>
      </c>
      <c r="B328" s="15">
        <v>40.520000000000003</v>
      </c>
      <c r="C328" s="15">
        <v>1</v>
      </c>
      <c r="D328" s="15">
        <v>0</v>
      </c>
    </row>
    <row r="329" spans="1:4" s="15" x14ac:dyDescent="0.35">
      <c r="A329" s="15">
        <v>100080797</v>
      </c>
      <c r="B329" s="15">
        <v>422.41</v>
      </c>
      <c r="C329" s="15">
        <v>10</v>
      </c>
      <c r="D329" s="15">
        <v>0</v>
      </c>
    </row>
    <row r="330" spans="1:4" s="15" x14ac:dyDescent="0.35">
      <c r="A330" s="15">
        <v>100080802</v>
      </c>
      <c r="B330" s="15">
        <v>2710558.620000001</v>
      </c>
      <c r="C330" s="15">
        <v>38433</v>
      </c>
      <c r="D330" s="15">
        <v>26255.377799999875</v>
      </c>
    </row>
    <row r="331" spans="1:4" s="15" x14ac:dyDescent="0.35">
      <c r="A331" s="15">
        <v>100080820</v>
      </c>
      <c r="B331" s="15">
        <v>3892861.6500000041</v>
      </c>
      <c r="C331" s="15">
        <v>50935</v>
      </c>
      <c r="D331" s="15">
        <v>136793.69400000034</v>
      </c>
    </row>
    <row r="332" spans="1:4" s="15" x14ac:dyDescent="0.35">
      <c r="A332" s="15">
        <v>100080829</v>
      </c>
      <c r="B332" s="15">
        <v>1064.81</v>
      </c>
      <c r="C332" s="15">
        <v>23</v>
      </c>
      <c r="D332" s="15">
        <v>0</v>
      </c>
    </row>
    <row r="333" spans="1:4" s="15" x14ac:dyDescent="0.35">
      <c r="A333" s="15">
        <v>100080834</v>
      </c>
      <c r="B333" s="15">
        <v>47.41</v>
      </c>
      <c r="C333" s="15">
        <v>1</v>
      </c>
      <c r="D333" s="15">
        <v>0</v>
      </c>
    </row>
    <row r="334" spans="1:4" s="15" x14ac:dyDescent="0.35">
      <c r="A334" s="15">
        <v>100080850</v>
      </c>
      <c r="B334" s="15">
        <v>8591890.0699999947</v>
      </c>
      <c r="C334" s="15">
        <v>111685</v>
      </c>
      <c r="D334" s="15">
        <v>420832.41559999948</v>
      </c>
    </row>
    <row r="335" spans="1:4" s="15" x14ac:dyDescent="0.35">
      <c r="A335" s="15">
        <v>100080861</v>
      </c>
      <c r="B335" s="15">
        <v>40.520000000000003</v>
      </c>
      <c r="C335" s="15">
        <v>1</v>
      </c>
      <c r="D335" s="15">
        <v>0</v>
      </c>
    </row>
    <row r="336" spans="1:4" s="15" x14ac:dyDescent="0.35">
      <c r="A336" s="15">
        <v>100080862</v>
      </c>
      <c r="B336" s="15">
        <v>1939.12</v>
      </c>
      <c r="C336" s="15">
        <v>40</v>
      </c>
      <c r="D336" s="15">
        <v>0</v>
      </c>
    </row>
    <row r="337" spans="1:4" s="15" x14ac:dyDescent="0.35">
      <c r="A337" s="15">
        <v>100080865</v>
      </c>
      <c r="B337" s="15">
        <v>431.03</v>
      </c>
      <c r="C337" s="15">
        <v>10</v>
      </c>
      <c r="D337" s="15">
        <v>0</v>
      </c>
    </row>
    <row r="338" spans="1:4" s="15" x14ac:dyDescent="0.35">
      <c r="A338" s="15">
        <v>100080878</v>
      </c>
      <c r="B338" s="15">
        <v>54862.430000000008</v>
      </c>
      <c r="C338" s="15">
        <v>1013</v>
      </c>
      <c r="D338" s="15">
        <v>0</v>
      </c>
    </row>
    <row r="339" spans="1:4" s="15" x14ac:dyDescent="0.35">
      <c r="A339" s="15">
        <v>100080891</v>
      </c>
      <c r="B339" s="15">
        <v>36.21</v>
      </c>
      <c r="C339" s="15">
        <v>1</v>
      </c>
      <c r="D339" s="15">
        <v>0</v>
      </c>
    </row>
    <row r="340" spans="1:4" s="15" x14ac:dyDescent="0.35">
      <c r="A340" s="15">
        <v>100080892</v>
      </c>
      <c r="B340" s="15">
        <v>90207.029999999955</v>
      </c>
      <c r="C340" s="15">
        <v>1657</v>
      </c>
      <c r="D340" s="15">
        <v>2.0171000000000001</v>
      </c>
    </row>
    <row r="341" spans="1:4" s="15" x14ac:dyDescent="0.35">
      <c r="A341" s="15">
        <v>100080895</v>
      </c>
      <c r="B341" s="15">
        <v>265</v>
      </c>
      <c r="C341" s="15">
        <v>6</v>
      </c>
      <c r="D341" s="15">
        <v>0</v>
      </c>
    </row>
    <row r="342" spans="1:4" s="15" x14ac:dyDescent="0.35">
      <c r="A342" s="15">
        <v>100080896</v>
      </c>
      <c r="B342" s="15">
        <v>150923.90000000008</v>
      </c>
      <c r="C342" s="15">
        <v>3153</v>
      </c>
      <c r="D342" s="15">
        <v>271.72369999999967</v>
      </c>
    </row>
    <row r="343" spans="1:4" s="15" x14ac:dyDescent="0.35">
      <c r="A343" s="15">
        <v>100080897</v>
      </c>
      <c r="B343" s="15">
        <v>261031.08000000042</v>
      </c>
      <c r="C343" s="15">
        <v>4496</v>
      </c>
      <c r="D343" s="15">
        <v>1129.4644000000001</v>
      </c>
    </row>
    <row r="344" spans="1:4" s="15" x14ac:dyDescent="0.35">
      <c r="A344" s="15">
        <v>100080898</v>
      </c>
      <c r="B344" s="15">
        <v>1875633.739999996</v>
      </c>
      <c r="C344" s="15">
        <v>30132</v>
      </c>
      <c r="D344" s="15">
        <v>40039.466800000111</v>
      </c>
    </row>
    <row r="345" spans="1:4" s="15" x14ac:dyDescent="0.35">
      <c r="A345" s="15">
        <v>100080899</v>
      </c>
      <c r="B345" s="15">
        <v>1047.6100000000001</v>
      </c>
      <c r="C345" s="15">
        <v>27</v>
      </c>
      <c r="D345" s="15">
        <v>0</v>
      </c>
    </row>
    <row r="346" spans="1:4" s="15" x14ac:dyDescent="0.35">
      <c r="A346" s="15">
        <v>100080903</v>
      </c>
      <c r="B346" s="15">
        <v>3501955.8800000031</v>
      </c>
      <c r="C346" s="15">
        <v>61026</v>
      </c>
      <c r="D346" s="15">
        <v>95167.480499999787</v>
      </c>
    </row>
    <row r="347" spans="1:4" s="15" x14ac:dyDescent="0.35">
      <c r="A347" s="15">
        <v>100080904</v>
      </c>
      <c r="B347" s="15">
        <v>2192954.5999999973</v>
      </c>
      <c r="C347" s="15">
        <v>38251</v>
      </c>
      <c r="D347" s="15">
        <v>35992.992199999848</v>
      </c>
    </row>
    <row r="348" spans="1:4" s="15" x14ac:dyDescent="0.35">
      <c r="A348" s="15">
        <v>100080917</v>
      </c>
      <c r="B348" s="15">
        <v>138.88999999999999</v>
      </c>
      <c r="C348" s="15">
        <v>3</v>
      </c>
      <c r="D348" s="15">
        <v>0</v>
      </c>
    </row>
    <row r="349" spans="1:4" s="15" x14ac:dyDescent="0.35">
      <c r="A349" s="15">
        <v>100080928</v>
      </c>
      <c r="B349" s="15">
        <v>4419859.7800000012</v>
      </c>
      <c r="C349" s="15">
        <v>55974</v>
      </c>
      <c r="D349" s="15">
        <v>245946.26689999978</v>
      </c>
    </row>
    <row r="350" spans="1:4" s="15" x14ac:dyDescent="0.35">
      <c r="A350" s="15">
        <v>100080937</v>
      </c>
      <c r="B350" s="15">
        <v>453.7</v>
      </c>
      <c r="C350" s="15">
        <v>10</v>
      </c>
      <c r="D350" s="15">
        <v>0</v>
      </c>
    </row>
    <row r="351" spans="1:4" s="15" x14ac:dyDescent="0.35">
      <c r="A351" s="15">
        <v>100080938</v>
      </c>
      <c r="B351" s="15">
        <v>47505.08</v>
      </c>
      <c r="C351" s="15">
        <v>448</v>
      </c>
      <c r="D351" s="15">
        <v>118.0741</v>
      </c>
    </row>
    <row r="352" spans="1:4" s="15" x14ac:dyDescent="0.35">
      <c r="A352" s="15">
        <v>100080939</v>
      </c>
      <c r="B352" s="15">
        <v>44606.020000000011</v>
      </c>
      <c r="C352" s="15">
        <v>421</v>
      </c>
      <c r="D352" s="15">
        <v>138.14739999999998</v>
      </c>
    </row>
    <row r="353" spans="1:4" s="15" x14ac:dyDescent="0.35">
      <c r="A353" s="15">
        <v>100080940</v>
      </c>
      <c r="B353" s="15">
        <v>38751.71</v>
      </c>
      <c r="C353" s="15">
        <v>365</v>
      </c>
      <c r="D353" s="15">
        <v>202.15690000000001</v>
      </c>
    </row>
    <row r="354" spans="1:4" s="15" x14ac:dyDescent="0.35">
      <c r="A354" s="15">
        <v>100080941</v>
      </c>
      <c r="B354" s="15">
        <v>36581.810000000012</v>
      </c>
      <c r="C354" s="15">
        <v>345</v>
      </c>
      <c r="D354" s="15">
        <v>199.44759999999999</v>
      </c>
    </row>
    <row r="355" spans="1:4" s="15" x14ac:dyDescent="0.35">
      <c r="A355" s="15">
        <v>100080942</v>
      </c>
      <c r="B355" s="15">
        <v>52549.1</v>
      </c>
      <c r="C355" s="15">
        <v>495</v>
      </c>
      <c r="D355" s="15">
        <v>121.36759999999998</v>
      </c>
    </row>
    <row r="356" spans="1:4" s="15" x14ac:dyDescent="0.35">
      <c r="A356" s="15">
        <v>100080943</v>
      </c>
      <c r="B356" s="15">
        <v>50581.830000000016</v>
      </c>
      <c r="C356" s="15">
        <v>478</v>
      </c>
      <c r="D356" s="15">
        <v>111.36199999999999</v>
      </c>
    </row>
    <row r="357" spans="1:4" s="15" x14ac:dyDescent="0.35">
      <c r="A357" s="15">
        <v>100080944</v>
      </c>
      <c r="B357" s="15">
        <v>61944.769999999982</v>
      </c>
      <c r="C357" s="15">
        <v>406</v>
      </c>
      <c r="D357" s="15">
        <v>261.63890000000004</v>
      </c>
    </row>
    <row r="358" spans="1:4" s="15" x14ac:dyDescent="0.35">
      <c r="A358" s="15">
        <v>100080945</v>
      </c>
      <c r="B358" s="15">
        <v>60854.280000000006</v>
      </c>
      <c r="C358" s="15">
        <v>400</v>
      </c>
      <c r="D358" s="15">
        <v>246.05939999999995</v>
      </c>
    </row>
    <row r="359" spans="1:4" s="15" x14ac:dyDescent="0.35">
      <c r="A359" s="15">
        <v>100080946</v>
      </c>
      <c r="B359" s="15">
        <v>62558.589999999975</v>
      </c>
      <c r="C359" s="15">
        <v>410</v>
      </c>
      <c r="D359" s="15">
        <v>267.33549999999997</v>
      </c>
    </row>
    <row r="360" spans="1:4" s="15" x14ac:dyDescent="0.35">
      <c r="A360" s="15">
        <v>100080947</v>
      </c>
      <c r="B360" s="15">
        <v>44217.269999999975</v>
      </c>
      <c r="C360" s="15">
        <v>462</v>
      </c>
      <c r="D360" s="15">
        <v>238.85219999999995</v>
      </c>
    </row>
    <row r="361" spans="1:4" s="15" x14ac:dyDescent="0.35">
      <c r="A361" s="15">
        <v>100080948</v>
      </c>
      <c r="B361" s="15">
        <v>44439.569999999992</v>
      </c>
      <c r="C361" s="15">
        <v>416</v>
      </c>
      <c r="D361" s="15">
        <v>316.84759999999989</v>
      </c>
    </row>
    <row r="362" spans="1:4" s="15" x14ac:dyDescent="0.35">
      <c r="A362" s="15">
        <v>100080952</v>
      </c>
      <c r="B362" s="15">
        <v>3047807.0099999937</v>
      </c>
      <c r="C362" s="15">
        <v>38994</v>
      </c>
      <c r="D362" s="15">
        <v>95842.308300000223</v>
      </c>
    </row>
    <row r="363" spans="1:4" s="15" x14ac:dyDescent="0.35">
      <c r="A363" s="15">
        <v>100080955</v>
      </c>
      <c r="B363" s="15">
        <v>2686463.1800000081</v>
      </c>
      <c r="C363" s="15">
        <v>37183</v>
      </c>
      <c r="D363" s="15">
        <v>52194.993200000092</v>
      </c>
    </row>
    <row r="364" spans="1:4" s="15" x14ac:dyDescent="0.35">
      <c r="A364" s="15">
        <v>100080957</v>
      </c>
      <c r="B364" s="15">
        <v>3901175.3800000092</v>
      </c>
      <c r="C364" s="15">
        <v>49365</v>
      </c>
      <c r="D364" s="15">
        <v>98201.55730000019</v>
      </c>
    </row>
    <row r="365" spans="1:4" s="15" x14ac:dyDescent="0.35">
      <c r="A365" s="15">
        <v>100080975</v>
      </c>
      <c r="B365" s="15">
        <v>2858728.3500000052</v>
      </c>
      <c r="C365" s="15">
        <v>40651</v>
      </c>
      <c r="D365" s="15">
        <v>49341.155399999734</v>
      </c>
    </row>
    <row r="366" spans="1:4" s="15" x14ac:dyDescent="0.35">
      <c r="A366" s="15">
        <v>100080976</v>
      </c>
      <c r="B366" s="15">
        <v>124.25999999999999</v>
      </c>
      <c r="C366" s="15">
        <v>5</v>
      </c>
      <c r="D366" s="15">
        <v>0</v>
      </c>
    </row>
    <row r="367" spans="1:4" s="15" x14ac:dyDescent="0.35">
      <c r="A367" s="15">
        <v>100080990</v>
      </c>
      <c r="B367" s="15">
        <v>58.33</v>
      </c>
      <c r="C367" s="15">
        <v>1</v>
      </c>
      <c r="D367" s="15">
        <v>0</v>
      </c>
    </row>
    <row r="368" spans="1:4" s="15" x14ac:dyDescent="0.35">
      <c r="A368" s="15">
        <v>101000061</v>
      </c>
      <c r="B368" s="15">
        <v>3759.4700000000003</v>
      </c>
      <c r="C368" s="15">
        <v>73</v>
      </c>
      <c r="D368" s="15">
        <v>0</v>
      </c>
    </row>
    <row r="369" spans="1:4" s="15" x14ac:dyDescent="0.35">
      <c r="A369" s="15">
        <v>101000062</v>
      </c>
      <c r="B369" s="15">
        <v>2433477.5400000019</v>
      </c>
      <c r="C369" s="15">
        <v>34541</v>
      </c>
      <c r="D369" s="15">
        <v>18843.88080000005</v>
      </c>
    </row>
    <row r="370" spans="1:4" s="15" x14ac:dyDescent="0.35">
      <c r="A370" s="15">
        <v>101000079</v>
      </c>
      <c r="B370" s="15">
        <v>2764473.7699999982</v>
      </c>
      <c r="C370" s="15">
        <v>39388</v>
      </c>
      <c r="D370" s="15">
        <v>57307.958099999873</v>
      </c>
    </row>
    <row r="371" spans="1:4" s="15" x14ac:dyDescent="0.35">
      <c r="A371" s="15">
        <v>101000080</v>
      </c>
      <c r="B371" s="15">
        <v>8472.2199999999993</v>
      </c>
      <c r="C371" s="15">
        <v>61</v>
      </c>
      <c r="D371" s="15">
        <v>0</v>
      </c>
    </row>
    <row r="372" spans="1:4" s="15" x14ac:dyDescent="0.35">
      <c r="A372" s="15">
        <v>101000081</v>
      </c>
      <c r="B372" s="15">
        <v>7064.17</v>
      </c>
      <c r="C372" s="15">
        <v>51</v>
      </c>
      <c r="D372" s="15">
        <v>0</v>
      </c>
    </row>
    <row r="373" spans="1:4" s="15" x14ac:dyDescent="0.35">
      <c r="A373" s="15">
        <v>101000082</v>
      </c>
      <c r="B373" s="15">
        <v>6944.45</v>
      </c>
      <c r="C373" s="15">
        <v>50</v>
      </c>
      <c r="D373" s="15">
        <v>0</v>
      </c>
    </row>
    <row r="374" spans="1:4" s="15" x14ac:dyDescent="0.35">
      <c r="A374" s="15">
        <v>101000083</v>
      </c>
      <c r="B374" s="15">
        <v>5675.28</v>
      </c>
      <c r="C374" s="15">
        <v>41</v>
      </c>
      <c r="D374" s="15">
        <v>0</v>
      </c>
    </row>
    <row r="375" spans="1:4" s="15" x14ac:dyDescent="0.35">
      <c r="A375" s="15">
        <v>101000084</v>
      </c>
      <c r="B375" s="15">
        <v>11388.890000000001</v>
      </c>
      <c r="C375" s="15">
        <v>82</v>
      </c>
      <c r="D375" s="15">
        <v>0</v>
      </c>
    </row>
    <row r="376" spans="1:4" s="15" x14ac:dyDescent="0.35">
      <c r="A376" s="15">
        <v>101000085</v>
      </c>
      <c r="B376" s="15">
        <v>7777.7799999999988</v>
      </c>
      <c r="C376" s="15">
        <v>56</v>
      </c>
      <c r="D376" s="15">
        <v>0</v>
      </c>
    </row>
    <row r="377" spans="1:4" s="15" x14ac:dyDescent="0.35">
      <c r="A377" s="15">
        <v>101000086</v>
      </c>
      <c r="B377" s="15">
        <v>7083.32</v>
      </c>
      <c r="C377" s="15">
        <v>51</v>
      </c>
      <c r="D377" s="15">
        <v>0</v>
      </c>
    </row>
    <row r="378" spans="1:4" s="15" x14ac:dyDescent="0.35">
      <c r="A378" s="15">
        <v>101000087</v>
      </c>
      <c r="B378" s="15">
        <v>10555.560000000001</v>
      </c>
      <c r="C378" s="15">
        <v>76</v>
      </c>
      <c r="D378" s="15">
        <v>0</v>
      </c>
    </row>
    <row r="379" spans="1:4" s="15" x14ac:dyDescent="0.35">
      <c r="A379" s="15">
        <v>101000088</v>
      </c>
      <c r="B379" s="15">
        <v>9722.23</v>
      </c>
      <c r="C379" s="15">
        <v>70</v>
      </c>
      <c r="D379" s="15">
        <v>0</v>
      </c>
    </row>
    <row r="380" spans="1:4" s="15" x14ac:dyDescent="0.35">
      <c r="A380" s="15">
        <v>101000089</v>
      </c>
      <c r="B380" s="15">
        <v>13869.730000000001</v>
      </c>
      <c r="C380" s="15">
        <v>50</v>
      </c>
      <c r="D380" s="15">
        <v>0</v>
      </c>
    </row>
    <row r="381" spans="1:4" s="15" x14ac:dyDescent="0.35">
      <c r="A381" s="15">
        <v>101000090</v>
      </c>
      <c r="B381" s="15">
        <v>12500.009999999998</v>
      </c>
      <c r="C381" s="15">
        <v>45</v>
      </c>
      <c r="D381" s="15">
        <v>0</v>
      </c>
    </row>
    <row r="382" spans="1:4" s="15" x14ac:dyDescent="0.35">
      <c r="A382" s="15">
        <v>101000091</v>
      </c>
      <c r="B382" s="15">
        <v>8611.1099999999988</v>
      </c>
      <c r="C382" s="15">
        <v>31</v>
      </c>
      <c r="D382" s="15">
        <v>0</v>
      </c>
    </row>
    <row r="383" spans="1:4" s="15" x14ac:dyDescent="0.35">
      <c r="A383" s="15">
        <v>101000092</v>
      </c>
      <c r="B383" s="15">
        <v>7758.619999999999</v>
      </c>
      <c r="C383" s="15">
        <v>28</v>
      </c>
      <c r="D383" s="15">
        <v>0</v>
      </c>
    </row>
    <row r="384" spans="1:4" s="15" x14ac:dyDescent="0.35">
      <c r="A384" s="15">
        <v>101000093</v>
      </c>
      <c r="B384" s="15">
        <v>11091.95</v>
      </c>
      <c r="C384" s="15">
        <v>40</v>
      </c>
      <c r="D384" s="1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s="15" x14ac:dyDescent="0.35">
      <c r="A1" s="65535" t="s">
        <v>0</v>
      </c>
      <c r="B1" s="65535" t="s">
        <v>1</v>
      </c>
      <c r="C1" s="65535" t="s">
        <v>2</v>
      </c>
      <c r="D1" s="65535" t="s">
        <v>3</v>
      </c>
      <c r="E1" s="65535" t="s">
        <v>4</v>
      </c>
      <c r="F1" s="65535" t="s">
        <v>5</v>
      </c>
      <c r="G1" s="65535" t="s">
        <v>6</v>
      </c>
      <c r="H1" s="65535" t="s">
        <v>7</v>
      </c>
    </row>
    <row r="2" spans="1:8" s="15" x14ac:dyDescent="0.35">
      <c r="A2" s="503">
        <v>100017182</v>
      </c>
      <c r="B2" s="504">
        <v>8414780000000</v>
      </c>
      <c r="C2" s="503" t="s">
        <v>89</v>
      </c>
      <c r="D2" s="503" t="s">
        <v>583</v>
      </c>
      <c r="E2" s="503" t="s">
        <v>583</v>
      </c>
      <c r="F2" s="503" t="s">
        <v>583</v>
      </c>
      <c r="G2" s="503" t="s">
        <v>583</v>
      </c>
      <c r="H2" s="502" t="s">
        <v>36</v>
      </c>
    </row>
    <row r="3" spans="1:8" s="15" x14ac:dyDescent="0.35">
      <c r="A3" s="15">
        <v>100016041</v>
      </c>
      <c r="B3" s="15">
        <v>25900213053</v>
      </c>
      <c r="C3" s="15" t="s">
        <v>584</v>
      </c>
      <c r="D3" s="502" t="s">
        <v>585</v>
      </c>
      <c r="E3" s="502" t="s">
        <v>585</v>
      </c>
      <c r="F3" s="502"/>
      <c r="G3" s="502"/>
      <c r="H3" s="502"/>
    </row>
    <row r="4" spans="1:8" s="15" x14ac:dyDescent="0.35">
      <c r="A4" s="15">
        <v>100016248</v>
      </c>
      <c r="B4" s="15">
        <v>25900000400</v>
      </c>
      <c r="C4" s="15" t="s">
        <v>151</v>
      </c>
      <c r="D4" s="502" t="s">
        <v>585</v>
      </c>
      <c r="E4" s="502" t="s">
        <v>585</v>
      </c>
      <c r="F4" s="502"/>
      <c r="G4" s="502"/>
      <c r="H4" s="502"/>
    </row>
    <row r="5" spans="1:8" s="15" x14ac:dyDescent="0.35">
      <c r="A5" s="502">
        <v>100017182</v>
      </c>
      <c r="B5" s="502">
        <v>8414775013578</v>
      </c>
      <c r="C5" s="502" t="s">
        <v>89</v>
      </c>
      <c r="D5" s="502"/>
      <c r="E5" s="502"/>
      <c r="F5" s="502"/>
      <c r="G5" s="502"/>
      <c r="H5" s="502"/>
    </row>
    <row r="6" spans="1:8" s="15" x14ac:dyDescent="0.35">
      <c r="A6" s="502">
        <v>100009359</v>
      </c>
      <c r="B6" s="502">
        <v>7503023648042</v>
      </c>
      <c r="C6" s="502" t="s">
        <v>153</v>
      </c>
      <c r="D6" s="502"/>
      <c r="E6" s="502"/>
      <c r="F6" s="502"/>
      <c r="G6" s="502"/>
      <c r="H6" s="502"/>
    </row>
    <row r="7" spans="1:8" s="15" x14ac:dyDescent="0.35">
      <c r="A7" s="502">
        <v>100017183</v>
      </c>
      <c r="B7" s="502">
        <v>42230748</v>
      </c>
      <c r="C7" s="502" t="s">
        <v>586</v>
      </c>
      <c r="D7" s="502"/>
      <c r="E7" s="502"/>
      <c r="F7" s="502"/>
      <c r="G7" s="502"/>
      <c r="H7" s="502"/>
    </row>
    <row r="8" spans="1:8" s="15" ht="16.399999999999999" customHeight="1" x14ac:dyDescent="0.35">
      <c r="A8" s="502">
        <v>100009916</v>
      </c>
      <c r="B8" s="502">
        <v>33300200573</v>
      </c>
      <c r="C8" s="502" t="s">
        <v>208</v>
      </c>
      <c r="D8" s="502"/>
      <c r="E8" s="502"/>
      <c r="F8" s="502"/>
      <c r="G8" s="502"/>
      <c r="H8" s="50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MASTER</vt:lpstr>
      <vt:lpstr>Hoja6</vt:lpstr>
      <vt:lpstr>Hoja4</vt:lpstr>
      <vt:lpstr>Hoja3</vt:lpstr>
      <vt:lpstr>INNOVACIÓN</vt:lpstr>
      <vt:lpstr>Hoja2</vt:lpstr>
      <vt:lpstr>Hoja1</vt:lpstr>
      <vt:lpstr>MERMA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2026-10-14T21:53:03Z</dcterms:modified>
  <cp:category/>
  <cp:contentStatus/>
</cp:coreProperties>
</file>